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bharatpetroleum-my.sharepoint.com/personal/abhinavsahu_corp_bharatpetroleum_com/Documents/Jalandhar Tenure/Delhi tenure/Sales data/Mar 26/TC Monthly Data/SO Monthly Data/"/>
    </mc:Choice>
  </mc:AlternateContent>
  <xr:revisionPtr revIDLastSave="2778" documentId="13_ncr:1_{8254303C-8CF1-43C1-BF93-65DCC2BAAD1F}" xr6:coauthVersionLast="47" xr6:coauthVersionMax="47" xr10:uidLastSave="{432AD57D-FD4E-4904-B5CC-4A76EB2B58C4}"/>
  <bookViews>
    <workbookView xWindow="-110" yWindow="-110" windowWidth="19420" windowHeight="10300" xr2:uid="{FF08E69D-2951-4E6B-A506-0E6D8E3FDB8F}"/>
  </bookViews>
  <sheets>
    <sheet name="Data" sheetId="1" r:id="rId1"/>
    <sheet name="Visit RO" sheetId="14" state="hidden" r:id="rId2"/>
    <sheet name="Market Share " sheetId="19" r:id="rId3"/>
    <sheet name="Future Predictor" sheetId="21" r:id="rId4"/>
    <sheet name="Negative RO" sheetId="11" r:id="rId5"/>
    <sheet name="Segment Dealer" sheetId="8" r:id="rId6"/>
    <sheet name="Sheet1" sheetId="16" r:id="rId7"/>
    <sheet name="Raw Data" sheetId="17" r:id="rId8"/>
    <sheet name="Initiative and Upgrades" sheetId="20" r:id="rId9"/>
  </sheets>
  <definedNames>
    <definedName name="_xlnm._FilterDatabase" localSheetId="0" hidden="1">Data!$A$1:$CO$398</definedName>
    <definedName name="_xlnm._FilterDatabase" localSheetId="8" hidden="1">'Initiative and Upgrades'!$A$1:$Q$398</definedName>
    <definedName name="_xlnm._FilterDatabase" localSheetId="7" hidden="1">'Raw Data'!$AX$1:$AZ$399</definedName>
    <definedName name="_xlnm._FilterDatabase" localSheetId="5" hidden="1">'Segment Dealer'!$A$1:$O$108</definedName>
    <definedName name="_xlnm._FilterDatabase" localSheetId="1" hidden="1">'Visit RO'!$A$1:$K$108</definedName>
    <definedName name="_xlnm.Print_Area" localSheetId="0">Data!$A$1:$I$398</definedName>
    <definedName name="_xlnm.Print_Area" localSheetId="8">'Initiative and Upgrades'!$A$1:$I$398</definedName>
    <definedName name="_xlnm.Print_Titles" localSheetId="0">Data!$1:$1</definedName>
    <definedName name="_xlnm.Print_Titles" localSheetId="8">'Initiative and Upgrades'!$1:$1</definedName>
  </definedNames>
  <calcPr calcId="191028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1" l="1"/>
  <c r="D3" i="21"/>
  <c r="C4" i="19" a="1"/>
  <c r="C4" i="19" s="1"/>
  <c r="C3" i="19" a="1"/>
  <c r="C3" i="19" s="1"/>
  <c r="D3" i="19" a="1"/>
  <c r="D3" i="19" s="1"/>
  <c r="C2" i="19" a="1"/>
  <c r="C2" i="19" s="1"/>
  <c r="CP96" i="1"/>
  <c r="CP9" i="1"/>
  <c r="CP131" i="1"/>
  <c r="CP130" i="1"/>
  <c r="CP167" i="1"/>
  <c r="CP66" i="1"/>
  <c r="CP68" i="1"/>
  <c r="CP114" i="1"/>
  <c r="CP188" i="1"/>
  <c r="CP112" i="1"/>
  <c r="CP216" i="1"/>
  <c r="CP248" i="1"/>
  <c r="CP208" i="1"/>
  <c r="CP233" i="1"/>
  <c r="CP219" i="1"/>
  <c r="CP113" i="1"/>
  <c r="CP249" i="1"/>
  <c r="CP329" i="1"/>
  <c r="CP231" i="1"/>
  <c r="CP194" i="1"/>
  <c r="CP275" i="1"/>
  <c r="CP226" i="1"/>
  <c r="CP235" i="1"/>
  <c r="CP178" i="1"/>
  <c r="CP288" i="1"/>
  <c r="CP139" i="1"/>
  <c r="CP154" i="1"/>
  <c r="CP225" i="1"/>
  <c r="CP56" i="1"/>
  <c r="CP222" i="1"/>
  <c r="CP223" i="1"/>
  <c r="CP384" i="1"/>
  <c r="CP10" i="1"/>
  <c r="CP310" i="1"/>
  <c r="CP387" i="1"/>
  <c r="P107" i="20"/>
  <c r="Q107" i="20" s="1"/>
  <c r="L107" i="20"/>
  <c r="M107" i="20" s="1"/>
  <c r="P106" i="20"/>
  <c r="Q106" i="20" s="1"/>
  <c r="L396" i="20"/>
  <c r="M396" i="20" s="1"/>
  <c r="P104" i="20"/>
  <c r="Q104" i="20" s="1"/>
  <c r="P394" i="20"/>
  <c r="Q394" i="20" s="1"/>
  <c r="L393" i="20"/>
  <c r="M393" i="20" s="1"/>
  <c r="P392" i="20"/>
  <c r="Q392" i="20" s="1"/>
  <c r="P390" i="20"/>
  <c r="Q390" i="20" s="1"/>
  <c r="L390" i="20"/>
  <c r="M390" i="20" s="1"/>
  <c r="P102" i="20"/>
  <c r="Q102" i="20" s="1"/>
  <c r="L102" i="20"/>
  <c r="M102" i="20" s="1"/>
  <c r="L101" i="20"/>
  <c r="M101" i="20" s="1"/>
  <c r="P389" i="20"/>
  <c r="Q389" i="20" s="1"/>
  <c r="L99" i="20"/>
  <c r="M99" i="20" s="1"/>
  <c r="P388" i="20"/>
  <c r="Q388" i="20" s="1"/>
  <c r="P98" i="20"/>
  <c r="Q98" i="20" s="1"/>
  <c r="L387" i="20"/>
  <c r="M387" i="20" s="1"/>
  <c r="P383" i="20"/>
  <c r="Q383" i="20" s="1"/>
  <c r="L383" i="20"/>
  <c r="M383" i="20" s="1"/>
  <c r="P95" i="20"/>
  <c r="Q95" i="20" s="1"/>
  <c r="P380" i="20"/>
  <c r="Q380" i="20" s="1"/>
  <c r="P379" i="20"/>
  <c r="Q379" i="20" s="1"/>
  <c r="P375" i="20"/>
  <c r="Q375" i="20" s="1"/>
  <c r="L374" i="20"/>
  <c r="M374" i="20" s="1"/>
  <c r="P92" i="20"/>
  <c r="Q92" i="20" s="1"/>
  <c r="L372" i="20"/>
  <c r="M372" i="20" s="1"/>
  <c r="P370" i="20"/>
  <c r="Q370" i="20" s="1"/>
  <c r="L90" i="20"/>
  <c r="M90" i="20" s="1"/>
  <c r="L369" i="20"/>
  <c r="M369" i="20" s="1"/>
  <c r="P87" i="20"/>
  <c r="Q87" i="20" s="1"/>
  <c r="L86" i="20"/>
  <c r="M86" i="20" s="1"/>
  <c r="L85" i="20"/>
  <c r="M85" i="20" s="1"/>
  <c r="L83" i="20"/>
  <c r="M83" i="20" s="1"/>
  <c r="L82" i="20"/>
  <c r="M82" i="20" s="1"/>
  <c r="P364" i="20"/>
  <c r="Q364" i="20" s="1"/>
  <c r="L199" i="20"/>
  <c r="M199" i="20" s="1"/>
  <c r="P198" i="20"/>
  <c r="Q198" i="20" s="1"/>
  <c r="P362" i="20"/>
  <c r="Q362" i="20" s="1"/>
  <c r="L360" i="20"/>
  <c r="M360" i="20" s="1"/>
  <c r="P359" i="20"/>
  <c r="Q359" i="20" s="1"/>
  <c r="L188" i="20"/>
  <c r="M188" i="20" s="1"/>
  <c r="L352" i="20"/>
  <c r="M352" i="20" s="1"/>
  <c r="P10" i="20"/>
  <c r="Q10" i="20" s="1"/>
  <c r="P350" i="20"/>
  <c r="Q350" i="20" s="1"/>
  <c r="L348" i="20"/>
  <c r="M348" i="20" s="1"/>
  <c r="L65" i="20"/>
  <c r="M65" i="20" s="1"/>
  <c r="P347" i="20"/>
  <c r="Q347" i="20" s="1"/>
  <c r="P346" i="20"/>
  <c r="Q346" i="20" s="1"/>
  <c r="P343" i="20"/>
  <c r="Q343" i="20" s="1"/>
  <c r="L343" i="20"/>
  <c r="M343" i="20" s="1"/>
  <c r="L185" i="20"/>
  <c r="M185" i="20" s="1"/>
  <c r="P340" i="20"/>
  <c r="Q340" i="20" s="1"/>
  <c r="P183" i="20"/>
  <c r="Q183" i="20" s="1"/>
  <c r="L62" i="20"/>
  <c r="M62" i="20" s="1"/>
  <c r="L337" i="20"/>
  <c r="M337" i="20" s="1"/>
  <c r="L182" i="20"/>
  <c r="M182" i="20" s="1"/>
  <c r="L335" i="20"/>
  <c r="M335" i="20" s="1"/>
  <c r="P178" i="20"/>
  <c r="Q178" i="20" s="1"/>
  <c r="L178" i="20"/>
  <c r="M178" i="20" s="1"/>
  <c r="P42" i="20"/>
  <c r="Q42" i="20" s="1"/>
  <c r="P177" i="20"/>
  <c r="Q177" i="20" s="1"/>
  <c r="L177" i="20"/>
  <c r="M177" i="20" s="1"/>
  <c r="P333" i="20"/>
  <c r="Q333" i="20" s="1"/>
  <c r="L332" i="20"/>
  <c r="M332" i="20" s="1"/>
  <c r="L175" i="20"/>
  <c r="M175" i="20" s="1"/>
  <c r="L53" i="20"/>
  <c r="M53" i="20" s="1"/>
  <c r="P55" i="20"/>
  <c r="Q55" i="20" s="1"/>
  <c r="L55" i="20"/>
  <c r="M55" i="20" s="1"/>
  <c r="P26" i="20"/>
  <c r="Q26" i="20" s="1"/>
  <c r="P326" i="20"/>
  <c r="Q326" i="20" s="1"/>
  <c r="L325" i="20"/>
  <c r="M325" i="20" s="1"/>
  <c r="P323" i="20"/>
  <c r="Q323" i="20" s="1"/>
  <c r="L322" i="20"/>
  <c r="M322" i="20" s="1"/>
  <c r="L172" i="20"/>
  <c r="M172" i="20" s="1"/>
  <c r="P318" i="20"/>
  <c r="Q318" i="20" s="1"/>
  <c r="P313" i="20"/>
  <c r="Q313" i="20" s="1"/>
  <c r="P307" i="20"/>
  <c r="Q307" i="20" s="1"/>
  <c r="P304" i="20"/>
  <c r="Q304" i="20" s="1"/>
  <c r="P297" i="20"/>
  <c r="Q297" i="20" s="1"/>
  <c r="P50" i="20"/>
  <c r="Q50" i="20" s="1"/>
  <c r="P49" i="20"/>
  <c r="Q49" i="20" s="1"/>
  <c r="P48" i="20"/>
  <c r="Q48" i="20" s="1"/>
  <c r="P293" i="20"/>
  <c r="Q293" i="20" s="1"/>
  <c r="P79" i="20"/>
  <c r="Q79" i="20" s="1"/>
  <c r="P291" i="20"/>
  <c r="Q291" i="20" s="1"/>
  <c r="P44" i="20"/>
  <c r="Q44" i="20" s="1"/>
  <c r="P163" i="20"/>
  <c r="Q163" i="20" s="1"/>
  <c r="P43" i="20"/>
  <c r="Q43" i="20" s="1"/>
  <c r="P290" i="20"/>
  <c r="Q290" i="20" s="1"/>
  <c r="P162" i="20"/>
  <c r="Q162" i="20" s="1"/>
  <c r="P288" i="20"/>
  <c r="Q288" i="20" s="1"/>
  <c r="P287" i="20"/>
  <c r="Q287" i="20" s="1"/>
  <c r="P159" i="20"/>
  <c r="Q159" i="20" s="1"/>
  <c r="P41" i="20"/>
  <c r="Q41" i="20" s="1"/>
  <c r="P283" i="20"/>
  <c r="Q283" i="20" s="1"/>
  <c r="P280" i="20"/>
  <c r="Q280" i="20" s="1"/>
  <c r="P279" i="20"/>
  <c r="Q279" i="20" s="1"/>
  <c r="P39" i="20"/>
  <c r="Q39" i="20" s="1"/>
  <c r="P158" i="20"/>
  <c r="Q158" i="20" s="1"/>
  <c r="P274" i="20"/>
  <c r="Q274" i="20" s="1"/>
  <c r="P272" i="20"/>
  <c r="Q272" i="20" s="1"/>
  <c r="P66" i="20"/>
  <c r="Q66" i="20" s="1"/>
  <c r="L154" i="20"/>
  <c r="M154" i="20" s="1"/>
  <c r="L270" i="20"/>
  <c r="M270" i="20" s="1"/>
  <c r="P35" i="20"/>
  <c r="Q35" i="20" s="1"/>
  <c r="P266" i="20"/>
  <c r="Q266" i="20" s="1"/>
  <c r="P149" i="20"/>
  <c r="Q149" i="20" s="1"/>
  <c r="L265" i="20"/>
  <c r="M265" i="20" s="1"/>
  <c r="P145" i="20"/>
  <c r="Q145" i="20" s="1"/>
  <c r="P144" i="20"/>
  <c r="Q144" i="20" s="1"/>
  <c r="L263" i="20"/>
  <c r="M263" i="20" s="1"/>
  <c r="P142" i="20"/>
  <c r="Q142" i="20" s="1"/>
  <c r="P51" i="20"/>
  <c r="Q51" i="20" s="1"/>
  <c r="L51" i="20"/>
  <c r="M51" i="20" s="1"/>
  <c r="L141" i="20"/>
  <c r="M141" i="20" s="1"/>
  <c r="P140" i="20"/>
  <c r="Q140" i="20" s="1"/>
  <c r="P136" i="20"/>
  <c r="Q136" i="20" s="1"/>
  <c r="P246" i="20"/>
  <c r="Q246" i="20" s="1"/>
  <c r="P243" i="20"/>
  <c r="Q243" i="20" s="1"/>
  <c r="P45" i="20"/>
  <c r="Q45" i="20" s="1"/>
  <c r="P130" i="20"/>
  <c r="Q130" i="20" s="1"/>
  <c r="P129" i="20"/>
  <c r="Q129" i="20" s="1"/>
  <c r="L240" i="20"/>
  <c r="M240" i="20" s="1"/>
  <c r="P237" i="20"/>
  <c r="Q237" i="20" s="1"/>
  <c r="L233" i="20"/>
  <c r="M233" i="20" s="1"/>
  <c r="P19" i="20"/>
  <c r="Q19" i="20" s="1"/>
  <c r="L225" i="20"/>
  <c r="M225" i="20" s="1"/>
  <c r="L222" i="20"/>
  <c r="M222" i="20" s="1"/>
  <c r="P7" i="20"/>
  <c r="Q7" i="20" s="1"/>
  <c r="L115" i="20"/>
  <c r="M115" i="20" s="1"/>
  <c r="L221" i="20"/>
  <c r="M221" i="20" s="1"/>
  <c r="L6" i="20"/>
  <c r="M6" i="20" s="1"/>
  <c r="L113" i="20"/>
  <c r="M113" i="20" s="1"/>
  <c r="P209" i="20"/>
  <c r="Q209" i="20" s="1"/>
  <c r="L208" i="20"/>
  <c r="M208" i="20" s="1"/>
  <c r="P207" i="20"/>
  <c r="Q207" i="20" s="1"/>
  <c r="P109" i="20"/>
  <c r="Q109" i="20" s="1"/>
  <c r="BQ391" i="1"/>
  <c r="BQ392" i="1"/>
  <c r="BQ338" i="1"/>
  <c r="BQ333" i="1"/>
  <c r="BQ50" i="1"/>
  <c r="BQ152" i="1"/>
  <c r="BQ168" i="1"/>
  <c r="BQ10" i="1"/>
  <c r="BQ47" i="1"/>
  <c r="BQ171" i="1"/>
  <c r="BQ295" i="1"/>
  <c r="BQ84" i="1"/>
  <c r="BQ104" i="1"/>
  <c r="BQ277" i="1"/>
  <c r="BQ140" i="1"/>
  <c r="BQ370" i="1"/>
  <c r="BQ12" i="1"/>
  <c r="BQ27" i="1"/>
  <c r="BQ98" i="1"/>
  <c r="BQ107" i="1"/>
  <c r="BQ276" i="1"/>
  <c r="BQ126" i="1"/>
  <c r="BQ327" i="1"/>
  <c r="BQ375" i="1"/>
  <c r="BQ90" i="1"/>
  <c r="BQ127" i="1"/>
  <c r="BQ187" i="1"/>
  <c r="BQ247" i="1"/>
  <c r="BQ216" i="1"/>
  <c r="BQ70" i="1"/>
  <c r="BQ336" i="1"/>
  <c r="BQ108" i="1"/>
  <c r="BQ323" i="1"/>
  <c r="BQ143" i="1"/>
  <c r="BQ315" i="1"/>
  <c r="BQ78" i="1"/>
  <c r="BQ353" i="1"/>
  <c r="BQ240" i="1"/>
  <c r="BQ290" i="1"/>
  <c r="BQ297" i="1"/>
  <c r="BQ146" i="1"/>
  <c r="BQ204" i="1"/>
  <c r="BQ18" i="1"/>
  <c r="BQ210" i="1"/>
  <c r="BQ386" i="1"/>
  <c r="BQ376" i="1"/>
  <c r="BQ96" i="1"/>
  <c r="BQ278" i="1"/>
  <c r="BQ298" i="1"/>
  <c r="BQ348" i="1"/>
  <c r="BQ321" i="1"/>
  <c r="BQ79" i="1"/>
  <c r="BQ299" i="1"/>
  <c r="BQ2" i="1"/>
  <c r="BQ120" i="1"/>
  <c r="BQ341" i="1"/>
  <c r="BQ345" i="1"/>
  <c r="BQ97" i="1"/>
  <c r="BQ225" i="1"/>
  <c r="BQ162" i="1"/>
  <c r="BQ134" i="1"/>
  <c r="BQ64" i="1"/>
  <c r="BQ178" i="1"/>
  <c r="BQ378" i="1"/>
  <c r="BQ186" i="1"/>
  <c r="BQ121" i="1"/>
  <c r="BQ313" i="1"/>
  <c r="BQ164" i="1"/>
  <c r="BQ198" i="1"/>
  <c r="BQ256" i="1"/>
  <c r="BQ20" i="1"/>
  <c r="BQ233" i="1"/>
  <c r="BQ289" i="1"/>
  <c r="BQ302" i="1"/>
  <c r="BQ131" i="1"/>
  <c r="BQ31" i="1"/>
  <c r="BQ56" i="1"/>
  <c r="BQ264" i="1"/>
  <c r="BQ77" i="1"/>
  <c r="BQ109" i="1"/>
  <c r="BQ387" i="1"/>
  <c r="BQ343" i="1"/>
  <c r="BQ287" i="1"/>
  <c r="BQ173" i="1"/>
  <c r="BQ74" i="1"/>
  <c r="BQ165" i="1"/>
  <c r="BQ196" i="1"/>
  <c r="BQ190" i="1"/>
  <c r="BQ209" i="1"/>
  <c r="BQ100" i="1"/>
  <c r="BQ211" i="1"/>
  <c r="BQ223" i="1"/>
  <c r="BQ86" i="1"/>
  <c r="BQ339" i="1"/>
  <c r="BQ103" i="1"/>
  <c r="BQ3" i="1"/>
  <c r="BQ213" i="1"/>
  <c r="BQ51" i="1"/>
  <c r="BQ212" i="1"/>
  <c r="BQ322" i="1"/>
  <c r="BQ58" i="1"/>
  <c r="BQ385" i="1"/>
  <c r="BQ242" i="1"/>
  <c r="BQ350" i="1"/>
  <c r="BQ325" i="1"/>
  <c r="BQ221" i="1"/>
  <c r="BQ334" i="1"/>
  <c r="BQ175" i="1"/>
  <c r="BQ261" i="1"/>
  <c r="BQ236" i="1"/>
  <c r="BQ306" i="1"/>
  <c r="BQ281" i="1"/>
  <c r="BQ361" i="1"/>
  <c r="BQ267" i="1"/>
  <c r="BQ159" i="1"/>
  <c r="BQ243" i="1"/>
  <c r="BQ380" i="1"/>
  <c r="BQ66" i="1"/>
  <c r="BQ316" i="1"/>
  <c r="BQ365" i="1"/>
  <c r="BQ337" i="1"/>
  <c r="BQ139" i="1"/>
  <c r="BQ87" i="1"/>
  <c r="BQ68" i="1"/>
  <c r="BQ91" i="1"/>
  <c r="BQ24" i="1"/>
  <c r="BQ59" i="1"/>
  <c r="BQ203" i="1"/>
  <c r="BQ16" i="1"/>
  <c r="BQ123" i="1"/>
  <c r="BQ114" i="1"/>
  <c r="BQ274" i="1"/>
  <c r="BQ358" i="1"/>
  <c r="BQ39" i="1"/>
  <c r="BQ169" i="1"/>
  <c r="BQ263" i="1"/>
  <c r="BQ167" i="1"/>
  <c r="BQ347" i="1"/>
  <c r="BQ30" i="1"/>
  <c r="BQ95" i="1"/>
  <c r="BQ357" i="1"/>
  <c r="BQ271" i="1"/>
  <c r="BQ62" i="1"/>
  <c r="BQ205" i="1"/>
  <c r="BQ222" i="1"/>
  <c r="BQ214" i="1"/>
  <c r="BQ194" i="1"/>
  <c r="BQ166" i="1"/>
  <c r="BQ71" i="1"/>
  <c r="BQ63" i="1"/>
  <c r="BQ170" i="1"/>
  <c r="BQ160" i="1"/>
  <c r="BQ363" i="1"/>
  <c r="BQ352" i="1"/>
  <c r="BQ113" i="1"/>
  <c r="BQ342" i="1"/>
  <c r="BQ8" i="1"/>
  <c r="BQ65" i="1"/>
  <c r="BQ141" i="1"/>
  <c r="BQ197" i="1"/>
  <c r="BQ319" i="1"/>
  <c r="BQ294" i="1"/>
  <c r="BQ251" i="1"/>
  <c r="BQ377" i="1"/>
  <c r="BQ40" i="1"/>
  <c r="BQ132" i="1"/>
  <c r="BQ142" i="1"/>
  <c r="BQ37" i="1"/>
  <c r="BQ28" i="1"/>
  <c r="BQ288" i="1"/>
  <c r="BQ145" i="1"/>
  <c r="BQ161" i="1"/>
  <c r="BQ260" i="1"/>
  <c r="BQ89" i="1"/>
  <c r="BQ182" i="1"/>
  <c r="BQ248" i="1"/>
  <c r="BQ116" i="1"/>
  <c r="BQ154" i="1"/>
  <c r="BQ283" i="1"/>
  <c r="BQ85" i="1"/>
  <c r="BQ44" i="1"/>
  <c r="BQ284" i="1"/>
  <c r="BQ234" i="1"/>
  <c r="BQ394" i="1"/>
  <c r="BQ25" i="1"/>
  <c r="BQ6" i="1"/>
  <c r="BQ309" i="1"/>
  <c r="BQ110" i="1"/>
  <c r="BQ75" i="1"/>
  <c r="BQ228" i="1"/>
  <c r="BQ208" i="1"/>
  <c r="BQ324" i="1"/>
  <c r="BQ111" i="1"/>
  <c r="BQ21" i="1"/>
  <c r="BQ371" i="1"/>
  <c r="BQ124" i="1"/>
  <c r="BQ388" i="1"/>
  <c r="BQ282" i="1"/>
  <c r="BQ43" i="1"/>
  <c r="BQ105" i="1"/>
  <c r="BQ384" i="1"/>
  <c r="BQ219" i="1"/>
  <c r="BQ393" i="1"/>
  <c r="BQ292" i="1"/>
  <c r="BQ156" i="1"/>
  <c r="BQ34" i="1"/>
  <c r="BQ359" i="1"/>
  <c r="BQ379" i="1"/>
  <c r="BQ331" i="1"/>
  <c r="BQ368" i="1"/>
  <c r="BQ14" i="1"/>
  <c r="BQ189" i="1"/>
  <c r="BQ273" i="1"/>
  <c r="BQ253" i="1"/>
  <c r="BQ180" i="1"/>
  <c r="BQ15" i="1"/>
  <c r="BQ151" i="1"/>
  <c r="BQ184" i="1"/>
  <c r="BQ245" i="1"/>
  <c r="BQ269" i="1"/>
  <c r="BQ5" i="1"/>
  <c r="BQ310" i="1"/>
  <c r="BQ26" i="1"/>
  <c r="BQ76" i="1"/>
  <c r="BQ153" i="1"/>
  <c r="BQ183" i="1"/>
  <c r="BQ259" i="1"/>
  <c r="BQ106" i="1"/>
  <c r="BQ272" i="1"/>
  <c r="BQ227" i="1"/>
  <c r="BQ192" i="1"/>
  <c r="BQ262" i="1"/>
  <c r="BQ296" i="1"/>
  <c r="BQ304" i="1"/>
  <c r="BQ230" i="1"/>
  <c r="BQ235" i="1"/>
  <c r="BQ280" i="1"/>
  <c r="BQ241" i="1"/>
  <c r="BQ38" i="1"/>
  <c r="BQ320" i="1"/>
  <c r="BQ138" i="1"/>
  <c r="BQ195" i="1"/>
  <c r="BQ115" i="1"/>
  <c r="BQ279" i="1"/>
  <c r="BQ215" i="1"/>
  <c r="BQ82" i="1"/>
  <c r="BQ179" i="1"/>
  <c r="BQ13" i="1"/>
  <c r="BQ199" i="1"/>
  <c r="BQ268" i="1"/>
  <c r="BQ351" i="1"/>
  <c r="BQ389" i="1"/>
  <c r="BQ148" i="1"/>
  <c r="BQ305" i="1"/>
  <c r="BQ137" i="1"/>
  <c r="BQ119" i="1"/>
  <c r="BQ188" i="1"/>
  <c r="BQ332" i="1"/>
  <c r="BQ356" i="1"/>
  <c r="BQ344" i="1"/>
  <c r="BQ61" i="1"/>
  <c r="BQ364" i="1"/>
  <c r="BQ329" i="1"/>
  <c r="BQ275" i="1"/>
  <c r="BQ72" i="1"/>
  <c r="BQ224" i="1"/>
  <c r="BQ125" i="1"/>
  <c r="BQ346" i="1"/>
  <c r="BQ307" i="1"/>
  <c r="BQ354" i="1"/>
  <c r="BQ312" i="1"/>
  <c r="BQ193" i="1"/>
  <c r="BQ177" i="1"/>
  <c r="BQ362" i="1"/>
  <c r="BQ135" i="1"/>
  <c r="BQ35" i="1"/>
  <c r="BQ340" i="1"/>
  <c r="BQ308" i="1"/>
  <c r="BQ252" i="1"/>
  <c r="BQ317" i="1"/>
  <c r="BQ265" i="1"/>
  <c r="BQ117" i="1"/>
  <c r="BQ136" i="1"/>
  <c r="BQ355" i="1"/>
  <c r="BQ250" i="1"/>
  <c r="BQ367" i="1"/>
  <c r="BQ270" i="1"/>
  <c r="BQ54" i="1"/>
  <c r="BQ93" i="1"/>
  <c r="BQ246" i="1"/>
  <c r="BQ232" i="1"/>
  <c r="BQ130" i="1"/>
  <c r="BQ133" i="1"/>
  <c r="BQ42" i="1"/>
  <c r="BQ395" i="1"/>
  <c r="BQ101" i="1"/>
  <c r="BQ83" i="1"/>
  <c r="BQ202" i="1"/>
  <c r="BQ217" i="1"/>
  <c r="BQ55" i="1"/>
  <c r="BQ36" i="1"/>
  <c r="BQ390" i="1"/>
  <c r="BQ73" i="1"/>
  <c r="BQ147" i="1"/>
  <c r="BQ128" i="1"/>
  <c r="BQ231" i="1"/>
  <c r="BQ32" i="1"/>
  <c r="BQ19" i="1"/>
  <c r="BQ181" i="1"/>
  <c r="BQ206" i="1"/>
  <c r="BQ7" i="1"/>
  <c r="BQ69" i="1"/>
  <c r="BQ11" i="1"/>
  <c r="BQ17" i="1"/>
  <c r="BQ81" i="1"/>
  <c r="BQ220" i="1"/>
  <c r="BQ23" i="1"/>
  <c r="BQ174" i="1"/>
  <c r="BQ9" i="1"/>
  <c r="BQ92" i="1"/>
  <c r="BQ57" i="1"/>
  <c r="BQ102" i="1"/>
  <c r="BQ201" i="1"/>
  <c r="BQ369" i="1"/>
  <c r="BQ99" i="1"/>
  <c r="BQ318" i="1"/>
  <c r="BQ237" i="1"/>
  <c r="BQ383" i="1"/>
  <c r="BQ293" i="1"/>
  <c r="BQ285" i="1"/>
  <c r="BQ112" i="1"/>
  <c r="BQ80" i="1"/>
  <c r="BQ52" i="1"/>
  <c r="BQ94" i="1"/>
  <c r="BQ185" i="1"/>
  <c r="BQ257" i="1"/>
  <c r="BQ330" i="1"/>
  <c r="BQ328" i="1"/>
  <c r="BQ157" i="1"/>
  <c r="BQ218" i="1"/>
  <c r="BQ48" i="1"/>
  <c r="BQ158" i="1"/>
  <c r="BQ372" i="1"/>
  <c r="BQ191" i="1"/>
  <c r="BQ382" i="1"/>
  <c r="BQ381" i="1"/>
  <c r="BQ238" i="1"/>
  <c r="BQ226" i="1"/>
  <c r="BQ366" i="1"/>
  <c r="BQ229" i="1"/>
  <c r="BQ53" i="1"/>
  <c r="BQ207" i="1"/>
  <c r="BQ172" i="1"/>
  <c r="BQ396" i="1"/>
  <c r="BQ60" i="1"/>
  <c r="BQ33" i="1"/>
  <c r="BQ373" i="1"/>
  <c r="BQ291" i="1"/>
  <c r="BQ22" i="1"/>
  <c r="BQ144" i="1"/>
  <c r="BQ149" i="1"/>
  <c r="BQ249" i="1"/>
  <c r="BQ200" i="1"/>
  <c r="BQ303" i="1"/>
  <c r="BQ349" i="1"/>
  <c r="BQ335" i="1"/>
  <c r="BQ266" i="1"/>
  <c r="BQ254" i="1"/>
  <c r="BQ239" i="1"/>
  <c r="BQ326" i="1"/>
  <c r="BQ300" i="1"/>
  <c r="BQ244" i="1"/>
  <c r="BQ4" i="1"/>
  <c r="BQ45" i="1"/>
  <c r="BQ163" i="1"/>
  <c r="BQ258" i="1"/>
  <c r="BQ29" i="1"/>
  <c r="BQ314" i="1"/>
  <c r="BQ122" i="1"/>
  <c r="BQ88" i="1"/>
  <c r="BQ41" i="1"/>
  <c r="BQ176" i="1"/>
  <c r="BQ286" i="1"/>
  <c r="BQ150" i="1"/>
  <c r="BQ49" i="1"/>
  <c r="BQ46" i="1"/>
  <c r="BQ67" i="1"/>
  <c r="BQ118" i="1"/>
  <c r="BQ360" i="1"/>
  <c r="BQ301" i="1"/>
  <c r="BQ255" i="1"/>
  <c r="BQ155" i="1"/>
  <c r="BQ397" i="1"/>
  <c r="BQ311" i="1"/>
  <c r="BQ398" i="1"/>
  <c r="BQ129" i="1"/>
  <c r="BQ374" i="1"/>
  <c r="BP277" i="1"/>
  <c r="C5" i="19" l="1"/>
  <c r="C8" i="19" s="1"/>
  <c r="P259" i="20"/>
  <c r="Q259" i="20" s="1"/>
  <c r="L31" i="20"/>
  <c r="M31" i="20" s="1"/>
  <c r="P154" i="20"/>
  <c r="Q154" i="20" s="1"/>
  <c r="P315" i="20"/>
  <c r="Q315" i="20" s="1"/>
  <c r="L174" i="20"/>
  <c r="M174" i="20" s="1"/>
  <c r="P182" i="20"/>
  <c r="Q182" i="20" s="1"/>
  <c r="P185" i="20"/>
  <c r="Q185" i="20" s="1"/>
  <c r="P371" i="20"/>
  <c r="Q371" i="20" s="1"/>
  <c r="L91" i="20"/>
  <c r="M91" i="20" s="1"/>
  <c r="P206" i="20"/>
  <c r="Q206" i="20" s="1"/>
  <c r="L109" i="20"/>
  <c r="M109" i="20" s="1"/>
  <c r="P217" i="20"/>
  <c r="Q217" i="20" s="1"/>
  <c r="L7" i="20"/>
  <c r="M7" i="20" s="1"/>
  <c r="L12" i="20"/>
  <c r="M12" i="20" s="1"/>
  <c r="P277" i="20"/>
  <c r="Q277" i="20" s="1"/>
  <c r="P169" i="20"/>
  <c r="Q169" i="20" s="1"/>
  <c r="L350" i="20"/>
  <c r="M350" i="20" s="1"/>
  <c r="P31" i="20"/>
  <c r="Q31" i="20" s="1"/>
  <c r="P267" i="20"/>
  <c r="Q267" i="20" s="1"/>
  <c r="P54" i="20"/>
  <c r="Q54" i="20" s="1"/>
  <c r="P59" i="20"/>
  <c r="Q59" i="20" s="1"/>
  <c r="L341" i="20"/>
  <c r="M341" i="20" s="1"/>
  <c r="L359" i="20"/>
  <c r="M359" i="20" s="1"/>
  <c r="L15" i="20"/>
  <c r="M15" i="20" s="1"/>
  <c r="P252" i="20"/>
  <c r="Q252" i="20" s="1"/>
  <c r="P52" i="20"/>
  <c r="Q52" i="20" s="1"/>
  <c r="P328" i="20"/>
  <c r="Q328" i="20" s="1"/>
  <c r="L192" i="20"/>
  <c r="M192" i="20" s="1"/>
  <c r="P82" i="20"/>
  <c r="Q82" i="20" s="1"/>
  <c r="P203" i="20"/>
  <c r="Q203" i="20" s="1"/>
  <c r="P99" i="20"/>
  <c r="Q99" i="20" s="1"/>
  <c r="L269" i="20"/>
  <c r="M269" i="20" s="1"/>
  <c r="P320" i="20"/>
  <c r="Q320" i="20" s="1"/>
  <c r="P341" i="20"/>
  <c r="Q341" i="20" s="1"/>
  <c r="P65" i="20"/>
  <c r="Q65" i="20" s="1"/>
  <c r="L351" i="20"/>
  <c r="M351" i="20" s="1"/>
  <c r="P192" i="20"/>
  <c r="Q192" i="20" s="1"/>
  <c r="P361" i="20"/>
  <c r="Q361" i="20" s="1"/>
  <c r="P197" i="20"/>
  <c r="Q197" i="20" s="1"/>
  <c r="L370" i="20"/>
  <c r="M370" i="20" s="1"/>
  <c r="P376" i="20"/>
  <c r="Q376" i="20" s="1"/>
  <c r="L395" i="20"/>
  <c r="M395" i="20" s="1"/>
  <c r="L117" i="20"/>
  <c r="M117" i="20" s="1"/>
  <c r="L220" i="20"/>
  <c r="M220" i="20" s="1"/>
  <c r="P240" i="20"/>
  <c r="Q240" i="20" s="1"/>
  <c r="P263" i="20"/>
  <c r="Q263" i="20" s="1"/>
  <c r="P155" i="20"/>
  <c r="Q155" i="20" s="1"/>
  <c r="L176" i="20"/>
  <c r="M176" i="20" s="1"/>
  <c r="P139" i="20"/>
  <c r="Q139" i="20" s="1"/>
  <c r="P270" i="20"/>
  <c r="Q270" i="20" s="1"/>
  <c r="L326" i="20"/>
  <c r="M326" i="20" s="1"/>
  <c r="P342" i="20"/>
  <c r="Q342" i="20" s="1"/>
  <c r="P22" i="20"/>
  <c r="Q22" i="20" s="1"/>
  <c r="L349" i="20"/>
  <c r="M349" i="20" s="1"/>
  <c r="L72" i="20"/>
  <c r="M72" i="20" s="1"/>
  <c r="P94" i="20"/>
  <c r="Q94" i="20" s="1"/>
  <c r="P131" i="20"/>
  <c r="Q131" i="20" s="1"/>
  <c r="P25" i="20"/>
  <c r="Q25" i="20" s="1"/>
  <c r="P153" i="20"/>
  <c r="Q153" i="20" s="1"/>
  <c r="L299" i="20"/>
  <c r="M299" i="20" s="1"/>
  <c r="P306" i="20"/>
  <c r="Q306" i="20" s="1"/>
  <c r="L71" i="20"/>
  <c r="M71" i="20" s="1"/>
  <c r="L202" i="20"/>
  <c r="M202" i="20" s="1"/>
  <c r="L305" i="20"/>
  <c r="M305" i="20" s="1"/>
  <c r="P325" i="20"/>
  <c r="Q325" i="20" s="1"/>
  <c r="L42" i="20"/>
  <c r="M42" i="20" s="1"/>
  <c r="P345" i="20"/>
  <c r="Q345" i="20" s="1"/>
  <c r="L186" i="20"/>
  <c r="M186" i="20" s="1"/>
  <c r="P188" i="20"/>
  <c r="Q188" i="20" s="1"/>
  <c r="P381" i="20"/>
  <c r="Q381" i="20" s="1"/>
  <c r="P387" i="20"/>
  <c r="Q387" i="20" s="1"/>
  <c r="L228" i="20"/>
  <c r="M228" i="20" s="1"/>
  <c r="L19" i="20"/>
  <c r="M19" i="20" s="1"/>
  <c r="P20" i="20"/>
  <c r="Q20" i="20" s="1"/>
  <c r="P147" i="20"/>
  <c r="Q147" i="20" s="1"/>
  <c r="P68" i="20"/>
  <c r="Q68" i="20" s="1"/>
  <c r="P339" i="20"/>
  <c r="Q339" i="20" s="1"/>
  <c r="L10" i="20"/>
  <c r="M10" i="20" s="1"/>
  <c r="P190" i="20"/>
  <c r="Q190" i="20" s="1"/>
  <c r="P329" i="20"/>
  <c r="Q329" i="20" s="1"/>
  <c r="L336" i="20"/>
  <c r="M336" i="20" s="1"/>
  <c r="L184" i="20"/>
  <c r="M184" i="20" s="1"/>
  <c r="P74" i="20"/>
  <c r="Q74" i="20" s="1"/>
  <c r="L229" i="20"/>
  <c r="M229" i="20" s="1"/>
  <c r="L308" i="20"/>
  <c r="M308" i="20" s="1"/>
  <c r="L112" i="20"/>
  <c r="M112" i="20" s="1"/>
  <c r="P249" i="20"/>
  <c r="Q249" i="20" s="1"/>
  <c r="P138" i="20"/>
  <c r="Q138" i="20" s="1"/>
  <c r="L143" i="20"/>
  <c r="M143" i="20" s="1"/>
  <c r="P152" i="20"/>
  <c r="Q152" i="20" s="1"/>
  <c r="L276" i="20"/>
  <c r="M276" i="20" s="1"/>
  <c r="P319" i="20"/>
  <c r="Q319" i="20" s="1"/>
  <c r="P377" i="20"/>
  <c r="Q377" i="20" s="1"/>
  <c r="L261" i="20"/>
  <c r="M261" i="20" s="1"/>
  <c r="L169" i="20"/>
  <c r="M169" i="20" s="1"/>
  <c r="P321" i="20"/>
  <c r="Q321" i="20" s="1"/>
  <c r="L76" i="20"/>
  <c r="M76" i="20" s="1"/>
  <c r="P81" i="20"/>
  <c r="Q81" i="20" s="1"/>
  <c r="L367" i="20"/>
  <c r="M367" i="20" s="1"/>
  <c r="P13" i="20"/>
  <c r="Q13" i="20" s="1"/>
  <c r="L217" i="20"/>
  <c r="M217" i="20" s="1"/>
  <c r="L149" i="20"/>
  <c r="M149" i="20" s="1"/>
  <c r="L34" i="20"/>
  <c r="M34" i="20" s="1"/>
  <c r="P5" i="20"/>
  <c r="Q5" i="20" s="1"/>
  <c r="L316" i="20"/>
  <c r="M316" i="20" s="1"/>
  <c r="P72" i="20"/>
  <c r="Q72" i="20" s="1"/>
  <c r="L391" i="20"/>
  <c r="M391" i="20" s="1"/>
  <c r="L78" i="20"/>
  <c r="M78" i="20" s="1"/>
  <c r="L4" i="20"/>
  <c r="M4" i="20" s="1"/>
  <c r="P245" i="20"/>
  <c r="Q245" i="20" s="1"/>
  <c r="P132" i="20"/>
  <c r="Q132" i="20" s="1"/>
  <c r="P34" i="20"/>
  <c r="Q34" i="20" s="1"/>
  <c r="L268" i="20"/>
  <c r="M268" i="20" s="1"/>
  <c r="L153" i="20"/>
  <c r="M153" i="20" s="1"/>
  <c r="P282" i="20"/>
  <c r="Q282" i="20" s="1"/>
  <c r="L108" i="20"/>
  <c r="M108" i="20" s="1"/>
  <c r="L14" i="20"/>
  <c r="M14" i="20" s="1"/>
  <c r="L211" i="20"/>
  <c r="M211" i="20" s="1"/>
  <c r="L224" i="20"/>
  <c r="M224" i="20" s="1"/>
  <c r="L147" i="20"/>
  <c r="M147" i="20" s="1"/>
  <c r="L35" i="20"/>
  <c r="M35" i="20" s="1"/>
  <c r="P238" i="20"/>
  <c r="Q238" i="20" s="1"/>
  <c r="L25" i="20"/>
  <c r="M25" i="20" s="1"/>
  <c r="P261" i="20"/>
  <c r="Q261" i="20" s="1"/>
  <c r="L284" i="20"/>
  <c r="M284" i="20" s="1"/>
  <c r="L193" i="20"/>
  <c r="M193" i="20" s="1"/>
  <c r="L362" i="20"/>
  <c r="M362" i="20" s="1"/>
  <c r="P56" i="20"/>
  <c r="Q56" i="20" s="1"/>
  <c r="P161" i="20"/>
  <c r="Q161" i="20" s="1"/>
  <c r="P167" i="20"/>
  <c r="Q167" i="20" s="1"/>
  <c r="L346" i="20"/>
  <c r="M346" i="20" s="1"/>
  <c r="L198" i="20"/>
  <c r="M198" i="20" s="1"/>
  <c r="L216" i="20"/>
  <c r="M216" i="20" s="1"/>
  <c r="L212" i="20"/>
  <c r="M212" i="20" s="1"/>
  <c r="L266" i="20"/>
  <c r="M266" i="20" s="1"/>
  <c r="P151" i="20"/>
  <c r="Q151" i="20" s="1"/>
  <c r="P284" i="20"/>
  <c r="Q284" i="20" s="1"/>
  <c r="P11" i="20"/>
  <c r="Q11" i="20" s="1"/>
  <c r="L382" i="20"/>
  <c r="M382" i="20" s="1"/>
  <c r="L155" i="20"/>
  <c r="M155" i="20" s="1"/>
  <c r="P166" i="20"/>
  <c r="Q166" i="20" s="1"/>
  <c r="L312" i="20"/>
  <c r="M312" i="20" s="1"/>
  <c r="L339" i="20"/>
  <c r="M339" i="20" s="1"/>
  <c r="L342" i="20"/>
  <c r="M342" i="20" s="1"/>
  <c r="L98" i="20"/>
  <c r="M98" i="20" s="1"/>
  <c r="L119" i="20"/>
  <c r="M119" i="20" s="1"/>
  <c r="P253" i="20"/>
  <c r="Q253" i="20" s="1"/>
  <c r="L144" i="20"/>
  <c r="M144" i="20" s="1"/>
  <c r="L39" i="20"/>
  <c r="M39" i="20" s="1"/>
  <c r="P164" i="20"/>
  <c r="Q164" i="20" s="1"/>
  <c r="L354" i="20"/>
  <c r="M354" i="20" s="1"/>
  <c r="L324" i="20"/>
  <c r="M324" i="20" s="1"/>
  <c r="P148" i="20"/>
  <c r="Q148" i="20" s="1"/>
  <c r="L3" i="20"/>
  <c r="M3" i="20" s="1"/>
  <c r="L207" i="20"/>
  <c r="M207" i="20" s="1"/>
  <c r="L110" i="20"/>
  <c r="M110" i="20" s="1"/>
  <c r="L46" i="20"/>
  <c r="M46" i="20" s="1"/>
  <c r="P250" i="20"/>
  <c r="Q250" i="20" s="1"/>
  <c r="P258" i="20"/>
  <c r="Q258" i="20" s="1"/>
  <c r="L345" i="20"/>
  <c r="M345" i="20" s="1"/>
  <c r="P134" i="20"/>
  <c r="Q134" i="20" s="1"/>
  <c r="L264" i="20"/>
  <c r="M264" i="20" s="1"/>
  <c r="P195" i="20"/>
  <c r="Q195" i="20" s="1"/>
  <c r="P196" i="20"/>
  <c r="Q196" i="20" s="1"/>
  <c r="L201" i="20"/>
  <c r="M201" i="20" s="1"/>
  <c r="L230" i="20"/>
  <c r="M230" i="20" s="1"/>
  <c r="L2" i="20"/>
  <c r="M2" i="20" s="1"/>
  <c r="L161" i="20"/>
  <c r="M161" i="20" s="1"/>
  <c r="L389" i="20"/>
  <c r="M389" i="20" s="1"/>
  <c r="L226" i="20"/>
  <c r="M226" i="20" s="1"/>
  <c r="P128" i="20"/>
  <c r="Q128" i="20" s="1"/>
  <c r="L340" i="20"/>
  <c r="M340" i="20" s="1"/>
  <c r="P385" i="20"/>
  <c r="Q385" i="20" s="1"/>
  <c r="P275" i="20"/>
  <c r="Q275" i="20" s="1"/>
  <c r="P172" i="20"/>
  <c r="Q172" i="20" s="1"/>
  <c r="L363" i="20"/>
  <c r="M363" i="20" s="1"/>
  <c r="L377" i="20"/>
  <c r="M377" i="20" s="1"/>
  <c r="L384" i="20"/>
  <c r="M384" i="20" s="1"/>
  <c r="L100" i="20"/>
  <c r="M100" i="20" s="1"/>
  <c r="L394" i="20"/>
  <c r="M394" i="20" s="1"/>
  <c r="L310" i="20"/>
  <c r="M310" i="20" s="1"/>
  <c r="L334" i="20"/>
  <c r="M334" i="20" s="1"/>
  <c r="L64" i="20"/>
  <c r="M64" i="20" s="1"/>
  <c r="L67" i="20"/>
  <c r="M67" i="20" s="1"/>
  <c r="L84" i="20"/>
  <c r="M84" i="20" s="1"/>
  <c r="P312" i="20"/>
  <c r="Q312" i="20" s="1"/>
  <c r="L320" i="20"/>
  <c r="M320" i="20" s="1"/>
  <c r="P334" i="20"/>
  <c r="Q334" i="20" s="1"/>
  <c r="L30" i="20"/>
  <c r="M30" i="20" s="1"/>
  <c r="L344" i="20"/>
  <c r="M344" i="20" s="1"/>
  <c r="P67" i="20"/>
  <c r="Q67" i="20" s="1"/>
  <c r="P363" i="20"/>
  <c r="Q363" i="20" s="1"/>
  <c r="L81" i="20"/>
  <c r="M81" i="20" s="1"/>
  <c r="L274" i="20"/>
  <c r="M274" i="20" s="1"/>
  <c r="P40" i="20"/>
  <c r="Q40" i="20" s="1"/>
  <c r="P384" i="20"/>
  <c r="Q384" i="20" s="1"/>
  <c r="P308" i="20"/>
  <c r="Q308" i="20" s="1"/>
  <c r="L70" i="20"/>
  <c r="M70" i="20" s="1"/>
  <c r="L338" i="20"/>
  <c r="M338" i="20" s="1"/>
  <c r="P344" i="20"/>
  <c r="Q344" i="20" s="1"/>
  <c r="L347" i="20"/>
  <c r="M347" i="20" s="1"/>
  <c r="L22" i="20"/>
  <c r="M22" i="20" s="1"/>
  <c r="P70" i="20"/>
  <c r="Q70" i="20" s="1"/>
  <c r="P77" i="20"/>
  <c r="Q77" i="20" s="1"/>
  <c r="L376" i="20"/>
  <c r="M376" i="20" s="1"/>
  <c r="L97" i="20"/>
  <c r="M97" i="20" s="1"/>
  <c r="L392" i="20"/>
  <c r="M392" i="20" s="1"/>
  <c r="L105" i="20"/>
  <c r="M105" i="20" s="1"/>
  <c r="P143" i="20"/>
  <c r="Q143" i="20" s="1"/>
  <c r="L32" i="20"/>
  <c r="M32" i="20" s="1"/>
  <c r="P301" i="20"/>
  <c r="Q301" i="20" s="1"/>
  <c r="L317" i="20"/>
  <c r="M317" i="20" s="1"/>
  <c r="L180" i="20"/>
  <c r="M180" i="20" s="1"/>
  <c r="P338" i="20"/>
  <c r="Q338" i="20" s="1"/>
  <c r="L80" i="20"/>
  <c r="M80" i="20" s="1"/>
  <c r="L386" i="20"/>
  <c r="M386" i="20" s="1"/>
  <c r="L388" i="20"/>
  <c r="M388" i="20" s="1"/>
  <c r="L397" i="20"/>
  <c r="M397" i="20" s="1"/>
  <c r="L398" i="20"/>
  <c r="M398" i="20" s="1"/>
  <c r="L267" i="20"/>
  <c r="M267" i="20" s="1"/>
  <c r="P295" i="20"/>
  <c r="Q295" i="20" s="1"/>
  <c r="L304" i="20"/>
  <c r="M304" i="20" s="1"/>
  <c r="L306" i="20"/>
  <c r="M306" i="20" s="1"/>
  <c r="L26" i="20"/>
  <c r="M26" i="20" s="1"/>
  <c r="L56" i="20"/>
  <c r="M56" i="20" s="1"/>
  <c r="L103" i="20"/>
  <c r="M103" i="20" s="1"/>
  <c r="P355" i="20"/>
  <c r="Q355" i="20" s="1"/>
  <c r="P199" i="20"/>
  <c r="Q199" i="20" s="1"/>
  <c r="L104" i="20"/>
  <c r="M104" i="20" s="1"/>
  <c r="P105" i="20"/>
  <c r="Q105" i="20" s="1"/>
  <c r="P171" i="20"/>
  <c r="Q171" i="20" s="1"/>
  <c r="L357" i="20"/>
  <c r="M357" i="20" s="1"/>
  <c r="P374" i="20"/>
  <c r="Q374" i="20" s="1"/>
  <c r="L385" i="20"/>
  <c r="M385" i="20" s="1"/>
  <c r="P103" i="20"/>
  <c r="Q103" i="20" s="1"/>
  <c r="L106" i="20"/>
  <c r="M106" i="20" s="1"/>
  <c r="L114" i="20"/>
  <c r="M114" i="20" s="1"/>
  <c r="P222" i="20"/>
  <c r="Q222" i="20" s="1"/>
  <c r="P16" i="20"/>
  <c r="Q16" i="20" s="1"/>
  <c r="P230" i="20"/>
  <c r="Q230" i="20" s="1"/>
  <c r="L135" i="20"/>
  <c r="M135" i="20" s="1"/>
  <c r="L13" i="20"/>
  <c r="M13" i="20" s="1"/>
  <c r="L209" i="20"/>
  <c r="M209" i="20" s="1"/>
  <c r="P114" i="20"/>
  <c r="Q114" i="20" s="1"/>
  <c r="L219" i="20"/>
  <c r="M219" i="20" s="1"/>
  <c r="P223" i="20"/>
  <c r="Q223" i="20" s="1"/>
  <c r="P228" i="20"/>
  <c r="Q228" i="20" s="1"/>
  <c r="L231" i="20"/>
  <c r="M231" i="20" s="1"/>
  <c r="L245" i="20"/>
  <c r="M245" i="20" s="1"/>
  <c r="L272" i="20"/>
  <c r="M272" i="20" s="1"/>
  <c r="L38" i="20"/>
  <c r="M38" i="20" s="1"/>
  <c r="L223" i="20"/>
  <c r="M223" i="20" s="1"/>
  <c r="L120" i="20"/>
  <c r="M120" i="20" s="1"/>
  <c r="P225" i="20"/>
  <c r="Q225" i="20" s="1"/>
  <c r="P120" i="20"/>
  <c r="Q120" i="20" s="1"/>
  <c r="P242" i="20"/>
  <c r="Q242" i="20" s="1"/>
  <c r="L246" i="20"/>
  <c r="M246" i="20" s="1"/>
  <c r="P212" i="20"/>
  <c r="Q212" i="20" s="1"/>
  <c r="P214" i="20"/>
  <c r="Q214" i="20" s="1"/>
  <c r="L116" i="20"/>
  <c r="M116" i="20" s="1"/>
  <c r="L241" i="20"/>
  <c r="M241" i="20" s="1"/>
  <c r="L244" i="20"/>
  <c r="M244" i="20" s="1"/>
  <c r="P265" i="20"/>
  <c r="Q265" i="20" s="1"/>
  <c r="L215" i="20"/>
  <c r="M215" i="20" s="1"/>
  <c r="P117" i="20"/>
  <c r="Q117" i="20" s="1"/>
  <c r="L218" i="20"/>
  <c r="M218" i="20" s="1"/>
  <c r="P46" i="20"/>
  <c r="Q46" i="20" s="1"/>
  <c r="L235" i="20"/>
  <c r="M235" i="20" s="1"/>
  <c r="P37" i="20"/>
  <c r="Q37" i="20" s="1"/>
  <c r="L130" i="20"/>
  <c r="M130" i="20" s="1"/>
  <c r="L118" i="20"/>
  <c r="M118" i="20" s="1"/>
  <c r="L16" i="20"/>
  <c r="M16" i="20" s="1"/>
  <c r="L122" i="20"/>
  <c r="M122" i="20" s="1"/>
  <c r="P219" i="20"/>
  <c r="Q219" i="20" s="1"/>
  <c r="L213" i="20"/>
  <c r="M213" i="20" s="1"/>
  <c r="P116" i="20"/>
  <c r="Q116" i="20" s="1"/>
  <c r="L8" i="20"/>
  <c r="M8" i="20" s="1"/>
  <c r="L9" i="20"/>
  <c r="M9" i="20" s="1"/>
  <c r="L29" i="20"/>
  <c r="M29" i="20" s="1"/>
  <c r="L232" i="20"/>
  <c r="M232" i="20" s="1"/>
  <c r="L234" i="20"/>
  <c r="M234" i="20" s="1"/>
  <c r="P17" i="20"/>
  <c r="Q17" i="20" s="1"/>
  <c r="L123" i="20"/>
  <c r="M123" i="20" s="1"/>
  <c r="L124" i="20"/>
  <c r="M124" i="20" s="1"/>
  <c r="P241" i="20"/>
  <c r="Q241" i="20" s="1"/>
  <c r="L214" i="20"/>
  <c r="M214" i="20" s="1"/>
  <c r="L111" i="20"/>
  <c r="M111" i="20" s="1"/>
  <c r="P218" i="20"/>
  <c r="Q218" i="20" s="1"/>
  <c r="P8" i="20"/>
  <c r="Q8" i="20" s="1"/>
  <c r="L227" i="20"/>
  <c r="M227" i="20" s="1"/>
  <c r="P9" i="20"/>
  <c r="Q9" i="20" s="1"/>
  <c r="P234" i="20"/>
  <c r="Q234" i="20" s="1"/>
  <c r="P235" i="20"/>
  <c r="Q235" i="20" s="1"/>
  <c r="L18" i="20"/>
  <c r="M18" i="20" s="1"/>
  <c r="P247" i="20"/>
  <c r="Q247" i="20" s="1"/>
  <c r="L121" i="20"/>
  <c r="M121" i="20" s="1"/>
  <c r="L210" i="20"/>
  <c r="M210" i="20" s="1"/>
  <c r="P110" i="20"/>
  <c r="Q110" i="20" s="1"/>
  <c r="P3" i="20"/>
  <c r="Q3" i="20" s="1"/>
  <c r="P213" i="20"/>
  <c r="Q213" i="20" s="1"/>
  <c r="P221" i="20"/>
  <c r="Q221" i="20" s="1"/>
  <c r="P123" i="20"/>
  <c r="Q123" i="20" s="1"/>
  <c r="P239" i="20"/>
  <c r="Q239" i="20" s="1"/>
  <c r="P208" i="20"/>
  <c r="Q208" i="20" s="1"/>
  <c r="P113" i="20"/>
  <c r="Q113" i="20" s="1"/>
  <c r="P227" i="20"/>
  <c r="Q227" i="20" s="1"/>
  <c r="P232" i="20"/>
  <c r="Q232" i="20" s="1"/>
  <c r="P18" i="20"/>
  <c r="Q18" i="20" s="1"/>
  <c r="P127" i="20"/>
  <c r="Q127" i="20" s="1"/>
  <c r="P111" i="20"/>
  <c r="Q111" i="20" s="1"/>
  <c r="P6" i="20"/>
  <c r="Q6" i="20" s="1"/>
  <c r="P15" i="20"/>
  <c r="Q15" i="20" s="1"/>
  <c r="P124" i="20"/>
  <c r="Q124" i="20" s="1"/>
  <c r="P4" i="20"/>
  <c r="Q4" i="20" s="1"/>
  <c r="P112" i="20"/>
  <c r="Q112" i="20" s="1"/>
  <c r="L128" i="20"/>
  <c r="M128" i="20" s="1"/>
  <c r="P137" i="20"/>
  <c r="Q137" i="20" s="1"/>
  <c r="L24" i="20"/>
  <c r="M24" i="20" s="1"/>
  <c r="P135" i="20"/>
  <c r="Q135" i="20" s="1"/>
  <c r="L136" i="20"/>
  <c r="M136" i="20" s="1"/>
  <c r="P254" i="20"/>
  <c r="Q254" i="20" s="1"/>
  <c r="L36" i="20"/>
  <c r="M36" i="20" s="1"/>
  <c r="P14" i="20"/>
  <c r="Q14" i="20" s="1"/>
  <c r="L125" i="20"/>
  <c r="M125" i="20" s="1"/>
  <c r="L238" i="20"/>
  <c r="M238" i="20" s="1"/>
  <c r="P27" i="20"/>
  <c r="Q27" i="20" s="1"/>
  <c r="L260" i="20"/>
  <c r="M260" i="20" s="1"/>
  <c r="P24" i="20"/>
  <c r="Q24" i="20" s="1"/>
  <c r="P211" i="20"/>
  <c r="Q211" i="20" s="1"/>
  <c r="P216" i="20"/>
  <c r="Q216" i="20" s="1"/>
  <c r="P115" i="20"/>
  <c r="Q115" i="20" s="1"/>
  <c r="P226" i="20"/>
  <c r="Q226" i="20" s="1"/>
  <c r="P119" i="20"/>
  <c r="Q119" i="20" s="1"/>
  <c r="P233" i="20"/>
  <c r="Q233" i="20" s="1"/>
  <c r="L17" i="20"/>
  <c r="M17" i="20" s="1"/>
  <c r="P236" i="20"/>
  <c r="Q236" i="20" s="1"/>
  <c r="P126" i="20"/>
  <c r="Q126" i="20" s="1"/>
  <c r="L129" i="20"/>
  <c r="M129" i="20" s="1"/>
  <c r="L63" i="20"/>
  <c r="M63" i="20" s="1"/>
  <c r="L250" i="20"/>
  <c r="M250" i="20" s="1"/>
  <c r="L28" i="20"/>
  <c r="M28" i="20" s="1"/>
  <c r="L20" i="20"/>
  <c r="M20" i="20" s="1"/>
  <c r="L21" i="20"/>
  <c r="M21" i="20" s="1"/>
  <c r="L256" i="20"/>
  <c r="M256" i="20" s="1"/>
  <c r="P133" i="20"/>
  <c r="Q133" i="20" s="1"/>
  <c r="P63" i="20"/>
  <c r="Q63" i="20" s="1"/>
  <c r="P32" i="20"/>
  <c r="Q32" i="20" s="1"/>
  <c r="P21" i="20"/>
  <c r="Q21" i="20" s="1"/>
  <c r="L45" i="20"/>
  <c r="M45" i="20" s="1"/>
  <c r="P125" i="20"/>
  <c r="Q125" i="20" s="1"/>
  <c r="P2" i="20"/>
  <c r="Q2" i="20" s="1"/>
  <c r="P210" i="20"/>
  <c r="Q210" i="20" s="1"/>
  <c r="P215" i="20"/>
  <c r="Q215" i="20" s="1"/>
  <c r="P220" i="20"/>
  <c r="Q220" i="20" s="1"/>
  <c r="P224" i="20"/>
  <c r="Q224" i="20" s="1"/>
  <c r="P229" i="20"/>
  <c r="Q229" i="20" s="1"/>
  <c r="P231" i="20"/>
  <c r="Q231" i="20" s="1"/>
  <c r="P12" i="20"/>
  <c r="Q12" i="20" s="1"/>
  <c r="L237" i="20"/>
  <c r="M237" i="20" s="1"/>
  <c r="P244" i="20"/>
  <c r="Q244" i="20" s="1"/>
  <c r="L23" i="20"/>
  <c r="M23" i="20" s="1"/>
  <c r="L251" i="20"/>
  <c r="M251" i="20" s="1"/>
  <c r="L252" i="20"/>
  <c r="M252" i="20" s="1"/>
  <c r="P255" i="20"/>
  <c r="Q255" i="20" s="1"/>
  <c r="P118" i="20"/>
  <c r="Q118" i="20" s="1"/>
  <c r="P29" i="20"/>
  <c r="Q29" i="20" s="1"/>
  <c r="P122" i="20"/>
  <c r="Q122" i="20" s="1"/>
  <c r="L242" i="20"/>
  <c r="M242" i="20" s="1"/>
  <c r="P248" i="20"/>
  <c r="Q248" i="20" s="1"/>
  <c r="P256" i="20"/>
  <c r="Q256" i="20" s="1"/>
  <c r="P257" i="20"/>
  <c r="Q257" i="20" s="1"/>
  <c r="P23" i="20"/>
  <c r="Q23" i="20" s="1"/>
  <c r="P251" i="20"/>
  <c r="Q251" i="20" s="1"/>
  <c r="L142" i="20"/>
  <c r="M142" i="20" s="1"/>
  <c r="P121" i="20"/>
  <c r="Q121" i="20" s="1"/>
  <c r="L37" i="20"/>
  <c r="M37" i="20" s="1"/>
  <c r="L239" i="20"/>
  <c r="M239" i="20" s="1"/>
  <c r="L247" i="20"/>
  <c r="M247" i="20" s="1"/>
  <c r="L255" i="20"/>
  <c r="M255" i="20" s="1"/>
  <c r="L259" i="20"/>
  <c r="M259" i="20" s="1"/>
  <c r="L262" i="20"/>
  <c r="M262" i="20" s="1"/>
  <c r="L148" i="20"/>
  <c r="M148" i="20" s="1"/>
  <c r="L66" i="20"/>
  <c r="M66" i="20" s="1"/>
  <c r="P36" i="20"/>
  <c r="Q36" i="20" s="1"/>
  <c r="P146" i="20"/>
  <c r="Q146" i="20" s="1"/>
  <c r="P269" i="20"/>
  <c r="Q269" i="20" s="1"/>
  <c r="L127" i="20"/>
  <c r="M127" i="20" s="1"/>
  <c r="L131" i="20"/>
  <c r="M131" i="20" s="1"/>
  <c r="L134" i="20"/>
  <c r="M134" i="20" s="1"/>
  <c r="L138" i="20"/>
  <c r="M138" i="20" s="1"/>
  <c r="L139" i="20"/>
  <c r="M139" i="20" s="1"/>
  <c r="L258" i="20"/>
  <c r="M258" i="20" s="1"/>
  <c r="P260" i="20"/>
  <c r="Q260" i="20" s="1"/>
  <c r="L271" i="20"/>
  <c r="M271" i="20" s="1"/>
  <c r="L286" i="20"/>
  <c r="M286" i="20" s="1"/>
  <c r="P264" i="20"/>
  <c r="Q264" i="20" s="1"/>
  <c r="P271" i="20"/>
  <c r="Q271" i="20" s="1"/>
  <c r="L236" i="20"/>
  <c r="M236" i="20" s="1"/>
  <c r="L126" i="20"/>
  <c r="M126" i="20" s="1"/>
  <c r="L243" i="20"/>
  <c r="M243" i="20" s="1"/>
  <c r="L133" i="20"/>
  <c r="M133" i="20" s="1"/>
  <c r="L137" i="20"/>
  <c r="M137" i="20" s="1"/>
  <c r="L27" i="20"/>
  <c r="M27" i="20" s="1"/>
  <c r="L140" i="20"/>
  <c r="M140" i="20" s="1"/>
  <c r="P262" i="20"/>
  <c r="Q262" i="20" s="1"/>
  <c r="P28" i="20"/>
  <c r="Q28" i="20" s="1"/>
  <c r="L145" i="20"/>
  <c r="M145" i="20" s="1"/>
  <c r="L249" i="20"/>
  <c r="M249" i="20" s="1"/>
  <c r="L254" i="20"/>
  <c r="M254" i="20" s="1"/>
  <c r="L257" i="20"/>
  <c r="M257" i="20" s="1"/>
  <c r="L132" i="20"/>
  <c r="M132" i="20" s="1"/>
  <c r="L248" i="20"/>
  <c r="M248" i="20" s="1"/>
  <c r="L253" i="20"/>
  <c r="M253" i="20" s="1"/>
  <c r="L150" i="20"/>
  <c r="M150" i="20" s="1"/>
  <c r="P150" i="20"/>
  <c r="Q150" i="20" s="1"/>
  <c r="L152" i="20"/>
  <c r="M152" i="20" s="1"/>
  <c r="P78" i="20"/>
  <c r="Q78" i="20" s="1"/>
  <c r="P292" i="20"/>
  <c r="Q292" i="20" s="1"/>
  <c r="L277" i="20"/>
  <c r="M277" i="20" s="1"/>
  <c r="P286" i="20"/>
  <c r="Q286" i="20" s="1"/>
  <c r="L44" i="20"/>
  <c r="M44" i="20" s="1"/>
  <c r="P38" i="20"/>
  <c r="Q38" i="20" s="1"/>
  <c r="L273" i="20"/>
  <c r="M273" i="20" s="1"/>
  <c r="P157" i="20"/>
  <c r="Q157" i="20" s="1"/>
  <c r="L283" i="20"/>
  <c r="M283" i="20" s="1"/>
  <c r="P160" i="20"/>
  <c r="Q160" i="20" s="1"/>
  <c r="L289" i="20"/>
  <c r="M289" i="20" s="1"/>
  <c r="L279" i="20"/>
  <c r="M279" i="20" s="1"/>
  <c r="L296" i="20"/>
  <c r="M296" i="20" s="1"/>
  <c r="L170" i="20"/>
  <c r="M170" i="20" s="1"/>
  <c r="P273" i="20"/>
  <c r="Q273" i="20" s="1"/>
  <c r="P289" i="20"/>
  <c r="Q289" i="20" s="1"/>
  <c r="L290" i="20"/>
  <c r="M290" i="20" s="1"/>
  <c r="L40" i="20"/>
  <c r="M40" i="20" s="1"/>
  <c r="L43" i="20"/>
  <c r="M43" i="20" s="1"/>
  <c r="P141" i="20"/>
  <c r="Q141" i="20" s="1"/>
  <c r="L146" i="20"/>
  <c r="M146" i="20" s="1"/>
  <c r="L33" i="20"/>
  <c r="M33" i="20" s="1"/>
  <c r="L156" i="20"/>
  <c r="M156" i="20" s="1"/>
  <c r="L61" i="20"/>
  <c r="M61" i="20" s="1"/>
  <c r="P278" i="20"/>
  <c r="Q278" i="20" s="1"/>
  <c r="L280" i="20"/>
  <c r="M280" i="20" s="1"/>
  <c r="P61" i="20"/>
  <c r="Q61" i="20" s="1"/>
  <c r="L275" i="20"/>
  <c r="M275" i="20" s="1"/>
  <c r="L11" i="20"/>
  <c r="M11" i="20" s="1"/>
  <c r="P168" i="20"/>
  <c r="Q168" i="20" s="1"/>
  <c r="P156" i="20"/>
  <c r="Q156" i="20" s="1"/>
  <c r="P276" i="20"/>
  <c r="Q276" i="20" s="1"/>
  <c r="P33" i="20"/>
  <c r="Q33" i="20" s="1"/>
  <c r="L151" i="20"/>
  <c r="M151" i="20" s="1"/>
  <c r="P268" i="20"/>
  <c r="Q268" i="20" s="1"/>
  <c r="P47" i="20"/>
  <c r="Q47" i="20" s="1"/>
  <c r="P281" i="20"/>
  <c r="Q281" i="20" s="1"/>
  <c r="L292" i="20"/>
  <c r="M292" i="20" s="1"/>
  <c r="L327" i="20"/>
  <c r="M327" i="20" s="1"/>
  <c r="L278" i="20"/>
  <c r="M278" i="20" s="1"/>
  <c r="L5" i="20"/>
  <c r="M5" i="20" s="1"/>
  <c r="P170" i="20"/>
  <c r="Q170" i="20" s="1"/>
  <c r="L159" i="20"/>
  <c r="M159" i="20" s="1"/>
  <c r="P305" i="20"/>
  <c r="Q305" i="20" s="1"/>
  <c r="L166" i="20"/>
  <c r="M166" i="20" s="1"/>
  <c r="L285" i="20"/>
  <c r="M285" i="20" s="1"/>
  <c r="L162" i="20"/>
  <c r="M162" i="20" s="1"/>
  <c r="L293" i="20"/>
  <c r="M293" i="20" s="1"/>
  <c r="P294" i="20"/>
  <c r="Q294" i="20" s="1"/>
  <c r="P165" i="20"/>
  <c r="Q165" i="20" s="1"/>
  <c r="L158" i="20"/>
  <c r="M158" i="20" s="1"/>
  <c r="L298" i="20"/>
  <c r="M298" i="20" s="1"/>
  <c r="P285" i="20"/>
  <c r="Q285" i="20" s="1"/>
  <c r="L41" i="20"/>
  <c r="M41" i="20" s="1"/>
  <c r="L164" i="20"/>
  <c r="M164" i="20" s="1"/>
  <c r="P299" i="20"/>
  <c r="Q299" i="20" s="1"/>
  <c r="P300" i="20"/>
  <c r="Q300" i="20" s="1"/>
  <c r="P302" i="20"/>
  <c r="Q302" i="20" s="1"/>
  <c r="P296" i="20"/>
  <c r="Q296" i="20" s="1"/>
  <c r="L167" i="20"/>
  <c r="M167" i="20" s="1"/>
  <c r="L163" i="20"/>
  <c r="M163" i="20" s="1"/>
  <c r="P298" i="20"/>
  <c r="Q298" i="20" s="1"/>
  <c r="L314" i="20"/>
  <c r="M314" i="20" s="1"/>
  <c r="P310" i="20"/>
  <c r="Q310" i="20" s="1"/>
  <c r="P311" i="20"/>
  <c r="Q311" i="20" s="1"/>
  <c r="P314" i="20"/>
  <c r="Q314" i="20" s="1"/>
  <c r="P335" i="20"/>
  <c r="Q335" i="20" s="1"/>
  <c r="L295" i="20"/>
  <c r="M295" i="20" s="1"/>
  <c r="L303" i="20"/>
  <c r="M303" i="20" s="1"/>
  <c r="P316" i="20"/>
  <c r="Q316" i="20" s="1"/>
  <c r="P303" i="20"/>
  <c r="Q303" i="20" s="1"/>
  <c r="L307" i="20"/>
  <c r="M307" i="20" s="1"/>
  <c r="L50" i="20"/>
  <c r="M50" i="20" s="1"/>
  <c r="L291" i="20"/>
  <c r="M291" i="20" s="1"/>
  <c r="L79" i="20"/>
  <c r="M79" i="20" s="1"/>
  <c r="L48" i="20"/>
  <c r="M48" i="20" s="1"/>
  <c r="L49" i="20"/>
  <c r="M49" i="20" s="1"/>
  <c r="L282" i="20"/>
  <c r="M282" i="20" s="1"/>
  <c r="L168" i="20"/>
  <c r="M168" i="20" s="1"/>
  <c r="L301" i="20"/>
  <c r="M301" i="20" s="1"/>
  <c r="L309" i="20"/>
  <c r="M309" i="20" s="1"/>
  <c r="L165" i="20"/>
  <c r="M165" i="20" s="1"/>
  <c r="L157" i="20"/>
  <c r="M157" i="20" s="1"/>
  <c r="L281" i="20"/>
  <c r="M281" i="20" s="1"/>
  <c r="L160" i="20"/>
  <c r="M160" i="20" s="1"/>
  <c r="L288" i="20"/>
  <c r="M288" i="20" s="1"/>
  <c r="P309" i="20"/>
  <c r="Q309" i="20" s="1"/>
  <c r="L171" i="20"/>
  <c r="M171" i="20" s="1"/>
  <c r="L302" i="20"/>
  <c r="M302" i="20" s="1"/>
  <c r="L311" i="20"/>
  <c r="M311" i="20" s="1"/>
  <c r="L287" i="20"/>
  <c r="M287" i="20" s="1"/>
  <c r="L294" i="20"/>
  <c r="M294" i="20" s="1"/>
  <c r="L300" i="20"/>
  <c r="M300" i="20" s="1"/>
  <c r="L323" i="20"/>
  <c r="M323" i="20" s="1"/>
  <c r="P327" i="20"/>
  <c r="Q327" i="20" s="1"/>
  <c r="L57" i="20"/>
  <c r="M57" i="20" s="1"/>
  <c r="P322" i="20"/>
  <c r="Q322" i="20" s="1"/>
  <c r="L173" i="20"/>
  <c r="M173" i="20" s="1"/>
  <c r="L59" i="20"/>
  <c r="M59" i="20" s="1"/>
  <c r="P174" i="20"/>
  <c r="Q174" i="20" s="1"/>
  <c r="L313" i="20"/>
  <c r="M313" i="20" s="1"/>
  <c r="L319" i="20"/>
  <c r="M319" i="20" s="1"/>
  <c r="L47" i="20"/>
  <c r="M47" i="20" s="1"/>
  <c r="L297" i="20"/>
  <c r="M297" i="20" s="1"/>
  <c r="P173" i="20"/>
  <c r="Q173" i="20" s="1"/>
  <c r="L315" i="20"/>
  <c r="M315" i="20" s="1"/>
  <c r="L52" i="20"/>
  <c r="M52" i="20" s="1"/>
  <c r="P317" i="20"/>
  <c r="Q317" i="20" s="1"/>
  <c r="P332" i="20"/>
  <c r="Q332" i="20" s="1"/>
  <c r="L318" i="20"/>
  <c r="M318" i="20" s="1"/>
  <c r="P53" i="20"/>
  <c r="Q53" i="20" s="1"/>
  <c r="P58" i="20"/>
  <c r="Q58" i="20" s="1"/>
  <c r="L321" i="20"/>
  <c r="M321" i="20" s="1"/>
  <c r="L54" i="20"/>
  <c r="M54" i="20" s="1"/>
  <c r="L331" i="20"/>
  <c r="M331" i="20" s="1"/>
  <c r="P331" i="20"/>
  <c r="Q331" i="20" s="1"/>
  <c r="P337" i="20"/>
  <c r="Q337" i="20" s="1"/>
  <c r="P175" i="20"/>
  <c r="Q175" i="20" s="1"/>
  <c r="P330" i="20"/>
  <c r="Q330" i="20" s="1"/>
  <c r="P176" i="20"/>
  <c r="Q176" i="20" s="1"/>
  <c r="P179" i="20"/>
  <c r="Q179" i="20" s="1"/>
  <c r="L358" i="20"/>
  <c r="M358" i="20" s="1"/>
  <c r="P324" i="20"/>
  <c r="Q324" i="20" s="1"/>
  <c r="L181" i="20"/>
  <c r="M181" i="20" s="1"/>
  <c r="L187" i="20"/>
  <c r="M187" i="20" s="1"/>
  <c r="P57" i="20"/>
  <c r="Q57" i="20" s="1"/>
  <c r="L68" i="20"/>
  <c r="M68" i="20" s="1"/>
  <c r="P336" i="20"/>
  <c r="Q336" i="20" s="1"/>
  <c r="L328" i="20"/>
  <c r="M328" i="20" s="1"/>
  <c r="L329" i="20"/>
  <c r="M329" i="20" s="1"/>
  <c r="P358" i="20"/>
  <c r="Q358" i="20" s="1"/>
  <c r="P181" i="20"/>
  <c r="Q181" i="20" s="1"/>
  <c r="L183" i="20"/>
  <c r="M183" i="20" s="1"/>
  <c r="P62" i="20"/>
  <c r="Q62" i="20" s="1"/>
  <c r="P30" i="20"/>
  <c r="Q30" i="20" s="1"/>
  <c r="P184" i="20"/>
  <c r="Q184" i="20" s="1"/>
  <c r="P351" i="20"/>
  <c r="Q351" i="20" s="1"/>
  <c r="L179" i="20"/>
  <c r="M179" i="20" s="1"/>
  <c r="P64" i="20"/>
  <c r="Q64" i="20" s="1"/>
  <c r="P180" i="20"/>
  <c r="Q180" i="20" s="1"/>
  <c r="L190" i="20"/>
  <c r="M190" i="20" s="1"/>
  <c r="P193" i="20"/>
  <c r="Q193" i="20" s="1"/>
  <c r="P352" i="20"/>
  <c r="Q352" i="20" s="1"/>
  <c r="L330" i="20"/>
  <c r="M330" i="20" s="1"/>
  <c r="P348" i="20"/>
  <c r="Q348" i="20" s="1"/>
  <c r="P349" i="20"/>
  <c r="Q349" i="20" s="1"/>
  <c r="P353" i="20"/>
  <c r="Q353" i="20" s="1"/>
  <c r="P186" i="20"/>
  <c r="Q186" i="20" s="1"/>
  <c r="P357" i="20"/>
  <c r="Q357" i="20" s="1"/>
  <c r="L69" i="20"/>
  <c r="M69" i="20" s="1"/>
  <c r="L333" i="20"/>
  <c r="M333" i="20" s="1"/>
  <c r="P360" i="20"/>
  <c r="Q360" i="20" s="1"/>
  <c r="L58" i="20"/>
  <c r="M58" i="20" s="1"/>
  <c r="P75" i="20"/>
  <c r="Q75" i="20" s="1"/>
  <c r="L194" i="20"/>
  <c r="M194" i="20" s="1"/>
  <c r="P69" i="20"/>
  <c r="Q69" i="20" s="1"/>
  <c r="L195" i="20"/>
  <c r="M195" i="20" s="1"/>
  <c r="P194" i="20"/>
  <c r="Q194" i="20" s="1"/>
  <c r="L197" i="20"/>
  <c r="M197" i="20" s="1"/>
  <c r="L355" i="20"/>
  <c r="M355" i="20" s="1"/>
  <c r="L191" i="20"/>
  <c r="M191" i="20" s="1"/>
  <c r="L74" i="20"/>
  <c r="M74" i="20" s="1"/>
  <c r="P187" i="20"/>
  <c r="Q187" i="20" s="1"/>
  <c r="P354" i="20"/>
  <c r="Q354" i="20" s="1"/>
  <c r="L361" i="20"/>
  <c r="M361" i="20" s="1"/>
  <c r="L356" i="20"/>
  <c r="M356" i="20" s="1"/>
  <c r="P191" i="20"/>
  <c r="Q191" i="20" s="1"/>
  <c r="L353" i="20"/>
  <c r="M353" i="20" s="1"/>
  <c r="L189" i="20"/>
  <c r="M189" i="20" s="1"/>
  <c r="P356" i="20"/>
  <c r="Q356" i="20" s="1"/>
  <c r="P73" i="20"/>
  <c r="Q73" i="20" s="1"/>
  <c r="L200" i="20"/>
  <c r="M200" i="20" s="1"/>
  <c r="P201" i="20"/>
  <c r="Q201" i="20" s="1"/>
  <c r="P202" i="20"/>
  <c r="Q202" i="20" s="1"/>
  <c r="P83" i="20"/>
  <c r="Q83" i="20" s="1"/>
  <c r="P200" i="20"/>
  <c r="Q200" i="20" s="1"/>
  <c r="P76" i="20"/>
  <c r="Q76" i="20" s="1"/>
  <c r="P366" i="20"/>
  <c r="Q366" i="20" s="1"/>
  <c r="L77" i="20"/>
  <c r="M77" i="20" s="1"/>
  <c r="P88" i="20"/>
  <c r="Q88" i="20" s="1"/>
  <c r="L196" i="20"/>
  <c r="M196" i="20" s="1"/>
  <c r="L94" i="20"/>
  <c r="M94" i="20" s="1"/>
  <c r="L60" i="20"/>
  <c r="M60" i="20" s="1"/>
  <c r="L365" i="20"/>
  <c r="M365" i="20" s="1"/>
  <c r="L73" i="20"/>
  <c r="M73" i="20" s="1"/>
  <c r="P189" i="20"/>
  <c r="Q189" i="20" s="1"/>
  <c r="P71" i="20"/>
  <c r="Q71" i="20" s="1"/>
  <c r="L75" i="20"/>
  <c r="M75" i="20" s="1"/>
  <c r="P60" i="20"/>
  <c r="Q60" i="20" s="1"/>
  <c r="P80" i="20"/>
  <c r="Q80" i="20" s="1"/>
  <c r="L364" i="20"/>
  <c r="M364" i="20" s="1"/>
  <c r="P85" i="20"/>
  <c r="Q85" i="20" s="1"/>
  <c r="L371" i="20"/>
  <c r="M371" i="20" s="1"/>
  <c r="P365" i="20"/>
  <c r="Q365" i="20" s="1"/>
  <c r="P89" i="20"/>
  <c r="Q89" i="20" s="1"/>
  <c r="P372" i="20"/>
  <c r="Q372" i="20" s="1"/>
  <c r="L92" i="20"/>
  <c r="M92" i="20" s="1"/>
  <c r="P373" i="20"/>
  <c r="Q373" i="20" s="1"/>
  <c r="L87" i="20"/>
  <c r="M87" i="20" s="1"/>
  <c r="P367" i="20"/>
  <c r="Q367" i="20" s="1"/>
  <c r="L203" i="20"/>
  <c r="M203" i="20" s="1"/>
  <c r="P84" i="20"/>
  <c r="Q84" i="20" s="1"/>
  <c r="L368" i="20"/>
  <c r="M368" i="20" s="1"/>
  <c r="P369" i="20"/>
  <c r="Q369" i="20" s="1"/>
  <c r="P86" i="20"/>
  <c r="Q86" i="20" s="1"/>
  <c r="L204" i="20"/>
  <c r="M204" i="20" s="1"/>
  <c r="L93" i="20"/>
  <c r="M93" i="20" s="1"/>
  <c r="L95" i="20"/>
  <c r="M95" i="20" s="1"/>
  <c r="L366" i="20"/>
  <c r="M366" i="20" s="1"/>
  <c r="L88" i="20"/>
  <c r="M88" i="20" s="1"/>
  <c r="P378" i="20"/>
  <c r="Q378" i="20" s="1"/>
  <c r="P368" i="20"/>
  <c r="Q368" i="20" s="1"/>
  <c r="P204" i="20"/>
  <c r="Q204" i="20" s="1"/>
  <c r="L379" i="20"/>
  <c r="M379" i="20" s="1"/>
  <c r="P391" i="20"/>
  <c r="Q391" i="20" s="1"/>
  <c r="P393" i="20"/>
  <c r="Q393" i="20" s="1"/>
  <c r="P96" i="20"/>
  <c r="Q96" i="20" s="1"/>
  <c r="P386" i="20"/>
  <c r="Q386" i="20" s="1"/>
  <c r="P93" i="20"/>
  <c r="Q93" i="20" s="1"/>
  <c r="P205" i="20"/>
  <c r="Q205" i="20" s="1"/>
  <c r="P97" i="20"/>
  <c r="Q97" i="20" s="1"/>
  <c r="P100" i="20"/>
  <c r="Q100" i="20" s="1"/>
  <c r="P382" i="20"/>
  <c r="Q382" i="20" s="1"/>
  <c r="L89" i="20"/>
  <c r="M89" i="20" s="1"/>
  <c r="P90" i="20"/>
  <c r="Q90" i="20" s="1"/>
  <c r="P91" i="20"/>
  <c r="Q91" i="20" s="1"/>
  <c r="L380" i="20"/>
  <c r="M380" i="20" s="1"/>
  <c r="L373" i="20"/>
  <c r="M373" i="20" s="1"/>
  <c r="L381" i="20"/>
  <c r="M381" i="20" s="1"/>
  <c r="P396" i="20"/>
  <c r="Q396" i="20" s="1"/>
  <c r="P397" i="20"/>
  <c r="Q397" i="20" s="1"/>
  <c r="P108" i="20"/>
  <c r="Q108" i="20" s="1"/>
  <c r="P101" i="20"/>
  <c r="Q101" i="20" s="1"/>
  <c r="P395" i="20"/>
  <c r="Q395" i="20" s="1"/>
  <c r="L206" i="20"/>
  <c r="M206" i="20" s="1"/>
  <c r="L205" i="20"/>
  <c r="M205" i="20" s="1"/>
  <c r="L375" i="20"/>
  <c r="M375" i="20" s="1"/>
  <c r="L96" i="20"/>
  <c r="M96" i="20" s="1"/>
  <c r="P398" i="20"/>
  <c r="Q398" i="20" s="1"/>
  <c r="L378" i="20"/>
  <c r="M378" i="20" s="1"/>
  <c r="H2" i="19" a="1"/>
  <c r="H2" i="19" s="1"/>
  <c r="I2" i="19" a="1"/>
  <c r="I2" i="19" s="1"/>
  <c r="J2" i="19" a="1"/>
  <c r="J2" i="19" s="1"/>
  <c r="K2" i="19" a="1"/>
  <c r="K2" i="19" s="1"/>
  <c r="L2" i="19" a="1"/>
  <c r="L2" i="19" s="1"/>
  <c r="M2" i="19" a="1"/>
  <c r="M2" i="19" s="1"/>
  <c r="N2" i="19" a="1"/>
  <c r="N2" i="19" s="1"/>
  <c r="O2" i="19" a="1"/>
  <c r="O2" i="19" s="1"/>
  <c r="P2" i="19" a="1"/>
  <c r="P2" i="19" s="1"/>
  <c r="Q2" i="19" a="1"/>
  <c r="Q2" i="19" s="1"/>
  <c r="R2" i="19" a="1"/>
  <c r="R2" i="19" s="1"/>
  <c r="S2" i="19" a="1"/>
  <c r="S2" i="19" s="1"/>
  <c r="T2" i="19" a="1"/>
  <c r="T2" i="19" s="1"/>
  <c r="U2" i="19" a="1"/>
  <c r="U2" i="19" s="1"/>
  <c r="V2" i="19" a="1"/>
  <c r="V2" i="19" s="1"/>
  <c r="W2" i="19" a="1"/>
  <c r="W2" i="19" s="1"/>
  <c r="X2" i="19" a="1"/>
  <c r="X2" i="19" s="1"/>
  <c r="Y2" i="19" a="1"/>
  <c r="Y2" i="19" s="1"/>
  <c r="Z2" i="19" a="1"/>
  <c r="Z2" i="19" s="1"/>
  <c r="AA2" i="19" a="1"/>
  <c r="AA2" i="19" s="1"/>
  <c r="AB2" i="19" a="1"/>
  <c r="AB2" i="19" s="1"/>
  <c r="AC2" i="19" a="1"/>
  <c r="AC2" i="19" s="1"/>
  <c r="AD2" i="19" a="1"/>
  <c r="AD2" i="19" s="1"/>
  <c r="AE2" i="19" a="1"/>
  <c r="AE2" i="19" s="1"/>
  <c r="AF2" i="19" a="1"/>
  <c r="AF2" i="19" s="1"/>
  <c r="AG2" i="19" a="1"/>
  <c r="AG2" i="19" s="1"/>
  <c r="AH2" i="19" a="1"/>
  <c r="AH2" i="19" s="1"/>
  <c r="AI2" i="19" a="1"/>
  <c r="AI2" i="19" s="1"/>
  <c r="AJ2" i="19" a="1"/>
  <c r="AJ2" i="19" s="1"/>
  <c r="AK2" i="19" a="1"/>
  <c r="AK2" i="19" s="1"/>
  <c r="AL2" i="19" a="1"/>
  <c r="AL2" i="19" s="1"/>
  <c r="AM2" i="19" a="1"/>
  <c r="AM2" i="19" s="1"/>
  <c r="AN2" i="19" a="1"/>
  <c r="AN2" i="19" s="1"/>
  <c r="AO2" i="19" a="1"/>
  <c r="AO2" i="19" s="1"/>
  <c r="AP2" i="19" a="1"/>
  <c r="AP2" i="19" s="1"/>
  <c r="AQ2" i="19" a="1"/>
  <c r="AQ2" i="19" s="1"/>
  <c r="AR2" i="19" a="1"/>
  <c r="AR2" i="19" s="1"/>
  <c r="AS2" i="19" a="1"/>
  <c r="AS2" i="19" s="1"/>
  <c r="AT2" i="19" a="1"/>
  <c r="AT2" i="19" s="1"/>
  <c r="AU2" i="19" a="1"/>
  <c r="AU2" i="19" s="1"/>
  <c r="AV2" i="19" a="1"/>
  <c r="AV2" i="19" s="1"/>
  <c r="AW2" i="19" a="1"/>
  <c r="AW2" i="19" s="1"/>
  <c r="AX2" i="19" a="1"/>
  <c r="AX2" i="19" s="1"/>
  <c r="AY2" i="19" a="1"/>
  <c r="AY2" i="19" s="1"/>
  <c r="H3" i="19" a="1"/>
  <c r="H3" i="19" s="1"/>
  <c r="I3" i="19" a="1"/>
  <c r="I3" i="19" s="1"/>
  <c r="J3" i="19" a="1"/>
  <c r="J3" i="19" s="1"/>
  <c r="K3" i="19" a="1"/>
  <c r="K3" i="19" s="1"/>
  <c r="L3" i="19" a="1"/>
  <c r="L3" i="19" s="1"/>
  <c r="M3" i="19" a="1"/>
  <c r="M3" i="19" s="1"/>
  <c r="N3" i="19" a="1"/>
  <c r="N3" i="19" s="1"/>
  <c r="O3" i="19" a="1"/>
  <c r="O3" i="19" s="1"/>
  <c r="P3" i="19" a="1"/>
  <c r="P3" i="19" s="1"/>
  <c r="Q3" i="19" a="1"/>
  <c r="Q3" i="19" s="1"/>
  <c r="R3" i="19" a="1"/>
  <c r="R3" i="19" s="1"/>
  <c r="S3" i="19" a="1"/>
  <c r="S3" i="19" s="1"/>
  <c r="T3" i="19" a="1"/>
  <c r="T3" i="19" s="1"/>
  <c r="U3" i="19" a="1"/>
  <c r="U3" i="19" s="1"/>
  <c r="V3" i="19" a="1"/>
  <c r="V3" i="19" s="1"/>
  <c r="W3" i="19" a="1"/>
  <c r="W3" i="19" s="1"/>
  <c r="X3" i="19" a="1"/>
  <c r="X3" i="19" s="1"/>
  <c r="Y3" i="19" a="1"/>
  <c r="Y3" i="19" s="1"/>
  <c r="Z3" i="19" a="1"/>
  <c r="Z3" i="19" s="1"/>
  <c r="AA3" i="19" a="1"/>
  <c r="AA3" i="19" s="1"/>
  <c r="AB3" i="19" a="1"/>
  <c r="AB3" i="19" s="1"/>
  <c r="AC3" i="19" a="1"/>
  <c r="AC3" i="19" s="1"/>
  <c r="AD3" i="19" a="1"/>
  <c r="AD3" i="19" s="1"/>
  <c r="AE3" i="19" a="1"/>
  <c r="AE3" i="19" s="1"/>
  <c r="AF3" i="19" a="1"/>
  <c r="AF3" i="19" s="1"/>
  <c r="AG3" i="19" a="1"/>
  <c r="AG3" i="19" s="1"/>
  <c r="AH3" i="19" a="1"/>
  <c r="AH3" i="19" s="1"/>
  <c r="AI3" i="19" a="1"/>
  <c r="AI3" i="19" s="1"/>
  <c r="AJ3" i="19" a="1"/>
  <c r="AJ3" i="19" s="1"/>
  <c r="AK3" i="19" a="1"/>
  <c r="AK3" i="19" s="1"/>
  <c r="AL3" i="19" a="1"/>
  <c r="AL3" i="19" s="1"/>
  <c r="AM3" i="19" a="1"/>
  <c r="AM3" i="19" s="1"/>
  <c r="AN3" i="19" a="1"/>
  <c r="AN3" i="19" s="1"/>
  <c r="AO3" i="19" a="1"/>
  <c r="AO3" i="19" s="1"/>
  <c r="AP3" i="19" a="1"/>
  <c r="AP3" i="19" s="1"/>
  <c r="AQ3" i="19" a="1"/>
  <c r="AQ3" i="19" s="1"/>
  <c r="AR3" i="19" a="1"/>
  <c r="AR3" i="19" s="1"/>
  <c r="AS3" i="19" a="1"/>
  <c r="AS3" i="19" s="1"/>
  <c r="AT3" i="19" a="1"/>
  <c r="AT3" i="19" s="1"/>
  <c r="AU3" i="19" a="1"/>
  <c r="AU3" i="19" s="1"/>
  <c r="AV3" i="19" a="1"/>
  <c r="AV3" i="19" s="1"/>
  <c r="AW3" i="19" a="1"/>
  <c r="AW3" i="19" s="1"/>
  <c r="AX3" i="19" a="1"/>
  <c r="AX3" i="19" s="1"/>
  <c r="AY3" i="19" a="1"/>
  <c r="AY3" i="19" s="1"/>
  <c r="H4" i="19" a="1"/>
  <c r="H4" i="19" s="1"/>
  <c r="I4" i="19" a="1"/>
  <c r="I4" i="19" s="1"/>
  <c r="J4" i="19" a="1"/>
  <c r="J4" i="19" s="1"/>
  <c r="K4" i="19" a="1"/>
  <c r="K4" i="19" s="1"/>
  <c r="L4" i="19" a="1"/>
  <c r="L4" i="19" s="1"/>
  <c r="M4" i="19" a="1"/>
  <c r="M4" i="19" s="1"/>
  <c r="N4" i="19" a="1"/>
  <c r="N4" i="19" s="1"/>
  <c r="O4" i="19" a="1"/>
  <c r="O4" i="19" s="1"/>
  <c r="P4" i="19" a="1"/>
  <c r="P4" i="19" s="1"/>
  <c r="Q4" i="19" a="1"/>
  <c r="Q4" i="19" s="1"/>
  <c r="R4" i="19" a="1"/>
  <c r="R4" i="19" s="1"/>
  <c r="S4" i="19" a="1"/>
  <c r="S4" i="19" s="1"/>
  <c r="T4" i="19" a="1"/>
  <c r="T4" i="19" s="1"/>
  <c r="U4" i="19" a="1"/>
  <c r="U4" i="19" s="1"/>
  <c r="V4" i="19" a="1"/>
  <c r="V4" i="19" s="1"/>
  <c r="W4" i="19" a="1"/>
  <c r="W4" i="19" s="1"/>
  <c r="X4" i="19" a="1"/>
  <c r="X4" i="19" s="1"/>
  <c r="Y4" i="19" a="1"/>
  <c r="Y4" i="19" s="1"/>
  <c r="Z4" i="19" a="1"/>
  <c r="Z4" i="19" s="1"/>
  <c r="AA4" i="19" a="1"/>
  <c r="AA4" i="19" s="1"/>
  <c r="AB4" i="19" a="1"/>
  <c r="AB4" i="19" s="1"/>
  <c r="AC4" i="19" a="1"/>
  <c r="AC4" i="19" s="1"/>
  <c r="AD4" i="19" a="1"/>
  <c r="AD4" i="19" s="1"/>
  <c r="AE4" i="19" a="1"/>
  <c r="AE4" i="19" s="1"/>
  <c r="AF4" i="19" a="1"/>
  <c r="AF4" i="19" s="1"/>
  <c r="AG4" i="19" a="1"/>
  <c r="AG4" i="19" s="1"/>
  <c r="AH4" i="19" a="1"/>
  <c r="AH4" i="19" s="1"/>
  <c r="AI4" i="19" a="1"/>
  <c r="AI4" i="19" s="1"/>
  <c r="AJ4" i="19" a="1"/>
  <c r="AJ4" i="19" s="1"/>
  <c r="AK4" i="19" a="1"/>
  <c r="AK4" i="19" s="1"/>
  <c r="AL4" i="19" a="1"/>
  <c r="AL4" i="19" s="1"/>
  <c r="AM4" i="19" a="1"/>
  <c r="AM4" i="19" s="1"/>
  <c r="AN4" i="19" a="1"/>
  <c r="AN4" i="19" s="1"/>
  <c r="AO4" i="19" a="1"/>
  <c r="AO4" i="19" s="1"/>
  <c r="AP4" i="19" a="1"/>
  <c r="AP4" i="19" s="1"/>
  <c r="AQ4" i="19" a="1"/>
  <c r="AQ4" i="19" s="1"/>
  <c r="AR4" i="19" a="1"/>
  <c r="AR4" i="19" s="1"/>
  <c r="AS4" i="19" a="1"/>
  <c r="AS4" i="19" s="1"/>
  <c r="AT4" i="19" a="1"/>
  <c r="AT4" i="19" s="1"/>
  <c r="AU4" i="19" a="1"/>
  <c r="AU4" i="19" s="1"/>
  <c r="AV4" i="19" a="1"/>
  <c r="AV4" i="19" s="1"/>
  <c r="AW4" i="19" a="1"/>
  <c r="AW4" i="19" s="1"/>
  <c r="AX4" i="19" a="1"/>
  <c r="AX4" i="19" s="1"/>
  <c r="AY4" i="19" a="1"/>
  <c r="AY4" i="19" s="1"/>
  <c r="F2" i="19" a="1"/>
  <c r="F2" i="19" s="1"/>
  <c r="G2" i="19" a="1"/>
  <c r="G2" i="19" s="1"/>
  <c r="F3" i="19" a="1"/>
  <c r="F3" i="19" s="1"/>
  <c r="G3" i="19" a="1"/>
  <c r="G3" i="19" s="1"/>
  <c r="F4" i="19" a="1"/>
  <c r="F4" i="19" s="1"/>
  <c r="G4" i="19" a="1"/>
  <c r="G4" i="19" s="1"/>
  <c r="E4" i="19" a="1"/>
  <c r="E4" i="19" s="1"/>
  <c r="D4" i="19" a="1"/>
  <c r="D4" i="19" s="1"/>
  <c r="E3" i="19" a="1"/>
  <c r="E3" i="19" s="1"/>
  <c r="E2" i="19" a="1"/>
  <c r="E2" i="19" s="1"/>
  <c r="D2" i="19" a="1"/>
  <c r="D2" i="19" s="1"/>
  <c r="AZ3" i="17"/>
  <c r="AZ4" i="17"/>
  <c r="AZ5" i="17"/>
  <c r="AZ6" i="17"/>
  <c r="AZ7" i="17"/>
  <c r="AZ8" i="17"/>
  <c r="AZ9" i="17"/>
  <c r="AZ10" i="17"/>
  <c r="AZ11" i="17"/>
  <c r="AZ12" i="17"/>
  <c r="AZ13" i="17"/>
  <c r="AZ14" i="17"/>
  <c r="AZ15" i="17"/>
  <c r="AZ16" i="17"/>
  <c r="AZ17" i="17"/>
  <c r="AZ18" i="17"/>
  <c r="AZ19" i="17"/>
  <c r="AZ20" i="17"/>
  <c r="AZ21" i="17"/>
  <c r="AZ22" i="17"/>
  <c r="AZ23" i="17"/>
  <c r="AZ24" i="17"/>
  <c r="AZ25" i="17"/>
  <c r="AZ26" i="17"/>
  <c r="AZ27" i="17"/>
  <c r="AZ28" i="17"/>
  <c r="AZ29" i="17"/>
  <c r="AZ30" i="17"/>
  <c r="AZ31" i="17"/>
  <c r="AZ32" i="17"/>
  <c r="AZ33" i="17"/>
  <c r="AZ34" i="17"/>
  <c r="AZ35" i="17"/>
  <c r="AZ36" i="17"/>
  <c r="AZ37" i="17"/>
  <c r="AZ38" i="17"/>
  <c r="AZ39" i="17"/>
  <c r="AZ40" i="17"/>
  <c r="AZ41" i="17"/>
  <c r="AZ42" i="17"/>
  <c r="AZ43" i="17"/>
  <c r="AZ44" i="17"/>
  <c r="AZ45" i="17"/>
  <c r="AZ46" i="17"/>
  <c r="AZ47" i="17"/>
  <c r="AZ48" i="17"/>
  <c r="AZ49" i="17"/>
  <c r="AZ50" i="17"/>
  <c r="AZ51" i="17"/>
  <c r="AZ52" i="17"/>
  <c r="AZ53" i="17"/>
  <c r="AZ54" i="17"/>
  <c r="AZ55" i="17"/>
  <c r="AZ56" i="17"/>
  <c r="AZ57" i="17"/>
  <c r="AZ58" i="17"/>
  <c r="AZ59" i="17"/>
  <c r="AZ60" i="17"/>
  <c r="AZ61" i="17"/>
  <c r="AZ62" i="17"/>
  <c r="AZ63" i="17"/>
  <c r="AZ64" i="17"/>
  <c r="AZ65" i="17"/>
  <c r="AZ66" i="17"/>
  <c r="AZ67" i="17"/>
  <c r="AZ68" i="17"/>
  <c r="AZ69" i="17"/>
  <c r="AZ70" i="17"/>
  <c r="AZ71" i="17"/>
  <c r="AZ72" i="17"/>
  <c r="AZ73" i="17"/>
  <c r="AZ74" i="17"/>
  <c r="AZ75" i="17"/>
  <c r="AZ76" i="17"/>
  <c r="AZ77" i="17"/>
  <c r="AZ78" i="17"/>
  <c r="AZ79" i="17"/>
  <c r="AZ80" i="17"/>
  <c r="AZ81" i="17"/>
  <c r="AZ82" i="17"/>
  <c r="AZ83" i="17"/>
  <c r="AZ84" i="17"/>
  <c r="AZ85" i="17"/>
  <c r="AZ86" i="17"/>
  <c r="AZ87" i="17"/>
  <c r="AZ88" i="17"/>
  <c r="AZ89" i="17"/>
  <c r="AZ90" i="17"/>
  <c r="AZ91" i="17"/>
  <c r="AZ92" i="17"/>
  <c r="AZ93" i="17"/>
  <c r="AZ94" i="17"/>
  <c r="AZ95" i="17"/>
  <c r="AZ96" i="17"/>
  <c r="AZ97" i="17"/>
  <c r="AZ98" i="17"/>
  <c r="AZ99" i="17"/>
  <c r="AZ100" i="17"/>
  <c r="AZ101" i="17"/>
  <c r="AZ102" i="17"/>
  <c r="AZ103" i="17"/>
  <c r="AZ104" i="17"/>
  <c r="AZ105" i="17"/>
  <c r="AZ106" i="17"/>
  <c r="AZ107" i="17"/>
  <c r="AZ108" i="17"/>
  <c r="AZ109" i="17"/>
  <c r="AZ110" i="17"/>
  <c r="AZ111" i="17"/>
  <c r="AZ112" i="17"/>
  <c r="AZ113" i="17"/>
  <c r="AZ114" i="17"/>
  <c r="AZ115" i="17"/>
  <c r="AZ116" i="17"/>
  <c r="AZ117" i="17"/>
  <c r="AZ118" i="17"/>
  <c r="AZ119" i="17"/>
  <c r="AZ120" i="17"/>
  <c r="AZ121" i="17"/>
  <c r="AZ122" i="17"/>
  <c r="AZ123" i="17"/>
  <c r="AZ124" i="17"/>
  <c r="AZ125" i="17"/>
  <c r="AZ126" i="17"/>
  <c r="AZ127" i="17"/>
  <c r="AZ128" i="17"/>
  <c r="AZ129" i="17"/>
  <c r="AZ130" i="17"/>
  <c r="AZ131" i="17"/>
  <c r="AZ132" i="17"/>
  <c r="AZ133" i="17"/>
  <c r="AZ134" i="17"/>
  <c r="AZ135" i="17"/>
  <c r="AZ136" i="17"/>
  <c r="AZ137" i="17"/>
  <c r="AZ138" i="17"/>
  <c r="AZ139" i="17"/>
  <c r="AZ140" i="17"/>
  <c r="AZ141" i="17"/>
  <c r="AZ142" i="17"/>
  <c r="AZ143" i="17"/>
  <c r="AZ144" i="17"/>
  <c r="AZ145" i="17"/>
  <c r="AZ146" i="17"/>
  <c r="AZ147" i="17"/>
  <c r="AZ148" i="17"/>
  <c r="AZ149" i="17"/>
  <c r="AZ150" i="17"/>
  <c r="AZ151" i="17"/>
  <c r="AZ152" i="17"/>
  <c r="AZ153" i="17"/>
  <c r="AZ154" i="17"/>
  <c r="AZ155" i="17"/>
  <c r="AZ156" i="17"/>
  <c r="AZ157" i="17"/>
  <c r="AZ158" i="17"/>
  <c r="AZ159" i="17"/>
  <c r="AZ160" i="17"/>
  <c r="AZ161" i="17"/>
  <c r="AZ162" i="17"/>
  <c r="AZ163" i="17"/>
  <c r="AZ164" i="17"/>
  <c r="AZ165" i="17"/>
  <c r="AZ166" i="17"/>
  <c r="AZ167" i="17"/>
  <c r="AZ168" i="17"/>
  <c r="AZ169" i="17"/>
  <c r="AZ170" i="17"/>
  <c r="AZ171" i="17"/>
  <c r="AZ172" i="17"/>
  <c r="AZ173" i="17"/>
  <c r="AZ174" i="17"/>
  <c r="AZ175" i="17"/>
  <c r="AZ176" i="17"/>
  <c r="AZ177" i="17"/>
  <c r="AZ178" i="17"/>
  <c r="AZ179" i="17"/>
  <c r="AZ180" i="17"/>
  <c r="AZ181" i="17"/>
  <c r="AZ182" i="17"/>
  <c r="AZ183" i="17"/>
  <c r="AZ184" i="17"/>
  <c r="AZ185" i="17"/>
  <c r="AZ186" i="17"/>
  <c r="AZ187" i="17"/>
  <c r="AZ188" i="17"/>
  <c r="AZ189" i="17"/>
  <c r="AZ190" i="17"/>
  <c r="AZ191" i="17"/>
  <c r="AZ192" i="17"/>
  <c r="AZ193" i="17"/>
  <c r="AZ194" i="17"/>
  <c r="AZ195" i="17"/>
  <c r="AZ196" i="17"/>
  <c r="AZ197" i="17"/>
  <c r="AZ198" i="17"/>
  <c r="AZ199" i="17"/>
  <c r="AZ200" i="17"/>
  <c r="AZ201" i="17"/>
  <c r="AZ202" i="17"/>
  <c r="AZ203" i="17"/>
  <c r="AZ204" i="17"/>
  <c r="AZ205" i="17"/>
  <c r="AZ206" i="17"/>
  <c r="AZ207" i="17"/>
  <c r="AZ208" i="17"/>
  <c r="AZ209" i="17"/>
  <c r="AZ210" i="17"/>
  <c r="AZ211" i="17"/>
  <c r="AZ212" i="17"/>
  <c r="AZ213" i="17"/>
  <c r="AZ214" i="17"/>
  <c r="AZ215" i="17"/>
  <c r="AZ216" i="17"/>
  <c r="AZ217" i="17"/>
  <c r="AZ218" i="17"/>
  <c r="AZ219" i="17"/>
  <c r="AZ220" i="17"/>
  <c r="AZ221" i="17"/>
  <c r="AZ222" i="17"/>
  <c r="AZ223" i="17"/>
  <c r="AZ224" i="17"/>
  <c r="AZ225" i="17"/>
  <c r="AZ226" i="17"/>
  <c r="AZ227" i="17"/>
  <c r="AZ228" i="17"/>
  <c r="AZ229" i="17"/>
  <c r="AZ230" i="17"/>
  <c r="AZ231" i="17"/>
  <c r="AZ232" i="17"/>
  <c r="AZ233" i="17"/>
  <c r="AZ234" i="17"/>
  <c r="AZ235" i="17"/>
  <c r="AZ236" i="17"/>
  <c r="AZ237" i="17"/>
  <c r="AZ238" i="17"/>
  <c r="AZ239" i="17"/>
  <c r="AZ240" i="17"/>
  <c r="AZ241" i="17"/>
  <c r="AZ242" i="17"/>
  <c r="AZ243" i="17"/>
  <c r="AZ244" i="17"/>
  <c r="AZ245" i="17"/>
  <c r="AZ246" i="17"/>
  <c r="AZ247" i="17"/>
  <c r="AZ248" i="17"/>
  <c r="AZ249" i="17"/>
  <c r="AZ250" i="17"/>
  <c r="AZ251" i="17"/>
  <c r="AZ252" i="17"/>
  <c r="AZ253" i="17"/>
  <c r="AZ254" i="17"/>
  <c r="AZ255" i="17"/>
  <c r="AZ256" i="17"/>
  <c r="AZ257" i="17"/>
  <c r="AZ258" i="17"/>
  <c r="AZ259" i="17"/>
  <c r="AZ260" i="17"/>
  <c r="AZ261" i="17"/>
  <c r="AZ262" i="17"/>
  <c r="AZ263" i="17"/>
  <c r="AZ264" i="17"/>
  <c r="AZ265" i="17"/>
  <c r="AZ266" i="17"/>
  <c r="AZ267" i="17"/>
  <c r="AZ268" i="17"/>
  <c r="AZ269" i="17"/>
  <c r="AZ270" i="17"/>
  <c r="AZ271" i="17"/>
  <c r="AZ272" i="17"/>
  <c r="AZ273" i="17"/>
  <c r="AZ274" i="17"/>
  <c r="AZ275" i="17"/>
  <c r="AZ276" i="17"/>
  <c r="AZ277" i="17"/>
  <c r="AZ278" i="17"/>
  <c r="AZ279" i="17"/>
  <c r="AZ280" i="17"/>
  <c r="AZ281" i="17"/>
  <c r="AZ282" i="17"/>
  <c r="AZ283" i="17"/>
  <c r="AZ284" i="17"/>
  <c r="AZ285" i="17"/>
  <c r="AZ286" i="17"/>
  <c r="AZ287" i="17"/>
  <c r="AZ288" i="17"/>
  <c r="AZ289" i="17"/>
  <c r="AZ290" i="17"/>
  <c r="AZ291" i="17"/>
  <c r="AZ292" i="17"/>
  <c r="AZ293" i="17"/>
  <c r="AZ294" i="17"/>
  <c r="AZ295" i="17"/>
  <c r="AZ296" i="17"/>
  <c r="AZ297" i="17"/>
  <c r="AZ298" i="17"/>
  <c r="AZ299" i="17"/>
  <c r="AZ300" i="17"/>
  <c r="AZ301" i="17"/>
  <c r="AZ302" i="17"/>
  <c r="AZ303" i="17"/>
  <c r="AZ304" i="17"/>
  <c r="AZ305" i="17"/>
  <c r="AZ306" i="17"/>
  <c r="AZ307" i="17"/>
  <c r="AZ308" i="17"/>
  <c r="AZ309" i="17"/>
  <c r="AZ310" i="17"/>
  <c r="AZ311" i="17"/>
  <c r="AZ312" i="17"/>
  <c r="AZ313" i="17"/>
  <c r="AZ314" i="17"/>
  <c r="AZ315" i="17"/>
  <c r="AZ316" i="17"/>
  <c r="AZ317" i="17"/>
  <c r="AZ318" i="17"/>
  <c r="AZ319" i="17"/>
  <c r="AZ320" i="17"/>
  <c r="AZ321" i="17"/>
  <c r="AZ322" i="17"/>
  <c r="AZ323" i="17"/>
  <c r="AZ324" i="17"/>
  <c r="AZ325" i="17"/>
  <c r="AZ326" i="17"/>
  <c r="AZ327" i="17"/>
  <c r="AZ328" i="17"/>
  <c r="AZ329" i="17"/>
  <c r="AZ330" i="17"/>
  <c r="AZ331" i="17"/>
  <c r="AZ332" i="17"/>
  <c r="AZ333" i="17"/>
  <c r="AZ334" i="17"/>
  <c r="AZ335" i="17"/>
  <c r="AZ336" i="17"/>
  <c r="AZ337" i="17"/>
  <c r="AZ338" i="17"/>
  <c r="AZ339" i="17"/>
  <c r="AZ340" i="17"/>
  <c r="AZ341" i="17"/>
  <c r="AZ342" i="17"/>
  <c r="AZ343" i="17"/>
  <c r="AZ344" i="17"/>
  <c r="AZ345" i="17"/>
  <c r="AZ346" i="17"/>
  <c r="AZ347" i="17"/>
  <c r="AZ348" i="17"/>
  <c r="AZ349" i="17"/>
  <c r="AZ350" i="17"/>
  <c r="AZ351" i="17"/>
  <c r="AZ352" i="17"/>
  <c r="AZ353" i="17"/>
  <c r="AZ354" i="17"/>
  <c r="AZ355" i="17"/>
  <c r="AZ356" i="17"/>
  <c r="AZ357" i="17"/>
  <c r="AZ358" i="17"/>
  <c r="AZ359" i="17"/>
  <c r="AZ360" i="17"/>
  <c r="AZ361" i="17"/>
  <c r="AZ362" i="17"/>
  <c r="AZ363" i="17"/>
  <c r="AZ364" i="17"/>
  <c r="AZ365" i="17"/>
  <c r="AZ366" i="17"/>
  <c r="AZ367" i="17"/>
  <c r="AZ368" i="17"/>
  <c r="AZ369" i="17"/>
  <c r="AZ370" i="17"/>
  <c r="AZ371" i="17"/>
  <c r="AZ372" i="17"/>
  <c r="AZ373" i="17"/>
  <c r="AZ374" i="17"/>
  <c r="AZ375" i="17"/>
  <c r="AZ376" i="17"/>
  <c r="AZ377" i="17"/>
  <c r="AZ378" i="17"/>
  <c r="AZ379" i="17"/>
  <c r="AZ380" i="17"/>
  <c r="AZ381" i="17"/>
  <c r="AZ382" i="17"/>
  <c r="AZ383" i="17"/>
  <c r="AZ384" i="17"/>
  <c r="AZ385" i="17"/>
  <c r="AZ386" i="17"/>
  <c r="AZ387" i="17"/>
  <c r="AZ388" i="17"/>
  <c r="AZ389" i="17"/>
  <c r="AZ390" i="17"/>
  <c r="AZ391" i="17"/>
  <c r="AZ392" i="17"/>
  <c r="AZ393" i="17"/>
  <c r="AZ394" i="17"/>
  <c r="AZ395" i="17"/>
  <c r="AZ396" i="17"/>
  <c r="AZ397" i="17"/>
  <c r="AZ398" i="17"/>
  <c r="AZ399" i="17"/>
  <c r="AZ2" i="17"/>
  <c r="AY3" i="17"/>
  <c r="AY4" i="17"/>
  <c r="AY5" i="17"/>
  <c r="AY6" i="17"/>
  <c r="AY7" i="17"/>
  <c r="AY8" i="17"/>
  <c r="AY9" i="17"/>
  <c r="AY10" i="17"/>
  <c r="AY11" i="17"/>
  <c r="AY12" i="17"/>
  <c r="AY13" i="17"/>
  <c r="AY14" i="17"/>
  <c r="AY15" i="17"/>
  <c r="AY16" i="17"/>
  <c r="AY17" i="17"/>
  <c r="AY18" i="17"/>
  <c r="AY19" i="17"/>
  <c r="AY20" i="17"/>
  <c r="AY21" i="17"/>
  <c r="AY22" i="17"/>
  <c r="AY23" i="17"/>
  <c r="AY24" i="17"/>
  <c r="AY25" i="17"/>
  <c r="AY26" i="17"/>
  <c r="AY27" i="17"/>
  <c r="AY28" i="17"/>
  <c r="AY29" i="17"/>
  <c r="AY30" i="17"/>
  <c r="AY31" i="17"/>
  <c r="AY32" i="17"/>
  <c r="AY33" i="17"/>
  <c r="AY34" i="17"/>
  <c r="AY35" i="17"/>
  <c r="AY36" i="17"/>
  <c r="AY37" i="17"/>
  <c r="AY38" i="17"/>
  <c r="AY39" i="17"/>
  <c r="AY40" i="17"/>
  <c r="AY41" i="17"/>
  <c r="AY42" i="17"/>
  <c r="AY43" i="17"/>
  <c r="AY44" i="17"/>
  <c r="AY45" i="17"/>
  <c r="AY46" i="17"/>
  <c r="AY47" i="17"/>
  <c r="AY48" i="17"/>
  <c r="AY49" i="17"/>
  <c r="AY50" i="17"/>
  <c r="AY51" i="17"/>
  <c r="AY52" i="17"/>
  <c r="AY53" i="17"/>
  <c r="AY54" i="17"/>
  <c r="AY55" i="17"/>
  <c r="AY56" i="17"/>
  <c r="AY57" i="17"/>
  <c r="AY58" i="17"/>
  <c r="AY59" i="17"/>
  <c r="AY60" i="17"/>
  <c r="AY61" i="17"/>
  <c r="AY62" i="17"/>
  <c r="AY63" i="17"/>
  <c r="AY64" i="17"/>
  <c r="AY65" i="17"/>
  <c r="AY66" i="17"/>
  <c r="AY67" i="17"/>
  <c r="AY68" i="17"/>
  <c r="AY69" i="17"/>
  <c r="AY70" i="17"/>
  <c r="AY71" i="17"/>
  <c r="AY72" i="17"/>
  <c r="AY73" i="17"/>
  <c r="AY74" i="17"/>
  <c r="AY75" i="17"/>
  <c r="AY76" i="17"/>
  <c r="AY77" i="17"/>
  <c r="AY78" i="17"/>
  <c r="AY79" i="17"/>
  <c r="AY80" i="17"/>
  <c r="AY81" i="17"/>
  <c r="AY82" i="17"/>
  <c r="AY83" i="17"/>
  <c r="AY84" i="17"/>
  <c r="AY85" i="17"/>
  <c r="AY86" i="17"/>
  <c r="AY87" i="17"/>
  <c r="AY88" i="17"/>
  <c r="AY89" i="17"/>
  <c r="AY90" i="17"/>
  <c r="AY91" i="17"/>
  <c r="AY92" i="17"/>
  <c r="AY93" i="17"/>
  <c r="AY94" i="17"/>
  <c r="AY95" i="17"/>
  <c r="AY96" i="17"/>
  <c r="AY97" i="17"/>
  <c r="AY98" i="17"/>
  <c r="AY99" i="17"/>
  <c r="AY100" i="17"/>
  <c r="AY101" i="17"/>
  <c r="AY102" i="17"/>
  <c r="AY103" i="17"/>
  <c r="AY104" i="17"/>
  <c r="AY105" i="17"/>
  <c r="AY106" i="17"/>
  <c r="AY107" i="17"/>
  <c r="AY108" i="17"/>
  <c r="AY109" i="17"/>
  <c r="AY110" i="17"/>
  <c r="AY111" i="17"/>
  <c r="AY112" i="17"/>
  <c r="AY113" i="17"/>
  <c r="AY114" i="17"/>
  <c r="AY115" i="17"/>
  <c r="AY116" i="17"/>
  <c r="AY117" i="17"/>
  <c r="AY118" i="17"/>
  <c r="AY119" i="17"/>
  <c r="AY120" i="17"/>
  <c r="AY121" i="17"/>
  <c r="AY122" i="17"/>
  <c r="AY123" i="17"/>
  <c r="AY124" i="17"/>
  <c r="AY125" i="17"/>
  <c r="AY126" i="17"/>
  <c r="AY127" i="17"/>
  <c r="AY128" i="17"/>
  <c r="AY129" i="17"/>
  <c r="AY130" i="17"/>
  <c r="AY131" i="17"/>
  <c r="AY132" i="17"/>
  <c r="AY133" i="17"/>
  <c r="AY134" i="17"/>
  <c r="AY135" i="17"/>
  <c r="AY136" i="17"/>
  <c r="AY137" i="17"/>
  <c r="AY138" i="17"/>
  <c r="AY139" i="17"/>
  <c r="AY140" i="17"/>
  <c r="AY141" i="17"/>
  <c r="AY142" i="17"/>
  <c r="AY143" i="17"/>
  <c r="AY144" i="17"/>
  <c r="AY145" i="17"/>
  <c r="AY146" i="17"/>
  <c r="AY147" i="17"/>
  <c r="AY148" i="17"/>
  <c r="AY149" i="17"/>
  <c r="AY150" i="17"/>
  <c r="AY151" i="17"/>
  <c r="AY152" i="17"/>
  <c r="AY153" i="17"/>
  <c r="AY154" i="17"/>
  <c r="AY155" i="17"/>
  <c r="AY156" i="17"/>
  <c r="AY157" i="17"/>
  <c r="AY158" i="17"/>
  <c r="AY159" i="17"/>
  <c r="AY160" i="17"/>
  <c r="AY161" i="17"/>
  <c r="AY162" i="17"/>
  <c r="AY163" i="17"/>
  <c r="AY164" i="17"/>
  <c r="AY165" i="17"/>
  <c r="AY166" i="17"/>
  <c r="AY167" i="17"/>
  <c r="AY168" i="17"/>
  <c r="AY169" i="17"/>
  <c r="AY170" i="17"/>
  <c r="AY171" i="17"/>
  <c r="AY172" i="17"/>
  <c r="AY173" i="17"/>
  <c r="AY174" i="17"/>
  <c r="AY175" i="17"/>
  <c r="AY176" i="17"/>
  <c r="AY177" i="17"/>
  <c r="AY178" i="17"/>
  <c r="AY179" i="17"/>
  <c r="AY180" i="17"/>
  <c r="AY181" i="17"/>
  <c r="AY182" i="17"/>
  <c r="AY183" i="17"/>
  <c r="AY184" i="17"/>
  <c r="AY185" i="17"/>
  <c r="AY186" i="17"/>
  <c r="AY187" i="17"/>
  <c r="AY188" i="17"/>
  <c r="AY189" i="17"/>
  <c r="AY190" i="17"/>
  <c r="AY191" i="17"/>
  <c r="AY192" i="17"/>
  <c r="AY193" i="17"/>
  <c r="AY194" i="17"/>
  <c r="AY195" i="17"/>
  <c r="AY196" i="17"/>
  <c r="AY197" i="17"/>
  <c r="AY198" i="17"/>
  <c r="AY199" i="17"/>
  <c r="AY200" i="17"/>
  <c r="AY201" i="17"/>
  <c r="AY202" i="17"/>
  <c r="AY203" i="17"/>
  <c r="AY204" i="17"/>
  <c r="AY205" i="17"/>
  <c r="AY206" i="17"/>
  <c r="AY207" i="17"/>
  <c r="AY208" i="17"/>
  <c r="AY209" i="17"/>
  <c r="AY210" i="17"/>
  <c r="AY211" i="17"/>
  <c r="AY212" i="17"/>
  <c r="AY213" i="17"/>
  <c r="AY214" i="17"/>
  <c r="AY215" i="17"/>
  <c r="AY216" i="17"/>
  <c r="AY217" i="17"/>
  <c r="AY218" i="17"/>
  <c r="AY219" i="17"/>
  <c r="AY220" i="17"/>
  <c r="AY221" i="17"/>
  <c r="AY222" i="17"/>
  <c r="AY223" i="17"/>
  <c r="AY224" i="17"/>
  <c r="AY225" i="17"/>
  <c r="AY226" i="17"/>
  <c r="AY227" i="17"/>
  <c r="AY228" i="17"/>
  <c r="AY229" i="17"/>
  <c r="AY230" i="17"/>
  <c r="AY231" i="17"/>
  <c r="AY232" i="17"/>
  <c r="AY233" i="17"/>
  <c r="AY234" i="17"/>
  <c r="AY235" i="17"/>
  <c r="AY236" i="17"/>
  <c r="AY237" i="17"/>
  <c r="AY238" i="17"/>
  <c r="AY239" i="17"/>
  <c r="AY240" i="17"/>
  <c r="AY241" i="17"/>
  <c r="AY242" i="17"/>
  <c r="AY243" i="17"/>
  <c r="AY244" i="17"/>
  <c r="AY245" i="17"/>
  <c r="AY246" i="17"/>
  <c r="AY247" i="17"/>
  <c r="AY248" i="17"/>
  <c r="AY249" i="17"/>
  <c r="AY250" i="17"/>
  <c r="AY251" i="17"/>
  <c r="AY252" i="17"/>
  <c r="AY253" i="17"/>
  <c r="AY254" i="17"/>
  <c r="AY255" i="17"/>
  <c r="AY256" i="17"/>
  <c r="AY257" i="17"/>
  <c r="AY258" i="17"/>
  <c r="AY259" i="17"/>
  <c r="AY260" i="17"/>
  <c r="AY261" i="17"/>
  <c r="AY262" i="17"/>
  <c r="AY263" i="17"/>
  <c r="AY264" i="17"/>
  <c r="AY265" i="17"/>
  <c r="AY266" i="17"/>
  <c r="AY267" i="17"/>
  <c r="AY268" i="17"/>
  <c r="AY269" i="17"/>
  <c r="AY270" i="17"/>
  <c r="AY271" i="17"/>
  <c r="AY272" i="17"/>
  <c r="AY273" i="17"/>
  <c r="AY274" i="17"/>
  <c r="AY275" i="17"/>
  <c r="AY276" i="17"/>
  <c r="AY277" i="17"/>
  <c r="AY278" i="17"/>
  <c r="AY279" i="17"/>
  <c r="AY280" i="17"/>
  <c r="AY281" i="17"/>
  <c r="AY282" i="17"/>
  <c r="AY283" i="17"/>
  <c r="AY284" i="17"/>
  <c r="AY285" i="17"/>
  <c r="AY286" i="17"/>
  <c r="AY287" i="17"/>
  <c r="AY288" i="17"/>
  <c r="AY289" i="17"/>
  <c r="AY290" i="17"/>
  <c r="AY291" i="17"/>
  <c r="AY292" i="17"/>
  <c r="AY293" i="17"/>
  <c r="AY294" i="17"/>
  <c r="AY295" i="17"/>
  <c r="AY296" i="17"/>
  <c r="AY297" i="17"/>
  <c r="AY298" i="17"/>
  <c r="AY299" i="17"/>
  <c r="AY300" i="17"/>
  <c r="AY301" i="17"/>
  <c r="AY302" i="17"/>
  <c r="AY303" i="17"/>
  <c r="AY304" i="17"/>
  <c r="AY305" i="17"/>
  <c r="AY306" i="17"/>
  <c r="AY307" i="17"/>
  <c r="AY308" i="17"/>
  <c r="AY309" i="17"/>
  <c r="AY310" i="17"/>
  <c r="AY311" i="17"/>
  <c r="AY312" i="17"/>
  <c r="AY313" i="17"/>
  <c r="AY314" i="17"/>
  <c r="AY315" i="17"/>
  <c r="AY316" i="17"/>
  <c r="AY317" i="17"/>
  <c r="AY318" i="17"/>
  <c r="AY319" i="17"/>
  <c r="AY320" i="17"/>
  <c r="AY321" i="17"/>
  <c r="AY322" i="17"/>
  <c r="AY323" i="17"/>
  <c r="AY324" i="17"/>
  <c r="AY325" i="17"/>
  <c r="AY326" i="17"/>
  <c r="AY327" i="17"/>
  <c r="AY328" i="17"/>
  <c r="AY329" i="17"/>
  <c r="AY330" i="17"/>
  <c r="AY331" i="17"/>
  <c r="AY332" i="17"/>
  <c r="AY333" i="17"/>
  <c r="AY334" i="17"/>
  <c r="AY335" i="17"/>
  <c r="AY336" i="17"/>
  <c r="AY337" i="17"/>
  <c r="AY338" i="17"/>
  <c r="AY339" i="17"/>
  <c r="AY340" i="17"/>
  <c r="AY341" i="17"/>
  <c r="AY342" i="17"/>
  <c r="AY343" i="17"/>
  <c r="AY344" i="17"/>
  <c r="AY345" i="17"/>
  <c r="AY346" i="17"/>
  <c r="AY347" i="17"/>
  <c r="AY348" i="17"/>
  <c r="AY349" i="17"/>
  <c r="AY350" i="17"/>
  <c r="AY351" i="17"/>
  <c r="AY352" i="17"/>
  <c r="AY353" i="17"/>
  <c r="AY354" i="17"/>
  <c r="AY355" i="17"/>
  <c r="AY356" i="17"/>
  <c r="AY357" i="17"/>
  <c r="AY358" i="17"/>
  <c r="AY359" i="17"/>
  <c r="AY360" i="17"/>
  <c r="AY361" i="17"/>
  <c r="AY362" i="17"/>
  <c r="AY363" i="17"/>
  <c r="AY364" i="17"/>
  <c r="AY365" i="17"/>
  <c r="AY366" i="17"/>
  <c r="AY367" i="17"/>
  <c r="AY368" i="17"/>
  <c r="AY369" i="17"/>
  <c r="AY370" i="17"/>
  <c r="AY371" i="17"/>
  <c r="AY372" i="17"/>
  <c r="AY373" i="17"/>
  <c r="AY374" i="17"/>
  <c r="AY375" i="17"/>
  <c r="AY376" i="17"/>
  <c r="AY377" i="17"/>
  <c r="AY378" i="17"/>
  <c r="AY379" i="17"/>
  <c r="AY380" i="17"/>
  <c r="AY381" i="17"/>
  <c r="AY382" i="17"/>
  <c r="AY383" i="17"/>
  <c r="AY384" i="17"/>
  <c r="AY385" i="17"/>
  <c r="AY386" i="17"/>
  <c r="AY387" i="17"/>
  <c r="AY388" i="17"/>
  <c r="AY389" i="17"/>
  <c r="AY390" i="17"/>
  <c r="AY391" i="17"/>
  <c r="AY392" i="17"/>
  <c r="AY393" i="17"/>
  <c r="AY394" i="17"/>
  <c r="AY395" i="17"/>
  <c r="AY396" i="17"/>
  <c r="AY397" i="17"/>
  <c r="AY398" i="17"/>
  <c r="AY399" i="17"/>
  <c r="AY2" i="17"/>
  <c r="AF3" i="17"/>
  <c r="AF4" i="17"/>
  <c r="AF5" i="17"/>
  <c r="AF6" i="17"/>
  <c r="AF7" i="17"/>
  <c r="AF8" i="17"/>
  <c r="AF9" i="17"/>
  <c r="AF10" i="17"/>
  <c r="AF11" i="17"/>
  <c r="AF12" i="17"/>
  <c r="AF13" i="17"/>
  <c r="AF14" i="17"/>
  <c r="AF15" i="17"/>
  <c r="AF16" i="17"/>
  <c r="AF17" i="17"/>
  <c r="AF18" i="17"/>
  <c r="AF19" i="17"/>
  <c r="AF20" i="17"/>
  <c r="AF21" i="17"/>
  <c r="AF22" i="17"/>
  <c r="AF23" i="17"/>
  <c r="AF24" i="17"/>
  <c r="AF25" i="17"/>
  <c r="AF26" i="17"/>
  <c r="AF27" i="17"/>
  <c r="AF28" i="17"/>
  <c r="AF29" i="17"/>
  <c r="AF30" i="17"/>
  <c r="AF31" i="17"/>
  <c r="AF32" i="17"/>
  <c r="AF33" i="17"/>
  <c r="AF34" i="17"/>
  <c r="AF35" i="17"/>
  <c r="AF36" i="17"/>
  <c r="AF37" i="17"/>
  <c r="AF38" i="17"/>
  <c r="AF39" i="17"/>
  <c r="AF40" i="17"/>
  <c r="AF41" i="17"/>
  <c r="AF42" i="17"/>
  <c r="AF43" i="17"/>
  <c r="AF44" i="17"/>
  <c r="AF45" i="17"/>
  <c r="AF46" i="17"/>
  <c r="AF47" i="17"/>
  <c r="AF48" i="17"/>
  <c r="AF49" i="17"/>
  <c r="AF50" i="17"/>
  <c r="AF51" i="17"/>
  <c r="AF52" i="17"/>
  <c r="AF53" i="17"/>
  <c r="AF54" i="17"/>
  <c r="AF55" i="17"/>
  <c r="AF56" i="17"/>
  <c r="AF57" i="17"/>
  <c r="AF58" i="17"/>
  <c r="AF59" i="17"/>
  <c r="AF60" i="17"/>
  <c r="AF61" i="17"/>
  <c r="AF62" i="17"/>
  <c r="AF63" i="17"/>
  <c r="AF64" i="17"/>
  <c r="AF65" i="17"/>
  <c r="AF66" i="17"/>
  <c r="AF67" i="17"/>
  <c r="AF68" i="17"/>
  <c r="AF69" i="17"/>
  <c r="AF70" i="17"/>
  <c r="AF71" i="17"/>
  <c r="AF72" i="17"/>
  <c r="AF73" i="17"/>
  <c r="AF74" i="17"/>
  <c r="AF75" i="17"/>
  <c r="AF76" i="17"/>
  <c r="AF77" i="17"/>
  <c r="AF78" i="17"/>
  <c r="AF79" i="17"/>
  <c r="AF80" i="17"/>
  <c r="AF81" i="17"/>
  <c r="AF82" i="17"/>
  <c r="AF83" i="17"/>
  <c r="AF84" i="17"/>
  <c r="AF85" i="17"/>
  <c r="AF86" i="17"/>
  <c r="AF87" i="17"/>
  <c r="AF88" i="17"/>
  <c r="AF89" i="17"/>
  <c r="AF90" i="17"/>
  <c r="AF91" i="17"/>
  <c r="AF92" i="17"/>
  <c r="AF93" i="17"/>
  <c r="AF94" i="17"/>
  <c r="AF95" i="17"/>
  <c r="AF96" i="17"/>
  <c r="AF97" i="17"/>
  <c r="AF98" i="17"/>
  <c r="AF99" i="17"/>
  <c r="AF100" i="17"/>
  <c r="AF101" i="17"/>
  <c r="AF102" i="17"/>
  <c r="AF103" i="17"/>
  <c r="AF104" i="17"/>
  <c r="AF105" i="17"/>
  <c r="AF106" i="17"/>
  <c r="AF107" i="17"/>
  <c r="AF108" i="17"/>
  <c r="AF109" i="17"/>
  <c r="AF110" i="17"/>
  <c r="AF111" i="17"/>
  <c r="AF112" i="17"/>
  <c r="AF113" i="17"/>
  <c r="AF114" i="17"/>
  <c r="AF115" i="17"/>
  <c r="AF116" i="17"/>
  <c r="AF117" i="17"/>
  <c r="AF118" i="17"/>
  <c r="AF119" i="17"/>
  <c r="AF120" i="17"/>
  <c r="AF121" i="17"/>
  <c r="AF122" i="17"/>
  <c r="AF123" i="17"/>
  <c r="AF124" i="17"/>
  <c r="AF125" i="17"/>
  <c r="AF126" i="17"/>
  <c r="AF127" i="17"/>
  <c r="AF128" i="17"/>
  <c r="AF129" i="17"/>
  <c r="AF130" i="17"/>
  <c r="AF131" i="17"/>
  <c r="AF132" i="17"/>
  <c r="AF133" i="17"/>
  <c r="AF134" i="17"/>
  <c r="AF135" i="17"/>
  <c r="AF136" i="17"/>
  <c r="AF137" i="17"/>
  <c r="AF138" i="17"/>
  <c r="AF139" i="17"/>
  <c r="AF140" i="17"/>
  <c r="AF141" i="17"/>
  <c r="AF142" i="17"/>
  <c r="AF143" i="17"/>
  <c r="AF144" i="17"/>
  <c r="AF145" i="17"/>
  <c r="AF146" i="17"/>
  <c r="AF147" i="17"/>
  <c r="AF148" i="17"/>
  <c r="AF149" i="17"/>
  <c r="AF150" i="17"/>
  <c r="AF151" i="17"/>
  <c r="AF152" i="17"/>
  <c r="AF153" i="17"/>
  <c r="AF154" i="17"/>
  <c r="AF155" i="17"/>
  <c r="AF156" i="17"/>
  <c r="AF157" i="17"/>
  <c r="AF158" i="17"/>
  <c r="AF159" i="17"/>
  <c r="AF160" i="17"/>
  <c r="AF161" i="17"/>
  <c r="AF162" i="17"/>
  <c r="AF163" i="17"/>
  <c r="AF164" i="17"/>
  <c r="AF165" i="17"/>
  <c r="AF166" i="17"/>
  <c r="AF167" i="17"/>
  <c r="AF168" i="17"/>
  <c r="AF169" i="17"/>
  <c r="AF170" i="17"/>
  <c r="AF171" i="17"/>
  <c r="AF172" i="17"/>
  <c r="AF173" i="17"/>
  <c r="AF174" i="17"/>
  <c r="AF175" i="17"/>
  <c r="AF176" i="17"/>
  <c r="AF177" i="17"/>
  <c r="AF178" i="17"/>
  <c r="AF179" i="17"/>
  <c r="AF180" i="17"/>
  <c r="AF181" i="17"/>
  <c r="AF182" i="17"/>
  <c r="AF183" i="17"/>
  <c r="AF184" i="17"/>
  <c r="AF185" i="17"/>
  <c r="AF186" i="17"/>
  <c r="AF187" i="17"/>
  <c r="AF188" i="17"/>
  <c r="AF189" i="17"/>
  <c r="AF190" i="17"/>
  <c r="AF191" i="17"/>
  <c r="AF192" i="17"/>
  <c r="AF193" i="17"/>
  <c r="AF194" i="17"/>
  <c r="AF195" i="17"/>
  <c r="AF196" i="17"/>
  <c r="AF197" i="17"/>
  <c r="AF198" i="17"/>
  <c r="AF199" i="17"/>
  <c r="AF200" i="17"/>
  <c r="AF201" i="17"/>
  <c r="AF202" i="17"/>
  <c r="AF203" i="17"/>
  <c r="AF204" i="17"/>
  <c r="AF205" i="17"/>
  <c r="AF206" i="17"/>
  <c r="AF207" i="17"/>
  <c r="AF208" i="17"/>
  <c r="AF209" i="17"/>
  <c r="AF210" i="17"/>
  <c r="AF211" i="17"/>
  <c r="AF212" i="17"/>
  <c r="AF213" i="17"/>
  <c r="AF214" i="17"/>
  <c r="AF215" i="17"/>
  <c r="AF216" i="17"/>
  <c r="AF217" i="17"/>
  <c r="AF218" i="17"/>
  <c r="AF219" i="17"/>
  <c r="AF220" i="17"/>
  <c r="AF221" i="17"/>
  <c r="AF222" i="17"/>
  <c r="AF223" i="17"/>
  <c r="AF224" i="17"/>
  <c r="AF225" i="17"/>
  <c r="AF226" i="17"/>
  <c r="AF227" i="17"/>
  <c r="AF228" i="17"/>
  <c r="AF229" i="17"/>
  <c r="AF230" i="17"/>
  <c r="AF231" i="17"/>
  <c r="AF232" i="17"/>
  <c r="AF233" i="17"/>
  <c r="AF234" i="17"/>
  <c r="AF235" i="17"/>
  <c r="AF236" i="17"/>
  <c r="AF237" i="17"/>
  <c r="AF238" i="17"/>
  <c r="AF239" i="17"/>
  <c r="AF240" i="17"/>
  <c r="AF241" i="17"/>
  <c r="AF242" i="17"/>
  <c r="AF243" i="17"/>
  <c r="AF244" i="17"/>
  <c r="AF245" i="17"/>
  <c r="AF246" i="17"/>
  <c r="AF247" i="17"/>
  <c r="AF248" i="17"/>
  <c r="AF249" i="17"/>
  <c r="AF250" i="17"/>
  <c r="AF251" i="17"/>
  <c r="AF252" i="17"/>
  <c r="AF253" i="17"/>
  <c r="AF254" i="17"/>
  <c r="AF255" i="17"/>
  <c r="AF256" i="17"/>
  <c r="AF257" i="17"/>
  <c r="AF258" i="17"/>
  <c r="AF259" i="17"/>
  <c r="AF260" i="17"/>
  <c r="AF261" i="17"/>
  <c r="AF262" i="17"/>
  <c r="AF263" i="17"/>
  <c r="AF264" i="17"/>
  <c r="AF265" i="17"/>
  <c r="AF266" i="17"/>
  <c r="AF267" i="17"/>
  <c r="AF268" i="17"/>
  <c r="AF269" i="17"/>
  <c r="AF270" i="17"/>
  <c r="AF271" i="17"/>
  <c r="AF272" i="17"/>
  <c r="AF273" i="17"/>
  <c r="AF274" i="17"/>
  <c r="AF275" i="17"/>
  <c r="AF276" i="17"/>
  <c r="AF277" i="17"/>
  <c r="AF278" i="17"/>
  <c r="AF279" i="17"/>
  <c r="AF280" i="17"/>
  <c r="AF281" i="17"/>
  <c r="AF282" i="17"/>
  <c r="AF283" i="17"/>
  <c r="AF284" i="17"/>
  <c r="AF285" i="17"/>
  <c r="AF286" i="17"/>
  <c r="AF287" i="17"/>
  <c r="AF288" i="17"/>
  <c r="AF289" i="17"/>
  <c r="AF290" i="17"/>
  <c r="AF291" i="17"/>
  <c r="AF292" i="17"/>
  <c r="AF293" i="17"/>
  <c r="AF294" i="17"/>
  <c r="AF295" i="17"/>
  <c r="AF296" i="17"/>
  <c r="AF297" i="17"/>
  <c r="AF298" i="17"/>
  <c r="AF299" i="17"/>
  <c r="AF300" i="17"/>
  <c r="AF301" i="17"/>
  <c r="AF302" i="17"/>
  <c r="AF303" i="17"/>
  <c r="AF304" i="17"/>
  <c r="AF305" i="17"/>
  <c r="AF306" i="17"/>
  <c r="AF307" i="17"/>
  <c r="AF308" i="17"/>
  <c r="AF309" i="17"/>
  <c r="AF310" i="17"/>
  <c r="AF311" i="17"/>
  <c r="AF312" i="17"/>
  <c r="AF313" i="17"/>
  <c r="AF314" i="17"/>
  <c r="AF315" i="17"/>
  <c r="AF316" i="17"/>
  <c r="AF317" i="17"/>
  <c r="AF318" i="17"/>
  <c r="AF319" i="17"/>
  <c r="AF320" i="17"/>
  <c r="AF321" i="17"/>
  <c r="AF322" i="17"/>
  <c r="AF323" i="17"/>
  <c r="AF324" i="17"/>
  <c r="AF325" i="17"/>
  <c r="AF326" i="17"/>
  <c r="AF327" i="17"/>
  <c r="AF328" i="17"/>
  <c r="AF329" i="17"/>
  <c r="AF330" i="17"/>
  <c r="AF331" i="17"/>
  <c r="AF332" i="17"/>
  <c r="AF333" i="17"/>
  <c r="AF334" i="17"/>
  <c r="AF335" i="17"/>
  <c r="AF336" i="17"/>
  <c r="AF337" i="17"/>
  <c r="AF338" i="17"/>
  <c r="AF339" i="17"/>
  <c r="AF340" i="17"/>
  <c r="AF341" i="17"/>
  <c r="AF342" i="17"/>
  <c r="AF343" i="17"/>
  <c r="AF344" i="17"/>
  <c r="AF345" i="17"/>
  <c r="AF346" i="17"/>
  <c r="AF347" i="17"/>
  <c r="AF348" i="17"/>
  <c r="AF349" i="17"/>
  <c r="AF350" i="17"/>
  <c r="AF351" i="17"/>
  <c r="AF352" i="17"/>
  <c r="AF353" i="17"/>
  <c r="AF354" i="17"/>
  <c r="AF355" i="17"/>
  <c r="AF356" i="17"/>
  <c r="AF357" i="17"/>
  <c r="AF358" i="17"/>
  <c r="AF359" i="17"/>
  <c r="AF360" i="17"/>
  <c r="AF361" i="17"/>
  <c r="AF362" i="17"/>
  <c r="AF363" i="17"/>
  <c r="AF364" i="17"/>
  <c r="AF365" i="17"/>
  <c r="AF366" i="17"/>
  <c r="AF367" i="17"/>
  <c r="AF368" i="17"/>
  <c r="AF369" i="17"/>
  <c r="AF370" i="17"/>
  <c r="AF371" i="17"/>
  <c r="AF372" i="17"/>
  <c r="AF373" i="17"/>
  <c r="AF374" i="17"/>
  <c r="AF375" i="17"/>
  <c r="AF376" i="17"/>
  <c r="AF377" i="17"/>
  <c r="AF378" i="17"/>
  <c r="AF379" i="17"/>
  <c r="AF380" i="17"/>
  <c r="AF381" i="17"/>
  <c r="AF382" i="17"/>
  <c r="AF383" i="17"/>
  <c r="AF384" i="17"/>
  <c r="AF385" i="17"/>
  <c r="AF386" i="17"/>
  <c r="AF387" i="17"/>
  <c r="AF388" i="17"/>
  <c r="AF389" i="17"/>
  <c r="AF390" i="17"/>
  <c r="AF391" i="17"/>
  <c r="AF392" i="17"/>
  <c r="AF393" i="17"/>
  <c r="AF394" i="17"/>
  <c r="AF395" i="17"/>
  <c r="AF396" i="17"/>
  <c r="AF397" i="17"/>
  <c r="AF398" i="17"/>
  <c r="AF2" i="17"/>
  <c r="AE3" i="17"/>
  <c r="AE4" i="17"/>
  <c r="AE5" i="17"/>
  <c r="AE6" i="17"/>
  <c r="AE7" i="17"/>
  <c r="AE8" i="17"/>
  <c r="AE9" i="17"/>
  <c r="AE10" i="17"/>
  <c r="AE11" i="17"/>
  <c r="AE12" i="17"/>
  <c r="AE13" i="17"/>
  <c r="AE14" i="17"/>
  <c r="AE15" i="17"/>
  <c r="AE16" i="17"/>
  <c r="AE17" i="17"/>
  <c r="AE18" i="17"/>
  <c r="AE19" i="17"/>
  <c r="AE20" i="17"/>
  <c r="AE21" i="17"/>
  <c r="AE22" i="17"/>
  <c r="AE23" i="17"/>
  <c r="AE24" i="17"/>
  <c r="AE25" i="17"/>
  <c r="AE26" i="17"/>
  <c r="AE27" i="17"/>
  <c r="AE28" i="17"/>
  <c r="AE29" i="17"/>
  <c r="AE30" i="17"/>
  <c r="AE31" i="17"/>
  <c r="AE32" i="17"/>
  <c r="AE33" i="17"/>
  <c r="AE34" i="17"/>
  <c r="AE35" i="17"/>
  <c r="AE36" i="17"/>
  <c r="AE37" i="17"/>
  <c r="AE38" i="17"/>
  <c r="AE39" i="17"/>
  <c r="AE40" i="17"/>
  <c r="AE41" i="17"/>
  <c r="AE42" i="17"/>
  <c r="AE43" i="17"/>
  <c r="AE44" i="17"/>
  <c r="AE45" i="17"/>
  <c r="AE46" i="17"/>
  <c r="AE47" i="17"/>
  <c r="AE48" i="17"/>
  <c r="AE49" i="17"/>
  <c r="AE50" i="17"/>
  <c r="AE51" i="17"/>
  <c r="AE52" i="17"/>
  <c r="AE53" i="17"/>
  <c r="AE54" i="17"/>
  <c r="AE55" i="17"/>
  <c r="AE56" i="17"/>
  <c r="AE57" i="17"/>
  <c r="AE58" i="17"/>
  <c r="AE59" i="17"/>
  <c r="AE60" i="17"/>
  <c r="AE61" i="17"/>
  <c r="AE62" i="17"/>
  <c r="AE63" i="17"/>
  <c r="AE64" i="17"/>
  <c r="AE65" i="17"/>
  <c r="AE66" i="17"/>
  <c r="AE67" i="17"/>
  <c r="AE68" i="17"/>
  <c r="AE69" i="17"/>
  <c r="AE70" i="17"/>
  <c r="AE71" i="17"/>
  <c r="AE72" i="17"/>
  <c r="AE73" i="17"/>
  <c r="AE74" i="17"/>
  <c r="AE75" i="17"/>
  <c r="AE76" i="17"/>
  <c r="AE77" i="17"/>
  <c r="AE78" i="17"/>
  <c r="AE79" i="17"/>
  <c r="AE80" i="17"/>
  <c r="AE81" i="17"/>
  <c r="AE82" i="17"/>
  <c r="AE83" i="17"/>
  <c r="AE84" i="17"/>
  <c r="AE85" i="17"/>
  <c r="AE86" i="17"/>
  <c r="AE87" i="17"/>
  <c r="AE88" i="17"/>
  <c r="AE89" i="17"/>
  <c r="AE90" i="17"/>
  <c r="AE91" i="17"/>
  <c r="AE92" i="17"/>
  <c r="AE93" i="17"/>
  <c r="AE94" i="17"/>
  <c r="AE95" i="17"/>
  <c r="AE96" i="17"/>
  <c r="AE97" i="17"/>
  <c r="AE98" i="17"/>
  <c r="AE99" i="17"/>
  <c r="AE100" i="17"/>
  <c r="AE101" i="17"/>
  <c r="AE102" i="17"/>
  <c r="AE103" i="17"/>
  <c r="AE104" i="17"/>
  <c r="AE105" i="17"/>
  <c r="AE106" i="17"/>
  <c r="AE107" i="17"/>
  <c r="AE108" i="17"/>
  <c r="AE109" i="17"/>
  <c r="AE110" i="17"/>
  <c r="AE111" i="17"/>
  <c r="AE112" i="17"/>
  <c r="AE113" i="17"/>
  <c r="AE114" i="17"/>
  <c r="AE115" i="17"/>
  <c r="AE116" i="17"/>
  <c r="AE117" i="17"/>
  <c r="AE118" i="17"/>
  <c r="AE119" i="17"/>
  <c r="AE120" i="17"/>
  <c r="AE121" i="17"/>
  <c r="AE122" i="17"/>
  <c r="AE123" i="17"/>
  <c r="AE124" i="17"/>
  <c r="AE125" i="17"/>
  <c r="AE126" i="17"/>
  <c r="AE127" i="17"/>
  <c r="AE128" i="17"/>
  <c r="AE129" i="17"/>
  <c r="AE130" i="17"/>
  <c r="AE131" i="17"/>
  <c r="AE132" i="17"/>
  <c r="AE133" i="17"/>
  <c r="AE134" i="17"/>
  <c r="AE135" i="17"/>
  <c r="AE136" i="17"/>
  <c r="AE137" i="17"/>
  <c r="AE138" i="17"/>
  <c r="AE139" i="17"/>
  <c r="AE140" i="17"/>
  <c r="AE141" i="17"/>
  <c r="AE142" i="17"/>
  <c r="AE143" i="17"/>
  <c r="AE144" i="17"/>
  <c r="AE145" i="17"/>
  <c r="AE146" i="17"/>
  <c r="AE147" i="17"/>
  <c r="AE148" i="17"/>
  <c r="AE149" i="17"/>
  <c r="AE150" i="17"/>
  <c r="AE151" i="17"/>
  <c r="AE152" i="17"/>
  <c r="AE153" i="17"/>
  <c r="AE154" i="17"/>
  <c r="AE155" i="17"/>
  <c r="AE156" i="17"/>
  <c r="AE157" i="17"/>
  <c r="AE158" i="17"/>
  <c r="AE159" i="17"/>
  <c r="AE160" i="17"/>
  <c r="AE161" i="17"/>
  <c r="AE162" i="17"/>
  <c r="AE163" i="17"/>
  <c r="AE164" i="17"/>
  <c r="AE165" i="17"/>
  <c r="AE166" i="17"/>
  <c r="AE167" i="17"/>
  <c r="AE168" i="17"/>
  <c r="AE169" i="17"/>
  <c r="AE170" i="17"/>
  <c r="AE171" i="17"/>
  <c r="AE172" i="17"/>
  <c r="AE173" i="17"/>
  <c r="AE174" i="17"/>
  <c r="AE175" i="17"/>
  <c r="AE176" i="17"/>
  <c r="AE177" i="17"/>
  <c r="AE178" i="17"/>
  <c r="AE179" i="17"/>
  <c r="AE180" i="17"/>
  <c r="AE181" i="17"/>
  <c r="AE182" i="17"/>
  <c r="AE183" i="17"/>
  <c r="AE184" i="17"/>
  <c r="AE185" i="17"/>
  <c r="AE186" i="17"/>
  <c r="AE187" i="17"/>
  <c r="AE188" i="17"/>
  <c r="AE189" i="17"/>
  <c r="AE190" i="17"/>
  <c r="AE191" i="17"/>
  <c r="AE192" i="17"/>
  <c r="AE193" i="17"/>
  <c r="AE194" i="17"/>
  <c r="AE195" i="17"/>
  <c r="AE196" i="17"/>
  <c r="AE197" i="17"/>
  <c r="AE198" i="17"/>
  <c r="AE199" i="17"/>
  <c r="AE200" i="17"/>
  <c r="AE201" i="17"/>
  <c r="AE202" i="17"/>
  <c r="AE203" i="17"/>
  <c r="AE204" i="17"/>
  <c r="AE205" i="17"/>
  <c r="AE206" i="17"/>
  <c r="AE207" i="17"/>
  <c r="AE208" i="17"/>
  <c r="AE209" i="17"/>
  <c r="AE210" i="17"/>
  <c r="AE211" i="17"/>
  <c r="AE212" i="17"/>
  <c r="AE213" i="17"/>
  <c r="AE214" i="17"/>
  <c r="AE215" i="17"/>
  <c r="AE216" i="17"/>
  <c r="AE217" i="17"/>
  <c r="AE218" i="17"/>
  <c r="AE219" i="17"/>
  <c r="AE220" i="17"/>
  <c r="AE221" i="17"/>
  <c r="AE222" i="17"/>
  <c r="AE223" i="17"/>
  <c r="AE224" i="17"/>
  <c r="AE225" i="17"/>
  <c r="AE226" i="17"/>
  <c r="AE227" i="17"/>
  <c r="AE228" i="17"/>
  <c r="AE229" i="17"/>
  <c r="AE230" i="17"/>
  <c r="AE231" i="17"/>
  <c r="AE232" i="17"/>
  <c r="AE233" i="17"/>
  <c r="AE234" i="17"/>
  <c r="AE235" i="17"/>
  <c r="AE236" i="17"/>
  <c r="AE237" i="17"/>
  <c r="AE238" i="17"/>
  <c r="AE239" i="17"/>
  <c r="AE240" i="17"/>
  <c r="AE241" i="17"/>
  <c r="AE242" i="17"/>
  <c r="AE243" i="17"/>
  <c r="AE244" i="17"/>
  <c r="AE245" i="17"/>
  <c r="AE246" i="17"/>
  <c r="AE247" i="17"/>
  <c r="AE248" i="17"/>
  <c r="AE249" i="17"/>
  <c r="AE250" i="17"/>
  <c r="AE251" i="17"/>
  <c r="AE252" i="17"/>
  <c r="AE253" i="17"/>
  <c r="AE254" i="17"/>
  <c r="AE255" i="17"/>
  <c r="AE256" i="17"/>
  <c r="AE257" i="17"/>
  <c r="AE258" i="17"/>
  <c r="AE259" i="17"/>
  <c r="AE260" i="17"/>
  <c r="AE261" i="17"/>
  <c r="AE262" i="17"/>
  <c r="AE263" i="17"/>
  <c r="AE264" i="17"/>
  <c r="AE265" i="17"/>
  <c r="AE266" i="17"/>
  <c r="AE267" i="17"/>
  <c r="AE268" i="17"/>
  <c r="AE269" i="17"/>
  <c r="AE270" i="17"/>
  <c r="AE271" i="17"/>
  <c r="AE272" i="17"/>
  <c r="AE273" i="17"/>
  <c r="AE274" i="17"/>
  <c r="AE275" i="17"/>
  <c r="AE276" i="17"/>
  <c r="AE277" i="17"/>
  <c r="AE278" i="17"/>
  <c r="AE279" i="17"/>
  <c r="AE280" i="17"/>
  <c r="AE281" i="17"/>
  <c r="AE282" i="17"/>
  <c r="AE283" i="17"/>
  <c r="AE284" i="17"/>
  <c r="AE285" i="17"/>
  <c r="AE286" i="17"/>
  <c r="AE287" i="17"/>
  <c r="AE288" i="17"/>
  <c r="AE289" i="17"/>
  <c r="AE290" i="17"/>
  <c r="AE291" i="17"/>
  <c r="AE292" i="17"/>
  <c r="AE293" i="17"/>
  <c r="AE294" i="17"/>
  <c r="AE295" i="17"/>
  <c r="AE296" i="17"/>
  <c r="AE297" i="17"/>
  <c r="AE298" i="17"/>
  <c r="AE299" i="17"/>
  <c r="AE300" i="17"/>
  <c r="AE301" i="17"/>
  <c r="AE302" i="17"/>
  <c r="AE303" i="17"/>
  <c r="AE304" i="17"/>
  <c r="AE305" i="17"/>
  <c r="AE306" i="17"/>
  <c r="AE307" i="17"/>
  <c r="AE308" i="17"/>
  <c r="AE309" i="17"/>
  <c r="AE310" i="17"/>
  <c r="AE311" i="17"/>
  <c r="AE312" i="17"/>
  <c r="AE313" i="17"/>
  <c r="AE314" i="17"/>
  <c r="AE315" i="17"/>
  <c r="AE316" i="17"/>
  <c r="AE317" i="17"/>
  <c r="AE318" i="17"/>
  <c r="AE319" i="17"/>
  <c r="AE320" i="17"/>
  <c r="AE321" i="17"/>
  <c r="AE322" i="17"/>
  <c r="AE323" i="17"/>
  <c r="AE324" i="17"/>
  <c r="AE325" i="17"/>
  <c r="AE326" i="17"/>
  <c r="AE327" i="17"/>
  <c r="AE328" i="17"/>
  <c r="AE329" i="17"/>
  <c r="AE330" i="17"/>
  <c r="AE331" i="17"/>
  <c r="AE332" i="17"/>
  <c r="AE333" i="17"/>
  <c r="AE334" i="17"/>
  <c r="AE335" i="17"/>
  <c r="AE336" i="17"/>
  <c r="AE337" i="17"/>
  <c r="AE338" i="17"/>
  <c r="AE339" i="17"/>
  <c r="AE340" i="17"/>
  <c r="AE341" i="17"/>
  <c r="AE342" i="17"/>
  <c r="AE343" i="17"/>
  <c r="AE344" i="17"/>
  <c r="AE345" i="17"/>
  <c r="AE346" i="17"/>
  <c r="AE347" i="17"/>
  <c r="AE348" i="17"/>
  <c r="AE349" i="17"/>
  <c r="AE350" i="17"/>
  <c r="AE351" i="17"/>
  <c r="AE352" i="17"/>
  <c r="AE353" i="17"/>
  <c r="AE354" i="17"/>
  <c r="AE355" i="17"/>
  <c r="AE356" i="17"/>
  <c r="AE357" i="17"/>
  <c r="AE358" i="17"/>
  <c r="AE359" i="17"/>
  <c r="AE360" i="17"/>
  <c r="AE361" i="17"/>
  <c r="AE362" i="17"/>
  <c r="AE363" i="17"/>
  <c r="AE364" i="17"/>
  <c r="AE365" i="17"/>
  <c r="AE366" i="17"/>
  <c r="AE367" i="17"/>
  <c r="AE368" i="17"/>
  <c r="AE369" i="17"/>
  <c r="AE370" i="17"/>
  <c r="AE371" i="17"/>
  <c r="AE372" i="17"/>
  <c r="AE373" i="17"/>
  <c r="AE374" i="17"/>
  <c r="AE375" i="17"/>
  <c r="AE376" i="17"/>
  <c r="AE377" i="17"/>
  <c r="AE378" i="17"/>
  <c r="AE379" i="17"/>
  <c r="AE380" i="17"/>
  <c r="AE381" i="17"/>
  <c r="AE382" i="17"/>
  <c r="AE383" i="17"/>
  <c r="AE384" i="17"/>
  <c r="AE385" i="17"/>
  <c r="AE386" i="17"/>
  <c r="AE387" i="17"/>
  <c r="AE388" i="17"/>
  <c r="AE389" i="17"/>
  <c r="AE390" i="17"/>
  <c r="AE391" i="17"/>
  <c r="AE392" i="17"/>
  <c r="AE393" i="17"/>
  <c r="AE394" i="17"/>
  <c r="AE395" i="17"/>
  <c r="AE396" i="17"/>
  <c r="AE397" i="17"/>
  <c r="AE398" i="17"/>
  <c r="AE2" i="17"/>
  <c r="AD3" i="17"/>
  <c r="AD4" i="17"/>
  <c r="AD5" i="17"/>
  <c r="AD6" i="17"/>
  <c r="AD7" i="17"/>
  <c r="AD8" i="17"/>
  <c r="AD9" i="17"/>
  <c r="AD10" i="17"/>
  <c r="AD11" i="17"/>
  <c r="AD12" i="17"/>
  <c r="AD13" i="17"/>
  <c r="AD14" i="17"/>
  <c r="AD15" i="17"/>
  <c r="AD16" i="17"/>
  <c r="AD17" i="17"/>
  <c r="AD18" i="17"/>
  <c r="AD19" i="17"/>
  <c r="AD20" i="17"/>
  <c r="AD21" i="17"/>
  <c r="AD22" i="17"/>
  <c r="AD23" i="17"/>
  <c r="AD24" i="17"/>
  <c r="AD25" i="17"/>
  <c r="AD26" i="17"/>
  <c r="AD27" i="17"/>
  <c r="AD28" i="17"/>
  <c r="AD29" i="17"/>
  <c r="AD30" i="17"/>
  <c r="AD31" i="17"/>
  <c r="AD32" i="17"/>
  <c r="AD33" i="17"/>
  <c r="AD34" i="17"/>
  <c r="AD35" i="17"/>
  <c r="AD36" i="17"/>
  <c r="AD37" i="17"/>
  <c r="AD38" i="17"/>
  <c r="AD39" i="17"/>
  <c r="AD40" i="17"/>
  <c r="AD41" i="17"/>
  <c r="AD42" i="17"/>
  <c r="AD43" i="17"/>
  <c r="AD44" i="17"/>
  <c r="AD45" i="17"/>
  <c r="AD46" i="17"/>
  <c r="AD47" i="17"/>
  <c r="AD48" i="17"/>
  <c r="AD49" i="17"/>
  <c r="AD50" i="17"/>
  <c r="AD51" i="17"/>
  <c r="AD52" i="17"/>
  <c r="AD53" i="17"/>
  <c r="AD54" i="17"/>
  <c r="AD55" i="17"/>
  <c r="AD56" i="17"/>
  <c r="AD57" i="17"/>
  <c r="AD58" i="17"/>
  <c r="AD59" i="17"/>
  <c r="AD60" i="17"/>
  <c r="AD61" i="17"/>
  <c r="AD62" i="17"/>
  <c r="AD63" i="17"/>
  <c r="AD64" i="17"/>
  <c r="AD65" i="17"/>
  <c r="AD66" i="17"/>
  <c r="AD67" i="17"/>
  <c r="AD68" i="17"/>
  <c r="AD69" i="17"/>
  <c r="AD70" i="17"/>
  <c r="AD71" i="17"/>
  <c r="AD72" i="17"/>
  <c r="AD73" i="17"/>
  <c r="AD74" i="17"/>
  <c r="AD75" i="17"/>
  <c r="AD76" i="17"/>
  <c r="AD77" i="17"/>
  <c r="AD78" i="17"/>
  <c r="AD79" i="17"/>
  <c r="AD80" i="17"/>
  <c r="AD81" i="17"/>
  <c r="AD82" i="17"/>
  <c r="AD83" i="17"/>
  <c r="AD84" i="17"/>
  <c r="AD85" i="17"/>
  <c r="AD86" i="17"/>
  <c r="AD87" i="17"/>
  <c r="AD88" i="17"/>
  <c r="AD89" i="17"/>
  <c r="AD90" i="17"/>
  <c r="AD91" i="17"/>
  <c r="AD92" i="17"/>
  <c r="AD93" i="17"/>
  <c r="AD94" i="17"/>
  <c r="AD95" i="17"/>
  <c r="AD96" i="17"/>
  <c r="AD97" i="17"/>
  <c r="AD98" i="17"/>
  <c r="AD99" i="17"/>
  <c r="AD100" i="17"/>
  <c r="AD101" i="17"/>
  <c r="AD102" i="17"/>
  <c r="AD103" i="17"/>
  <c r="AD104" i="17"/>
  <c r="AD105" i="17"/>
  <c r="AD106" i="17"/>
  <c r="AD107" i="17"/>
  <c r="AD108" i="17"/>
  <c r="AD109" i="17"/>
  <c r="AD110" i="17"/>
  <c r="AD111" i="17"/>
  <c r="AD112" i="17"/>
  <c r="AD113" i="17"/>
  <c r="AD114" i="17"/>
  <c r="AD115" i="17"/>
  <c r="AD116" i="17"/>
  <c r="AD117" i="17"/>
  <c r="AD118" i="17"/>
  <c r="AD119" i="17"/>
  <c r="AD120" i="17"/>
  <c r="AD121" i="17"/>
  <c r="AD122" i="17"/>
  <c r="AD123" i="17"/>
  <c r="AD124" i="17"/>
  <c r="AD125" i="17"/>
  <c r="AD126" i="17"/>
  <c r="AD127" i="17"/>
  <c r="AD128" i="17"/>
  <c r="AD129" i="17"/>
  <c r="AD130" i="17"/>
  <c r="AD131" i="17"/>
  <c r="AD132" i="17"/>
  <c r="AD133" i="17"/>
  <c r="AD134" i="17"/>
  <c r="AD135" i="17"/>
  <c r="AD136" i="17"/>
  <c r="AD137" i="17"/>
  <c r="AD138" i="17"/>
  <c r="AD139" i="17"/>
  <c r="AD140" i="17"/>
  <c r="AD141" i="17"/>
  <c r="AD142" i="17"/>
  <c r="AD143" i="17"/>
  <c r="AD144" i="17"/>
  <c r="AD145" i="17"/>
  <c r="AD146" i="17"/>
  <c r="AD147" i="17"/>
  <c r="AD148" i="17"/>
  <c r="AD149" i="17"/>
  <c r="AD150" i="17"/>
  <c r="AD151" i="17"/>
  <c r="AD152" i="17"/>
  <c r="AD153" i="17"/>
  <c r="AD154" i="17"/>
  <c r="AD155" i="17"/>
  <c r="AD156" i="17"/>
  <c r="AD157" i="17"/>
  <c r="AD158" i="17"/>
  <c r="AD159" i="17"/>
  <c r="AD160" i="17"/>
  <c r="AD161" i="17"/>
  <c r="AD162" i="17"/>
  <c r="AD163" i="17"/>
  <c r="AD164" i="17"/>
  <c r="AD165" i="17"/>
  <c r="AD166" i="17"/>
  <c r="AD167" i="17"/>
  <c r="AD168" i="17"/>
  <c r="AD169" i="17"/>
  <c r="AD170" i="17"/>
  <c r="AD171" i="17"/>
  <c r="AD172" i="17"/>
  <c r="AD173" i="17"/>
  <c r="AD174" i="17"/>
  <c r="AD175" i="17"/>
  <c r="AD176" i="17"/>
  <c r="AD177" i="17"/>
  <c r="AD178" i="17"/>
  <c r="AD179" i="17"/>
  <c r="AD180" i="17"/>
  <c r="AD181" i="17"/>
  <c r="AD182" i="17"/>
  <c r="AD183" i="17"/>
  <c r="AD184" i="17"/>
  <c r="AD185" i="17"/>
  <c r="AD186" i="17"/>
  <c r="AD187" i="17"/>
  <c r="AD188" i="17"/>
  <c r="AD189" i="17"/>
  <c r="AD190" i="17"/>
  <c r="AD191" i="17"/>
  <c r="AD192" i="17"/>
  <c r="AD193" i="17"/>
  <c r="AD194" i="17"/>
  <c r="AD195" i="17"/>
  <c r="AD196" i="17"/>
  <c r="AD197" i="17"/>
  <c r="AD198" i="17"/>
  <c r="AD199" i="17"/>
  <c r="AD200" i="17"/>
  <c r="AD201" i="17"/>
  <c r="AD202" i="17"/>
  <c r="AD203" i="17"/>
  <c r="AD204" i="17"/>
  <c r="AD205" i="17"/>
  <c r="AD206" i="17"/>
  <c r="AD207" i="17"/>
  <c r="AD208" i="17"/>
  <c r="AD209" i="17"/>
  <c r="AD210" i="17"/>
  <c r="AD211" i="17"/>
  <c r="AD212" i="17"/>
  <c r="AD213" i="17"/>
  <c r="AD214" i="17"/>
  <c r="AD215" i="17"/>
  <c r="AD216" i="17"/>
  <c r="AD217" i="17"/>
  <c r="AD218" i="17"/>
  <c r="AD219" i="17"/>
  <c r="AD220" i="17"/>
  <c r="AD221" i="17"/>
  <c r="AD222" i="17"/>
  <c r="AD223" i="17"/>
  <c r="AD224" i="17"/>
  <c r="AD225" i="17"/>
  <c r="AD226" i="17"/>
  <c r="AD227" i="17"/>
  <c r="AD228" i="17"/>
  <c r="AD229" i="17"/>
  <c r="AD230" i="17"/>
  <c r="AD231" i="17"/>
  <c r="AD232" i="17"/>
  <c r="AD233" i="17"/>
  <c r="AD234" i="17"/>
  <c r="AD235" i="17"/>
  <c r="AD236" i="17"/>
  <c r="AD237" i="17"/>
  <c r="AD238" i="17"/>
  <c r="AD239" i="17"/>
  <c r="AD240" i="17"/>
  <c r="AD241" i="17"/>
  <c r="AD242" i="17"/>
  <c r="AD243" i="17"/>
  <c r="AD244" i="17"/>
  <c r="AD245" i="17"/>
  <c r="AD246" i="17"/>
  <c r="AD247" i="17"/>
  <c r="AD248" i="17"/>
  <c r="AD249" i="17"/>
  <c r="AD250" i="17"/>
  <c r="AD251" i="17"/>
  <c r="AD252" i="17"/>
  <c r="AD253" i="17"/>
  <c r="AD254" i="17"/>
  <c r="AD255" i="17"/>
  <c r="AD256" i="17"/>
  <c r="AD257" i="17"/>
  <c r="AD258" i="17"/>
  <c r="AD259" i="17"/>
  <c r="AD260" i="17"/>
  <c r="AD261" i="17"/>
  <c r="AD262" i="17"/>
  <c r="AD263" i="17"/>
  <c r="AD264" i="17"/>
  <c r="AD265" i="17"/>
  <c r="AD266" i="17"/>
  <c r="AD267" i="17"/>
  <c r="AD268" i="17"/>
  <c r="AD269" i="17"/>
  <c r="AD270" i="17"/>
  <c r="AD271" i="17"/>
  <c r="AD272" i="17"/>
  <c r="AD273" i="17"/>
  <c r="AD274" i="17"/>
  <c r="AD275" i="17"/>
  <c r="AD276" i="17"/>
  <c r="AD277" i="17"/>
  <c r="AD278" i="17"/>
  <c r="AD279" i="17"/>
  <c r="AD280" i="17"/>
  <c r="AD281" i="17"/>
  <c r="AD282" i="17"/>
  <c r="AD283" i="17"/>
  <c r="AD284" i="17"/>
  <c r="AD285" i="17"/>
  <c r="AD286" i="17"/>
  <c r="AD287" i="17"/>
  <c r="AD288" i="17"/>
  <c r="AD289" i="17"/>
  <c r="AD290" i="17"/>
  <c r="AD291" i="17"/>
  <c r="AD292" i="17"/>
  <c r="AD293" i="17"/>
  <c r="AD294" i="17"/>
  <c r="AD295" i="17"/>
  <c r="AD296" i="17"/>
  <c r="AD297" i="17"/>
  <c r="AD298" i="17"/>
  <c r="AD299" i="17"/>
  <c r="AD300" i="17"/>
  <c r="AD301" i="17"/>
  <c r="AD302" i="17"/>
  <c r="AD303" i="17"/>
  <c r="AD304" i="17"/>
  <c r="AD305" i="17"/>
  <c r="AD306" i="17"/>
  <c r="AD307" i="17"/>
  <c r="AD308" i="17"/>
  <c r="AD309" i="17"/>
  <c r="AD310" i="17"/>
  <c r="AD311" i="17"/>
  <c r="AD312" i="17"/>
  <c r="AD313" i="17"/>
  <c r="AD314" i="17"/>
  <c r="AD315" i="17"/>
  <c r="AD316" i="17"/>
  <c r="AD317" i="17"/>
  <c r="AD318" i="17"/>
  <c r="AD319" i="17"/>
  <c r="AD320" i="17"/>
  <c r="AD321" i="17"/>
  <c r="AD322" i="17"/>
  <c r="AD323" i="17"/>
  <c r="AD324" i="17"/>
  <c r="AD325" i="17"/>
  <c r="AD326" i="17"/>
  <c r="AD327" i="17"/>
  <c r="AD328" i="17"/>
  <c r="AD329" i="17"/>
  <c r="AD330" i="17"/>
  <c r="AD331" i="17"/>
  <c r="AD332" i="17"/>
  <c r="AD333" i="17"/>
  <c r="AD334" i="17"/>
  <c r="AD335" i="17"/>
  <c r="AD336" i="17"/>
  <c r="AD337" i="17"/>
  <c r="AD338" i="17"/>
  <c r="AD339" i="17"/>
  <c r="AD340" i="17"/>
  <c r="AD341" i="17"/>
  <c r="AD342" i="17"/>
  <c r="AD343" i="17"/>
  <c r="AD344" i="17"/>
  <c r="AD345" i="17"/>
  <c r="AD346" i="17"/>
  <c r="AD347" i="17"/>
  <c r="AD348" i="17"/>
  <c r="AD349" i="17"/>
  <c r="AD350" i="17"/>
  <c r="AD351" i="17"/>
  <c r="AD352" i="17"/>
  <c r="AD353" i="17"/>
  <c r="AD354" i="17"/>
  <c r="AD355" i="17"/>
  <c r="AD356" i="17"/>
  <c r="AD357" i="17"/>
  <c r="AD358" i="17"/>
  <c r="AD359" i="17"/>
  <c r="AD360" i="17"/>
  <c r="AD361" i="17"/>
  <c r="AD362" i="17"/>
  <c r="AD363" i="17"/>
  <c r="AD364" i="17"/>
  <c r="AD365" i="17"/>
  <c r="AD366" i="17"/>
  <c r="AD367" i="17"/>
  <c r="AD368" i="17"/>
  <c r="AD369" i="17"/>
  <c r="AD370" i="17"/>
  <c r="AD371" i="17"/>
  <c r="AD372" i="17"/>
  <c r="AD373" i="17"/>
  <c r="AD374" i="17"/>
  <c r="AD375" i="17"/>
  <c r="AD376" i="17"/>
  <c r="AD377" i="17"/>
  <c r="AD378" i="17"/>
  <c r="AD379" i="17"/>
  <c r="AD380" i="17"/>
  <c r="AD381" i="17"/>
  <c r="AD382" i="17"/>
  <c r="AD383" i="17"/>
  <c r="AD384" i="17"/>
  <c r="AD385" i="17"/>
  <c r="AD386" i="17"/>
  <c r="AD387" i="17"/>
  <c r="AD388" i="17"/>
  <c r="AD389" i="17"/>
  <c r="AD390" i="17"/>
  <c r="AD391" i="17"/>
  <c r="AD392" i="17"/>
  <c r="AD393" i="17"/>
  <c r="AD394" i="17"/>
  <c r="AD395" i="17"/>
  <c r="AD396" i="17"/>
  <c r="AD397" i="17"/>
  <c r="AD398" i="17"/>
  <c r="AD2" i="17"/>
  <c r="AC3" i="17"/>
  <c r="AC4" i="17"/>
  <c r="AC5" i="17"/>
  <c r="AC6" i="17"/>
  <c r="AC7" i="17"/>
  <c r="AC8" i="17"/>
  <c r="AC9" i="17"/>
  <c r="AC10" i="17"/>
  <c r="AC11" i="17"/>
  <c r="AC12" i="17"/>
  <c r="AC13" i="17"/>
  <c r="AC14" i="17"/>
  <c r="AC15" i="17"/>
  <c r="AC16" i="17"/>
  <c r="AC17" i="17"/>
  <c r="AC18" i="17"/>
  <c r="AC19" i="17"/>
  <c r="AC20" i="17"/>
  <c r="AC21" i="17"/>
  <c r="AC22" i="17"/>
  <c r="AC23" i="17"/>
  <c r="AC24" i="17"/>
  <c r="AC25" i="17"/>
  <c r="AC26" i="17"/>
  <c r="AC27" i="17"/>
  <c r="AC28" i="17"/>
  <c r="AC29" i="17"/>
  <c r="AC30" i="17"/>
  <c r="AC31" i="17"/>
  <c r="AC32" i="17"/>
  <c r="AC33" i="17"/>
  <c r="AC34" i="17"/>
  <c r="AC35" i="17"/>
  <c r="AC36" i="17"/>
  <c r="AC37" i="17"/>
  <c r="AC38" i="17"/>
  <c r="AC39" i="17"/>
  <c r="AC40" i="17"/>
  <c r="AC41" i="17"/>
  <c r="AC42" i="17"/>
  <c r="AC43" i="17"/>
  <c r="AC44" i="17"/>
  <c r="AC45" i="17"/>
  <c r="AC46" i="17"/>
  <c r="AC47" i="17"/>
  <c r="AC48" i="17"/>
  <c r="AC49" i="17"/>
  <c r="AC50" i="17"/>
  <c r="AC51" i="17"/>
  <c r="AC52" i="17"/>
  <c r="AC53" i="17"/>
  <c r="AC54" i="17"/>
  <c r="AC55" i="17"/>
  <c r="AC56" i="17"/>
  <c r="AC57" i="17"/>
  <c r="AC58" i="17"/>
  <c r="AC59" i="17"/>
  <c r="AC60" i="17"/>
  <c r="AC61" i="17"/>
  <c r="AC62" i="17"/>
  <c r="AC63" i="17"/>
  <c r="AC64" i="17"/>
  <c r="AC65" i="17"/>
  <c r="AC66" i="17"/>
  <c r="AC67" i="17"/>
  <c r="AC68" i="17"/>
  <c r="AC69" i="17"/>
  <c r="AC70" i="17"/>
  <c r="AC71" i="17"/>
  <c r="AC72" i="17"/>
  <c r="AC73" i="17"/>
  <c r="AC74" i="17"/>
  <c r="AC75" i="17"/>
  <c r="AC76" i="17"/>
  <c r="AC77" i="17"/>
  <c r="AC78" i="17"/>
  <c r="AC79" i="17"/>
  <c r="AC80" i="17"/>
  <c r="AC81" i="17"/>
  <c r="AC82" i="17"/>
  <c r="AC83" i="17"/>
  <c r="AC84" i="17"/>
  <c r="AC85" i="17"/>
  <c r="AC86" i="17"/>
  <c r="AC87" i="17"/>
  <c r="AC88" i="17"/>
  <c r="AC89" i="17"/>
  <c r="AC90" i="17"/>
  <c r="AC91" i="17"/>
  <c r="AC92" i="17"/>
  <c r="AC93" i="17"/>
  <c r="AC94" i="17"/>
  <c r="AC95" i="17"/>
  <c r="AC96" i="17"/>
  <c r="AC97" i="17"/>
  <c r="AC98" i="17"/>
  <c r="AC99" i="17"/>
  <c r="AC100" i="17"/>
  <c r="AC101" i="17"/>
  <c r="AC102" i="17"/>
  <c r="AC103" i="17"/>
  <c r="AC104" i="17"/>
  <c r="AC105" i="17"/>
  <c r="AC106" i="17"/>
  <c r="AC107" i="17"/>
  <c r="AC108" i="17"/>
  <c r="AC109" i="17"/>
  <c r="AC110" i="17"/>
  <c r="AC111" i="17"/>
  <c r="AC112" i="17"/>
  <c r="AC113" i="17"/>
  <c r="AC114" i="17"/>
  <c r="AC115" i="17"/>
  <c r="AC116" i="17"/>
  <c r="AC117" i="17"/>
  <c r="AC118" i="17"/>
  <c r="AC119" i="17"/>
  <c r="AC120" i="17"/>
  <c r="AC121" i="17"/>
  <c r="AC122" i="17"/>
  <c r="AC123" i="17"/>
  <c r="AC124" i="17"/>
  <c r="AC125" i="17"/>
  <c r="AC126" i="17"/>
  <c r="AC127" i="17"/>
  <c r="AC128" i="17"/>
  <c r="AC129" i="17"/>
  <c r="AC130" i="17"/>
  <c r="AC131" i="17"/>
  <c r="AC132" i="17"/>
  <c r="AC133" i="17"/>
  <c r="AC134" i="17"/>
  <c r="AC135" i="17"/>
  <c r="AC136" i="17"/>
  <c r="AC137" i="17"/>
  <c r="AC138" i="17"/>
  <c r="AC139" i="17"/>
  <c r="AC140" i="17"/>
  <c r="AC141" i="17"/>
  <c r="AC142" i="17"/>
  <c r="AC143" i="17"/>
  <c r="AC144" i="17"/>
  <c r="AC145" i="17"/>
  <c r="AC146" i="17"/>
  <c r="AC147" i="17"/>
  <c r="AC148" i="17"/>
  <c r="AC149" i="17"/>
  <c r="AC150" i="17"/>
  <c r="AC151" i="17"/>
  <c r="AC152" i="17"/>
  <c r="AC153" i="17"/>
  <c r="AC154" i="17"/>
  <c r="AC155" i="17"/>
  <c r="AC156" i="17"/>
  <c r="AC157" i="17"/>
  <c r="AC158" i="17"/>
  <c r="AC159" i="17"/>
  <c r="AC160" i="17"/>
  <c r="AC161" i="17"/>
  <c r="AC162" i="17"/>
  <c r="AC163" i="17"/>
  <c r="AC164" i="17"/>
  <c r="AC165" i="17"/>
  <c r="AC166" i="17"/>
  <c r="AC167" i="17"/>
  <c r="AC168" i="17"/>
  <c r="AC169" i="17"/>
  <c r="AC170" i="17"/>
  <c r="AC171" i="17"/>
  <c r="AC172" i="17"/>
  <c r="AC173" i="17"/>
  <c r="AC174" i="17"/>
  <c r="AC175" i="17"/>
  <c r="AC176" i="17"/>
  <c r="AC177" i="17"/>
  <c r="AC178" i="17"/>
  <c r="AC179" i="17"/>
  <c r="AC180" i="17"/>
  <c r="AC181" i="17"/>
  <c r="AC182" i="17"/>
  <c r="AC183" i="17"/>
  <c r="AC184" i="17"/>
  <c r="AC185" i="17"/>
  <c r="AC186" i="17"/>
  <c r="AC187" i="17"/>
  <c r="AC188" i="17"/>
  <c r="AC189" i="17"/>
  <c r="AC190" i="17"/>
  <c r="AC191" i="17"/>
  <c r="AC192" i="17"/>
  <c r="AC193" i="17"/>
  <c r="AC194" i="17"/>
  <c r="AC195" i="17"/>
  <c r="AC196" i="17"/>
  <c r="AC197" i="17"/>
  <c r="AC198" i="17"/>
  <c r="AC199" i="17"/>
  <c r="AC200" i="17"/>
  <c r="AC201" i="17"/>
  <c r="AC202" i="17"/>
  <c r="AC203" i="17"/>
  <c r="AC204" i="17"/>
  <c r="AC205" i="17"/>
  <c r="AC206" i="17"/>
  <c r="AC207" i="17"/>
  <c r="AC208" i="17"/>
  <c r="AC209" i="17"/>
  <c r="AC210" i="17"/>
  <c r="AC211" i="17"/>
  <c r="AC212" i="17"/>
  <c r="AC213" i="17"/>
  <c r="AC214" i="17"/>
  <c r="AC215" i="17"/>
  <c r="AC216" i="17"/>
  <c r="AC217" i="17"/>
  <c r="AC218" i="17"/>
  <c r="AC219" i="17"/>
  <c r="AC220" i="17"/>
  <c r="AC221" i="17"/>
  <c r="AC222" i="17"/>
  <c r="AC223" i="17"/>
  <c r="AC224" i="17"/>
  <c r="AC225" i="17"/>
  <c r="AC226" i="17"/>
  <c r="AC227" i="17"/>
  <c r="AC228" i="17"/>
  <c r="AC229" i="17"/>
  <c r="AC230" i="17"/>
  <c r="AC231" i="17"/>
  <c r="AC232" i="17"/>
  <c r="AC233" i="17"/>
  <c r="AC234" i="17"/>
  <c r="AC235" i="17"/>
  <c r="AC236" i="17"/>
  <c r="AC237" i="17"/>
  <c r="AC238" i="17"/>
  <c r="AC239" i="17"/>
  <c r="AC240" i="17"/>
  <c r="AC241" i="17"/>
  <c r="AC242" i="17"/>
  <c r="AC243" i="17"/>
  <c r="AC244" i="17"/>
  <c r="AC245" i="17"/>
  <c r="AC246" i="17"/>
  <c r="AC247" i="17"/>
  <c r="AC248" i="17"/>
  <c r="AC249" i="17"/>
  <c r="AC250" i="17"/>
  <c r="AC251" i="17"/>
  <c r="AC252" i="17"/>
  <c r="AC253" i="17"/>
  <c r="AC254" i="17"/>
  <c r="AC255" i="17"/>
  <c r="AC256" i="17"/>
  <c r="AC257" i="17"/>
  <c r="AC258" i="17"/>
  <c r="AC259" i="17"/>
  <c r="AC260" i="17"/>
  <c r="AC261" i="17"/>
  <c r="AC262" i="17"/>
  <c r="AC263" i="17"/>
  <c r="AC264" i="17"/>
  <c r="AC265" i="17"/>
  <c r="AC266" i="17"/>
  <c r="AC267" i="17"/>
  <c r="AC268" i="17"/>
  <c r="AC269" i="17"/>
  <c r="AC270" i="17"/>
  <c r="AC271" i="17"/>
  <c r="AC272" i="17"/>
  <c r="AC273" i="17"/>
  <c r="AC274" i="17"/>
  <c r="AC275" i="17"/>
  <c r="AC276" i="17"/>
  <c r="AC277" i="17"/>
  <c r="AC278" i="17"/>
  <c r="AC279" i="17"/>
  <c r="AC280" i="17"/>
  <c r="AC281" i="17"/>
  <c r="AC282" i="17"/>
  <c r="AC283" i="17"/>
  <c r="AC284" i="17"/>
  <c r="AC285" i="17"/>
  <c r="AC286" i="17"/>
  <c r="AC287" i="17"/>
  <c r="AC288" i="17"/>
  <c r="AC289" i="17"/>
  <c r="AC290" i="17"/>
  <c r="AC291" i="17"/>
  <c r="AC292" i="17"/>
  <c r="AC293" i="17"/>
  <c r="AC294" i="17"/>
  <c r="AC295" i="17"/>
  <c r="AC296" i="17"/>
  <c r="AC297" i="17"/>
  <c r="AC298" i="17"/>
  <c r="AC299" i="17"/>
  <c r="AC300" i="17"/>
  <c r="AC301" i="17"/>
  <c r="AC302" i="17"/>
  <c r="AC303" i="17"/>
  <c r="AC304" i="17"/>
  <c r="AC305" i="17"/>
  <c r="AC306" i="17"/>
  <c r="AC307" i="17"/>
  <c r="AC308" i="17"/>
  <c r="AC309" i="17"/>
  <c r="AC310" i="17"/>
  <c r="AC311" i="17"/>
  <c r="AC312" i="17"/>
  <c r="AC313" i="17"/>
  <c r="AC314" i="17"/>
  <c r="AC315" i="17"/>
  <c r="AC316" i="17"/>
  <c r="AC317" i="17"/>
  <c r="AC318" i="17"/>
  <c r="AC319" i="17"/>
  <c r="AC320" i="17"/>
  <c r="AC321" i="17"/>
  <c r="AC322" i="17"/>
  <c r="AC323" i="17"/>
  <c r="AC324" i="17"/>
  <c r="AC325" i="17"/>
  <c r="AC326" i="17"/>
  <c r="AC327" i="17"/>
  <c r="AC328" i="17"/>
  <c r="AC329" i="17"/>
  <c r="AC330" i="17"/>
  <c r="AC331" i="17"/>
  <c r="AC332" i="17"/>
  <c r="AC333" i="17"/>
  <c r="AC334" i="17"/>
  <c r="AC335" i="17"/>
  <c r="AC336" i="17"/>
  <c r="AC337" i="17"/>
  <c r="AC338" i="17"/>
  <c r="AC339" i="17"/>
  <c r="AC340" i="17"/>
  <c r="AC341" i="17"/>
  <c r="AC342" i="17"/>
  <c r="AC343" i="17"/>
  <c r="AC344" i="17"/>
  <c r="AC345" i="17"/>
  <c r="AC346" i="17"/>
  <c r="AC347" i="17"/>
  <c r="AC348" i="17"/>
  <c r="AC349" i="17"/>
  <c r="AC350" i="17"/>
  <c r="AC351" i="17"/>
  <c r="AC352" i="17"/>
  <c r="AC353" i="17"/>
  <c r="AC354" i="17"/>
  <c r="AC355" i="17"/>
  <c r="AC356" i="17"/>
  <c r="AC357" i="17"/>
  <c r="AC358" i="17"/>
  <c r="AC359" i="17"/>
  <c r="AC360" i="17"/>
  <c r="AC361" i="17"/>
  <c r="AC362" i="17"/>
  <c r="AC363" i="17"/>
  <c r="AC364" i="17"/>
  <c r="AC365" i="17"/>
  <c r="AC366" i="17"/>
  <c r="AC367" i="17"/>
  <c r="AC368" i="17"/>
  <c r="AC369" i="17"/>
  <c r="AC370" i="17"/>
  <c r="AC371" i="17"/>
  <c r="AC372" i="17"/>
  <c r="AC373" i="17"/>
  <c r="AC374" i="17"/>
  <c r="AC375" i="17"/>
  <c r="AC376" i="17"/>
  <c r="AC377" i="17"/>
  <c r="AC378" i="17"/>
  <c r="AC379" i="17"/>
  <c r="AC380" i="17"/>
  <c r="AC381" i="17"/>
  <c r="AC382" i="17"/>
  <c r="AC383" i="17"/>
  <c r="AC384" i="17"/>
  <c r="AC385" i="17"/>
  <c r="AC386" i="17"/>
  <c r="AC387" i="17"/>
  <c r="AC388" i="17"/>
  <c r="AC389" i="17"/>
  <c r="AC390" i="17"/>
  <c r="AC391" i="17"/>
  <c r="AC392" i="17"/>
  <c r="AC393" i="17"/>
  <c r="AC394" i="17"/>
  <c r="AC395" i="17"/>
  <c r="AC396" i="17"/>
  <c r="AC397" i="17"/>
  <c r="AC398" i="17"/>
  <c r="AC2" i="17"/>
  <c r="AA3" i="17"/>
  <c r="AB3" i="17"/>
  <c r="AA4" i="17"/>
  <c r="AB4" i="17"/>
  <c r="AA5" i="17"/>
  <c r="AB5" i="17"/>
  <c r="AA6" i="17"/>
  <c r="AB6" i="17"/>
  <c r="AA7" i="17"/>
  <c r="AB7" i="17"/>
  <c r="AA8" i="17"/>
  <c r="AB8" i="17"/>
  <c r="AA9" i="17"/>
  <c r="AB9" i="17"/>
  <c r="AA10" i="17"/>
  <c r="AB10" i="17"/>
  <c r="AA11" i="17"/>
  <c r="AB11" i="17"/>
  <c r="AA12" i="17"/>
  <c r="AB12" i="17"/>
  <c r="AA13" i="17"/>
  <c r="AB13" i="17"/>
  <c r="AA14" i="17"/>
  <c r="AB14" i="17"/>
  <c r="AA15" i="17"/>
  <c r="AB15" i="17"/>
  <c r="AA16" i="17"/>
  <c r="AB16" i="17"/>
  <c r="AA17" i="17"/>
  <c r="AB17" i="17"/>
  <c r="AA18" i="17"/>
  <c r="AB18" i="17"/>
  <c r="AA19" i="17"/>
  <c r="AB19" i="17"/>
  <c r="AA20" i="17"/>
  <c r="AB20" i="17"/>
  <c r="AA21" i="17"/>
  <c r="AB21" i="17"/>
  <c r="AA22" i="17"/>
  <c r="AB22" i="17"/>
  <c r="AA23" i="17"/>
  <c r="AB23" i="17"/>
  <c r="AA24" i="17"/>
  <c r="AB24" i="17"/>
  <c r="AA25" i="17"/>
  <c r="AB25" i="17"/>
  <c r="AA26" i="17"/>
  <c r="AB26" i="17"/>
  <c r="AA27" i="17"/>
  <c r="AB27" i="17"/>
  <c r="AA28" i="17"/>
  <c r="AB28" i="17"/>
  <c r="AA29" i="17"/>
  <c r="AB29" i="17"/>
  <c r="AA30" i="17"/>
  <c r="AB30" i="17"/>
  <c r="AA31" i="17"/>
  <c r="AB31" i="17"/>
  <c r="AA32" i="17"/>
  <c r="AB32" i="17"/>
  <c r="AA33" i="17"/>
  <c r="AB33" i="17"/>
  <c r="AA34" i="17"/>
  <c r="AB34" i="17"/>
  <c r="AA35" i="17"/>
  <c r="AB35" i="17"/>
  <c r="AA36" i="17"/>
  <c r="AB36" i="17"/>
  <c r="AA37" i="17"/>
  <c r="AB37" i="17"/>
  <c r="AA38" i="17"/>
  <c r="AB38" i="17"/>
  <c r="AA39" i="17"/>
  <c r="AB39" i="17"/>
  <c r="AA40" i="17"/>
  <c r="AB40" i="17"/>
  <c r="AA41" i="17"/>
  <c r="AB41" i="17"/>
  <c r="AA42" i="17"/>
  <c r="AB42" i="17"/>
  <c r="AA43" i="17"/>
  <c r="AB43" i="17"/>
  <c r="AA44" i="17"/>
  <c r="AB44" i="17"/>
  <c r="AA45" i="17"/>
  <c r="AB45" i="17"/>
  <c r="AA46" i="17"/>
  <c r="AB46" i="17"/>
  <c r="AA47" i="17"/>
  <c r="AB47" i="17"/>
  <c r="AA48" i="17"/>
  <c r="AB48" i="17"/>
  <c r="AA49" i="17"/>
  <c r="AB49" i="17"/>
  <c r="AA50" i="17"/>
  <c r="AB50" i="17"/>
  <c r="AA51" i="17"/>
  <c r="AB51" i="17"/>
  <c r="AA52" i="17"/>
  <c r="AB52" i="17"/>
  <c r="AA53" i="17"/>
  <c r="AB53" i="17"/>
  <c r="AA54" i="17"/>
  <c r="AB54" i="17"/>
  <c r="AA55" i="17"/>
  <c r="AB55" i="17"/>
  <c r="AA56" i="17"/>
  <c r="AB56" i="17"/>
  <c r="AA57" i="17"/>
  <c r="AB57" i="17"/>
  <c r="AA58" i="17"/>
  <c r="AB58" i="17"/>
  <c r="AA59" i="17"/>
  <c r="AB59" i="17"/>
  <c r="AA60" i="17"/>
  <c r="AB60" i="17"/>
  <c r="AA61" i="17"/>
  <c r="AB61" i="17"/>
  <c r="AA62" i="17"/>
  <c r="AB62" i="17"/>
  <c r="AA63" i="17"/>
  <c r="AB63" i="17"/>
  <c r="AA64" i="17"/>
  <c r="AB64" i="17"/>
  <c r="AA65" i="17"/>
  <c r="AB65" i="17"/>
  <c r="AA66" i="17"/>
  <c r="AB66" i="17"/>
  <c r="AA67" i="17"/>
  <c r="AB67" i="17"/>
  <c r="AA68" i="17"/>
  <c r="AB68" i="17"/>
  <c r="AA69" i="17"/>
  <c r="AB69" i="17"/>
  <c r="AA70" i="17"/>
  <c r="AB70" i="17"/>
  <c r="AA71" i="17"/>
  <c r="AB71" i="17"/>
  <c r="AA72" i="17"/>
  <c r="AB72" i="17"/>
  <c r="AA73" i="17"/>
  <c r="AB73" i="17"/>
  <c r="AA74" i="17"/>
  <c r="AB74" i="17"/>
  <c r="AA75" i="17"/>
  <c r="AB75" i="17"/>
  <c r="AA76" i="17"/>
  <c r="AB76" i="17"/>
  <c r="AA77" i="17"/>
  <c r="AB77" i="17"/>
  <c r="AA78" i="17"/>
  <c r="AB78" i="17"/>
  <c r="AA79" i="17"/>
  <c r="AB79" i="17"/>
  <c r="AA80" i="17"/>
  <c r="AB80" i="17"/>
  <c r="AA81" i="17"/>
  <c r="AB81" i="17"/>
  <c r="AA82" i="17"/>
  <c r="AB82" i="17"/>
  <c r="AA83" i="17"/>
  <c r="AB83" i="17"/>
  <c r="AA84" i="17"/>
  <c r="AB84" i="17"/>
  <c r="AA85" i="17"/>
  <c r="AB85" i="17"/>
  <c r="AA86" i="17"/>
  <c r="AB86" i="17"/>
  <c r="AA87" i="17"/>
  <c r="AB87" i="17"/>
  <c r="AA88" i="17"/>
  <c r="AB88" i="17"/>
  <c r="AA89" i="17"/>
  <c r="AB89" i="17"/>
  <c r="AA90" i="17"/>
  <c r="AB90" i="17"/>
  <c r="AA91" i="17"/>
  <c r="AB91" i="17"/>
  <c r="AA92" i="17"/>
  <c r="AB92" i="17"/>
  <c r="AA93" i="17"/>
  <c r="AB93" i="17"/>
  <c r="AA94" i="17"/>
  <c r="AB94" i="17"/>
  <c r="AA95" i="17"/>
  <c r="AB95" i="17"/>
  <c r="AA96" i="17"/>
  <c r="AB96" i="17"/>
  <c r="AA97" i="17"/>
  <c r="AB97" i="17"/>
  <c r="AA98" i="17"/>
  <c r="AB98" i="17"/>
  <c r="AA99" i="17"/>
  <c r="AB99" i="17"/>
  <c r="AA100" i="17"/>
  <c r="AB100" i="17"/>
  <c r="AA101" i="17"/>
  <c r="AB101" i="17"/>
  <c r="AA102" i="17"/>
  <c r="AB102" i="17"/>
  <c r="AA103" i="17"/>
  <c r="AB103" i="17"/>
  <c r="AA104" i="17"/>
  <c r="AB104" i="17"/>
  <c r="AA105" i="17"/>
  <c r="AB105" i="17"/>
  <c r="AA106" i="17"/>
  <c r="AB106" i="17"/>
  <c r="AA107" i="17"/>
  <c r="AB107" i="17"/>
  <c r="AA108" i="17"/>
  <c r="AB108" i="17"/>
  <c r="AA109" i="17"/>
  <c r="AB109" i="17"/>
  <c r="AA110" i="17"/>
  <c r="AB110" i="17"/>
  <c r="AA111" i="17"/>
  <c r="AB111" i="17"/>
  <c r="AA112" i="17"/>
  <c r="AB112" i="17"/>
  <c r="AA113" i="17"/>
  <c r="AB113" i="17"/>
  <c r="AA114" i="17"/>
  <c r="AB114" i="17"/>
  <c r="AA115" i="17"/>
  <c r="AB115" i="17"/>
  <c r="AA116" i="17"/>
  <c r="AB116" i="17"/>
  <c r="AA117" i="17"/>
  <c r="AB117" i="17"/>
  <c r="AA118" i="17"/>
  <c r="AB118" i="17"/>
  <c r="AA119" i="17"/>
  <c r="AB119" i="17"/>
  <c r="AA120" i="17"/>
  <c r="AB120" i="17"/>
  <c r="AA121" i="17"/>
  <c r="AB121" i="17"/>
  <c r="AA122" i="17"/>
  <c r="AB122" i="17"/>
  <c r="AA123" i="17"/>
  <c r="AB123" i="17"/>
  <c r="AA124" i="17"/>
  <c r="AB124" i="17"/>
  <c r="AA125" i="17"/>
  <c r="AB125" i="17"/>
  <c r="AA126" i="17"/>
  <c r="AB126" i="17"/>
  <c r="AA127" i="17"/>
  <c r="AB127" i="17"/>
  <c r="AA128" i="17"/>
  <c r="AB128" i="17"/>
  <c r="AA129" i="17"/>
  <c r="AB129" i="17"/>
  <c r="AA130" i="17"/>
  <c r="AB130" i="17"/>
  <c r="AA131" i="17"/>
  <c r="AB131" i="17"/>
  <c r="AA132" i="17"/>
  <c r="AB132" i="17"/>
  <c r="AA133" i="17"/>
  <c r="AB133" i="17"/>
  <c r="AA134" i="17"/>
  <c r="AB134" i="17"/>
  <c r="AA135" i="17"/>
  <c r="AB135" i="17"/>
  <c r="AA136" i="17"/>
  <c r="AB136" i="17"/>
  <c r="AA137" i="17"/>
  <c r="AB137" i="17"/>
  <c r="AA138" i="17"/>
  <c r="AB138" i="17"/>
  <c r="AA139" i="17"/>
  <c r="AB139" i="17"/>
  <c r="AA140" i="17"/>
  <c r="AB140" i="17"/>
  <c r="AA141" i="17"/>
  <c r="AB141" i="17"/>
  <c r="AA142" i="17"/>
  <c r="AB142" i="17"/>
  <c r="AA143" i="17"/>
  <c r="AB143" i="17"/>
  <c r="AA144" i="17"/>
  <c r="AB144" i="17"/>
  <c r="AA145" i="17"/>
  <c r="AB145" i="17"/>
  <c r="AA146" i="17"/>
  <c r="AB146" i="17"/>
  <c r="AA147" i="17"/>
  <c r="AB147" i="17"/>
  <c r="AA148" i="17"/>
  <c r="AB148" i="17"/>
  <c r="AA149" i="17"/>
  <c r="AB149" i="17"/>
  <c r="AA150" i="17"/>
  <c r="AB150" i="17"/>
  <c r="AA151" i="17"/>
  <c r="AB151" i="17"/>
  <c r="AA152" i="17"/>
  <c r="AB152" i="17"/>
  <c r="AA153" i="17"/>
  <c r="AB153" i="17"/>
  <c r="AA154" i="17"/>
  <c r="AB154" i="17"/>
  <c r="AA155" i="17"/>
  <c r="AB155" i="17"/>
  <c r="AA156" i="17"/>
  <c r="AB156" i="17"/>
  <c r="AA157" i="17"/>
  <c r="AB157" i="17"/>
  <c r="AA158" i="17"/>
  <c r="AB158" i="17"/>
  <c r="AA159" i="17"/>
  <c r="AB159" i="17"/>
  <c r="AA160" i="17"/>
  <c r="AB160" i="17"/>
  <c r="AA161" i="17"/>
  <c r="AB161" i="17"/>
  <c r="AA162" i="17"/>
  <c r="AB162" i="17"/>
  <c r="AA163" i="17"/>
  <c r="AB163" i="17"/>
  <c r="AA164" i="17"/>
  <c r="AB164" i="17"/>
  <c r="AA165" i="17"/>
  <c r="AB165" i="17"/>
  <c r="AA166" i="17"/>
  <c r="AB166" i="17"/>
  <c r="AA167" i="17"/>
  <c r="AB167" i="17"/>
  <c r="AA168" i="17"/>
  <c r="AB168" i="17"/>
  <c r="AA169" i="17"/>
  <c r="AB169" i="17"/>
  <c r="AA170" i="17"/>
  <c r="AB170" i="17"/>
  <c r="AA171" i="17"/>
  <c r="AB171" i="17"/>
  <c r="AA172" i="17"/>
  <c r="AB172" i="17"/>
  <c r="AA173" i="17"/>
  <c r="AB173" i="17"/>
  <c r="AA174" i="17"/>
  <c r="AB174" i="17"/>
  <c r="AA175" i="17"/>
  <c r="AB175" i="17"/>
  <c r="AA176" i="17"/>
  <c r="AB176" i="17"/>
  <c r="AA177" i="17"/>
  <c r="AB177" i="17"/>
  <c r="AA178" i="17"/>
  <c r="AB178" i="17"/>
  <c r="AA179" i="17"/>
  <c r="AB179" i="17"/>
  <c r="AA180" i="17"/>
  <c r="AB180" i="17"/>
  <c r="AA181" i="17"/>
  <c r="AB181" i="17"/>
  <c r="AA182" i="17"/>
  <c r="AB182" i="17"/>
  <c r="AA183" i="17"/>
  <c r="AB183" i="17"/>
  <c r="AA184" i="17"/>
  <c r="AB184" i="17"/>
  <c r="AA185" i="17"/>
  <c r="AB185" i="17"/>
  <c r="AA186" i="17"/>
  <c r="AB186" i="17"/>
  <c r="AA187" i="17"/>
  <c r="AB187" i="17"/>
  <c r="AA188" i="17"/>
  <c r="AB188" i="17"/>
  <c r="AA189" i="17"/>
  <c r="AB189" i="17"/>
  <c r="AA190" i="17"/>
  <c r="AB190" i="17"/>
  <c r="AA191" i="17"/>
  <c r="AB191" i="17"/>
  <c r="AA192" i="17"/>
  <c r="AB192" i="17"/>
  <c r="AA193" i="17"/>
  <c r="AB193" i="17"/>
  <c r="AA194" i="17"/>
  <c r="AB194" i="17"/>
  <c r="AA195" i="17"/>
  <c r="AB195" i="17"/>
  <c r="AA196" i="17"/>
  <c r="AB196" i="17"/>
  <c r="AA197" i="17"/>
  <c r="AB197" i="17"/>
  <c r="AA198" i="17"/>
  <c r="AB198" i="17"/>
  <c r="AA199" i="17"/>
  <c r="AB199" i="17"/>
  <c r="AA200" i="17"/>
  <c r="AB200" i="17"/>
  <c r="AA201" i="17"/>
  <c r="AB201" i="17"/>
  <c r="AA202" i="17"/>
  <c r="AB202" i="17"/>
  <c r="AA203" i="17"/>
  <c r="AB203" i="17"/>
  <c r="AA204" i="17"/>
  <c r="AB204" i="17"/>
  <c r="AA205" i="17"/>
  <c r="AB205" i="17"/>
  <c r="AA206" i="17"/>
  <c r="AB206" i="17"/>
  <c r="AA207" i="17"/>
  <c r="AB207" i="17"/>
  <c r="AA208" i="17"/>
  <c r="AB208" i="17"/>
  <c r="AA209" i="17"/>
  <c r="AB209" i="17"/>
  <c r="AA210" i="17"/>
  <c r="AB210" i="17"/>
  <c r="AA211" i="17"/>
  <c r="AB211" i="17"/>
  <c r="AA212" i="17"/>
  <c r="AB212" i="17"/>
  <c r="AA213" i="17"/>
  <c r="AB213" i="17"/>
  <c r="AA214" i="17"/>
  <c r="AB214" i="17"/>
  <c r="AA215" i="17"/>
  <c r="AB215" i="17"/>
  <c r="AA216" i="17"/>
  <c r="AB216" i="17"/>
  <c r="AA217" i="17"/>
  <c r="AB217" i="17"/>
  <c r="AA218" i="17"/>
  <c r="AB218" i="17"/>
  <c r="AA219" i="17"/>
  <c r="AB219" i="17"/>
  <c r="AA220" i="17"/>
  <c r="AB220" i="17"/>
  <c r="AA221" i="17"/>
  <c r="AB221" i="17"/>
  <c r="AA222" i="17"/>
  <c r="AB222" i="17"/>
  <c r="AA223" i="17"/>
  <c r="AB223" i="17"/>
  <c r="AA224" i="17"/>
  <c r="AB224" i="17"/>
  <c r="AA225" i="17"/>
  <c r="AB225" i="17"/>
  <c r="AA226" i="17"/>
  <c r="AB226" i="17"/>
  <c r="AA227" i="17"/>
  <c r="AB227" i="17"/>
  <c r="AA228" i="17"/>
  <c r="AB228" i="17"/>
  <c r="AA229" i="17"/>
  <c r="AB229" i="17"/>
  <c r="AA230" i="17"/>
  <c r="AB230" i="17"/>
  <c r="AA231" i="17"/>
  <c r="AB231" i="17"/>
  <c r="AA232" i="17"/>
  <c r="AB232" i="17"/>
  <c r="AA233" i="17"/>
  <c r="AB233" i="17"/>
  <c r="AA234" i="17"/>
  <c r="AB234" i="17"/>
  <c r="AA235" i="17"/>
  <c r="AB235" i="17"/>
  <c r="AA236" i="17"/>
  <c r="AB236" i="17"/>
  <c r="AA237" i="17"/>
  <c r="AB237" i="17"/>
  <c r="AA238" i="17"/>
  <c r="AB238" i="17"/>
  <c r="AA239" i="17"/>
  <c r="AB239" i="17"/>
  <c r="AA240" i="17"/>
  <c r="AB240" i="17"/>
  <c r="AA241" i="17"/>
  <c r="AB241" i="17"/>
  <c r="AA242" i="17"/>
  <c r="AB242" i="17"/>
  <c r="AA243" i="17"/>
  <c r="AB243" i="17"/>
  <c r="AA244" i="17"/>
  <c r="AB244" i="17"/>
  <c r="AA245" i="17"/>
  <c r="AB245" i="17"/>
  <c r="AA246" i="17"/>
  <c r="AB246" i="17"/>
  <c r="AA247" i="17"/>
  <c r="AB247" i="17"/>
  <c r="AA248" i="17"/>
  <c r="AB248" i="17"/>
  <c r="AA249" i="17"/>
  <c r="AB249" i="17"/>
  <c r="AA250" i="17"/>
  <c r="AB250" i="17"/>
  <c r="AA251" i="17"/>
  <c r="AB251" i="17"/>
  <c r="AA252" i="17"/>
  <c r="AB252" i="17"/>
  <c r="AA253" i="17"/>
  <c r="AB253" i="17"/>
  <c r="AA254" i="17"/>
  <c r="AB254" i="17"/>
  <c r="AA255" i="17"/>
  <c r="AB255" i="17"/>
  <c r="AA256" i="17"/>
  <c r="AB256" i="17"/>
  <c r="AA257" i="17"/>
  <c r="AB257" i="17"/>
  <c r="AA258" i="17"/>
  <c r="AB258" i="17"/>
  <c r="AA259" i="17"/>
  <c r="AB259" i="17"/>
  <c r="AA260" i="17"/>
  <c r="AB260" i="17"/>
  <c r="AA261" i="17"/>
  <c r="AB261" i="17"/>
  <c r="AA262" i="17"/>
  <c r="AB262" i="17"/>
  <c r="AA263" i="17"/>
  <c r="AB263" i="17"/>
  <c r="AA264" i="17"/>
  <c r="AB264" i="17"/>
  <c r="AA265" i="17"/>
  <c r="AB265" i="17"/>
  <c r="AA266" i="17"/>
  <c r="AB266" i="17"/>
  <c r="AA267" i="17"/>
  <c r="AB267" i="17"/>
  <c r="AA268" i="17"/>
  <c r="AB268" i="17"/>
  <c r="AA269" i="17"/>
  <c r="AB269" i="17"/>
  <c r="AA270" i="17"/>
  <c r="AB270" i="17"/>
  <c r="AA271" i="17"/>
  <c r="AB271" i="17"/>
  <c r="AA272" i="17"/>
  <c r="AB272" i="17"/>
  <c r="AA273" i="17"/>
  <c r="AB273" i="17"/>
  <c r="AA274" i="17"/>
  <c r="AB274" i="17"/>
  <c r="AA275" i="17"/>
  <c r="AB275" i="17"/>
  <c r="AA276" i="17"/>
  <c r="AB276" i="17"/>
  <c r="AA277" i="17"/>
  <c r="AB277" i="17"/>
  <c r="AA278" i="17"/>
  <c r="AB278" i="17"/>
  <c r="AA279" i="17"/>
  <c r="AB279" i="17"/>
  <c r="AA280" i="17"/>
  <c r="AB280" i="17"/>
  <c r="AA281" i="17"/>
  <c r="AB281" i="17"/>
  <c r="AA282" i="17"/>
  <c r="AB282" i="17"/>
  <c r="AA283" i="17"/>
  <c r="AB283" i="17"/>
  <c r="AA284" i="17"/>
  <c r="AB284" i="17"/>
  <c r="AA285" i="17"/>
  <c r="AB285" i="17"/>
  <c r="AA286" i="17"/>
  <c r="AB286" i="17"/>
  <c r="AA287" i="17"/>
  <c r="AB287" i="17"/>
  <c r="AA288" i="17"/>
  <c r="AB288" i="17"/>
  <c r="AA289" i="17"/>
  <c r="AB289" i="17"/>
  <c r="AA290" i="17"/>
  <c r="AB290" i="17"/>
  <c r="AA291" i="17"/>
  <c r="AB291" i="17"/>
  <c r="AA292" i="17"/>
  <c r="AB292" i="17"/>
  <c r="AA293" i="17"/>
  <c r="AB293" i="17"/>
  <c r="AA294" i="17"/>
  <c r="AB294" i="17"/>
  <c r="AA295" i="17"/>
  <c r="AB295" i="17"/>
  <c r="AA296" i="17"/>
  <c r="AB296" i="17"/>
  <c r="AA297" i="17"/>
  <c r="AB297" i="17"/>
  <c r="AA298" i="17"/>
  <c r="AB298" i="17"/>
  <c r="AA299" i="17"/>
  <c r="AB299" i="17"/>
  <c r="AA300" i="17"/>
  <c r="AB300" i="17"/>
  <c r="AA301" i="17"/>
  <c r="AB301" i="17"/>
  <c r="AA302" i="17"/>
  <c r="AB302" i="17"/>
  <c r="AA303" i="17"/>
  <c r="AB303" i="17"/>
  <c r="AA304" i="17"/>
  <c r="AB304" i="17"/>
  <c r="AA305" i="17"/>
  <c r="AB305" i="17"/>
  <c r="AA306" i="17"/>
  <c r="AB306" i="17"/>
  <c r="AA307" i="17"/>
  <c r="AB307" i="17"/>
  <c r="AA308" i="17"/>
  <c r="AB308" i="17"/>
  <c r="AA309" i="17"/>
  <c r="AB309" i="17"/>
  <c r="AA310" i="17"/>
  <c r="AB310" i="17"/>
  <c r="AA311" i="17"/>
  <c r="AB311" i="17"/>
  <c r="AA312" i="17"/>
  <c r="AB312" i="17"/>
  <c r="AA313" i="17"/>
  <c r="AB313" i="17"/>
  <c r="AA314" i="17"/>
  <c r="AB314" i="17"/>
  <c r="AA315" i="17"/>
  <c r="AB315" i="17"/>
  <c r="AA316" i="17"/>
  <c r="AB316" i="17"/>
  <c r="AA317" i="17"/>
  <c r="AB317" i="17"/>
  <c r="AA318" i="17"/>
  <c r="AB318" i="17"/>
  <c r="AA319" i="17"/>
  <c r="AB319" i="17"/>
  <c r="AA320" i="17"/>
  <c r="AB320" i="17"/>
  <c r="AA321" i="17"/>
  <c r="AB321" i="17"/>
  <c r="AA322" i="17"/>
  <c r="AB322" i="17"/>
  <c r="AA323" i="17"/>
  <c r="AB323" i="17"/>
  <c r="AA324" i="17"/>
  <c r="AB324" i="17"/>
  <c r="AA325" i="17"/>
  <c r="AB325" i="17"/>
  <c r="AA326" i="17"/>
  <c r="AB326" i="17"/>
  <c r="AA327" i="17"/>
  <c r="AB327" i="17"/>
  <c r="AA328" i="17"/>
  <c r="AB328" i="17"/>
  <c r="AA329" i="17"/>
  <c r="AB329" i="17"/>
  <c r="AA330" i="17"/>
  <c r="AB330" i="17"/>
  <c r="AA331" i="17"/>
  <c r="AB331" i="17"/>
  <c r="AA332" i="17"/>
  <c r="AB332" i="17"/>
  <c r="AA333" i="17"/>
  <c r="AB333" i="17"/>
  <c r="AA334" i="17"/>
  <c r="AB334" i="17"/>
  <c r="AA335" i="17"/>
  <c r="AB335" i="17"/>
  <c r="AA336" i="17"/>
  <c r="AB336" i="17"/>
  <c r="AA337" i="17"/>
  <c r="AB337" i="17"/>
  <c r="AA338" i="17"/>
  <c r="AB338" i="17"/>
  <c r="AA339" i="17"/>
  <c r="AB339" i="17"/>
  <c r="AA340" i="17"/>
  <c r="AB340" i="17"/>
  <c r="AA341" i="17"/>
  <c r="AB341" i="17"/>
  <c r="AA342" i="17"/>
  <c r="AB342" i="17"/>
  <c r="AA343" i="17"/>
  <c r="AB343" i="17"/>
  <c r="AA344" i="17"/>
  <c r="AB344" i="17"/>
  <c r="AA345" i="17"/>
  <c r="AB345" i="17"/>
  <c r="AA346" i="17"/>
  <c r="AB346" i="17"/>
  <c r="AA347" i="17"/>
  <c r="AB347" i="17"/>
  <c r="AA348" i="17"/>
  <c r="AB348" i="17"/>
  <c r="AA349" i="17"/>
  <c r="AB349" i="17"/>
  <c r="AA350" i="17"/>
  <c r="AB350" i="17"/>
  <c r="AA351" i="17"/>
  <c r="AB351" i="17"/>
  <c r="AA352" i="17"/>
  <c r="AB352" i="17"/>
  <c r="AA353" i="17"/>
  <c r="AB353" i="17"/>
  <c r="AA354" i="17"/>
  <c r="AB354" i="17"/>
  <c r="AA355" i="17"/>
  <c r="AB355" i="17"/>
  <c r="AA356" i="17"/>
  <c r="AB356" i="17"/>
  <c r="AA357" i="17"/>
  <c r="AB357" i="17"/>
  <c r="AA358" i="17"/>
  <c r="AB358" i="17"/>
  <c r="AA359" i="17"/>
  <c r="AB359" i="17"/>
  <c r="AA360" i="17"/>
  <c r="AB360" i="17"/>
  <c r="AA361" i="17"/>
  <c r="AB361" i="17"/>
  <c r="AA362" i="17"/>
  <c r="AB362" i="17"/>
  <c r="AA363" i="17"/>
  <c r="AB363" i="17"/>
  <c r="AA364" i="17"/>
  <c r="AB364" i="17"/>
  <c r="AA365" i="17"/>
  <c r="AB365" i="17"/>
  <c r="AA366" i="17"/>
  <c r="AB366" i="17"/>
  <c r="AA367" i="17"/>
  <c r="AB367" i="17"/>
  <c r="AA368" i="17"/>
  <c r="AB368" i="17"/>
  <c r="AA369" i="17"/>
  <c r="AB369" i="17"/>
  <c r="AA370" i="17"/>
  <c r="AB370" i="17"/>
  <c r="AA371" i="17"/>
  <c r="AB371" i="17"/>
  <c r="AA372" i="17"/>
  <c r="AB372" i="17"/>
  <c r="AA373" i="17"/>
  <c r="AB373" i="17"/>
  <c r="AA374" i="17"/>
  <c r="AB374" i="17"/>
  <c r="AA375" i="17"/>
  <c r="AB375" i="17"/>
  <c r="AA376" i="17"/>
  <c r="AB376" i="17"/>
  <c r="AA377" i="17"/>
  <c r="AB377" i="17"/>
  <c r="AA378" i="17"/>
  <c r="AB378" i="17"/>
  <c r="AA379" i="17"/>
  <c r="AB379" i="17"/>
  <c r="AA380" i="17"/>
  <c r="AB380" i="17"/>
  <c r="AA381" i="17"/>
  <c r="AB381" i="17"/>
  <c r="AA382" i="17"/>
  <c r="AB382" i="17"/>
  <c r="AA383" i="17"/>
  <c r="AB383" i="17"/>
  <c r="AA384" i="17"/>
  <c r="AB384" i="17"/>
  <c r="AA385" i="17"/>
  <c r="AB385" i="17"/>
  <c r="AA386" i="17"/>
  <c r="AB386" i="17"/>
  <c r="AA387" i="17"/>
  <c r="AB387" i="17"/>
  <c r="AA388" i="17"/>
  <c r="AB388" i="17"/>
  <c r="AA389" i="17"/>
  <c r="AB389" i="17"/>
  <c r="AA390" i="17"/>
  <c r="AB390" i="17"/>
  <c r="AA391" i="17"/>
  <c r="AB391" i="17"/>
  <c r="AA392" i="17"/>
  <c r="AB392" i="17"/>
  <c r="AA393" i="17"/>
  <c r="AB393" i="17"/>
  <c r="AA394" i="17"/>
  <c r="AB394" i="17"/>
  <c r="AA395" i="17"/>
  <c r="AB395" i="17"/>
  <c r="AA396" i="17"/>
  <c r="AB396" i="17"/>
  <c r="AA397" i="17"/>
  <c r="AB397" i="17"/>
  <c r="AA398" i="17"/>
  <c r="AB398" i="17"/>
  <c r="AA2" i="17"/>
  <c r="AB2" i="17"/>
  <c r="Y3" i="17"/>
  <c r="Z3" i="17"/>
  <c r="Y4" i="17"/>
  <c r="Z4" i="17"/>
  <c r="Y5" i="17"/>
  <c r="Z5" i="17"/>
  <c r="Y6" i="17"/>
  <c r="Z6" i="17"/>
  <c r="Y7" i="17"/>
  <c r="Z7" i="17"/>
  <c r="Y8" i="17"/>
  <c r="Z8" i="17"/>
  <c r="Y9" i="17"/>
  <c r="Z9" i="17"/>
  <c r="Y10" i="17"/>
  <c r="Z10" i="17"/>
  <c r="Y11" i="17"/>
  <c r="Z11" i="17"/>
  <c r="Y12" i="17"/>
  <c r="Z12" i="17"/>
  <c r="Y13" i="17"/>
  <c r="Z13" i="17"/>
  <c r="Y14" i="17"/>
  <c r="Z14" i="17"/>
  <c r="Y15" i="17"/>
  <c r="Z15" i="17"/>
  <c r="Y16" i="17"/>
  <c r="Z16" i="17"/>
  <c r="Y17" i="17"/>
  <c r="Z17" i="17"/>
  <c r="Y18" i="17"/>
  <c r="Z18" i="17"/>
  <c r="Y19" i="17"/>
  <c r="Z19" i="17"/>
  <c r="Y20" i="17"/>
  <c r="Z20" i="17"/>
  <c r="Y21" i="17"/>
  <c r="Z21" i="17"/>
  <c r="Y22" i="17"/>
  <c r="Z22" i="17"/>
  <c r="Y23" i="17"/>
  <c r="Z23" i="17"/>
  <c r="Y24" i="17"/>
  <c r="Z24" i="17"/>
  <c r="Y25" i="17"/>
  <c r="Z25" i="17"/>
  <c r="Y26" i="17"/>
  <c r="Z26" i="17"/>
  <c r="Y27" i="17"/>
  <c r="Z27" i="17"/>
  <c r="Y28" i="17"/>
  <c r="Z28" i="17"/>
  <c r="Y29" i="17"/>
  <c r="Z29" i="17"/>
  <c r="Y30" i="17"/>
  <c r="Z30" i="17"/>
  <c r="Y31" i="17"/>
  <c r="Z31" i="17"/>
  <c r="Y32" i="17"/>
  <c r="Z32" i="17"/>
  <c r="Y33" i="17"/>
  <c r="Z33" i="17"/>
  <c r="Y34" i="17"/>
  <c r="Z34" i="17"/>
  <c r="Y35" i="17"/>
  <c r="Z35" i="17"/>
  <c r="Y36" i="17"/>
  <c r="Z36" i="17"/>
  <c r="Y37" i="17"/>
  <c r="Z37" i="17"/>
  <c r="Y38" i="17"/>
  <c r="Z38" i="17"/>
  <c r="Y39" i="17"/>
  <c r="Z39" i="17"/>
  <c r="Y40" i="17"/>
  <c r="Z40" i="17"/>
  <c r="Y41" i="17"/>
  <c r="Z41" i="17"/>
  <c r="Y42" i="17"/>
  <c r="Z42" i="17"/>
  <c r="Y43" i="17"/>
  <c r="Z43" i="17"/>
  <c r="Y44" i="17"/>
  <c r="Z44" i="17"/>
  <c r="Y45" i="17"/>
  <c r="Z45" i="17"/>
  <c r="Y46" i="17"/>
  <c r="Z46" i="17"/>
  <c r="Y47" i="17"/>
  <c r="Z47" i="17"/>
  <c r="Y48" i="17"/>
  <c r="Z48" i="17"/>
  <c r="Y49" i="17"/>
  <c r="Z49" i="17"/>
  <c r="Y50" i="17"/>
  <c r="Z50" i="17"/>
  <c r="Y51" i="17"/>
  <c r="Z51" i="17"/>
  <c r="Y52" i="17"/>
  <c r="Z52" i="17"/>
  <c r="Y53" i="17"/>
  <c r="Z53" i="17"/>
  <c r="Y54" i="17"/>
  <c r="Z54" i="17"/>
  <c r="Y55" i="17"/>
  <c r="Z55" i="17"/>
  <c r="Y56" i="17"/>
  <c r="Z56" i="17"/>
  <c r="Y57" i="17"/>
  <c r="Z57" i="17"/>
  <c r="Y58" i="17"/>
  <c r="Z58" i="17"/>
  <c r="Y59" i="17"/>
  <c r="Z59" i="17"/>
  <c r="Y60" i="17"/>
  <c r="Z60" i="17"/>
  <c r="Y61" i="17"/>
  <c r="Z61" i="17"/>
  <c r="Y62" i="17"/>
  <c r="Z62" i="17"/>
  <c r="Y63" i="17"/>
  <c r="Z63" i="17"/>
  <c r="Y64" i="17"/>
  <c r="Z64" i="17"/>
  <c r="Y65" i="17"/>
  <c r="Z65" i="17"/>
  <c r="Y66" i="17"/>
  <c r="Z66" i="17"/>
  <c r="Y67" i="17"/>
  <c r="Z67" i="17"/>
  <c r="Y68" i="17"/>
  <c r="Z68" i="17"/>
  <c r="Y69" i="17"/>
  <c r="Z69" i="17"/>
  <c r="Y70" i="17"/>
  <c r="Z70" i="17"/>
  <c r="Y71" i="17"/>
  <c r="Z71" i="17"/>
  <c r="Y72" i="17"/>
  <c r="Z72" i="17"/>
  <c r="Y73" i="17"/>
  <c r="Z73" i="17"/>
  <c r="Y74" i="17"/>
  <c r="Z74" i="17"/>
  <c r="Y75" i="17"/>
  <c r="Z75" i="17"/>
  <c r="Y76" i="17"/>
  <c r="Z76" i="17"/>
  <c r="Y77" i="17"/>
  <c r="Z77" i="17"/>
  <c r="Y78" i="17"/>
  <c r="Z78" i="17"/>
  <c r="Y79" i="17"/>
  <c r="Z79" i="17"/>
  <c r="Y80" i="17"/>
  <c r="Z80" i="17"/>
  <c r="Y81" i="17"/>
  <c r="Z81" i="17"/>
  <c r="Y82" i="17"/>
  <c r="Z82" i="17"/>
  <c r="Y83" i="17"/>
  <c r="Z83" i="17"/>
  <c r="Y84" i="17"/>
  <c r="Z84" i="17"/>
  <c r="Y85" i="17"/>
  <c r="Z85" i="17"/>
  <c r="Y86" i="17"/>
  <c r="Z86" i="17"/>
  <c r="Y87" i="17"/>
  <c r="Z87" i="17"/>
  <c r="Y88" i="17"/>
  <c r="Z88" i="17"/>
  <c r="Y89" i="17"/>
  <c r="Z89" i="17"/>
  <c r="Y90" i="17"/>
  <c r="Z90" i="17"/>
  <c r="Y91" i="17"/>
  <c r="Z91" i="17"/>
  <c r="Y92" i="17"/>
  <c r="Z92" i="17"/>
  <c r="Y93" i="17"/>
  <c r="Z93" i="17"/>
  <c r="Y94" i="17"/>
  <c r="Z94" i="17"/>
  <c r="Y95" i="17"/>
  <c r="Z95" i="17"/>
  <c r="Y96" i="17"/>
  <c r="Z96" i="17"/>
  <c r="Y97" i="17"/>
  <c r="Z97" i="17"/>
  <c r="Y98" i="17"/>
  <c r="Z98" i="17"/>
  <c r="Y99" i="17"/>
  <c r="Z99" i="17"/>
  <c r="Y100" i="17"/>
  <c r="Z100" i="17"/>
  <c r="Y101" i="17"/>
  <c r="Z101" i="17"/>
  <c r="Y102" i="17"/>
  <c r="Z102" i="17"/>
  <c r="Y103" i="17"/>
  <c r="Z103" i="17"/>
  <c r="Y104" i="17"/>
  <c r="Z104" i="17"/>
  <c r="Y105" i="17"/>
  <c r="Z105" i="17"/>
  <c r="Y106" i="17"/>
  <c r="Z106" i="17"/>
  <c r="Y107" i="17"/>
  <c r="Z107" i="17"/>
  <c r="Y108" i="17"/>
  <c r="Z108" i="17"/>
  <c r="Y109" i="17"/>
  <c r="Z109" i="17"/>
  <c r="Y110" i="17"/>
  <c r="Z110" i="17"/>
  <c r="Y111" i="17"/>
  <c r="Z111" i="17"/>
  <c r="Y112" i="17"/>
  <c r="Z112" i="17"/>
  <c r="Y113" i="17"/>
  <c r="Z113" i="17"/>
  <c r="Y114" i="17"/>
  <c r="Z114" i="17"/>
  <c r="Y115" i="17"/>
  <c r="Z115" i="17"/>
  <c r="Y116" i="17"/>
  <c r="Z116" i="17"/>
  <c r="Y117" i="17"/>
  <c r="Z117" i="17"/>
  <c r="Y118" i="17"/>
  <c r="Z118" i="17"/>
  <c r="Y119" i="17"/>
  <c r="Z119" i="17"/>
  <c r="Y120" i="17"/>
  <c r="Z120" i="17"/>
  <c r="Y121" i="17"/>
  <c r="Z121" i="17"/>
  <c r="Y122" i="17"/>
  <c r="Z122" i="17"/>
  <c r="Y123" i="17"/>
  <c r="Z123" i="17"/>
  <c r="Y124" i="17"/>
  <c r="Z124" i="17"/>
  <c r="Y125" i="17"/>
  <c r="Z125" i="17"/>
  <c r="Y126" i="17"/>
  <c r="Z126" i="17"/>
  <c r="Y127" i="17"/>
  <c r="Z127" i="17"/>
  <c r="Y128" i="17"/>
  <c r="Z128" i="17"/>
  <c r="Y129" i="17"/>
  <c r="Z129" i="17"/>
  <c r="Y130" i="17"/>
  <c r="Z130" i="17"/>
  <c r="Y131" i="17"/>
  <c r="Z131" i="17"/>
  <c r="Y132" i="17"/>
  <c r="Z132" i="17"/>
  <c r="Y133" i="17"/>
  <c r="Z133" i="17"/>
  <c r="Y134" i="17"/>
  <c r="Z134" i="17"/>
  <c r="Y135" i="17"/>
  <c r="Z135" i="17"/>
  <c r="Y136" i="17"/>
  <c r="Z136" i="17"/>
  <c r="Y137" i="17"/>
  <c r="Z137" i="17"/>
  <c r="Y138" i="17"/>
  <c r="Z138" i="17"/>
  <c r="Y139" i="17"/>
  <c r="Z139" i="17"/>
  <c r="Y140" i="17"/>
  <c r="Z140" i="17"/>
  <c r="Y141" i="17"/>
  <c r="Z141" i="17"/>
  <c r="Y142" i="17"/>
  <c r="Z142" i="17"/>
  <c r="Y143" i="17"/>
  <c r="Z143" i="17"/>
  <c r="Y144" i="17"/>
  <c r="Z144" i="17"/>
  <c r="Y145" i="17"/>
  <c r="Z145" i="17"/>
  <c r="Y146" i="17"/>
  <c r="Z146" i="17"/>
  <c r="Y147" i="17"/>
  <c r="Z147" i="17"/>
  <c r="Y148" i="17"/>
  <c r="Z148" i="17"/>
  <c r="Y149" i="17"/>
  <c r="Z149" i="17"/>
  <c r="Y150" i="17"/>
  <c r="Z150" i="17"/>
  <c r="Y151" i="17"/>
  <c r="Z151" i="17"/>
  <c r="Y152" i="17"/>
  <c r="Z152" i="17"/>
  <c r="Y153" i="17"/>
  <c r="Z153" i="17"/>
  <c r="Y154" i="17"/>
  <c r="Z154" i="17"/>
  <c r="Y155" i="17"/>
  <c r="Z155" i="17"/>
  <c r="Y156" i="17"/>
  <c r="Z156" i="17"/>
  <c r="Y157" i="17"/>
  <c r="Z157" i="17"/>
  <c r="Y158" i="17"/>
  <c r="Z158" i="17"/>
  <c r="Y159" i="17"/>
  <c r="Z159" i="17"/>
  <c r="Y160" i="17"/>
  <c r="Z160" i="17"/>
  <c r="Y161" i="17"/>
  <c r="Z161" i="17"/>
  <c r="Y162" i="17"/>
  <c r="Z162" i="17"/>
  <c r="Y163" i="17"/>
  <c r="Z163" i="17"/>
  <c r="Y164" i="17"/>
  <c r="Z164" i="17"/>
  <c r="Y165" i="17"/>
  <c r="Z165" i="17"/>
  <c r="Y166" i="17"/>
  <c r="Z166" i="17"/>
  <c r="Y167" i="17"/>
  <c r="Z167" i="17"/>
  <c r="Y168" i="17"/>
  <c r="Z168" i="17"/>
  <c r="Y169" i="17"/>
  <c r="Z169" i="17"/>
  <c r="Y170" i="17"/>
  <c r="Z170" i="17"/>
  <c r="Y171" i="17"/>
  <c r="Z171" i="17"/>
  <c r="Y172" i="17"/>
  <c r="Z172" i="17"/>
  <c r="Y173" i="17"/>
  <c r="Z173" i="17"/>
  <c r="Y174" i="17"/>
  <c r="Z174" i="17"/>
  <c r="Y175" i="17"/>
  <c r="Z175" i="17"/>
  <c r="Y176" i="17"/>
  <c r="Z176" i="17"/>
  <c r="Y177" i="17"/>
  <c r="Z177" i="17"/>
  <c r="Y178" i="17"/>
  <c r="Z178" i="17"/>
  <c r="Y179" i="17"/>
  <c r="Z179" i="17"/>
  <c r="Y180" i="17"/>
  <c r="Z180" i="17"/>
  <c r="Y181" i="17"/>
  <c r="Z181" i="17"/>
  <c r="Y182" i="17"/>
  <c r="Z182" i="17"/>
  <c r="Y183" i="17"/>
  <c r="Z183" i="17"/>
  <c r="Y184" i="17"/>
  <c r="Z184" i="17"/>
  <c r="Y185" i="17"/>
  <c r="Z185" i="17"/>
  <c r="Y186" i="17"/>
  <c r="Z186" i="17"/>
  <c r="Y187" i="17"/>
  <c r="Z187" i="17"/>
  <c r="Y188" i="17"/>
  <c r="Z188" i="17"/>
  <c r="Y189" i="17"/>
  <c r="Z189" i="17"/>
  <c r="Y190" i="17"/>
  <c r="Z190" i="17"/>
  <c r="Y191" i="17"/>
  <c r="Z191" i="17"/>
  <c r="Y192" i="17"/>
  <c r="Z192" i="17"/>
  <c r="Y193" i="17"/>
  <c r="Z193" i="17"/>
  <c r="Y194" i="17"/>
  <c r="Z194" i="17"/>
  <c r="Y195" i="17"/>
  <c r="Z195" i="17"/>
  <c r="Y196" i="17"/>
  <c r="Z196" i="17"/>
  <c r="Y197" i="17"/>
  <c r="Z197" i="17"/>
  <c r="Y198" i="17"/>
  <c r="Z198" i="17"/>
  <c r="Y199" i="17"/>
  <c r="Z199" i="17"/>
  <c r="Y200" i="17"/>
  <c r="Z200" i="17"/>
  <c r="Y201" i="17"/>
  <c r="Z201" i="17"/>
  <c r="Y202" i="17"/>
  <c r="Z202" i="17"/>
  <c r="Y203" i="17"/>
  <c r="Z203" i="17"/>
  <c r="Y204" i="17"/>
  <c r="Z204" i="17"/>
  <c r="Y205" i="17"/>
  <c r="Z205" i="17"/>
  <c r="Y206" i="17"/>
  <c r="Z206" i="17"/>
  <c r="Y207" i="17"/>
  <c r="Z207" i="17"/>
  <c r="Y208" i="17"/>
  <c r="Z208" i="17"/>
  <c r="Y209" i="17"/>
  <c r="Z209" i="17"/>
  <c r="Y210" i="17"/>
  <c r="Z210" i="17"/>
  <c r="Y211" i="17"/>
  <c r="Z211" i="17"/>
  <c r="Y212" i="17"/>
  <c r="Z212" i="17"/>
  <c r="Y213" i="17"/>
  <c r="Z213" i="17"/>
  <c r="Y214" i="17"/>
  <c r="Z214" i="17"/>
  <c r="Y215" i="17"/>
  <c r="Z215" i="17"/>
  <c r="Y216" i="17"/>
  <c r="Z216" i="17"/>
  <c r="Y217" i="17"/>
  <c r="Z217" i="17"/>
  <c r="Y218" i="17"/>
  <c r="Z218" i="17"/>
  <c r="Y219" i="17"/>
  <c r="Z219" i="17"/>
  <c r="Y220" i="17"/>
  <c r="Z220" i="17"/>
  <c r="Y221" i="17"/>
  <c r="Z221" i="17"/>
  <c r="Y222" i="17"/>
  <c r="Z222" i="17"/>
  <c r="Y223" i="17"/>
  <c r="Z223" i="17"/>
  <c r="Y224" i="17"/>
  <c r="Z224" i="17"/>
  <c r="Y225" i="17"/>
  <c r="Z225" i="17"/>
  <c r="Y226" i="17"/>
  <c r="Z226" i="17"/>
  <c r="Y227" i="17"/>
  <c r="Z227" i="17"/>
  <c r="Y228" i="17"/>
  <c r="Z228" i="17"/>
  <c r="Y229" i="17"/>
  <c r="Z229" i="17"/>
  <c r="Y230" i="17"/>
  <c r="Z230" i="17"/>
  <c r="Y231" i="17"/>
  <c r="Z231" i="17"/>
  <c r="Y232" i="17"/>
  <c r="Z232" i="17"/>
  <c r="Y233" i="17"/>
  <c r="Z233" i="17"/>
  <c r="Y234" i="17"/>
  <c r="Z234" i="17"/>
  <c r="Y235" i="17"/>
  <c r="Z235" i="17"/>
  <c r="Y236" i="17"/>
  <c r="Z236" i="17"/>
  <c r="Y237" i="17"/>
  <c r="Z237" i="17"/>
  <c r="Y238" i="17"/>
  <c r="Z238" i="17"/>
  <c r="Y239" i="17"/>
  <c r="Z239" i="17"/>
  <c r="Y240" i="17"/>
  <c r="Z240" i="17"/>
  <c r="Y241" i="17"/>
  <c r="Z241" i="17"/>
  <c r="Y242" i="17"/>
  <c r="Z242" i="17"/>
  <c r="Y243" i="17"/>
  <c r="Z243" i="17"/>
  <c r="Y244" i="17"/>
  <c r="Z244" i="17"/>
  <c r="Y245" i="17"/>
  <c r="Z245" i="17"/>
  <c r="Y246" i="17"/>
  <c r="Z246" i="17"/>
  <c r="Y247" i="17"/>
  <c r="Z247" i="17"/>
  <c r="Y248" i="17"/>
  <c r="Z248" i="17"/>
  <c r="Y249" i="17"/>
  <c r="Z249" i="17"/>
  <c r="Y250" i="17"/>
  <c r="Z250" i="17"/>
  <c r="Y251" i="17"/>
  <c r="Z251" i="17"/>
  <c r="Y252" i="17"/>
  <c r="Z252" i="17"/>
  <c r="Y253" i="17"/>
  <c r="Z253" i="17"/>
  <c r="Y254" i="17"/>
  <c r="Z254" i="17"/>
  <c r="Y255" i="17"/>
  <c r="Z255" i="17"/>
  <c r="Y256" i="17"/>
  <c r="Z256" i="17"/>
  <c r="Y257" i="17"/>
  <c r="Z257" i="17"/>
  <c r="Y258" i="17"/>
  <c r="Z258" i="17"/>
  <c r="Y259" i="17"/>
  <c r="Z259" i="17"/>
  <c r="Y260" i="17"/>
  <c r="Z260" i="17"/>
  <c r="Y261" i="17"/>
  <c r="Z261" i="17"/>
  <c r="Y262" i="17"/>
  <c r="Z262" i="17"/>
  <c r="Y263" i="17"/>
  <c r="Z263" i="17"/>
  <c r="Y264" i="17"/>
  <c r="Z264" i="17"/>
  <c r="Y265" i="17"/>
  <c r="Z265" i="17"/>
  <c r="Y266" i="17"/>
  <c r="Z266" i="17"/>
  <c r="Y267" i="17"/>
  <c r="Z267" i="17"/>
  <c r="Y268" i="17"/>
  <c r="Z268" i="17"/>
  <c r="Y269" i="17"/>
  <c r="Z269" i="17"/>
  <c r="Y270" i="17"/>
  <c r="Z270" i="17"/>
  <c r="Y271" i="17"/>
  <c r="Z271" i="17"/>
  <c r="Y272" i="17"/>
  <c r="Z272" i="17"/>
  <c r="Y273" i="17"/>
  <c r="Z273" i="17"/>
  <c r="Y274" i="17"/>
  <c r="Z274" i="17"/>
  <c r="Y275" i="17"/>
  <c r="Z275" i="17"/>
  <c r="Y276" i="17"/>
  <c r="Z276" i="17"/>
  <c r="Y277" i="17"/>
  <c r="Z277" i="17"/>
  <c r="Y278" i="17"/>
  <c r="Z278" i="17"/>
  <c r="Y279" i="17"/>
  <c r="Z279" i="17"/>
  <c r="Y280" i="17"/>
  <c r="Z280" i="17"/>
  <c r="Y281" i="17"/>
  <c r="Z281" i="17"/>
  <c r="Y282" i="17"/>
  <c r="Z282" i="17"/>
  <c r="Y283" i="17"/>
  <c r="Z283" i="17"/>
  <c r="Y284" i="17"/>
  <c r="Z284" i="17"/>
  <c r="Y285" i="17"/>
  <c r="Z285" i="17"/>
  <c r="Y286" i="17"/>
  <c r="Z286" i="17"/>
  <c r="Y287" i="17"/>
  <c r="Z287" i="17"/>
  <c r="Y288" i="17"/>
  <c r="Z288" i="17"/>
  <c r="Y289" i="17"/>
  <c r="Z289" i="17"/>
  <c r="Y290" i="17"/>
  <c r="Z290" i="17"/>
  <c r="Y291" i="17"/>
  <c r="Z291" i="17"/>
  <c r="Y292" i="17"/>
  <c r="Z292" i="17"/>
  <c r="Y293" i="17"/>
  <c r="Z293" i="17"/>
  <c r="Y294" i="17"/>
  <c r="Z294" i="17"/>
  <c r="Y295" i="17"/>
  <c r="Z295" i="17"/>
  <c r="Y296" i="17"/>
  <c r="Z296" i="17"/>
  <c r="Y297" i="17"/>
  <c r="Z297" i="17"/>
  <c r="Y298" i="17"/>
  <c r="Z298" i="17"/>
  <c r="Y299" i="17"/>
  <c r="Z299" i="17"/>
  <c r="Y300" i="17"/>
  <c r="Z300" i="17"/>
  <c r="Y301" i="17"/>
  <c r="Z301" i="17"/>
  <c r="Y302" i="17"/>
  <c r="Z302" i="17"/>
  <c r="Y303" i="17"/>
  <c r="Z303" i="17"/>
  <c r="Y304" i="17"/>
  <c r="Z304" i="17"/>
  <c r="Y305" i="17"/>
  <c r="Z305" i="17"/>
  <c r="Y306" i="17"/>
  <c r="Z306" i="17"/>
  <c r="Y307" i="17"/>
  <c r="Z307" i="17"/>
  <c r="Y308" i="17"/>
  <c r="Z308" i="17"/>
  <c r="Y309" i="17"/>
  <c r="Z309" i="17"/>
  <c r="Y310" i="17"/>
  <c r="Z310" i="17"/>
  <c r="Y311" i="17"/>
  <c r="Z311" i="17"/>
  <c r="Y312" i="17"/>
  <c r="Z312" i="17"/>
  <c r="Y313" i="17"/>
  <c r="Z313" i="17"/>
  <c r="Y314" i="17"/>
  <c r="Z314" i="17"/>
  <c r="Y315" i="17"/>
  <c r="Z315" i="17"/>
  <c r="Y316" i="17"/>
  <c r="Z316" i="17"/>
  <c r="Y317" i="17"/>
  <c r="Z317" i="17"/>
  <c r="Y318" i="17"/>
  <c r="Z318" i="17"/>
  <c r="Y319" i="17"/>
  <c r="Z319" i="17"/>
  <c r="Y320" i="17"/>
  <c r="Z320" i="17"/>
  <c r="Y321" i="17"/>
  <c r="Z321" i="17"/>
  <c r="Y322" i="17"/>
  <c r="Z322" i="17"/>
  <c r="Y323" i="17"/>
  <c r="Z323" i="17"/>
  <c r="Y324" i="17"/>
  <c r="Z324" i="17"/>
  <c r="Y325" i="17"/>
  <c r="Z325" i="17"/>
  <c r="Y326" i="17"/>
  <c r="Z326" i="17"/>
  <c r="Y327" i="17"/>
  <c r="Z327" i="17"/>
  <c r="Y328" i="17"/>
  <c r="Z328" i="17"/>
  <c r="Y329" i="17"/>
  <c r="Z329" i="17"/>
  <c r="Y330" i="17"/>
  <c r="Z330" i="17"/>
  <c r="Y331" i="17"/>
  <c r="Z331" i="17"/>
  <c r="Y332" i="17"/>
  <c r="Z332" i="17"/>
  <c r="Y333" i="17"/>
  <c r="Z333" i="17"/>
  <c r="Y334" i="17"/>
  <c r="Z334" i="17"/>
  <c r="Y335" i="17"/>
  <c r="Z335" i="17"/>
  <c r="Y336" i="17"/>
  <c r="Z336" i="17"/>
  <c r="Y337" i="17"/>
  <c r="Z337" i="17"/>
  <c r="Y338" i="17"/>
  <c r="Z338" i="17"/>
  <c r="Y339" i="17"/>
  <c r="Z339" i="17"/>
  <c r="Y340" i="17"/>
  <c r="Z340" i="17"/>
  <c r="Y341" i="17"/>
  <c r="Z341" i="17"/>
  <c r="Y342" i="17"/>
  <c r="Z342" i="17"/>
  <c r="Y343" i="17"/>
  <c r="Z343" i="17"/>
  <c r="Y344" i="17"/>
  <c r="Z344" i="17"/>
  <c r="Y345" i="17"/>
  <c r="Z345" i="17"/>
  <c r="Y346" i="17"/>
  <c r="Z346" i="17"/>
  <c r="Y347" i="17"/>
  <c r="Z347" i="17"/>
  <c r="Y348" i="17"/>
  <c r="Z348" i="17"/>
  <c r="Y349" i="17"/>
  <c r="Z349" i="17"/>
  <c r="Y350" i="17"/>
  <c r="Z350" i="17"/>
  <c r="Y351" i="17"/>
  <c r="Z351" i="17"/>
  <c r="Y352" i="17"/>
  <c r="Z352" i="17"/>
  <c r="Y353" i="17"/>
  <c r="Z353" i="17"/>
  <c r="Y354" i="17"/>
  <c r="Z354" i="17"/>
  <c r="Y355" i="17"/>
  <c r="Z355" i="17"/>
  <c r="Y356" i="17"/>
  <c r="Z356" i="17"/>
  <c r="Y357" i="17"/>
  <c r="Z357" i="17"/>
  <c r="Y358" i="17"/>
  <c r="Z358" i="17"/>
  <c r="Y359" i="17"/>
  <c r="Z359" i="17"/>
  <c r="Y360" i="17"/>
  <c r="Z360" i="17"/>
  <c r="Y361" i="17"/>
  <c r="Z361" i="17"/>
  <c r="Y362" i="17"/>
  <c r="Z362" i="17"/>
  <c r="Y363" i="17"/>
  <c r="Z363" i="17"/>
  <c r="Y364" i="17"/>
  <c r="Z364" i="17"/>
  <c r="Y365" i="17"/>
  <c r="Z365" i="17"/>
  <c r="Y366" i="17"/>
  <c r="Z366" i="17"/>
  <c r="Y367" i="17"/>
  <c r="Z367" i="17"/>
  <c r="Y368" i="17"/>
  <c r="Z368" i="17"/>
  <c r="Y369" i="17"/>
  <c r="Z369" i="17"/>
  <c r="Y370" i="17"/>
  <c r="Z370" i="17"/>
  <c r="Y371" i="17"/>
  <c r="Z371" i="17"/>
  <c r="Y372" i="17"/>
  <c r="Z372" i="17"/>
  <c r="Y373" i="17"/>
  <c r="Z373" i="17"/>
  <c r="Y374" i="17"/>
  <c r="Z374" i="17"/>
  <c r="Y375" i="17"/>
  <c r="Z375" i="17"/>
  <c r="Y376" i="17"/>
  <c r="Z376" i="17"/>
  <c r="Y377" i="17"/>
  <c r="Z377" i="17"/>
  <c r="Y378" i="17"/>
  <c r="Z378" i="17"/>
  <c r="Y379" i="17"/>
  <c r="Z379" i="17"/>
  <c r="Y380" i="17"/>
  <c r="Z380" i="17"/>
  <c r="Y381" i="17"/>
  <c r="Z381" i="17"/>
  <c r="Y382" i="17"/>
  <c r="Z382" i="17"/>
  <c r="Y383" i="17"/>
  <c r="Z383" i="17"/>
  <c r="Y384" i="17"/>
  <c r="Z384" i="17"/>
  <c r="Y385" i="17"/>
  <c r="Z385" i="17"/>
  <c r="Y386" i="17"/>
  <c r="Z386" i="17"/>
  <c r="Y387" i="17"/>
  <c r="Z387" i="17"/>
  <c r="Y388" i="17"/>
  <c r="Z388" i="17"/>
  <c r="Y389" i="17"/>
  <c r="Z389" i="17"/>
  <c r="Y390" i="17"/>
  <c r="Z390" i="17"/>
  <c r="Y391" i="17"/>
  <c r="Z391" i="17"/>
  <c r="Y392" i="17"/>
  <c r="Z392" i="17"/>
  <c r="Y393" i="17"/>
  <c r="Z393" i="17"/>
  <c r="Y394" i="17"/>
  <c r="Z394" i="17"/>
  <c r="Y395" i="17"/>
  <c r="Z395" i="17"/>
  <c r="Y396" i="17"/>
  <c r="Z396" i="17"/>
  <c r="Y397" i="17"/>
  <c r="Z397" i="17"/>
  <c r="Y398" i="17"/>
  <c r="Z398" i="17"/>
  <c r="Z2" i="17"/>
  <c r="Y2" i="17"/>
  <c r="BT391" i="1"/>
  <c r="CK391" i="1" s="1"/>
  <c r="CO391" i="1" s="1"/>
  <c r="BU391" i="1"/>
  <c r="CL391" i="1" s="1"/>
  <c r="BT392" i="1"/>
  <c r="BU392" i="1"/>
  <c r="CL392" i="1" s="1"/>
  <c r="BT386" i="1"/>
  <c r="BU386" i="1"/>
  <c r="BT16" i="1"/>
  <c r="BU16" i="1"/>
  <c r="BT168" i="1"/>
  <c r="BU168" i="1"/>
  <c r="BT2" i="1"/>
  <c r="BU2" i="1"/>
  <c r="BT174" i="1"/>
  <c r="BU174" i="1"/>
  <c r="BT215" i="1"/>
  <c r="BU215" i="1"/>
  <c r="BT170" i="1"/>
  <c r="BU170" i="1"/>
  <c r="BT274" i="1"/>
  <c r="BU274" i="1"/>
  <c r="BT122" i="1"/>
  <c r="BU122" i="1"/>
  <c r="BT169" i="1"/>
  <c r="BU169" i="1"/>
  <c r="BT59" i="1"/>
  <c r="BU59" i="1"/>
  <c r="BT52" i="1"/>
  <c r="BU52" i="1"/>
  <c r="BT97" i="1"/>
  <c r="BU97" i="1"/>
  <c r="BT176" i="1"/>
  <c r="BU176" i="1"/>
  <c r="BT75" i="1"/>
  <c r="BU75" i="1"/>
  <c r="BT349" i="1"/>
  <c r="BU349" i="1"/>
  <c r="BT211" i="1"/>
  <c r="BU211" i="1"/>
  <c r="BT28" i="1"/>
  <c r="BU28" i="1"/>
  <c r="BT173" i="1"/>
  <c r="BU173" i="1"/>
  <c r="BT26" i="1"/>
  <c r="BU26" i="1"/>
  <c r="BT85" i="1"/>
  <c r="BU85" i="1"/>
  <c r="BT102" i="1"/>
  <c r="BU102" i="1"/>
  <c r="BT117" i="1"/>
  <c r="BU117" i="1"/>
  <c r="BT49" i="1"/>
  <c r="BU49" i="1"/>
  <c r="BT37" i="1"/>
  <c r="BU37" i="1"/>
  <c r="BT82" i="1"/>
  <c r="BU82" i="1"/>
  <c r="BT17" i="1"/>
  <c r="BU17" i="1"/>
  <c r="BT94" i="1"/>
  <c r="BU94" i="1"/>
  <c r="BT81" i="1"/>
  <c r="BU81" i="1"/>
  <c r="BT345" i="1"/>
  <c r="BU345" i="1"/>
  <c r="BT257" i="1"/>
  <c r="BU257" i="1"/>
  <c r="BT314" i="1"/>
  <c r="BU314" i="1"/>
  <c r="BT313" i="1"/>
  <c r="BU313" i="1"/>
  <c r="BT204" i="1"/>
  <c r="BU204" i="1"/>
  <c r="BT7" i="1"/>
  <c r="BU7" i="1"/>
  <c r="BT357" i="1"/>
  <c r="BU357" i="1"/>
  <c r="BT371" i="1"/>
  <c r="CK371" i="1" s="1"/>
  <c r="CO371" i="1" s="1"/>
  <c r="BU371" i="1"/>
  <c r="CL371" i="1" s="1"/>
  <c r="BT77" i="1"/>
  <c r="BU77" i="1"/>
  <c r="BT207" i="1"/>
  <c r="BU207" i="1"/>
  <c r="BT302" i="1"/>
  <c r="BU302" i="1"/>
  <c r="BT380" i="1"/>
  <c r="BU380" i="1"/>
  <c r="BT250" i="1"/>
  <c r="BU250" i="1"/>
  <c r="BT221" i="1"/>
  <c r="BU221" i="1"/>
  <c r="BT335" i="1"/>
  <c r="BU335" i="1"/>
  <c r="BT284" i="1"/>
  <c r="BU284" i="1"/>
  <c r="BT115" i="1"/>
  <c r="BU115" i="1"/>
  <c r="BT100" i="1"/>
  <c r="BU100" i="1"/>
  <c r="BT172" i="1"/>
  <c r="BU172" i="1"/>
  <c r="BT277" i="1"/>
  <c r="BU277" i="1"/>
  <c r="BT19" i="1"/>
  <c r="BU19" i="1"/>
  <c r="BT79" i="1"/>
  <c r="BU79" i="1"/>
  <c r="BT64" i="1"/>
  <c r="BU64" i="1"/>
  <c r="BT398" i="1"/>
  <c r="BU398" i="1"/>
  <c r="BT129" i="1"/>
  <c r="BU129" i="1"/>
  <c r="BT238" i="1"/>
  <c r="BU238" i="1"/>
  <c r="BT258" i="1"/>
  <c r="BU258" i="1"/>
  <c r="BT301" i="1"/>
  <c r="BU301" i="1"/>
  <c r="BT247" i="1"/>
  <c r="BU247" i="1"/>
  <c r="BT290" i="1"/>
  <c r="BU290" i="1"/>
  <c r="BT300" i="1"/>
  <c r="BU300" i="1"/>
  <c r="BT324" i="1"/>
  <c r="BU324" i="1"/>
  <c r="BT336" i="1"/>
  <c r="BU336" i="1"/>
  <c r="BT327" i="1"/>
  <c r="BU327" i="1"/>
  <c r="BT309" i="1"/>
  <c r="BU309" i="1"/>
  <c r="BT330" i="1"/>
  <c r="BU330" i="1"/>
  <c r="BT346" i="1"/>
  <c r="BU346" i="1"/>
  <c r="BT350" i="1"/>
  <c r="BU350" i="1"/>
  <c r="BT51" i="1"/>
  <c r="BU51" i="1"/>
  <c r="BT367" i="1"/>
  <c r="BU367" i="1"/>
  <c r="BT369" i="1"/>
  <c r="BU369" i="1"/>
  <c r="BT372" i="1"/>
  <c r="BU372" i="1"/>
  <c r="BT373" i="1"/>
  <c r="BU373" i="1"/>
  <c r="BT390" i="1"/>
  <c r="BU390" i="1"/>
  <c r="BT214" i="1"/>
  <c r="BU214" i="1"/>
  <c r="BT136" i="1"/>
  <c r="BU136" i="1"/>
  <c r="BT278" i="1"/>
  <c r="BU278" i="1"/>
  <c r="BT318" i="1"/>
  <c r="BU318" i="1"/>
  <c r="BT186" i="1"/>
  <c r="BU186" i="1"/>
  <c r="BT63" i="1"/>
  <c r="BU63" i="1"/>
  <c r="BT293" i="1"/>
  <c r="BU293" i="1"/>
  <c r="BT119" i="1"/>
  <c r="BU119" i="1"/>
  <c r="BT87" i="1"/>
  <c r="BU87" i="1"/>
  <c r="BT6" i="1"/>
  <c r="BU6" i="1"/>
  <c r="BT191" i="1"/>
  <c r="BU191" i="1"/>
  <c r="BT93" i="1"/>
  <c r="BU93" i="1"/>
  <c r="BT354" i="1"/>
  <c r="BU354" i="1"/>
  <c r="BT99" i="1"/>
  <c r="BU99" i="1"/>
  <c r="BT25" i="1"/>
  <c r="BU25" i="1"/>
  <c r="BT138" i="1"/>
  <c r="BU138" i="1"/>
  <c r="BT179" i="1"/>
  <c r="BU179" i="1"/>
  <c r="BT38" i="1"/>
  <c r="BU38" i="1"/>
  <c r="BT65" i="1"/>
  <c r="BU65" i="1"/>
  <c r="BT320" i="1"/>
  <c r="BU320" i="1"/>
  <c r="BT124" i="1"/>
  <c r="CK124" i="1" s="1"/>
  <c r="CO124" i="1" s="1"/>
  <c r="BU124" i="1"/>
  <c r="CL124" i="1" s="1"/>
  <c r="BT200" i="1"/>
  <c r="BU200" i="1"/>
  <c r="BT376" i="1"/>
  <c r="BU376" i="1"/>
  <c r="BT161" i="1"/>
  <c r="BU161" i="1"/>
  <c r="BT237" i="1"/>
  <c r="BU237" i="1"/>
  <c r="BT185" i="1"/>
  <c r="BU185" i="1"/>
  <c r="BT41" i="1"/>
  <c r="BU41" i="1"/>
  <c r="BT195" i="1"/>
  <c r="BU195" i="1"/>
  <c r="BT255" i="1"/>
  <c r="BU255" i="1"/>
  <c r="BT157" i="1"/>
  <c r="BU157" i="1"/>
  <c r="BT383" i="1"/>
  <c r="BU383" i="1"/>
  <c r="BT338" i="1"/>
  <c r="CK338" i="1" s="1"/>
  <c r="CO338" i="1" s="1"/>
  <c r="BU338" i="1"/>
  <c r="CL338" i="1" s="1"/>
  <c r="BT10" i="1"/>
  <c r="BU10" i="1"/>
  <c r="BT208" i="1"/>
  <c r="BU208" i="1"/>
  <c r="BT96" i="1"/>
  <c r="BU96" i="1"/>
  <c r="BT310" i="1"/>
  <c r="BU310" i="1"/>
  <c r="BT223" i="1"/>
  <c r="BU223" i="1"/>
  <c r="BT216" i="1"/>
  <c r="BU216" i="1"/>
  <c r="BT139" i="1"/>
  <c r="BU139" i="1"/>
  <c r="BT114" i="1"/>
  <c r="BU114" i="1"/>
  <c r="BT113" i="1"/>
  <c r="BU113" i="1"/>
  <c r="BT225" i="1"/>
  <c r="BU225" i="1"/>
  <c r="BT248" i="1"/>
  <c r="BU248" i="1"/>
  <c r="BT56" i="1"/>
  <c r="BU56" i="1"/>
  <c r="BT131" i="1"/>
  <c r="BU131" i="1"/>
  <c r="BT203" i="1"/>
  <c r="BU203" i="1"/>
  <c r="BT123" i="1"/>
  <c r="BU123" i="1"/>
  <c r="BT325" i="1"/>
  <c r="BU325" i="1"/>
  <c r="BT177" i="1"/>
  <c r="BU177" i="1"/>
  <c r="BT388" i="1"/>
  <c r="CK388" i="1" s="1"/>
  <c r="CO388" i="1" s="1"/>
  <c r="BU388" i="1"/>
  <c r="CL388" i="1" s="1"/>
  <c r="BT307" i="1"/>
  <c r="BU307" i="1"/>
  <c r="BT205" i="1"/>
  <c r="BU205" i="1"/>
  <c r="BT279" i="1"/>
  <c r="BU279" i="1"/>
  <c r="BT171" i="1"/>
  <c r="BU171" i="1"/>
  <c r="BT147" i="1"/>
  <c r="BU147" i="1"/>
  <c r="BT382" i="1"/>
  <c r="BU382" i="1"/>
  <c r="BT344" i="1"/>
  <c r="BU344" i="1"/>
  <c r="BT30" i="1"/>
  <c r="BU30" i="1"/>
  <c r="BT266" i="1"/>
  <c r="BU266" i="1"/>
  <c r="BT57" i="1"/>
  <c r="BU57" i="1"/>
  <c r="BT9" i="1"/>
  <c r="BU9" i="1"/>
  <c r="BT356" i="1"/>
  <c r="BU356" i="1"/>
  <c r="BT68" i="1"/>
  <c r="BU68" i="1"/>
  <c r="BT341" i="1"/>
  <c r="BU341" i="1"/>
  <c r="BT80" i="1"/>
  <c r="BU80" i="1"/>
  <c r="BT190" i="1"/>
  <c r="BU190" i="1"/>
  <c r="BT126" i="1"/>
  <c r="BU126" i="1"/>
  <c r="BT27" i="1"/>
  <c r="BU27" i="1"/>
  <c r="BT120" i="1"/>
  <c r="BU120" i="1"/>
  <c r="BT42" i="1"/>
  <c r="BU42" i="1"/>
  <c r="BT282" i="1"/>
  <c r="CK282" i="1" s="1"/>
  <c r="CO282" i="1" s="1"/>
  <c r="BU282" i="1"/>
  <c r="CL282" i="1" s="1"/>
  <c r="BT43" i="1"/>
  <c r="CK43" i="1" s="1"/>
  <c r="CO43" i="1" s="1"/>
  <c r="BU43" i="1"/>
  <c r="CL43" i="1" s="1"/>
  <c r="BT24" i="1"/>
  <c r="BU24" i="1"/>
  <c r="BT145" i="1"/>
  <c r="BU145" i="1"/>
  <c r="BT387" i="1"/>
  <c r="BU387" i="1"/>
  <c r="BT128" i="1"/>
  <c r="BU128" i="1"/>
  <c r="BT92" i="1"/>
  <c r="BU92" i="1"/>
  <c r="BT209" i="1"/>
  <c r="BU209" i="1"/>
  <c r="BT137" i="1"/>
  <c r="BU137" i="1"/>
  <c r="BT395" i="1"/>
  <c r="BU395" i="1"/>
  <c r="BT101" i="1"/>
  <c r="BU101" i="1"/>
  <c r="BT305" i="1"/>
  <c r="BU305" i="1"/>
  <c r="BT297" i="1"/>
  <c r="BU297" i="1"/>
  <c r="BT181" i="1"/>
  <c r="BU181" i="1"/>
  <c r="BT289" i="1"/>
  <c r="BU289" i="1"/>
  <c r="BT140" i="1"/>
  <c r="BU140" i="1"/>
  <c r="BT358" i="1"/>
  <c r="BU358" i="1"/>
  <c r="BT317" i="1"/>
  <c r="BU317" i="1"/>
  <c r="BT236" i="1"/>
  <c r="BU236" i="1"/>
  <c r="BT166" i="1"/>
  <c r="BU166" i="1"/>
  <c r="BT135" i="1"/>
  <c r="BU135" i="1"/>
  <c r="BT187" i="1"/>
  <c r="BU187" i="1"/>
  <c r="BT213" i="1"/>
  <c r="BU213" i="1"/>
  <c r="BT365" i="1"/>
  <c r="BU365" i="1"/>
  <c r="BT178" i="1"/>
  <c r="BU178" i="1"/>
  <c r="BT134" i="1"/>
  <c r="BU134" i="1"/>
  <c r="BT3" i="1"/>
  <c r="BU3" i="1"/>
  <c r="BT206" i="1"/>
  <c r="BU206" i="1"/>
  <c r="BT264" i="1"/>
  <c r="BU264" i="1"/>
  <c r="BT165" i="1"/>
  <c r="BU165" i="1"/>
  <c r="BT105" i="1"/>
  <c r="CK105" i="1" s="1"/>
  <c r="CO105" i="1" s="1"/>
  <c r="BU105" i="1"/>
  <c r="CL105" i="1" s="1"/>
  <c r="BT18" i="1"/>
  <c r="BU18" i="1"/>
  <c r="BT361" i="1"/>
  <c r="BU361" i="1"/>
  <c r="BT342" i="1"/>
  <c r="BU342" i="1"/>
  <c r="BT304" i="1"/>
  <c r="BU304" i="1"/>
  <c r="BT249" i="1"/>
  <c r="BU249" i="1"/>
  <c r="BT44" i="1"/>
  <c r="BU44" i="1"/>
  <c r="BT23" i="1"/>
  <c r="BU23" i="1"/>
  <c r="BT259" i="1"/>
  <c r="BU259" i="1"/>
  <c r="BT86" i="1"/>
  <c r="BU86" i="1"/>
  <c r="BT201" i="1"/>
  <c r="BU201" i="1"/>
  <c r="BT78" i="1"/>
  <c r="BU78" i="1"/>
  <c r="BT288" i="1"/>
  <c r="BU288" i="1"/>
  <c r="BT154" i="1"/>
  <c r="BU154" i="1"/>
  <c r="BT233" i="1"/>
  <c r="BU233" i="1"/>
  <c r="BT384" i="1"/>
  <c r="CK384" i="1" s="1"/>
  <c r="CO384" i="1" s="1"/>
  <c r="BU384" i="1"/>
  <c r="CL384" i="1" s="1"/>
  <c r="BT130" i="1"/>
  <c r="BU130" i="1"/>
  <c r="BT112" i="1"/>
  <c r="BU112" i="1"/>
  <c r="BT66" i="1"/>
  <c r="BU66" i="1"/>
  <c r="BT275" i="1"/>
  <c r="BU275" i="1"/>
  <c r="BT222" i="1"/>
  <c r="BU222" i="1"/>
  <c r="BT188" i="1"/>
  <c r="BU188" i="1"/>
  <c r="BT194" i="1"/>
  <c r="BU194" i="1"/>
  <c r="BT167" i="1"/>
  <c r="BU167" i="1"/>
  <c r="BT235" i="1"/>
  <c r="BU235" i="1"/>
  <c r="BT329" i="1"/>
  <c r="BU329" i="1"/>
  <c r="BT219" i="1"/>
  <c r="CK219" i="1" s="1"/>
  <c r="CO219" i="1" s="1"/>
  <c r="BU219" i="1"/>
  <c r="CL219" i="1" s="1"/>
  <c r="BT226" i="1"/>
  <c r="BU226" i="1"/>
  <c r="BT231" i="1"/>
  <c r="BU231" i="1"/>
  <c r="BT393" i="1"/>
  <c r="BU393" i="1"/>
  <c r="BT292" i="1"/>
  <c r="BU292" i="1"/>
  <c r="BT104" i="1"/>
  <c r="BU104" i="1"/>
  <c r="BT152" i="1"/>
  <c r="BU152" i="1"/>
  <c r="BT121" i="1"/>
  <c r="BU121" i="1"/>
  <c r="BT118" i="1"/>
  <c r="BU118" i="1"/>
  <c r="BT323" i="1"/>
  <c r="BU323" i="1"/>
  <c r="BT334" i="1"/>
  <c r="BU334" i="1"/>
  <c r="BT108" i="1"/>
  <c r="BU108" i="1"/>
  <c r="BT280" i="1"/>
  <c r="BU280" i="1"/>
  <c r="BT240" i="1"/>
  <c r="BU240" i="1"/>
  <c r="BT283" i="1"/>
  <c r="BU283" i="1"/>
  <c r="BT210" i="1"/>
  <c r="BU210" i="1"/>
  <c r="BT163" i="1"/>
  <c r="BU163" i="1"/>
  <c r="BT396" i="1"/>
  <c r="BU396" i="1"/>
  <c r="BT270" i="1"/>
  <c r="BU270" i="1"/>
  <c r="BT234" i="1"/>
  <c r="BU234" i="1"/>
  <c r="BT343" i="1"/>
  <c r="BU343" i="1"/>
  <c r="BT156" i="1"/>
  <c r="CK156" i="1" s="1"/>
  <c r="CO156" i="1" s="1"/>
  <c r="BU156" i="1"/>
  <c r="CL156" i="1" s="1"/>
  <c r="BT182" i="1"/>
  <c r="BU182" i="1"/>
  <c r="BT347" i="1"/>
  <c r="BU347" i="1"/>
  <c r="BT84" i="1"/>
  <c r="BU84" i="1"/>
  <c r="BT54" i="1"/>
  <c r="BU54" i="1"/>
  <c r="BT146" i="1"/>
  <c r="BU146" i="1"/>
  <c r="BT352" i="1"/>
  <c r="BU352" i="1"/>
  <c r="BT389" i="1"/>
  <c r="BU389" i="1"/>
  <c r="BT197" i="1"/>
  <c r="BU197" i="1"/>
  <c r="BT95" i="1"/>
  <c r="BU95" i="1"/>
  <c r="BT88" i="1"/>
  <c r="BU88" i="1"/>
  <c r="BT394" i="1"/>
  <c r="BU394" i="1"/>
  <c r="BT261" i="1"/>
  <c r="BU261" i="1"/>
  <c r="BT34" i="1"/>
  <c r="CK34" i="1" s="1"/>
  <c r="CO34" i="1" s="1"/>
  <c r="BU34" i="1"/>
  <c r="CL34" i="1" s="1"/>
  <c r="BT39" i="1"/>
  <c r="BU39" i="1"/>
  <c r="BT90" i="1"/>
  <c r="BU90" i="1"/>
  <c r="BT212" i="1"/>
  <c r="BU212" i="1"/>
  <c r="BT359" i="1"/>
  <c r="CK359" i="1" s="1"/>
  <c r="CO359" i="1" s="1"/>
  <c r="BU359" i="1"/>
  <c r="CL359" i="1" s="1"/>
  <c r="BT230" i="1"/>
  <c r="BU230" i="1"/>
  <c r="BT58" i="1"/>
  <c r="BU58" i="1"/>
  <c r="BT153" i="1"/>
  <c r="BU153" i="1"/>
  <c r="BT285" i="1"/>
  <c r="BU285" i="1"/>
  <c r="BT370" i="1"/>
  <c r="BU370" i="1"/>
  <c r="BT299" i="1"/>
  <c r="BU299" i="1"/>
  <c r="BT127" i="1"/>
  <c r="BU127" i="1"/>
  <c r="BT76" i="1"/>
  <c r="BU76" i="1"/>
  <c r="BT286" i="1"/>
  <c r="BU286" i="1"/>
  <c r="BT315" i="1"/>
  <c r="BU315" i="1"/>
  <c r="BT254" i="1"/>
  <c r="BU254" i="1"/>
  <c r="BT298" i="1"/>
  <c r="BU298" i="1"/>
  <c r="BT294" i="1"/>
  <c r="BU294" i="1"/>
  <c r="BT133" i="1"/>
  <c r="BU133" i="1"/>
  <c r="BT319" i="1"/>
  <c r="BU319" i="1"/>
  <c r="BT125" i="1"/>
  <c r="BU125" i="1"/>
  <c r="BT228" i="1"/>
  <c r="BU228" i="1"/>
  <c r="BT21" i="1"/>
  <c r="BU21" i="1"/>
  <c r="BT379" i="1"/>
  <c r="CK379" i="1" s="1"/>
  <c r="CO379" i="1" s="1"/>
  <c r="BU379" i="1"/>
  <c r="CL379" i="1" s="1"/>
  <c r="BT377" i="1"/>
  <c r="BU377" i="1"/>
  <c r="BT331" i="1"/>
  <c r="CK331" i="1" s="1"/>
  <c r="CO331" i="1" s="1"/>
  <c r="BU331" i="1"/>
  <c r="CL331" i="1" s="1"/>
  <c r="BT8" i="1"/>
  <c r="BU8" i="1"/>
  <c r="BT239" i="1"/>
  <c r="BU239" i="1"/>
  <c r="BT312" i="1"/>
  <c r="BU312" i="1"/>
  <c r="BT198" i="1"/>
  <c r="BU198" i="1"/>
  <c r="BT355" i="1"/>
  <c r="BU355" i="1"/>
  <c r="BT272" i="1"/>
  <c r="BU272" i="1"/>
  <c r="BT291" i="1"/>
  <c r="BU291" i="1"/>
  <c r="BT192" i="1"/>
  <c r="BU192" i="1"/>
  <c r="BT72" i="1"/>
  <c r="BU72" i="1"/>
  <c r="BT71" i="1"/>
  <c r="BU71" i="1"/>
  <c r="BT159" i="1"/>
  <c r="BU159" i="1"/>
  <c r="BT141" i="1"/>
  <c r="BU141" i="1"/>
  <c r="BT61" i="1"/>
  <c r="BU61" i="1"/>
  <c r="BT150" i="1"/>
  <c r="BU150" i="1"/>
  <c r="BT251" i="1"/>
  <c r="BU251" i="1"/>
  <c r="BT243" i="1"/>
  <c r="BU243" i="1"/>
  <c r="BT375" i="1"/>
  <c r="BU375" i="1"/>
  <c r="BT193" i="1"/>
  <c r="BU193" i="1"/>
  <c r="BT55" i="1"/>
  <c r="BU55" i="1"/>
  <c r="BT33" i="1"/>
  <c r="BU33" i="1"/>
  <c r="BT252" i="1"/>
  <c r="BU252" i="1"/>
  <c r="BT47" i="1"/>
  <c r="BU47" i="1"/>
  <c r="BT368" i="1"/>
  <c r="CK368" i="1" s="1"/>
  <c r="CO368" i="1" s="1"/>
  <c r="BU368" i="1"/>
  <c r="CL368" i="1" s="1"/>
  <c r="BT50" i="1"/>
  <c r="BU50" i="1"/>
  <c r="BT218" i="1"/>
  <c r="BU218" i="1"/>
  <c r="BT199" i="1"/>
  <c r="BU199" i="1"/>
  <c r="BT107" i="1"/>
  <c r="BU107" i="1"/>
  <c r="BT378" i="1"/>
  <c r="BU378" i="1"/>
  <c r="BT35" i="1"/>
  <c r="BU35" i="1"/>
  <c r="BT162" i="1"/>
  <c r="BU162" i="1"/>
  <c r="BT83" i="1"/>
  <c r="BU83" i="1"/>
  <c r="BT296" i="1"/>
  <c r="BU296" i="1"/>
  <c r="BT48" i="1"/>
  <c r="BU48" i="1"/>
  <c r="BT109" i="1"/>
  <c r="BU109" i="1"/>
  <c r="BT227" i="1"/>
  <c r="BU227" i="1"/>
  <c r="BT46" i="1"/>
  <c r="BU46" i="1"/>
  <c r="BT149" i="1"/>
  <c r="BU149" i="1"/>
  <c r="BT40" i="1"/>
  <c r="BU40" i="1"/>
  <c r="BT14" i="1"/>
  <c r="CK14" i="1" s="1"/>
  <c r="CO14" i="1" s="1"/>
  <c r="BU14" i="1"/>
  <c r="CL14" i="1" s="1"/>
  <c r="BT31" i="1"/>
  <c r="BU31" i="1"/>
  <c r="BT91" i="1"/>
  <c r="BU91" i="1"/>
  <c r="BT74" i="1"/>
  <c r="BU74" i="1"/>
  <c r="BT256" i="1"/>
  <c r="BU256" i="1"/>
  <c r="BT364" i="1"/>
  <c r="BU364" i="1"/>
  <c r="BT244" i="1"/>
  <c r="BU244" i="1"/>
  <c r="BT116" i="1"/>
  <c r="BU116" i="1"/>
  <c r="BT202" i="1"/>
  <c r="BU202" i="1"/>
  <c r="BT189" i="1"/>
  <c r="CK189" i="1" s="1"/>
  <c r="CO189" i="1" s="1"/>
  <c r="BU189" i="1"/>
  <c r="CL189" i="1" s="1"/>
  <c r="BT268" i="1"/>
  <c r="BU268" i="1"/>
  <c r="BT241" i="1"/>
  <c r="BU241" i="1"/>
  <c r="BT36" i="1"/>
  <c r="BU36" i="1"/>
  <c r="BT262" i="1"/>
  <c r="BU262" i="1"/>
  <c r="BT20" i="1"/>
  <c r="BU20" i="1"/>
  <c r="BT271" i="1"/>
  <c r="BU271" i="1"/>
  <c r="BT281" i="1"/>
  <c r="BU281" i="1"/>
  <c r="BT13" i="1"/>
  <c r="BU13" i="1"/>
  <c r="BT242" i="1"/>
  <c r="BU242" i="1"/>
  <c r="BT287" i="1"/>
  <c r="BU287" i="1"/>
  <c r="BT322" i="1"/>
  <c r="BU322" i="1"/>
  <c r="BT12" i="1"/>
  <c r="BU12" i="1"/>
  <c r="BT295" i="1"/>
  <c r="BU295" i="1"/>
  <c r="BT224" i="1"/>
  <c r="BU224" i="1"/>
  <c r="BT363" i="1"/>
  <c r="BU363" i="1"/>
  <c r="BT106" i="1"/>
  <c r="BU106" i="1"/>
  <c r="BT260" i="1"/>
  <c r="BU260" i="1"/>
  <c r="BT160" i="1"/>
  <c r="BU160" i="1"/>
  <c r="BT67" i="1"/>
  <c r="BU67" i="1"/>
  <c r="BT339" i="1"/>
  <c r="BU339" i="1"/>
  <c r="BT220" i="1"/>
  <c r="BU220" i="1"/>
  <c r="BT89" i="1"/>
  <c r="BU89" i="1"/>
  <c r="BT353" i="1"/>
  <c r="BU353" i="1"/>
  <c r="BT303" i="1"/>
  <c r="BU303" i="1"/>
  <c r="BT306" i="1"/>
  <c r="BU306" i="1"/>
  <c r="BT273" i="1"/>
  <c r="CK273" i="1" s="1"/>
  <c r="CO273" i="1" s="1"/>
  <c r="BU273" i="1"/>
  <c r="CL273" i="1" s="1"/>
  <c r="BT217" i="1"/>
  <c r="BU217" i="1"/>
  <c r="BT351" i="1"/>
  <c r="BU351" i="1"/>
  <c r="BT348" i="1"/>
  <c r="BU348" i="1"/>
  <c r="BT45" i="1"/>
  <c r="BU45" i="1"/>
  <c r="BT276" i="1"/>
  <c r="BU276" i="1"/>
  <c r="BT60" i="1"/>
  <c r="BU60" i="1"/>
  <c r="BT321" i="1"/>
  <c r="BU321" i="1"/>
  <c r="BT326" i="1"/>
  <c r="BU326" i="1"/>
  <c r="BT333" i="1"/>
  <c r="BU333" i="1"/>
  <c r="BT69" i="1"/>
  <c r="BU69" i="1"/>
  <c r="BT337" i="1"/>
  <c r="BU337" i="1"/>
  <c r="BT132" i="1"/>
  <c r="BU132" i="1"/>
  <c r="BT164" i="1"/>
  <c r="BU164" i="1"/>
  <c r="BT4" i="1"/>
  <c r="BU4" i="1"/>
  <c r="BT332" i="1"/>
  <c r="BU332" i="1"/>
  <c r="BT143" i="1"/>
  <c r="BU143" i="1"/>
  <c r="BT267" i="1"/>
  <c r="BU267" i="1"/>
  <c r="BT385" i="1"/>
  <c r="BU385" i="1"/>
  <c r="BT70" i="1"/>
  <c r="BU70" i="1"/>
  <c r="BT103" i="1"/>
  <c r="BU103" i="1"/>
  <c r="BT316" i="1"/>
  <c r="BU316" i="1"/>
  <c r="BT73" i="1"/>
  <c r="BU73" i="1"/>
  <c r="BT11" i="1"/>
  <c r="BU11" i="1"/>
  <c r="BT253" i="1"/>
  <c r="CK253" i="1" s="1"/>
  <c r="CO253" i="1" s="1"/>
  <c r="BU253" i="1"/>
  <c r="CL253" i="1" s="1"/>
  <c r="BT142" i="1"/>
  <c r="BU142" i="1"/>
  <c r="BT196" i="1"/>
  <c r="BU196" i="1"/>
  <c r="BT180" i="1"/>
  <c r="CK180" i="1" s="1"/>
  <c r="CO180" i="1" s="1"/>
  <c r="BU180" i="1"/>
  <c r="CL180" i="1" s="1"/>
  <c r="BT158" i="1"/>
  <c r="BU158" i="1"/>
  <c r="BT15" i="1"/>
  <c r="CK15" i="1" s="1"/>
  <c r="CO15" i="1" s="1"/>
  <c r="BU15" i="1"/>
  <c r="CL15" i="1" s="1"/>
  <c r="BT340" i="1"/>
  <c r="BU340" i="1"/>
  <c r="BT151" i="1"/>
  <c r="CK151" i="1" s="1"/>
  <c r="CO151" i="1" s="1"/>
  <c r="BU151" i="1"/>
  <c r="CL151" i="1" s="1"/>
  <c r="BT183" i="1"/>
  <c r="CK183" i="1" s="1"/>
  <c r="CO183" i="1" s="1"/>
  <c r="BU183" i="1"/>
  <c r="CL183" i="1" s="1"/>
  <c r="BT232" i="1"/>
  <c r="BU232" i="1"/>
  <c r="BT381" i="1"/>
  <c r="BU381" i="1"/>
  <c r="BT265" i="1"/>
  <c r="BU265" i="1"/>
  <c r="BT229" i="1"/>
  <c r="BU229" i="1"/>
  <c r="BT144" i="1"/>
  <c r="BU144" i="1"/>
  <c r="BT22" i="1"/>
  <c r="BU22" i="1"/>
  <c r="BT62" i="1"/>
  <c r="BU62" i="1"/>
  <c r="BT98" i="1"/>
  <c r="BU98" i="1"/>
  <c r="BT32" i="1"/>
  <c r="BU32" i="1"/>
  <c r="BT184" i="1"/>
  <c r="CK184" i="1" s="1"/>
  <c r="CO184" i="1" s="1"/>
  <c r="BU184" i="1"/>
  <c r="CL184" i="1" s="1"/>
  <c r="BT360" i="1"/>
  <c r="CK360" i="1" s="1"/>
  <c r="CO360" i="1" s="1"/>
  <c r="BU360" i="1"/>
  <c r="CL360" i="1" s="1"/>
  <c r="BT308" i="1"/>
  <c r="BU308" i="1"/>
  <c r="BT155" i="1"/>
  <c r="BU155" i="1"/>
  <c r="BT246" i="1"/>
  <c r="BU246" i="1"/>
  <c r="BT374" i="1"/>
  <c r="BU374" i="1"/>
  <c r="BT175" i="1"/>
  <c r="BU175" i="1"/>
  <c r="BT110" i="1"/>
  <c r="BU110" i="1"/>
  <c r="BT245" i="1"/>
  <c r="CK245" i="1" s="1"/>
  <c r="CO245" i="1" s="1"/>
  <c r="BU245" i="1"/>
  <c r="CL245" i="1" s="1"/>
  <c r="BT263" i="1"/>
  <c r="BU263" i="1"/>
  <c r="BT111" i="1"/>
  <c r="BU111" i="1"/>
  <c r="BT53" i="1"/>
  <c r="BU53" i="1"/>
  <c r="BT362" i="1"/>
  <c r="BU362" i="1"/>
  <c r="BT311" i="1"/>
  <c r="BU311" i="1"/>
  <c r="BT148" i="1"/>
  <c r="BU148" i="1"/>
  <c r="BT269" i="1"/>
  <c r="CK269" i="1" s="1"/>
  <c r="CO269" i="1" s="1"/>
  <c r="BU269" i="1"/>
  <c r="CL269" i="1" s="1"/>
  <c r="BT29" i="1"/>
  <c r="BU29" i="1"/>
  <c r="BT366" i="1"/>
  <c r="BU366" i="1"/>
  <c r="BT5" i="1"/>
  <c r="CK5" i="1" s="1"/>
  <c r="CO5" i="1" s="1"/>
  <c r="BU5" i="1"/>
  <c r="CL5" i="1" s="1"/>
  <c r="BT328" i="1"/>
  <c r="BU328" i="1"/>
  <c r="BU397" i="1"/>
  <c r="BT397" i="1"/>
  <c r="BP391" i="1"/>
  <c r="CH391" i="1" s="1"/>
  <c r="CN391" i="1" s="1"/>
  <c r="BP392" i="1"/>
  <c r="BP386" i="1"/>
  <c r="BP16" i="1"/>
  <c r="BP168" i="1"/>
  <c r="BP2" i="1"/>
  <c r="BP174" i="1"/>
  <c r="BP215" i="1"/>
  <c r="BP170" i="1"/>
  <c r="BP274" i="1"/>
  <c r="BP122" i="1"/>
  <c r="BP169" i="1"/>
  <c r="BP59" i="1"/>
  <c r="BP52" i="1"/>
  <c r="BP97" i="1"/>
  <c r="BP176" i="1"/>
  <c r="BP75" i="1"/>
  <c r="BP349" i="1"/>
  <c r="BP211" i="1"/>
  <c r="BP28" i="1"/>
  <c r="BP173" i="1"/>
  <c r="BP26" i="1"/>
  <c r="BP85" i="1"/>
  <c r="BP102" i="1"/>
  <c r="BP117" i="1"/>
  <c r="BP49" i="1"/>
  <c r="BP37" i="1"/>
  <c r="BP82" i="1"/>
  <c r="BP17" i="1"/>
  <c r="BP94" i="1"/>
  <c r="BP81" i="1"/>
  <c r="BP345" i="1"/>
  <c r="BP257" i="1"/>
  <c r="BP314" i="1"/>
  <c r="BP313" i="1"/>
  <c r="BP204" i="1"/>
  <c r="BP7" i="1"/>
  <c r="BP357" i="1"/>
  <c r="BP371" i="1"/>
  <c r="CH371" i="1" s="1"/>
  <c r="CN371" i="1" s="1"/>
  <c r="BP77" i="1"/>
  <c r="BP207" i="1"/>
  <c r="BP302" i="1"/>
  <c r="BP380" i="1"/>
  <c r="BP250" i="1"/>
  <c r="BP221" i="1"/>
  <c r="BP335" i="1"/>
  <c r="BP284" i="1"/>
  <c r="BP115" i="1"/>
  <c r="BP100" i="1"/>
  <c r="BP172" i="1"/>
  <c r="BP19" i="1"/>
  <c r="BP79" i="1"/>
  <c r="BP64" i="1"/>
  <c r="BP398" i="1"/>
  <c r="BP129" i="1"/>
  <c r="BP238" i="1"/>
  <c r="BP258" i="1"/>
  <c r="BP301" i="1"/>
  <c r="BP247" i="1"/>
  <c r="BP290" i="1"/>
  <c r="BP300" i="1"/>
  <c r="BP324" i="1"/>
  <c r="BP336" i="1"/>
  <c r="BP327" i="1"/>
  <c r="BP309" i="1"/>
  <c r="BP330" i="1"/>
  <c r="BP346" i="1"/>
  <c r="BP350" i="1"/>
  <c r="BP51" i="1"/>
  <c r="BP367" i="1"/>
  <c r="BP369" i="1"/>
  <c r="BP372" i="1"/>
  <c r="BP373" i="1"/>
  <c r="BP390" i="1"/>
  <c r="BP214" i="1"/>
  <c r="BP136" i="1"/>
  <c r="BP278" i="1"/>
  <c r="BP318" i="1"/>
  <c r="BP186" i="1"/>
  <c r="BP63" i="1"/>
  <c r="BP293" i="1"/>
  <c r="BP119" i="1"/>
  <c r="BP87" i="1"/>
  <c r="BP6" i="1"/>
  <c r="BP191" i="1"/>
  <c r="BP93" i="1"/>
  <c r="BP354" i="1"/>
  <c r="BP99" i="1"/>
  <c r="BP25" i="1"/>
  <c r="BP138" i="1"/>
  <c r="BP179" i="1"/>
  <c r="BP38" i="1"/>
  <c r="BP65" i="1"/>
  <c r="BP320" i="1"/>
  <c r="BP124" i="1"/>
  <c r="CH124" i="1" s="1"/>
  <c r="CN124" i="1" s="1"/>
  <c r="BP200" i="1"/>
  <c r="BP376" i="1"/>
  <c r="BP161" i="1"/>
  <c r="BP237" i="1"/>
  <c r="BP185" i="1"/>
  <c r="BP41" i="1"/>
  <c r="BP195" i="1"/>
  <c r="BP255" i="1"/>
  <c r="BP157" i="1"/>
  <c r="BP383" i="1"/>
  <c r="BP338" i="1"/>
  <c r="CH338" i="1" s="1"/>
  <c r="CN338" i="1" s="1"/>
  <c r="BP10" i="1"/>
  <c r="BP208" i="1"/>
  <c r="BP96" i="1"/>
  <c r="BP310" i="1"/>
  <c r="BP223" i="1"/>
  <c r="BP216" i="1"/>
  <c r="BP139" i="1"/>
  <c r="BP114" i="1"/>
  <c r="BP113" i="1"/>
  <c r="BP225" i="1"/>
  <c r="BP248" i="1"/>
  <c r="BP56" i="1"/>
  <c r="BP131" i="1"/>
  <c r="BP203" i="1"/>
  <c r="BP123" i="1"/>
  <c r="BP325" i="1"/>
  <c r="BP177" i="1"/>
  <c r="BP388" i="1"/>
  <c r="CH388" i="1" s="1"/>
  <c r="CN388" i="1" s="1"/>
  <c r="BP307" i="1"/>
  <c r="BP205" i="1"/>
  <c r="BP279" i="1"/>
  <c r="BP171" i="1"/>
  <c r="BP147" i="1"/>
  <c r="BP382" i="1"/>
  <c r="BP344" i="1"/>
  <c r="BP30" i="1"/>
  <c r="BP266" i="1"/>
  <c r="BP57" i="1"/>
  <c r="BP9" i="1"/>
  <c r="BP356" i="1"/>
  <c r="BP68" i="1"/>
  <c r="BP341" i="1"/>
  <c r="BP80" i="1"/>
  <c r="BP190" i="1"/>
  <c r="BP126" i="1"/>
  <c r="BP27" i="1"/>
  <c r="BP120" i="1"/>
  <c r="BP42" i="1"/>
  <c r="BP282" i="1"/>
  <c r="CH282" i="1" s="1"/>
  <c r="CN282" i="1" s="1"/>
  <c r="BP43" i="1"/>
  <c r="CH43" i="1" s="1"/>
  <c r="CN43" i="1" s="1"/>
  <c r="BP24" i="1"/>
  <c r="BP145" i="1"/>
  <c r="BP387" i="1"/>
  <c r="BP128" i="1"/>
  <c r="BP92" i="1"/>
  <c r="BP209" i="1"/>
  <c r="BP137" i="1"/>
  <c r="BP395" i="1"/>
  <c r="BP101" i="1"/>
  <c r="BP305" i="1"/>
  <c r="BP297" i="1"/>
  <c r="BP181" i="1"/>
  <c r="BP289" i="1"/>
  <c r="BP140" i="1"/>
  <c r="BP358" i="1"/>
  <c r="BP317" i="1"/>
  <c r="BP236" i="1"/>
  <c r="BP166" i="1"/>
  <c r="BP135" i="1"/>
  <c r="BP187" i="1"/>
  <c r="BP213" i="1"/>
  <c r="BP365" i="1"/>
  <c r="BP178" i="1"/>
  <c r="BP134" i="1"/>
  <c r="BP3" i="1"/>
  <c r="BP206" i="1"/>
  <c r="BP264" i="1"/>
  <c r="BP165" i="1"/>
  <c r="BP105" i="1"/>
  <c r="CH105" i="1" s="1"/>
  <c r="CN105" i="1" s="1"/>
  <c r="BP18" i="1"/>
  <c r="BP361" i="1"/>
  <c r="BP342" i="1"/>
  <c r="BP304" i="1"/>
  <c r="BP249" i="1"/>
  <c r="BP44" i="1"/>
  <c r="BP23" i="1"/>
  <c r="BP259" i="1"/>
  <c r="BP86" i="1"/>
  <c r="BP201" i="1"/>
  <c r="BP78" i="1"/>
  <c r="BP288" i="1"/>
  <c r="BP154" i="1"/>
  <c r="BP233" i="1"/>
  <c r="BP384" i="1"/>
  <c r="CH384" i="1" s="1"/>
  <c r="CN384" i="1" s="1"/>
  <c r="BP130" i="1"/>
  <c r="BP112" i="1"/>
  <c r="BP66" i="1"/>
  <c r="BP275" i="1"/>
  <c r="BP222" i="1"/>
  <c r="BP188" i="1"/>
  <c r="BP194" i="1"/>
  <c r="BP167" i="1"/>
  <c r="BP235" i="1"/>
  <c r="BP329" i="1"/>
  <c r="BP219" i="1"/>
  <c r="CH219" i="1" s="1"/>
  <c r="CN219" i="1" s="1"/>
  <c r="BP226" i="1"/>
  <c r="BP231" i="1"/>
  <c r="BP393" i="1"/>
  <c r="BP292" i="1"/>
  <c r="BP104" i="1"/>
  <c r="BP152" i="1"/>
  <c r="BP121" i="1"/>
  <c r="BP118" i="1"/>
  <c r="BP323" i="1"/>
  <c r="BP334" i="1"/>
  <c r="BP108" i="1"/>
  <c r="BP280" i="1"/>
  <c r="BP240" i="1"/>
  <c r="BP283" i="1"/>
  <c r="BP210" i="1"/>
  <c r="BP163" i="1"/>
  <c r="BP396" i="1"/>
  <c r="BP270" i="1"/>
  <c r="BP234" i="1"/>
  <c r="BP343" i="1"/>
  <c r="BP156" i="1"/>
  <c r="CH156" i="1" s="1"/>
  <c r="CN156" i="1" s="1"/>
  <c r="BP182" i="1"/>
  <c r="BP347" i="1"/>
  <c r="BP84" i="1"/>
  <c r="BP54" i="1"/>
  <c r="BP146" i="1"/>
  <c r="BP352" i="1"/>
  <c r="BP389" i="1"/>
  <c r="BP197" i="1"/>
  <c r="BP95" i="1"/>
  <c r="BP88" i="1"/>
  <c r="BP394" i="1"/>
  <c r="BP261" i="1"/>
  <c r="BP34" i="1"/>
  <c r="CH34" i="1" s="1"/>
  <c r="CN34" i="1" s="1"/>
  <c r="BP39" i="1"/>
  <c r="BP90" i="1"/>
  <c r="BP212" i="1"/>
  <c r="BP359" i="1"/>
  <c r="CH359" i="1" s="1"/>
  <c r="CN359" i="1" s="1"/>
  <c r="BP230" i="1"/>
  <c r="BP58" i="1"/>
  <c r="BP153" i="1"/>
  <c r="BP285" i="1"/>
  <c r="BP370" i="1"/>
  <c r="BP299" i="1"/>
  <c r="BP127" i="1"/>
  <c r="BP76" i="1"/>
  <c r="BP286" i="1"/>
  <c r="BP315" i="1"/>
  <c r="BP254" i="1"/>
  <c r="BP298" i="1"/>
  <c r="BP294" i="1"/>
  <c r="BP133" i="1"/>
  <c r="BP319" i="1"/>
  <c r="BP125" i="1"/>
  <c r="BP228" i="1"/>
  <c r="BP21" i="1"/>
  <c r="BP379" i="1"/>
  <c r="CH379" i="1" s="1"/>
  <c r="CN379" i="1" s="1"/>
  <c r="BP377" i="1"/>
  <c r="BP331" i="1"/>
  <c r="CH331" i="1" s="1"/>
  <c r="CN331" i="1" s="1"/>
  <c r="BP8" i="1"/>
  <c r="BP239" i="1"/>
  <c r="BP312" i="1"/>
  <c r="BP198" i="1"/>
  <c r="BP355" i="1"/>
  <c r="BP272" i="1"/>
  <c r="BP291" i="1"/>
  <c r="BP192" i="1"/>
  <c r="BP72" i="1"/>
  <c r="BP71" i="1"/>
  <c r="BP159" i="1"/>
  <c r="BP141" i="1"/>
  <c r="BP61" i="1"/>
  <c r="BP150" i="1"/>
  <c r="BP251" i="1"/>
  <c r="BP243" i="1"/>
  <c r="BP375" i="1"/>
  <c r="BP193" i="1"/>
  <c r="BP55" i="1"/>
  <c r="BP33" i="1"/>
  <c r="BP252" i="1"/>
  <c r="BP47" i="1"/>
  <c r="BP368" i="1"/>
  <c r="CH368" i="1" s="1"/>
  <c r="CN368" i="1" s="1"/>
  <c r="BP50" i="1"/>
  <c r="BP218" i="1"/>
  <c r="BP199" i="1"/>
  <c r="BP107" i="1"/>
  <c r="BP378" i="1"/>
  <c r="BP35" i="1"/>
  <c r="BP162" i="1"/>
  <c r="BP83" i="1"/>
  <c r="BP296" i="1"/>
  <c r="BP48" i="1"/>
  <c r="BP109" i="1"/>
  <c r="BP227" i="1"/>
  <c r="BP46" i="1"/>
  <c r="BP149" i="1"/>
  <c r="BP40" i="1"/>
  <c r="BP14" i="1"/>
  <c r="CH14" i="1" s="1"/>
  <c r="CN14" i="1" s="1"/>
  <c r="BP31" i="1"/>
  <c r="BP91" i="1"/>
  <c r="BP74" i="1"/>
  <c r="BP256" i="1"/>
  <c r="BP364" i="1"/>
  <c r="BP244" i="1"/>
  <c r="BP116" i="1"/>
  <c r="BP202" i="1"/>
  <c r="BP189" i="1"/>
  <c r="CH189" i="1" s="1"/>
  <c r="CN189" i="1" s="1"/>
  <c r="BP268" i="1"/>
  <c r="BP241" i="1"/>
  <c r="BP36" i="1"/>
  <c r="BP262" i="1"/>
  <c r="BP20" i="1"/>
  <c r="BP271" i="1"/>
  <c r="BP281" i="1"/>
  <c r="BP13" i="1"/>
  <c r="BP242" i="1"/>
  <c r="BP287" i="1"/>
  <c r="BP322" i="1"/>
  <c r="BP12" i="1"/>
  <c r="BP295" i="1"/>
  <c r="BP224" i="1"/>
  <c r="BP363" i="1"/>
  <c r="BP106" i="1"/>
  <c r="BP260" i="1"/>
  <c r="BP160" i="1"/>
  <c r="BP67" i="1"/>
  <c r="BP339" i="1"/>
  <c r="BP220" i="1"/>
  <c r="BP89" i="1"/>
  <c r="BP353" i="1"/>
  <c r="BP303" i="1"/>
  <c r="BP306" i="1"/>
  <c r="BP273" i="1"/>
  <c r="CH273" i="1" s="1"/>
  <c r="CN273" i="1" s="1"/>
  <c r="BP217" i="1"/>
  <c r="BP351" i="1"/>
  <c r="BP348" i="1"/>
  <c r="BP45" i="1"/>
  <c r="BP276" i="1"/>
  <c r="BP60" i="1"/>
  <c r="BP321" i="1"/>
  <c r="BP326" i="1"/>
  <c r="BP333" i="1"/>
  <c r="BP69" i="1"/>
  <c r="BP337" i="1"/>
  <c r="BP132" i="1"/>
  <c r="BP164" i="1"/>
  <c r="BP4" i="1"/>
  <c r="BP332" i="1"/>
  <c r="BP143" i="1"/>
  <c r="BP267" i="1"/>
  <c r="BP385" i="1"/>
  <c r="BP70" i="1"/>
  <c r="BP103" i="1"/>
  <c r="BP316" i="1"/>
  <c r="BP73" i="1"/>
  <c r="BP11" i="1"/>
  <c r="BP253" i="1"/>
  <c r="CH253" i="1" s="1"/>
  <c r="CN253" i="1" s="1"/>
  <c r="BP142" i="1"/>
  <c r="BP196" i="1"/>
  <c r="BP180" i="1"/>
  <c r="CH180" i="1" s="1"/>
  <c r="CN180" i="1" s="1"/>
  <c r="BP158" i="1"/>
  <c r="BP15" i="1"/>
  <c r="CH15" i="1" s="1"/>
  <c r="CN15" i="1" s="1"/>
  <c r="BP340" i="1"/>
  <c r="BP151" i="1"/>
  <c r="CH151" i="1" s="1"/>
  <c r="CN151" i="1" s="1"/>
  <c r="BP183" i="1"/>
  <c r="BP232" i="1"/>
  <c r="BP381" i="1"/>
  <c r="BP265" i="1"/>
  <c r="BP229" i="1"/>
  <c r="BP144" i="1"/>
  <c r="BP22" i="1"/>
  <c r="BP62" i="1"/>
  <c r="BP98" i="1"/>
  <c r="BP32" i="1"/>
  <c r="BP184" i="1"/>
  <c r="CH184" i="1" s="1"/>
  <c r="CN184" i="1" s="1"/>
  <c r="BP360" i="1"/>
  <c r="BP308" i="1"/>
  <c r="BP155" i="1"/>
  <c r="BP246" i="1"/>
  <c r="BP374" i="1"/>
  <c r="BP175" i="1"/>
  <c r="BP110" i="1"/>
  <c r="BP245" i="1"/>
  <c r="CH245" i="1" s="1"/>
  <c r="CN245" i="1" s="1"/>
  <c r="BP263" i="1"/>
  <c r="BP111" i="1"/>
  <c r="BP53" i="1"/>
  <c r="BP362" i="1"/>
  <c r="BP311" i="1"/>
  <c r="BP148" i="1"/>
  <c r="BP269" i="1"/>
  <c r="CH269" i="1" s="1"/>
  <c r="CN269" i="1" s="1"/>
  <c r="BP29" i="1"/>
  <c r="BP366" i="1"/>
  <c r="BP5" i="1"/>
  <c r="CH5" i="1" s="1"/>
  <c r="CN5" i="1" s="1"/>
  <c r="BP328" i="1"/>
  <c r="BP397" i="1"/>
  <c r="BL391" i="1"/>
  <c r="CE391" i="1" s="1"/>
  <c r="BM391" i="1"/>
  <c r="CF391" i="1" s="1"/>
  <c r="BL392" i="1"/>
  <c r="BM392" i="1"/>
  <c r="CF392" i="1" s="1"/>
  <c r="BL386" i="1"/>
  <c r="BM386" i="1"/>
  <c r="BL16" i="1"/>
  <c r="BM16" i="1"/>
  <c r="BL168" i="1"/>
  <c r="BM168" i="1"/>
  <c r="BL2" i="1"/>
  <c r="BM2" i="1"/>
  <c r="BL174" i="1"/>
  <c r="BM174" i="1"/>
  <c r="BL215" i="1"/>
  <c r="BM215" i="1"/>
  <c r="BL170" i="1"/>
  <c r="BM170" i="1"/>
  <c r="BL274" i="1"/>
  <c r="BM274" i="1"/>
  <c r="BL122" i="1"/>
  <c r="BM122" i="1"/>
  <c r="BL169" i="1"/>
  <c r="BM169" i="1"/>
  <c r="BL59" i="1"/>
  <c r="BM59" i="1"/>
  <c r="BL52" i="1"/>
  <c r="BM52" i="1"/>
  <c r="BL97" i="1"/>
  <c r="BM97" i="1"/>
  <c r="BL176" i="1"/>
  <c r="BM176" i="1"/>
  <c r="BL75" i="1"/>
  <c r="BM75" i="1"/>
  <c r="BL349" i="1"/>
  <c r="BM349" i="1"/>
  <c r="BL211" i="1"/>
  <c r="BM211" i="1"/>
  <c r="BL28" i="1"/>
  <c r="BM28" i="1"/>
  <c r="BL173" i="1"/>
  <c r="BM173" i="1"/>
  <c r="BL26" i="1"/>
  <c r="BM26" i="1"/>
  <c r="BL85" i="1"/>
  <c r="BM85" i="1"/>
  <c r="BL102" i="1"/>
  <c r="BM102" i="1"/>
  <c r="BL117" i="1"/>
  <c r="BM117" i="1"/>
  <c r="BL49" i="1"/>
  <c r="BM49" i="1"/>
  <c r="BL37" i="1"/>
  <c r="BM37" i="1"/>
  <c r="BL82" i="1"/>
  <c r="BM82" i="1"/>
  <c r="BL17" i="1"/>
  <c r="BM17" i="1"/>
  <c r="BL94" i="1"/>
  <c r="BM94" i="1"/>
  <c r="BL81" i="1"/>
  <c r="BM81" i="1"/>
  <c r="BL345" i="1"/>
  <c r="BM345" i="1"/>
  <c r="BL257" i="1"/>
  <c r="BM257" i="1"/>
  <c r="BL314" i="1"/>
  <c r="BM314" i="1"/>
  <c r="BL313" i="1"/>
  <c r="BM313" i="1"/>
  <c r="BL204" i="1"/>
  <c r="BM204" i="1"/>
  <c r="BL7" i="1"/>
  <c r="BM7" i="1"/>
  <c r="BL357" i="1"/>
  <c r="BM357" i="1"/>
  <c r="BL371" i="1"/>
  <c r="CE371" i="1" s="1"/>
  <c r="BM371" i="1"/>
  <c r="CF371" i="1" s="1"/>
  <c r="BL77" i="1"/>
  <c r="BM77" i="1"/>
  <c r="BL207" i="1"/>
  <c r="BM207" i="1"/>
  <c r="BL302" i="1"/>
  <c r="BM302" i="1"/>
  <c r="BL380" i="1"/>
  <c r="BM380" i="1"/>
  <c r="BL250" i="1"/>
  <c r="BM250" i="1"/>
  <c r="BL221" i="1"/>
  <c r="BM221" i="1"/>
  <c r="BL335" i="1"/>
  <c r="BM335" i="1"/>
  <c r="BL284" i="1"/>
  <c r="BM284" i="1"/>
  <c r="BL115" i="1"/>
  <c r="BM115" i="1"/>
  <c r="BL100" i="1"/>
  <c r="BM100" i="1"/>
  <c r="BL172" i="1"/>
  <c r="BM172" i="1"/>
  <c r="BL277" i="1"/>
  <c r="BM277" i="1"/>
  <c r="BL19" i="1"/>
  <c r="BM19" i="1"/>
  <c r="BL79" i="1"/>
  <c r="BM79" i="1"/>
  <c r="BL64" i="1"/>
  <c r="BM64" i="1"/>
  <c r="BL398" i="1"/>
  <c r="BM398" i="1"/>
  <c r="BL129" i="1"/>
  <c r="BM129" i="1"/>
  <c r="BL238" i="1"/>
  <c r="BM238" i="1"/>
  <c r="BL258" i="1"/>
  <c r="BM258" i="1"/>
  <c r="BL301" i="1"/>
  <c r="BM301" i="1"/>
  <c r="BL247" i="1"/>
  <c r="BM247" i="1"/>
  <c r="BL290" i="1"/>
  <c r="BM290" i="1"/>
  <c r="BL300" i="1"/>
  <c r="BM300" i="1"/>
  <c r="BL324" i="1"/>
  <c r="BM324" i="1"/>
  <c r="BL336" i="1"/>
  <c r="BM336" i="1"/>
  <c r="BL327" i="1"/>
  <c r="BM327" i="1"/>
  <c r="BL309" i="1"/>
  <c r="BM309" i="1"/>
  <c r="BL330" i="1"/>
  <c r="BM330" i="1"/>
  <c r="BL346" i="1"/>
  <c r="BM346" i="1"/>
  <c r="BL350" i="1"/>
  <c r="BM350" i="1"/>
  <c r="BL51" i="1"/>
  <c r="BM51" i="1"/>
  <c r="BL367" i="1"/>
  <c r="BM367" i="1"/>
  <c r="BL369" i="1"/>
  <c r="BM369" i="1"/>
  <c r="BL372" i="1"/>
  <c r="BM372" i="1"/>
  <c r="BL373" i="1"/>
  <c r="BM373" i="1"/>
  <c r="BL390" i="1"/>
  <c r="BM390" i="1"/>
  <c r="BL214" i="1"/>
  <c r="BM214" i="1"/>
  <c r="BL136" i="1"/>
  <c r="BM136" i="1"/>
  <c r="BL278" i="1"/>
  <c r="BM278" i="1"/>
  <c r="BL318" i="1"/>
  <c r="BM318" i="1"/>
  <c r="BL186" i="1"/>
  <c r="BM186" i="1"/>
  <c r="BL63" i="1"/>
  <c r="BM63" i="1"/>
  <c r="BL293" i="1"/>
  <c r="BM293" i="1"/>
  <c r="BL119" i="1"/>
  <c r="BM119" i="1"/>
  <c r="BL87" i="1"/>
  <c r="BM87" i="1"/>
  <c r="BL6" i="1"/>
  <c r="BM6" i="1"/>
  <c r="BL191" i="1"/>
  <c r="BM191" i="1"/>
  <c r="BL93" i="1"/>
  <c r="BM93" i="1"/>
  <c r="BL354" i="1"/>
  <c r="BM354" i="1"/>
  <c r="BL99" i="1"/>
  <c r="BM99" i="1"/>
  <c r="BL25" i="1"/>
  <c r="BM25" i="1"/>
  <c r="BL138" i="1"/>
  <c r="BM138" i="1"/>
  <c r="BL179" i="1"/>
  <c r="BM179" i="1"/>
  <c r="BL38" i="1"/>
  <c r="BM38" i="1"/>
  <c r="BL65" i="1"/>
  <c r="BM65" i="1"/>
  <c r="BL320" i="1"/>
  <c r="BM320" i="1"/>
  <c r="BL124" i="1"/>
  <c r="CE124" i="1" s="1"/>
  <c r="BM124" i="1"/>
  <c r="CF124" i="1" s="1"/>
  <c r="BL200" i="1"/>
  <c r="BM200" i="1"/>
  <c r="BL376" i="1"/>
  <c r="BM376" i="1"/>
  <c r="BL161" i="1"/>
  <c r="BM161" i="1"/>
  <c r="BL237" i="1"/>
  <c r="BM237" i="1"/>
  <c r="BL185" i="1"/>
  <c r="BM185" i="1"/>
  <c r="BL41" i="1"/>
  <c r="BM41" i="1"/>
  <c r="BL195" i="1"/>
  <c r="BM195" i="1"/>
  <c r="BL255" i="1"/>
  <c r="BM255" i="1"/>
  <c r="BL157" i="1"/>
  <c r="BM157" i="1"/>
  <c r="BL383" i="1"/>
  <c r="BM383" i="1"/>
  <c r="BL338" i="1"/>
  <c r="CE338" i="1" s="1"/>
  <c r="BM338" i="1"/>
  <c r="CF338" i="1" s="1"/>
  <c r="BL10" i="1"/>
  <c r="BM10" i="1"/>
  <c r="BL208" i="1"/>
  <c r="BM208" i="1"/>
  <c r="BL96" i="1"/>
  <c r="BM96" i="1"/>
  <c r="BL310" i="1"/>
  <c r="BM310" i="1"/>
  <c r="BL223" i="1"/>
  <c r="BM223" i="1"/>
  <c r="BL216" i="1"/>
  <c r="BM216" i="1"/>
  <c r="BL139" i="1"/>
  <c r="BM139" i="1"/>
  <c r="BL114" i="1"/>
  <c r="BM114" i="1"/>
  <c r="BL113" i="1"/>
  <c r="BM113" i="1"/>
  <c r="BL225" i="1"/>
  <c r="BM225" i="1"/>
  <c r="BL248" i="1"/>
  <c r="BM248" i="1"/>
  <c r="BL56" i="1"/>
  <c r="BM56" i="1"/>
  <c r="BL131" i="1"/>
  <c r="BM131" i="1"/>
  <c r="BL203" i="1"/>
  <c r="BM203" i="1"/>
  <c r="BL123" i="1"/>
  <c r="BM123" i="1"/>
  <c r="BL325" i="1"/>
  <c r="BM325" i="1"/>
  <c r="BL177" i="1"/>
  <c r="BM177" i="1"/>
  <c r="BL388" i="1"/>
  <c r="CE388" i="1" s="1"/>
  <c r="BM388" i="1"/>
  <c r="CF388" i="1" s="1"/>
  <c r="BL307" i="1"/>
  <c r="BM307" i="1"/>
  <c r="BL205" i="1"/>
  <c r="BM205" i="1"/>
  <c r="BL279" i="1"/>
  <c r="BM279" i="1"/>
  <c r="BL171" i="1"/>
  <c r="BM171" i="1"/>
  <c r="BL147" i="1"/>
  <c r="BM147" i="1"/>
  <c r="BL382" i="1"/>
  <c r="BM382" i="1"/>
  <c r="BL344" i="1"/>
  <c r="BM344" i="1"/>
  <c r="BL30" i="1"/>
  <c r="BM30" i="1"/>
  <c r="BL266" i="1"/>
  <c r="BM266" i="1"/>
  <c r="BL57" i="1"/>
  <c r="BM57" i="1"/>
  <c r="BL9" i="1"/>
  <c r="BM9" i="1"/>
  <c r="BL356" i="1"/>
  <c r="BM356" i="1"/>
  <c r="BL68" i="1"/>
  <c r="BM68" i="1"/>
  <c r="BL341" i="1"/>
  <c r="BM341" i="1"/>
  <c r="BL80" i="1"/>
  <c r="BM80" i="1"/>
  <c r="BL190" i="1"/>
  <c r="BM190" i="1"/>
  <c r="BL126" i="1"/>
  <c r="BM126" i="1"/>
  <c r="BL27" i="1"/>
  <c r="BM27" i="1"/>
  <c r="BL120" i="1"/>
  <c r="BM120" i="1"/>
  <c r="BL42" i="1"/>
  <c r="BM42" i="1"/>
  <c r="BL282" i="1"/>
  <c r="CE282" i="1" s="1"/>
  <c r="BM282" i="1"/>
  <c r="CF282" i="1" s="1"/>
  <c r="BL43" i="1"/>
  <c r="CE43" i="1" s="1"/>
  <c r="BM43" i="1"/>
  <c r="CF43" i="1" s="1"/>
  <c r="BL24" i="1"/>
  <c r="BM24" i="1"/>
  <c r="BL145" i="1"/>
  <c r="BM145" i="1"/>
  <c r="BL387" i="1"/>
  <c r="BM387" i="1"/>
  <c r="BL128" i="1"/>
  <c r="BM128" i="1"/>
  <c r="BL92" i="1"/>
  <c r="BM92" i="1"/>
  <c r="BL209" i="1"/>
  <c r="BM209" i="1"/>
  <c r="BL137" i="1"/>
  <c r="BM137" i="1"/>
  <c r="BL395" i="1"/>
  <c r="BM395" i="1"/>
  <c r="BL101" i="1"/>
  <c r="BM101" i="1"/>
  <c r="BL305" i="1"/>
  <c r="BM305" i="1"/>
  <c r="BL297" i="1"/>
  <c r="BM297" i="1"/>
  <c r="BL181" i="1"/>
  <c r="BM181" i="1"/>
  <c r="BL289" i="1"/>
  <c r="BM289" i="1"/>
  <c r="BL140" i="1"/>
  <c r="BM140" i="1"/>
  <c r="BL358" i="1"/>
  <c r="BM358" i="1"/>
  <c r="BL317" i="1"/>
  <c r="BM317" i="1"/>
  <c r="BL236" i="1"/>
  <c r="BM236" i="1"/>
  <c r="BL166" i="1"/>
  <c r="BM166" i="1"/>
  <c r="BL135" i="1"/>
  <c r="BM135" i="1"/>
  <c r="BL187" i="1"/>
  <c r="BM187" i="1"/>
  <c r="BL213" i="1"/>
  <c r="BM213" i="1"/>
  <c r="BL365" i="1"/>
  <c r="BM365" i="1"/>
  <c r="BL178" i="1"/>
  <c r="BM178" i="1"/>
  <c r="BL134" i="1"/>
  <c r="BM134" i="1"/>
  <c r="BL3" i="1"/>
  <c r="BM3" i="1"/>
  <c r="BL206" i="1"/>
  <c r="CE206" i="1" s="1"/>
  <c r="BM206" i="1"/>
  <c r="BL264" i="1"/>
  <c r="BM264" i="1"/>
  <c r="BL165" i="1"/>
  <c r="BM165" i="1"/>
  <c r="BL105" i="1"/>
  <c r="CE105" i="1" s="1"/>
  <c r="BM105" i="1"/>
  <c r="CF105" i="1" s="1"/>
  <c r="BL18" i="1"/>
  <c r="BM18" i="1"/>
  <c r="BL361" i="1"/>
  <c r="BM361" i="1"/>
  <c r="BL342" i="1"/>
  <c r="BM342" i="1"/>
  <c r="BL304" i="1"/>
  <c r="BM304" i="1"/>
  <c r="BL249" i="1"/>
  <c r="BM249" i="1"/>
  <c r="BL44" i="1"/>
  <c r="BM44" i="1"/>
  <c r="BL23" i="1"/>
  <c r="BM23" i="1"/>
  <c r="BL259" i="1"/>
  <c r="BM259" i="1"/>
  <c r="BL86" i="1"/>
  <c r="BM86" i="1"/>
  <c r="BL201" i="1"/>
  <c r="BM201" i="1"/>
  <c r="BL78" i="1"/>
  <c r="BM78" i="1"/>
  <c r="BL288" i="1"/>
  <c r="BM288" i="1"/>
  <c r="BL154" i="1"/>
  <c r="BM154" i="1"/>
  <c r="BL233" i="1"/>
  <c r="BM233" i="1"/>
  <c r="BL384" i="1"/>
  <c r="CE384" i="1" s="1"/>
  <c r="BM384" i="1"/>
  <c r="CF384" i="1" s="1"/>
  <c r="BL130" i="1"/>
  <c r="BM130" i="1"/>
  <c r="BL112" i="1"/>
  <c r="BM112" i="1"/>
  <c r="BL66" i="1"/>
  <c r="BM66" i="1"/>
  <c r="BL275" i="1"/>
  <c r="BM275" i="1"/>
  <c r="BL222" i="1"/>
  <c r="BM222" i="1"/>
  <c r="BL188" i="1"/>
  <c r="BM188" i="1"/>
  <c r="BL194" i="1"/>
  <c r="BM194" i="1"/>
  <c r="BL167" i="1"/>
  <c r="BM167" i="1"/>
  <c r="BL235" i="1"/>
  <c r="BM235" i="1"/>
  <c r="BL329" i="1"/>
  <c r="BM329" i="1"/>
  <c r="BL219" i="1"/>
  <c r="CE219" i="1" s="1"/>
  <c r="BM219" i="1"/>
  <c r="CF219" i="1" s="1"/>
  <c r="BL226" i="1"/>
  <c r="BM226" i="1"/>
  <c r="BL231" i="1"/>
  <c r="BM231" i="1"/>
  <c r="BL393" i="1"/>
  <c r="BM393" i="1"/>
  <c r="BL292" i="1"/>
  <c r="BM292" i="1"/>
  <c r="BL104" i="1"/>
  <c r="BM104" i="1"/>
  <c r="BL152" i="1"/>
  <c r="BM152" i="1"/>
  <c r="BL121" i="1"/>
  <c r="BM121" i="1"/>
  <c r="BL118" i="1"/>
  <c r="BM118" i="1"/>
  <c r="BL323" i="1"/>
  <c r="BM323" i="1"/>
  <c r="BL334" i="1"/>
  <c r="BM334" i="1"/>
  <c r="BL108" i="1"/>
  <c r="BM108" i="1"/>
  <c r="BL280" i="1"/>
  <c r="BM280" i="1"/>
  <c r="BL240" i="1"/>
  <c r="BM240" i="1"/>
  <c r="BL283" i="1"/>
  <c r="BM283" i="1"/>
  <c r="BL210" i="1"/>
  <c r="BM210" i="1"/>
  <c r="BL163" i="1"/>
  <c r="BM163" i="1"/>
  <c r="BL396" i="1"/>
  <c r="BM396" i="1"/>
  <c r="BL270" i="1"/>
  <c r="BM270" i="1"/>
  <c r="BL234" i="1"/>
  <c r="BM234" i="1"/>
  <c r="BL343" i="1"/>
  <c r="BM343" i="1"/>
  <c r="BL156" i="1"/>
  <c r="CE156" i="1" s="1"/>
  <c r="BM156" i="1"/>
  <c r="CF156" i="1" s="1"/>
  <c r="BL182" i="1"/>
  <c r="BM182" i="1"/>
  <c r="BL347" i="1"/>
  <c r="BM347" i="1"/>
  <c r="BL84" i="1"/>
  <c r="BM84" i="1"/>
  <c r="BL54" i="1"/>
  <c r="BM54" i="1"/>
  <c r="BL146" i="1"/>
  <c r="BM146" i="1"/>
  <c r="BL352" i="1"/>
  <c r="BM352" i="1"/>
  <c r="BL389" i="1"/>
  <c r="BM389" i="1"/>
  <c r="BL197" i="1"/>
  <c r="BM197" i="1"/>
  <c r="BL95" i="1"/>
  <c r="BM95" i="1"/>
  <c r="BL88" i="1"/>
  <c r="BM88" i="1"/>
  <c r="BL394" i="1"/>
  <c r="BM394" i="1"/>
  <c r="BL261" i="1"/>
  <c r="BM261" i="1"/>
  <c r="BL34" i="1"/>
  <c r="CE34" i="1" s="1"/>
  <c r="BM34" i="1"/>
  <c r="CF34" i="1" s="1"/>
  <c r="BL39" i="1"/>
  <c r="BM39" i="1"/>
  <c r="BL90" i="1"/>
  <c r="BM90" i="1"/>
  <c r="BL212" i="1"/>
  <c r="BM212" i="1"/>
  <c r="BL359" i="1"/>
  <c r="CE359" i="1" s="1"/>
  <c r="BM359" i="1"/>
  <c r="BL230" i="1"/>
  <c r="BM230" i="1"/>
  <c r="BL58" i="1"/>
  <c r="BM58" i="1"/>
  <c r="BL153" i="1"/>
  <c r="BM153" i="1"/>
  <c r="BL285" i="1"/>
  <c r="BM285" i="1"/>
  <c r="BL370" i="1"/>
  <c r="BM370" i="1"/>
  <c r="BL299" i="1"/>
  <c r="BM299" i="1"/>
  <c r="BL127" i="1"/>
  <c r="BM127" i="1"/>
  <c r="BL76" i="1"/>
  <c r="BM76" i="1"/>
  <c r="BL286" i="1"/>
  <c r="BM286" i="1"/>
  <c r="BL315" i="1"/>
  <c r="BM315" i="1"/>
  <c r="BL254" i="1"/>
  <c r="BM254" i="1"/>
  <c r="BL298" i="1"/>
  <c r="BM298" i="1"/>
  <c r="BL294" i="1"/>
  <c r="BM294" i="1"/>
  <c r="BL133" i="1"/>
  <c r="BM133" i="1"/>
  <c r="BL319" i="1"/>
  <c r="BM319" i="1"/>
  <c r="BL125" i="1"/>
  <c r="BM125" i="1"/>
  <c r="BL228" i="1"/>
  <c r="BM228" i="1"/>
  <c r="BL21" i="1"/>
  <c r="BM21" i="1"/>
  <c r="BL379" i="1"/>
  <c r="CE379" i="1" s="1"/>
  <c r="BM379" i="1"/>
  <c r="CF379" i="1" s="1"/>
  <c r="BL377" i="1"/>
  <c r="BM377" i="1"/>
  <c r="BL331" i="1"/>
  <c r="CE331" i="1" s="1"/>
  <c r="BM331" i="1"/>
  <c r="CF331" i="1" s="1"/>
  <c r="BL8" i="1"/>
  <c r="BM8" i="1"/>
  <c r="BL239" i="1"/>
  <c r="BM239" i="1"/>
  <c r="BL312" i="1"/>
  <c r="BM312" i="1"/>
  <c r="BL198" i="1"/>
  <c r="BM198" i="1"/>
  <c r="BL355" i="1"/>
  <c r="BM355" i="1"/>
  <c r="BL272" i="1"/>
  <c r="BM272" i="1"/>
  <c r="BL291" i="1"/>
  <c r="BM291" i="1"/>
  <c r="BL192" i="1"/>
  <c r="BM192" i="1"/>
  <c r="BL72" i="1"/>
  <c r="BM72" i="1"/>
  <c r="BL71" i="1"/>
  <c r="BM71" i="1"/>
  <c r="BL159" i="1"/>
  <c r="BM159" i="1"/>
  <c r="BL141" i="1"/>
  <c r="BM141" i="1"/>
  <c r="BL61" i="1"/>
  <c r="BM61" i="1"/>
  <c r="BL150" i="1"/>
  <c r="BM150" i="1"/>
  <c r="BL251" i="1"/>
  <c r="BM251" i="1"/>
  <c r="BL243" i="1"/>
  <c r="BM243" i="1"/>
  <c r="BL375" i="1"/>
  <c r="BM375" i="1"/>
  <c r="BL193" i="1"/>
  <c r="BM193" i="1"/>
  <c r="BL55" i="1"/>
  <c r="BM55" i="1"/>
  <c r="BL33" i="1"/>
  <c r="BM33" i="1"/>
  <c r="BL252" i="1"/>
  <c r="BM252" i="1"/>
  <c r="BL47" i="1"/>
  <c r="BM47" i="1"/>
  <c r="BL368" i="1"/>
  <c r="CE368" i="1" s="1"/>
  <c r="BM368" i="1"/>
  <c r="CF368" i="1" s="1"/>
  <c r="BL50" i="1"/>
  <c r="BM50" i="1"/>
  <c r="BL218" i="1"/>
  <c r="BM218" i="1"/>
  <c r="BL199" i="1"/>
  <c r="BM199" i="1"/>
  <c r="BL107" i="1"/>
  <c r="BM107" i="1"/>
  <c r="BL378" i="1"/>
  <c r="BM378" i="1"/>
  <c r="BL35" i="1"/>
  <c r="BM35" i="1"/>
  <c r="BL162" i="1"/>
  <c r="BM162" i="1"/>
  <c r="BL83" i="1"/>
  <c r="BM83" i="1"/>
  <c r="BL296" i="1"/>
  <c r="BM296" i="1"/>
  <c r="BL48" i="1"/>
  <c r="BM48" i="1"/>
  <c r="BL109" i="1"/>
  <c r="BM109" i="1"/>
  <c r="BL227" i="1"/>
  <c r="BM227" i="1"/>
  <c r="BL46" i="1"/>
  <c r="BM46" i="1"/>
  <c r="BL149" i="1"/>
  <c r="BM149" i="1"/>
  <c r="BL40" i="1"/>
  <c r="BM40" i="1"/>
  <c r="BL14" i="1"/>
  <c r="CE14" i="1" s="1"/>
  <c r="BM14" i="1"/>
  <c r="CF14" i="1" s="1"/>
  <c r="BL31" i="1"/>
  <c r="BM31" i="1"/>
  <c r="BL91" i="1"/>
  <c r="BM91" i="1"/>
  <c r="BL74" i="1"/>
  <c r="BM74" i="1"/>
  <c r="BL256" i="1"/>
  <c r="BM256" i="1"/>
  <c r="BL364" i="1"/>
  <c r="BM364" i="1"/>
  <c r="BL244" i="1"/>
  <c r="BM244" i="1"/>
  <c r="BL116" i="1"/>
  <c r="BM116" i="1"/>
  <c r="BL202" i="1"/>
  <c r="BM202" i="1"/>
  <c r="BL189" i="1"/>
  <c r="CE189" i="1" s="1"/>
  <c r="BM189" i="1"/>
  <c r="CF189" i="1" s="1"/>
  <c r="BL268" i="1"/>
  <c r="BM268" i="1"/>
  <c r="BL241" i="1"/>
  <c r="BM241" i="1"/>
  <c r="BL36" i="1"/>
  <c r="BM36" i="1"/>
  <c r="BL262" i="1"/>
  <c r="BM262" i="1"/>
  <c r="BL20" i="1"/>
  <c r="BM20" i="1"/>
  <c r="BL271" i="1"/>
  <c r="BM271" i="1"/>
  <c r="BL281" i="1"/>
  <c r="BM281" i="1"/>
  <c r="BL13" i="1"/>
  <c r="BM13" i="1"/>
  <c r="BL242" i="1"/>
  <c r="BM242" i="1"/>
  <c r="BL287" i="1"/>
  <c r="BM287" i="1"/>
  <c r="BL322" i="1"/>
  <c r="BM322" i="1"/>
  <c r="BL12" i="1"/>
  <c r="CE12" i="1" s="1"/>
  <c r="BM12" i="1"/>
  <c r="BL295" i="1"/>
  <c r="BM295" i="1"/>
  <c r="BL224" i="1"/>
  <c r="BM224" i="1"/>
  <c r="BL363" i="1"/>
  <c r="BM363" i="1"/>
  <c r="BL106" i="1"/>
  <c r="BM106" i="1"/>
  <c r="BL260" i="1"/>
  <c r="BM260" i="1"/>
  <c r="BL160" i="1"/>
  <c r="BM160" i="1"/>
  <c r="BL67" i="1"/>
  <c r="BM67" i="1"/>
  <c r="BL339" i="1"/>
  <c r="BM339" i="1"/>
  <c r="BL220" i="1"/>
  <c r="BM220" i="1"/>
  <c r="BL89" i="1"/>
  <c r="BM89" i="1"/>
  <c r="BL353" i="1"/>
  <c r="BM353" i="1"/>
  <c r="BL303" i="1"/>
  <c r="BM303" i="1"/>
  <c r="BL306" i="1"/>
  <c r="BM306" i="1"/>
  <c r="BL273" i="1"/>
  <c r="CE273" i="1" s="1"/>
  <c r="BM273" i="1"/>
  <c r="CF273" i="1" s="1"/>
  <c r="BL217" i="1"/>
  <c r="BM217" i="1"/>
  <c r="BL351" i="1"/>
  <c r="BM351" i="1"/>
  <c r="BL348" i="1"/>
  <c r="BM348" i="1"/>
  <c r="BL45" i="1"/>
  <c r="BM45" i="1"/>
  <c r="BL276" i="1"/>
  <c r="BM276" i="1"/>
  <c r="BL60" i="1"/>
  <c r="BM60" i="1"/>
  <c r="BL321" i="1"/>
  <c r="BM321" i="1"/>
  <c r="BL326" i="1"/>
  <c r="BM326" i="1"/>
  <c r="BL333" i="1"/>
  <c r="BM333" i="1"/>
  <c r="BL69" i="1"/>
  <c r="BM69" i="1"/>
  <c r="BL337" i="1"/>
  <c r="BM337" i="1"/>
  <c r="BL132" i="1"/>
  <c r="BM132" i="1"/>
  <c r="BL164" i="1"/>
  <c r="BM164" i="1"/>
  <c r="BL4" i="1"/>
  <c r="BM4" i="1"/>
  <c r="BL332" i="1"/>
  <c r="BM332" i="1"/>
  <c r="BL143" i="1"/>
  <c r="BM143" i="1"/>
  <c r="BL267" i="1"/>
  <c r="BM267" i="1"/>
  <c r="BL385" i="1"/>
  <c r="BM385" i="1"/>
  <c r="BL70" i="1"/>
  <c r="BM70" i="1"/>
  <c r="BL103" i="1"/>
  <c r="BM103" i="1"/>
  <c r="BL316" i="1"/>
  <c r="BM316" i="1"/>
  <c r="BL73" i="1"/>
  <c r="BM73" i="1"/>
  <c r="BL11" i="1"/>
  <c r="BM11" i="1"/>
  <c r="BL253" i="1"/>
  <c r="CE253" i="1" s="1"/>
  <c r="BM253" i="1"/>
  <c r="CF253" i="1" s="1"/>
  <c r="BL142" i="1"/>
  <c r="BM142" i="1"/>
  <c r="BL196" i="1"/>
  <c r="BM196" i="1"/>
  <c r="BL180" i="1"/>
  <c r="CE180" i="1" s="1"/>
  <c r="BM180" i="1"/>
  <c r="CF180" i="1" s="1"/>
  <c r="BL158" i="1"/>
  <c r="BM158" i="1"/>
  <c r="BL15" i="1"/>
  <c r="CE15" i="1" s="1"/>
  <c r="BM15" i="1"/>
  <c r="CF15" i="1" s="1"/>
  <c r="BL340" i="1"/>
  <c r="BM340" i="1"/>
  <c r="BL151" i="1"/>
  <c r="CE151" i="1" s="1"/>
  <c r="BM151" i="1"/>
  <c r="CF151" i="1" s="1"/>
  <c r="BL183" i="1"/>
  <c r="CE183" i="1" s="1"/>
  <c r="BM183" i="1"/>
  <c r="BL232" i="1"/>
  <c r="BM232" i="1"/>
  <c r="BL381" i="1"/>
  <c r="BM381" i="1"/>
  <c r="BL265" i="1"/>
  <c r="BM265" i="1"/>
  <c r="BL229" i="1"/>
  <c r="BM229" i="1"/>
  <c r="BL144" i="1"/>
  <c r="BM144" i="1"/>
  <c r="BL22" i="1"/>
  <c r="BM22" i="1"/>
  <c r="BL62" i="1"/>
  <c r="BM62" i="1"/>
  <c r="BL98" i="1"/>
  <c r="BM98" i="1"/>
  <c r="BL32" i="1"/>
  <c r="BM32" i="1"/>
  <c r="BL184" i="1"/>
  <c r="CE184" i="1" s="1"/>
  <c r="BM184" i="1"/>
  <c r="CF184" i="1" s="1"/>
  <c r="BL360" i="1"/>
  <c r="BM360" i="1"/>
  <c r="BL308" i="1"/>
  <c r="BM308" i="1"/>
  <c r="BL155" i="1"/>
  <c r="BM155" i="1"/>
  <c r="BL246" i="1"/>
  <c r="BM246" i="1"/>
  <c r="BL374" i="1"/>
  <c r="BM374" i="1"/>
  <c r="BL175" i="1"/>
  <c r="BM175" i="1"/>
  <c r="BL110" i="1"/>
  <c r="BM110" i="1"/>
  <c r="BL245" i="1"/>
  <c r="CE245" i="1" s="1"/>
  <c r="BM245" i="1"/>
  <c r="CF245" i="1" s="1"/>
  <c r="BL263" i="1"/>
  <c r="BM263" i="1"/>
  <c r="BL111" i="1"/>
  <c r="BM111" i="1"/>
  <c r="BL53" i="1"/>
  <c r="BM53" i="1"/>
  <c r="BL362" i="1"/>
  <c r="BM362" i="1"/>
  <c r="BL311" i="1"/>
  <c r="BM311" i="1"/>
  <c r="BL148" i="1"/>
  <c r="BM148" i="1"/>
  <c r="BL269" i="1"/>
  <c r="CE269" i="1" s="1"/>
  <c r="BM269" i="1"/>
  <c r="CF269" i="1" s="1"/>
  <c r="BL29" i="1"/>
  <c r="BM29" i="1"/>
  <c r="BL366" i="1"/>
  <c r="BM366" i="1"/>
  <c r="BL5" i="1"/>
  <c r="CE5" i="1" s="1"/>
  <c r="BM5" i="1"/>
  <c r="CF5" i="1" s="1"/>
  <c r="BL328" i="1"/>
  <c r="BM328" i="1"/>
  <c r="BM397" i="1"/>
  <c r="BL397" i="1"/>
  <c r="BH391" i="1"/>
  <c r="CB391" i="1" s="1"/>
  <c r="BI391" i="1"/>
  <c r="CC391" i="1" s="1"/>
  <c r="BH392" i="1"/>
  <c r="BI392" i="1"/>
  <c r="BH386" i="1"/>
  <c r="BI386" i="1"/>
  <c r="BH16" i="1"/>
  <c r="BI16" i="1"/>
  <c r="BH168" i="1"/>
  <c r="BI168" i="1"/>
  <c r="BH2" i="1"/>
  <c r="BI2" i="1"/>
  <c r="BH174" i="1"/>
  <c r="BI174" i="1"/>
  <c r="BH215" i="1"/>
  <c r="BI215" i="1"/>
  <c r="BH170" i="1"/>
  <c r="BI170" i="1"/>
  <c r="BH274" i="1"/>
  <c r="BI274" i="1"/>
  <c r="BH122" i="1"/>
  <c r="BI122" i="1"/>
  <c r="BH169" i="1"/>
  <c r="BI169" i="1"/>
  <c r="BH59" i="1"/>
  <c r="BI59" i="1"/>
  <c r="BH52" i="1"/>
  <c r="BI52" i="1"/>
  <c r="BH97" i="1"/>
  <c r="BI97" i="1"/>
  <c r="BH176" i="1"/>
  <c r="BI176" i="1"/>
  <c r="BH75" i="1"/>
  <c r="BI75" i="1"/>
  <c r="BH349" i="1"/>
  <c r="BI349" i="1"/>
  <c r="BH211" i="1"/>
  <c r="BI211" i="1"/>
  <c r="BH28" i="1"/>
  <c r="BI28" i="1"/>
  <c r="BH173" i="1"/>
  <c r="BI173" i="1"/>
  <c r="BH26" i="1"/>
  <c r="BI26" i="1"/>
  <c r="BH85" i="1"/>
  <c r="BI85" i="1"/>
  <c r="BH102" i="1"/>
  <c r="BI102" i="1"/>
  <c r="BH117" i="1"/>
  <c r="BI117" i="1"/>
  <c r="BH49" i="1"/>
  <c r="BI49" i="1"/>
  <c r="BH37" i="1"/>
  <c r="BI37" i="1"/>
  <c r="BH82" i="1"/>
  <c r="BI82" i="1"/>
  <c r="BH17" i="1"/>
  <c r="BI17" i="1"/>
  <c r="BH94" i="1"/>
  <c r="BI94" i="1"/>
  <c r="BH81" i="1"/>
  <c r="BI81" i="1"/>
  <c r="BH345" i="1"/>
  <c r="BI345" i="1"/>
  <c r="BH257" i="1"/>
  <c r="BI257" i="1"/>
  <c r="BH314" i="1"/>
  <c r="BI314" i="1"/>
  <c r="BH313" i="1"/>
  <c r="BI313" i="1"/>
  <c r="BH204" i="1"/>
  <c r="BI204" i="1"/>
  <c r="BH7" i="1"/>
  <c r="BI7" i="1"/>
  <c r="BH357" i="1"/>
  <c r="BI357" i="1"/>
  <c r="BH371" i="1"/>
  <c r="CB371" i="1" s="1"/>
  <c r="BI371" i="1"/>
  <c r="CC371" i="1" s="1"/>
  <c r="BH77" i="1"/>
  <c r="BI77" i="1"/>
  <c r="BH207" i="1"/>
  <c r="BI207" i="1"/>
  <c r="BH302" i="1"/>
  <c r="BI302" i="1"/>
  <c r="BH380" i="1"/>
  <c r="BI380" i="1"/>
  <c r="BH250" i="1"/>
  <c r="BI250" i="1"/>
  <c r="BH221" i="1"/>
  <c r="BI221" i="1"/>
  <c r="BH335" i="1"/>
  <c r="BI335" i="1"/>
  <c r="BH284" i="1"/>
  <c r="BI284" i="1"/>
  <c r="BH115" i="1"/>
  <c r="BI115" i="1"/>
  <c r="BH100" i="1"/>
  <c r="BI100" i="1"/>
  <c r="BH172" i="1"/>
  <c r="BI172" i="1"/>
  <c r="BH277" i="1"/>
  <c r="BI277" i="1"/>
  <c r="BH19" i="1"/>
  <c r="BI19" i="1"/>
  <c r="BH79" i="1"/>
  <c r="BI79" i="1"/>
  <c r="BH64" i="1"/>
  <c r="BI64" i="1"/>
  <c r="BH398" i="1"/>
  <c r="BI398" i="1"/>
  <c r="BH129" i="1"/>
  <c r="BI129" i="1"/>
  <c r="BH238" i="1"/>
  <c r="BI238" i="1"/>
  <c r="BH258" i="1"/>
  <c r="BI258" i="1"/>
  <c r="BH301" i="1"/>
  <c r="BI301" i="1"/>
  <c r="BH247" i="1"/>
  <c r="BI247" i="1"/>
  <c r="BH290" i="1"/>
  <c r="BI290" i="1"/>
  <c r="BH300" i="1"/>
  <c r="BI300" i="1"/>
  <c r="BH324" i="1"/>
  <c r="BI324" i="1"/>
  <c r="BH336" i="1"/>
  <c r="BI336" i="1"/>
  <c r="BH327" i="1"/>
  <c r="BI327" i="1"/>
  <c r="BH309" i="1"/>
  <c r="BI309" i="1"/>
  <c r="BH330" i="1"/>
  <c r="BI330" i="1"/>
  <c r="BH346" i="1"/>
  <c r="BI346" i="1"/>
  <c r="BH350" i="1"/>
  <c r="BI350" i="1"/>
  <c r="BH51" i="1"/>
  <c r="BI51" i="1"/>
  <c r="BH367" i="1"/>
  <c r="BI367" i="1"/>
  <c r="BH369" i="1"/>
  <c r="BI369" i="1"/>
  <c r="BH372" i="1"/>
  <c r="BI372" i="1"/>
  <c r="BH373" i="1"/>
  <c r="BI373" i="1"/>
  <c r="BH390" i="1"/>
  <c r="BI390" i="1"/>
  <c r="BH214" i="1"/>
  <c r="BI214" i="1"/>
  <c r="BH136" i="1"/>
  <c r="BI136" i="1"/>
  <c r="BH278" i="1"/>
  <c r="BI278" i="1"/>
  <c r="BH318" i="1"/>
  <c r="BI318" i="1"/>
  <c r="BH186" i="1"/>
  <c r="BI186" i="1"/>
  <c r="BH63" i="1"/>
  <c r="BI63" i="1"/>
  <c r="BH293" i="1"/>
  <c r="BI293" i="1"/>
  <c r="BH119" i="1"/>
  <c r="BI119" i="1"/>
  <c r="BH87" i="1"/>
  <c r="BI87" i="1"/>
  <c r="BH6" i="1"/>
  <c r="BI6" i="1"/>
  <c r="BH191" i="1"/>
  <c r="BI191" i="1"/>
  <c r="BH93" i="1"/>
  <c r="BI93" i="1"/>
  <c r="BH354" i="1"/>
  <c r="BI354" i="1"/>
  <c r="BH99" i="1"/>
  <c r="BI99" i="1"/>
  <c r="BH25" i="1"/>
  <c r="BI25" i="1"/>
  <c r="BH138" i="1"/>
  <c r="BI138" i="1"/>
  <c r="BH179" i="1"/>
  <c r="BI179" i="1"/>
  <c r="BH38" i="1"/>
  <c r="BI38" i="1"/>
  <c r="BH65" i="1"/>
  <c r="BI65" i="1"/>
  <c r="BH320" i="1"/>
  <c r="BI320" i="1"/>
  <c r="BH124" i="1"/>
  <c r="CB124" i="1" s="1"/>
  <c r="BI124" i="1"/>
  <c r="CC124" i="1" s="1"/>
  <c r="BH200" i="1"/>
  <c r="BI200" i="1"/>
  <c r="BH376" i="1"/>
  <c r="BI376" i="1"/>
  <c r="BH161" i="1"/>
  <c r="BI161" i="1"/>
  <c r="BH237" i="1"/>
  <c r="BI237" i="1"/>
  <c r="BH185" i="1"/>
  <c r="BI185" i="1"/>
  <c r="BH41" i="1"/>
  <c r="BI41" i="1"/>
  <c r="BH195" i="1"/>
  <c r="BI195" i="1"/>
  <c r="BH255" i="1"/>
  <c r="BI255" i="1"/>
  <c r="BH157" i="1"/>
  <c r="BI157" i="1"/>
  <c r="BH383" i="1"/>
  <c r="BI383" i="1"/>
  <c r="BH338" i="1"/>
  <c r="CB338" i="1" s="1"/>
  <c r="BI338" i="1"/>
  <c r="CC338" i="1" s="1"/>
  <c r="BH10" i="1"/>
  <c r="BI10" i="1"/>
  <c r="BH208" i="1"/>
  <c r="BI208" i="1"/>
  <c r="BH96" i="1"/>
  <c r="BI96" i="1"/>
  <c r="BH310" i="1"/>
  <c r="BI310" i="1"/>
  <c r="BH223" i="1"/>
  <c r="BI223" i="1"/>
  <c r="BH216" i="1"/>
  <c r="BI216" i="1"/>
  <c r="BH139" i="1"/>
  <c r="BI139" i="1"/>
  <c r="BH114" i="1"/>
  <c r="BI114" i="1"/>
  <c r="BH113" i="1"/>
  <c r="BI113" i="1"/>
  <c r="BH225" i="1"/>
  <c r="BI225" i="1"/>
  <c r="BH248" i="1"/>
  <c r="BI248" i="1"/>
  <c r="BH56" i="1"/>
  <c r="BI56" i="1"/>
  <c r="BH131" i="1"/>
  <c r="BI131" i="1"/>
  <c r="BH203" i="1"/>
  <c r="BI203" i="1"/>
  <c r="BH123" i="1"/>
  <c r="BI123" i="1"/>
  <c r="BH325" i="1"/>
  <c r="BI325" i="1"/>
  <c r="BH177" i="1"/>
  <c r="BI177" i="1"/>
  <c r="BH388" i="1"/>
  <c r="CB388" i="1" s="1"/>
  <c r="BI388" i="1"/>
  <c r="CC388" i="1" s="1"/>
  <c r="BH307" i="1"/>
  <c r="BI307" i="1"/>
  <c r="BH205" i="1"/>
  <c r="BI205" i="1"/>
  <c r="BH279" i="1"/>
  <c r="BI279" i="1"/>
  <c r="BH171" i="1"/>
  <c r="BI171" i="1"/>
  <c r="BH147" i="1"/>
  <c r="BI147" i="1"/>
  <c r="BH382" i="1"/>
  <c r="BI382" i="1"/>
  <c r="BH344" i="1"/>
  <c r="BI344" i="1"/>
  <c r="BH30" i="1"/>
  <c r="BI30" i="1"/>
  <c r="BH266" i="1"/>
  <c r="BI266" i="1"/>
  <c r="BH57" i="1"/>
  <c r="BI57" i="1"/>
  <c r="BH9" i="1"/>
  <c r="BI9" i="1"/>
  <c r="BH356" i="1"/>
  <c r="BI356" i="1"/>
  <c r="BH68" i="1"/>
  <c r="BI68" i="1"/>
  <c r="BH341" i="1"/>
  <c r="BI341" i="1"/>
  <c r="BH80" i="1"/>
  <c r="BI80" i="1"/>
  <c r="BH190" i="1"/>
  <c r="BI190" i="1"/>
  <c r="BH126" i="1"/>
  <c r="BI126" i="1"/>
  <c r="BH27" i="1"/>
  <c r="BI27" i="1"/>
  <c r="BH120" i="1"/>
  <c r="BI120" i="1"/>
  <c r="BH42" i="1"/>
  <c r="BI42" i="1"/>
  <c r="BH282" i="1"/>
  <c r="CB282" i="1" s="1"/>
  <c r="BI282" i="1"/>
  <c r="CC282" i="1" s="1"/>
  <c r="BH43" i="1"/>
  <c r="CB43" i="1" s="1"/>
  <c r="BI43" i="1"/>
  <c r="CC43" i="1" s="1"/>
  <c r="BH24" i="1"/>
  <c r="BI24" i="1"/>
  <c r="BH145" i="1"/>
  <c r="BI145" i="1"/>
  <c r="BH387" i="1"/>
  <c r="BI387" i="1"/>
  <c r="BH128" i="1"/>
  <c r="BI128" i="1"/>
  <c r="BH92" i="1"/>
  <c r="BI92" i="1"/>
  <c r="BH209" i="1"/>
  <c r="BI209" i="1"/>
  <c r="BH137" i="1"/>
  <c r="BI137" i="1"/>
  <c r="BH395" i="1"/>
  <c r="BI395" i="1"/>
  <c r="BH101" i="1"/>
  <c r="BI101" i="1"/>
  <c r="BH305" i="1"/>
  <c r="BI305" i="1"/>
  <c r="BH297" i="1"/>
  <c r="BI297" i="1"/>
  <c r="BH181" i="1"/>
  <c r="BI181" i="1"/>
  <c r="BH289" i="1"/>
  <c r="BI289" i="1"/>
  <c r="BH140" i="1"/>
  <c r="BI140" i="1"/>
  <c r="BH358" i="1"/>
  <c r="BI358" i="1"/>
  <c r="BH317" i="1"/>
  <c r="BI317" i="1"/>
  <c r="BH236" i="1"/>
  <c r="BI236" i="1"/>
  <c r="BH166" i="1"/>
  <c r="BI166" i="1"/>
  <c r="BH135" i="1"/>
  <c r="BI135" i="1"/>
  <c r="BH187" i="1"/>
  <c r="BI187" i="1"/>
  <c r="BH213" i="1"/>
  <c r="BI213" i="1"/>
  <c r="BH365" i="1"/>
  <c r="BI365" i="1"/>
  <c r="BH178" i="1"/>
  <c r="BI178" i="1"/>
  <c r="BH134" i="1"/>
  <c r="BI134" i="1"/>
  <c r="BH3" i="1"/>
  <c r="BI3" i="1"/>
  <c r="BH206" i="1"/>
  <c r="CB206" i="1" s="1"/>
  <c r="BI206" i="1"/>
  <c r="BH264" i="1"/>
  <c r="BI264" i="1"/>
  <c r="BH165" i="1"/>
  <c r="BI165" i="1"/>
  <c r="BH105" i="1"/>
  <c r="CB105" i="1" s="1"/>
  <c r="BI105" i="1"/>
  <c r="CC105" i="1" s="1"/>
  <c r="BH18" i="1"/>
  <c r="BI18" i="1"/>
  <c r="BH361" i="1"/>
  <c r="BI361" i="1"/>
  <c r="BH342" i="1"/>
  <c r="BI342" i="1"/>
  <c r="BH304" i="1"/>
  <c r="BI304" i="1"/>
  <c r="BH249" i="1"/>
  <c r="BI249" i="1"/>
  <c r="BH44" i="1"/>
  <c r="BI44" i="1"/>
  <c r="BH23" i="1"/>
  <c r="BI23" i="1"/>
  <c r="BH259" i="1"/>
  <c r="BI259" i="1"/>
  <c r="BH86" i="1"/>
  <c r="BI86" i="1"/>
  <c r="BH201" i="1"/>
  <c r="BI201" i="1"/>
  <c r="BH78" i="1"/>
  <c r="BI78" i="1"/>
  <c r="BH288" i="1"/>
  <c r="BI288" i="1"/>
  <c r="BH154" i="1"/>
  <c r="BI154" i="1"/>
  <c r="BH233" i="1"/>
  <c r="BI233" i="1"/>
  <c r="BH384" i="1"/>
  <c r="CB384" i="1" s="1"/>
  <c r="BI384" i="1"/>
  <c r="CC384" i="1" s="1"/>
  <c r="BH130" i="1"/>
  <c r="BI130" i="1"/>
  <c r="BH112" i="1"/>
  <c r="BI112" i="1"/>
  <c r="BH66" i="1"/>
  <c r="BI66" i="1"/>
  <c r="BH275" i="1"/>
  <c r="BI275" i="1"/>
  <c r="BH222" i="1"/>
  <c r="BI222" i="1"/>
  <c r="BH188" i="1"/>
  <c r="BI188" i="1"/>
  <c r="BH194" i="1"/>
  <c r="BI194" i="1"/>
  <c r="BH167" i="1"/>
  <c r="BI167" i="1"/>
  <c r="BH235" i="1"/>
  <c r="BI235" i="1"/>
  <c r="BH329" i="1"/>
  <c r="BI329" i="1"/>
  <c r="BH219" i="1"/>
  <c r="CB219" i="1" s="1"/>
  <c r="BI219" i="1"/>
  <c r="CC219" i="1" s="1"/>
  <c r="BH226" i="1"/>
  <c r="BI226" i="1"/>
  <c r="BH231" i="1"/>
  <c r="BI231" i="1"/>
  <c r="BH393" i="1"/>
  <c r="BI393" i="1"/>
  <c r="BH292" i="1"/>
  <c r="BI292" i="1"/>
  <c r="BH104" i="1"/>
  <c r="BI104" i="1"/>
  <c r="BH152" i="1"/>
  <c r="BI152" i="1"/>
  <c r="BH121" i="1"/>
  <c r="BI121" i="1"/>
  <c r="BH118" i="1"/>
  <c r="BI118" i="1"/>
  <c r="BH323" i="1"/>
  <c r="BI323" i="1"/>
  <c r="BH334" i="1"/>
  <c r="BI334" i="1"/>
  <c r="BH108" i="1"/>
  <c r="BI108" i="1"/>
  <c r="BH280" i="1"/>
  <c r="BI280" i="1"/>
  <c r="BH240" i="1"/>
  <c r="BI240" i="1"/>
  <c r="BH283" i="1"/>
  <c r="BI283" i="1"/>
  <c r="BH210" i="1"/>
  <c r="BI210" i="1"/>
  <c r="BH163" i="1"/>
  <c r="BI163" i="1"/>
  <c r="BH396" i="1"/>
  <c r="BI396" i="1"/>
  <c r="BH270" i="1"/>
  <c r="BI270" i="1"/>
  <c r="BH234" i="1"/>
  <c r="BI234" i="1"/>
  <c r="BH343" i="1"/>
  <c r="BI343" i="1"/>
  <c r="BH156" i="1"/>
  <c r="CB156" i="1" s="1"/>
  <c r="BI156" i="1"/>
  <c r="CC156" i="1" s="1"/>
  <c r="BH182" i="1"/>
  <c r="BI182" i="1"/>
  <c r="BH347" i="1"/>
  <c r="BI347" i="1"/>
  <c r="BH84" i="1"/>
  <c r="BI84" i="1"/>
  <c r="BH54" i="1"/>
  <c r="BI54" i="1"/>
  <c r="BH146" i="1"/>
  <c r="BI146" i="1"/>
  <c r="BH352" i="1"/>
  <c r="BI352" i="1"/>
  <c r="BH389" i="1"/>
  <c r="BI389" i="1"/>
  <c r="BH197" i="1"/>
  <c r="BI197" i="1"/>
  <c r="BH95" i="1"/>
  <c r="BI95" i="1"/>
  <c r="BH88" i="1"/>
  <c r="BI88" i="1"/>
  <c r="BH394" i="1"/>
  <c r="BI394" i="1"/>
  <c r="BH261" i="1"/>
  <c r="BI261" i="1"/>
  <c r="BH34" i="1"/>
  <c r="CB34" i="1" s="1"/>
  <c r="BI34" i="1"/>
  <c r="CC34" i="1" s="1"/>
  <c r="BH39" i="1"/>
  <c r="BI39" i="1"/>
  <c r="BH90" i="1"/>
  <c r="BI90" i="1"/>
  <c r="BH212" i="1"/>
  <c r="BI212" i="1"/>
  <c r="BH359" i="1"/>
  <c r="CB359" i="1" s="1"/>
  <c r="BI359" i="1"/>
  <c r="CC359" i="1" s="1"/>
  <c r="BH230" i="1"/>
  <c r="BI230" i="1"/>
  <c r="BH58" i="1"/>
  <c r="BI58" i="1"/>
  <c r="BH153" i="1"/>
  <c r="BI153" i="1"/>
  <c r="BH285" i="1"/>
  <c r="BI285" i="1"/>
  <c r="BH370" i="1"/>
  <c r="BI370" i="1"/>
  <c r="BH299" i="1"/>
  <c r="BI299" i="1"/>
  <c r="BH127" i="1"/>
  <c r="BI127" i="1"/>
  <c r="BH76" i="1"/>
  <c r="BI76" i="1"/>
  <c r="BH286" i="1"/>
  <c r="BI286" i="1"/>
  <c r="BH315" i="1"/>
  <c r="BI315" i="1"/>
  <c r="BH254" i="1"/>
  <c r="BI254" i="1"/>
  <c r="BH298" i="1"/>
  <c r="BI298" i="1"/>
  <c r="BH294" i="1"/>
  <c r="BI294" i="1"/>
  <c r="BH133" i="1"/>
  <c r="BI133" i="1"/>
  <c r="BH319" i="1"/>
  <c r="BI319" i="1"/>
  <c r="BH125" i="1"/>
  <c r="BI125" i="1"/>
  <c r="BH228" i="1"/>
  <c r="BI228" i="1"/>
  <c r="BH21" i="1"/>
  <c r="BI21" i="1"/>
  <c r="BH379" i="1"/>
  <c r="CB379" i="1" s="1"/>
  <c r="BI379" i="1"/>
  <c r="CC379" i="1" s="1"/>
  <c r="BH377" i="1"/>
  <c r="BI377" i="1"/>
  <c r="BH331" i="1"/>
  <c r="CB331" i="1" s="1"/>
  <c r="BI331" i="1"/>
  <c r="CC331" i="1" s="1"/>
  <c r="BH8" i="1"/>
  <c r="BI8" i="1"/>
  <c r="BH239" i="1"/>
  <c r="BI239" i="1"/>
  <c r="BH312" i="1"/>
  <c r="BI312" i="1"/>
  <c r="BH198" i="1"/>
  <c r="BI198" i="1"/>
  <c r="BH355" i="1"/>
  <c r="BI355" i="1"/>
  <c r="BH272" i="1"/>
  <c r="BI272" i="1"/>
  <c r="BH291" i="1"/>
  <c r="BI291" i="1"/>
  <c r="BH192" i="1"/>
  <c r="BI192" i="1"/>
  <c r="BH72" i="1"/>
  <c r="BI72" i="1"/>
  <c r="BH71" i="1"/>
  <c r="BI71" i="1"/>
  <c r="BH159" i="1"/>
  <c r="BI159" i="1"/>
  <c r="BH141" i="1"/>
  <c r="BI141" i="1"/>
  <c r="BH61" i="1"/>
  <c r="BI61" i="1"/>
  <c r="BH150" i="1"/>
  <c r="BI150" i="1"/>
  <c r="BH251" i="1"/>
  <c r="BI251" i="1"/>
  <c r="BH243" i="1"/>
  <c r="BI243" i="1"/>
  <c r="BH375" i="1"/>
  <c r="BI375" i="1"/>
  <c r="BH193" i="1"/>
  <c r="BI193" i="1"/>
  <c r="BH55" i="1"/>
  <c r="BI55" i="1"/>
  <c r="BH33" i="1"/>
  <c r="BI33" i="1"/>
  <c r="BH252" i="1"/>
  <c r="BI252" i="1"/>
  <c r="BH47" i="1"/>
  <c r="BI47" i="1"/>
  <c r="BH368" i="1"/>
  <c r="CB368" i="1" s="1"/>
  <c r="BI368" i="1"/>
  <c r="CC368" i="1" s="1"/>
  <c r="BH50" i="1"/>
  <c r="BI50" i="1"/>
  <c r="BH218" i="1"/>
  <c r="BI218" i="1"/>
  <c r="BH199" i="1"/>
  <c r="BI199" i="1"/>
  <c r="BH107" i="1"/>
  <c r="BI107" i="1"/>
  <c r="BH378" i="1"/>
  <c r="BI378" i="1"/>
  <c r="BH35" i="1"/>
  <c r="BI35" i="1"/>
  <c r="BH162" i="1"/>
  <c r="BI162" i="1"/>
  <c r="BH83" i="1"/>
  <c r="BI83" i="1"/>
  <c r="BH296" i="1"/>
  <c r="BI296" i="1"/>
  <c r="BH48" i="1"/>
  <c r="BI48" i="1"/>
  <c r="BH109" i="1"/>
  <c r="BI109" i="1"/>
  <c r="BH227" i="1"/>
  <c r="BI227" i="1"/>
  <c r="BH46" i="1"/>
  <c r="BI46" i="1"/>
  <c r="BH149" i="1"/>
  <c r="BI149" i="1"/>
  <c r="BH40" i="1"/>
  <c r="BI40" i="1"/>
  <c r="BH14" i="1"/>
  <c r="CB14" i="1" s="1"/>
  <c r="BI14" i="1"/>
  <c r="CC14" i="1" s="1"/>
  <c r="BH31" i="1"/>
  <c r="BI31" i="1"/>
  <c r="BH91" i="1"/>
  <c r="BI91" i="1"/>
  <c r="BH74" i="1"/>
  <c r="BI74" i="1"/>
  <c r="BH256" i="1"/>
  <c r="BI256" i="1"/>
  <c r="BH364" i="1"/>
  <c r="BI364" i="1"/>
  <c r="BH244" i="1"/>
  <c r="BI244" i="1"/>
  <c r="BH116" i="1"/>
  <c r="BI116" i="1"/>
  <c r="BH202" i="1"/>
  <c r="BI202" i="1"/>
  <c r="BH189" i="1"/>
  <c r="CB189" i="1" s="1"/>
  <c r="BI189" i="1"/>
  <c r="CC189" i="1" s="1"/>
  <c r="BH268" i="1"/>
  <c r="BI268" i="1"/>
  <c r="BH241" i="1"/>
  <c r="BI241" i="1"/>
  <c r="BH36" i="1"/>
  <c r="BI36" i="1"/>
  <c r="BH262" i="1"/>
  <c r="BI262" i="1"/>
  <c r="BH20" i="1"/>
  <c r="BI20" i="1"/>
  <c r="BH271" i="1"/>
  <c r="BI271" i="1"/>
  <c r="BH281" i="1"/>
  <c r="BI281" i="1"/>
  <c r="BH13" i="1"/>
  <c r="BI13" i="1"/>
  <c r="BH242" i="1"/>
  <c r="BI242" i="1"/>
  <c r="BH287" i="1"/>
  <c r="BI287" i="1"/>
  <c r="BH322" i="1"/>
  <c r="BI322" i="1"/>
  <c r="BH12" i="1"/>
  <c r="CB12" i="1" s="1"/>
  <c r="BI12" i="1"/>
  <c r="BH295" i="1"/>
  <c r="BI295" i="1"/>
  <c r="BH224" i="1"/>
  <c r="BI224" i="1"/>
  <c r="BH363" i="1"/>
  <c r="BI363" i="1"/>
  <c r="BH106" i="1"/>
  <c r="BI106" i="1"/>
  <c r="BH260" i="1"/>
  <c r="BI260" i="1"/>
  <c r="BH160" i="1"/>
  <c r="BI160" i="1"/>
  <c r="BH67" i="1"/>
  <c r="BI67" i="1"/>
  <c r="BH339" i="1"/>
  <c r="BI339" i="1"/>
  <c r="BH220" i="1"/>
  <c r="BI220" i="1"/>
  <c r="BH89" i="1"/>
  <c r="BI89" i="1"/>
  <c r="BH353" i="1"/>
  <c r="BI353" i="1"/>
  <c r="BH303" i="1"/>
  <c r="BI303" i="1"/>
  <c r="BH306" i="1"/>
  <c r="BI306" i="1"/>
  <c r="BH273" i="1"/>
  <c r="CB273" i="1" s="1"/>
  <c r="BI273" i="1"/>
  <c r="CC273" i="1" s="1"/>
  <c r="BH217" i="1"/>
  <c r="BI217" i="1"/>
  <c r="BH351" i="1"/>
  <c r="BI351" i="1"/>
  <c r="BH348" i="1"/>
  <c r="BI348" i="1"/>
  <c r="BH45" i="1"/>
  <c r="BI45" i="1"/>
  <c r="BH276" i="1"/>
  <c r="BI276" i="1"/>
  <c r="BH60" i="1"/>
  <c r="BI60" i="1"/>
  <c r="BH321" i="1"/>
  <c r="BI321" i="1"/>
  <c r="BH326" i="1"/>
  <c r="BI326" i="1"/>
  <c r="BH333" i="1"/>
  <c r="BI333" i="1"/>
  <c r="BH69" i="1"/>
  <c r="BI69" i="1"/>
  <c r="BH337" i="1"/>
  <c r="BI337" i="1"/>
  <c r="BH132" i="1"/>
  <c r="BI132" i="1"/>
  <c r="BH164" i="1"/>
  <c r="BI164" i="1"/>
  <c r="BH4" i="1"/>
  <c r="BI4" i="1"/>
  <c r="BH332" i="1"/>
  <c r="BI332" i="1"/>
  <c r="BH143" i="1"/>
  <c r="BI143" i="1"/>
  <c r="BH267" i="1"/>
  <c r="BI267" i="1"/>
  <c r="BH385" i="1"/>
  <c r="BI385" i="1"/>
  <c r="BH70" i="1"/>
  <c r="BI70" i="1"/>
  <c r="BH103" i="1"/>
  <c r="BI103" i="1"/>
  <c r="BH316" i="1"/>
  <c r="BI316" i="1"/>
  <c r="BH73" i="1"/>
  <c r="BI73" i="1"/>
  <c r="BH11" i="1"/>
  <c r="BI11" i="1"/>
  <c r="BH253" i="1"/>
  <c r="CB253" i="1" s="1"/>
  <c r="BI253" i="1"/>
  <c r="CC253" i="1" s="1"/>
  <c r="BH142" i="1"/>
  <c r="BI142" i="1"/>
  <c r="BH196" i="1"/>
  <c r="BI196" i="1"/>
  <c r="BH180" i="1"/>
  <c r="CB180" i="1" s="1"/>
  <c r="BI180" i="1"/>
  <c r="CC180" i="1" s="1"/>
  <c r="BH158" i="1"/>
  <c r="BI158" i="1"/>
  <c r="BH15" i="1"/>
  <c r="CB15" i="1" s="1"/>
  <c r="BI15" i="1"/>
  <c r="CC15" i="1" s="1"/>
  <c r="BH340" i="1"/>
  <c r="BI340" i="1"/>
  <c r="BH151" i="1"/>
  <c r="CB151" i="1" s="1"/>
  <c r="BI151" i="1"/>
  <c r="CC151" i="1" s="1"/>
  <c r="BH183" i="1"/>
  <c r="BI183" i="1"/>
  <c r="CC183" i="1" s="1"/>
  <c r="BH232" i="1"/>
  <c r="BI232" i="1"/>
  <c r="BH381" i="1"/>
  <c r="BI381" i="1"/>
  <c r="BH265" i="1"/>
  <c r="BI265" i="1"/>
  <c r="BH229" i="1"/>
  <c r="BI229" i="1"/>
  <c r="BH144" i="1"/>
  <c r="BI144" i="1"/>
  <c r="BH22" i="1"/>
  <c r="BI22" i="1"/>
  <c r="BH62" i="1"/>
  <c r="BI62" i="1"/>
  <c r="BH98" i="1"/>
  <c r="BI98" i="1"/>
  <c r="BH32" i="1"/>
  <c r="BI32" i="1"/>
  <c r="BH184" i="1"/>
  <c r="CB184" i="1" s="1"/>
  <c r="BI184" i="1"/>
  <c r="CC184" i="1" s="1"/>
  <c r="BH360" i="1"/>
  <c r="BI360" i="1"/>
  <c r="CC360" i="1" s="1"/>
  <c r="BH308" i="1"/>
  <c r="BI308" i="1"/>
  <c r="BH155" i="1"/>
  <c r="BI155" i="1"/>
  <c r="BH246" i="1"/>
  <c r="BI246" i="1"/>
  <c r="BH374" i="1"/>
  <c r="BI374" i="1"/>
  <c r="BH175" i="1"/>
  <c r="BI175" i="1"/>
  <c r="BH110" i="1"/>
  <c r="BI110" i="1"/>
  <c r="BH245" i="1"/>
  <c r="CB245" i="1" s="1"/>
  <c r="BI245" i="1"/>
  <c r="CC245" i="1" s="1"/>
  <c r="BH263" i="1"/>
  <c r="BI263" i="1"/>
  <c r="BH111" i="1"/>
  <c r="BI111" i="1"/>
  <c r="BH53" i="1"/>
  <c r="BI53" i="1"/>
  <c r="BH362" i="1"/>
  <c r="BI362" i="1"/>
  <c r="BH311" i="1"/>
  <c r="BI311" i="1"/>
  <c r="BH148" i="1"/>
  <c r="BI148" i="1"/>
  <c r="BH269" i="1"/>
  <c r="CB269" i="1" s="1"/>
  <c r="BI269" i="1"/>
  <c r="CC269" i="1" s="1"/>
  <c r="BH29" i="1"/>
  <c r="BI29" i="1"/>
  <c r="BH366" i="1"/>
  <c r="BI366" i="1"/>
  <c r="BH5" i="1"/>
  <c r="CB5" i="1" s="1"/>
  <c r="BI5" i="1"/>
  <c r="CC5" i="1" s="1"/>
  <c r="BH328" i="1"/>
  <c r="BI328" i="1"/>
  <c r="BI397" i="1"/>
  <c r="BH397" i="1"/>
  <c r="R3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R202" i="17"/>
  <c r="R203" i="17"/>
  <c r="R204" i="17"/>
  <c r="R205" i="17"/>
  <c r="R206" i="17"/>
  <c r="R207" i="17"/>
  <c r="R208" i="17"/>
  <c r="R209" i="17"/>
  <c r="R210" i="17"/>
  <c r="R211" i="17"/>
  <c r="R212" i="17"/>
  <c r="R213" i="17"/>
  <c r="R214" i="17"/>
  <c r="R215" i="17"/>
  <c r="R216" i="17"/>
  <c r="R217" i="17"/>
  <c r="R218" i="17"/>
  <c r="R219" i="17"/>
  <c r="R220" i="17"/>
  <c r="R221" i="17"/>
  <c r="R222" i="17"/>
  <c r="R223" i="17"/>
  <c r="R224" i="17"/>
  <c r="R225" i="17"/>
  <c r="R226" i="17"/>
  <c r="R227" i="17"/>
  <c r="R228" i="17"/>
  <c r="R229" i="17"/>
  <c r="R230" i="17"/>
  <c r="R231" i="17"/>
  <c r="R232" i="17"/>
  <c r="R233" i="17"/>
  <c r="R234" i="17"/>
  <c r="R235" i="17"/>
  <c r="R236" i="17"/>
  <c r="R237" i="17"/>
  <c r="R238" i="17"/>
  <c r="R239" i="17"/>
  <c r="R240" i="17"/>
  <c r="R241" i="17"/>
  <c r="R242" i="17"/>
  <c r="R243" i="17"/>
  <c r="R244" i="17"/>
  <c r="R245" i="17"/>
  <c r="R246" i="17"/>
  <c r="R247" i="17"/>
  <c r="R248" i="17"/>
  <c r="R249" i="17"/>
  <c r="R250" i="17"/>
  <c r="R251" i="17"/>
  <c r="R252" i="17"/>
  <c r="R253" i="17"/>
  <c r="R254" i="17"/>
  <c r="R255" i="17"/>
  <c r="R256" i="17"/>
  <c r="R257" i="17"/>
  <c r="R258" i="17"/>
  <c r="R259" i="17"/>
  <c r="R260" i="17"/>
  <c r="R261" i="17"/>
  <c r="R262" i="17"/>
  <c r="R263" i="17"/>
  <c r="R264" i="17"/>
  <c r="R265" i="17"/>
  <c r="R266" i="17"/>
  <c r="R267" i="17"/>
  <c r="R268" i="17"/>
  <c r="R269" i="17"/>
  <c r="R270" i="17"/>
  <c r="R271" i="17"/>
  <c r="R272" i="17"/>
  <c r="R273" i="17"/>
  <c r="R274" i="17"/>
  <c r="R275" i="17"/>
  <c r="R276" i="17"/>
  <c r="R277" i="17"/>
  <c r="R278" i="17"/>
  <c r="R279" i="17"/>
  <c r="R280" i="17"/>
  <c r="R281" i="17"/>
  <c r="R282" i="17"/>
  <c r="R283" i="17"/>
  <c r="R284" i="17"/>
  <c r="R285" i="17"/>
  <c r="R286" i="17"/>
  <c r="R287" i="17"/>
  <c r="R288" i="17"/>
  <c r="R289" i="17"/>
  <c r="R290" i="17"/>
  <c r="R291" i="17"/>
  <c r="R292" i="17"/>
  <c r="R293" i="17"/>
  <c r="R294" i="17"/>
  <c r="R295" i="17"/>
  <c r="R296" i="17"/>
  <c r="R297" i="17"/>
  <c r="R298" i="17"/>
  <c r="R299" i="17"/>
  <c r="R300" i="17"/>
  <c r="R301" i="17"/>
  <c r="R302" i="17"/>
  <c r="R303" i="17"/>
  <c r="R304" i="17"/>
  <c r="R305" i="17"/>
  <c r="R306" i="17"/>
  <c r="R307" i="17"/>
  <c r="R308" i="17"/>
  <c r="R309" i="17"/>
  <c r="R310" i="17"/>
  <c r="R311" i="17"/>
  <c r="R312" i="17"/>
  <c r="R313" i="17"/>
  <c r="R314" i="17"/>
  <c r="R315" i="17"/>
  <c r="R316" i="17"/>
  <c r="R317" i="17"/>
  <c r="R318" i="17"/>
  <c r="R319" i="17"/>
  <c r="R320" i="17"/>
  <c r="R321" i="17"/>
  <c r="R322" i="17"/>
  <c r="R323" i="17"/>
  <c r="R324" i="17"/>
  <c r="R325" i="17"/>
  <c r="R326" i="17"/>
  <c r="R327" i="17"/>
  <c r="R328" i="17"/>
  <c r="R329" i="17"/>
  <c r="R330" i="17"/>
  <c r="R331" i="17"/>
  <c r="R332" i="17"/>
  <c r="R333" i="17"/>
  <c r="R334" i="17"/>
  <c r="R335" i="17"/>
  <c r="R336" i="17"/>
  <c r="R337" i="17"/>
  <c r="R338" i="17"/>
  <c r="R339" i="17"/>
  <c r="R340" i="17"/>
  <c r="R341" i="17"/>
  <c r="R342" i="17"/>
  <c r="R343" i="17"/>
  <c r="R344" i="17"/>
  <c r="R345" i="17"/>
  <c r="R346" i="17"/>
  <c r="R347" i="17"/>
  <c r="R348" i="17"/>
  <c r="R349" i="17"/>
  <c r="R350" i="17"/>
  <c r="R351" i="17"/>
  <c r="R352" i="17"/>
  <c r="R353" i="17"/>
  <c r="R354" i="17"/>
  <c r="R355" i="17"/>
  <c r="R356" i="17"/>
  <c r="R357" i="17"/>
  <c r="R358" i="17"/>
  <c r="R359" i="17"/>
  <c r="R360" i="17"/>
  <c r="R361" i="17"/>
  <c r="R362" i="17"/>
  <c r="R363" i="17"/>
  <c r="R364" i="17"/>
  <c r="R365" i="17"/>
  <c r="R366" i="17"/>
  <c r="R367" i="17"/>
  <c r="R368" i="17"/>
  <c r="R369" i="17"/>
  <c r="R370" i="17"/>
  <c r="R371" i="17"/>
  <c r="R372" i="17"/>
  <c r="R373" i="17"/>
  <c r="R374" i="17"/>
  <c r="R375" i="17"/>
  <c r="R376" i="17"/>
  <c r="R377" i="17"/>
  <c r="R378" i="17"/>
  <c r="R379" i="17"/>
  <c r="R380" i="17"/>
  <c r="R381" i="17"/>
  <c r="R382" i="17"/>
  <c r="R383" i="17"/>
  <c r="R384" i="17"/>
  <c r="R385" i="17"/>
  <c r="R386" i="17"/>
  <c r="R387" i="17"/>
  <c r="R388" i="17"/>
  <c r="R389" i="17"/>
  <c r="R390" i="17"/>
  <c r="R391" i="17"/>
  <c r="R392" i="17"/>
  <c r="R393" i="17"/>
  <c r="R394" i="17"/>
  <c r="R395" i="17"/>
  <c r="R396" i="17"/>
  <c r="R397" i="17"/>
  <c r="R398" i="17"/>
  <c r="R2" i="17"/>
  <c r="V3" i="17"/>
  <c r="V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345" i="17"/>
  <c r="V346" i="17"/>
  <c r="V347" i="17"/>
  <c r="V348" i="17"/>
  <c r="V349" i="17"/>
  <c r="V350" i="17"/>
  <c r="V351" i="17"/>
  <c r="V352" i="17"/>
  <c r="V353" i="17"/>
  <c r="V354" i="17"/>
  <c r="V355" i="17"/>
  <c r="V356" i="17"/>
  <c r="V357" i="17"/>
  <c r="V358" i="17"/>
  <c r="V359" i="17"/>
  <c r="V360" i="17"/>
  <c r="V361" i="17"/>
  <c r="V362" i="17"/>
  <c r="V363" i="17"/>
  <c r="V364" i="17"/>
  <c r="V365" i="17"/>
  <c r="V366" i="17"/>
  <c r="V367" i="17"/>
  <c r="V368" i="17"/>
  <c r="V369" i="17"/>
  <c r="V370" i="17"/>
  <c r="V371" i="17"/>
  <c r="V372" i="17"/>
  <c r="V373" i="17"/>
  <c r="V374" i="17"/>
  <c r="V375" i="17"/>
  <c r="V376" i="17"/>
  <c r="V377" i="17"/>
  <c r="V378" i="17"/>
  <c r="V379" i="17"/>
  <c r="V380" i="17"/>
  <c r="V381" i="17"/>
  <c r="V382" i="17"/>
  <c r="V383" i="17"/>
  <c r="V384" i="17"/>
  <c r="V385" i="17"/>
  <c r="V386" i="17"/>
  <c r="V387" i="17"/>
  <c r="V388" i="17"/>
  <c r="V389" i="17"/>
  <c r="V390" i="17"/>
  <c r="V391" i="17"/>
  <c r="V392" i="17"/>
  <c r="V393" i="17"/>
  <c r="V394" i="17"/>
  <c r="V395" i="17"/>
  <c r="V396" i="17"/>
  <c r="V397" i="17"/>
  <c r="V398" i="17"/>
  <c r="V2" i="17"/>
  <c r="U3" i="17"/>
  <c r="U4" i="17"/>
  <c r="U5" i="17"/>
  <c r="U6" i="17"/>
  <c r="U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109" i="17"/>
  <c r="U110" i="17"/>
  <c r="U111" i="17"/>
  <c r="U112" i="17"/>
  <c r="U113" i="17"/>
  <c r="U114" i="17"/>
  <c r="U115" i="17"/>
  <c r="U116" i="17"/>
  <c r="U117" i="17"/>
  <c r="U118" i="17"/>
  <c r="U119" i="17"/>
  <c r="U120" i="17"/>
  <c r="U121" i="17"/>
  <c r="U122" i="17"/>
  <c r="U123" i="17"/>
  <c r="U124" i="17"/>
  <c r="U125" i="17"/>
  <c r="U126" i="17"/>
  <c r="U127" i="17"/>
  <c r="U128" i="17"/>
  <c r="U129" i="17"/>
  <c r="U130" i="17"/>
  <c r="U131" i="17"/>
  <c r="U132" i="17"/>
  <c r="U133" i="17"/>
  <c r="U134" i="17"/>
  <c r="U135" i="17"/>
  <c r="U136" i="17"/>
  <c r="U137" i="17"/>
  <c r="U138" i="17"/>
  <c r="U139" i="17"/>
  <c r="U140" i="17"/>
  <c r="U141" i="17"/>
  <c r="U142" i="17"/>
  <c r="U143" i="17"/>
  <c r="U144" i="17"/>
  <c r="U145" i="17"/>
  <c r="U146" i="17"/>
  <c r="U147" i="17"/>
  <c r="U148" i="17"/>
  <c r="U149" i="17"/>
  <c r="U150" i="17"/>
  <c r="U151" i="17"/>
  <c r="U152" i="17"/>
  <c r="U153" i="17"/>
  <c r="U154" i="17"/>
  <c r="U155" i="17"/>
  <c r="U156" i="17"/>
  <c r="U157" i="17"/>
  <c r="U158" i="17"/>
  <c r="U159" i="17"/>
  <c r="U160" i="17"/>
  <c r="U161" i="17"/>
  <c r="U162" i="17"/>
  <c r="U163" i="17"/>
  <c r="U164" i="17"/>
  <c r="U165" i="17"/>
  <c r="U166" i="17"/>
  <c r="U167" i="17"/>
  <c r="U168" i="17"/>
  <c r="U169" i="17"/>
  <c r="U170" i="17"/>
  <c r="U171" i="17"/>
  <c r="U172" i="17"/>
  <c r="U173" i="17"/>
  <c r="U174" i="17"/>
  <c r="U175" i="17"/>
  <c r="U176" i="17"/>
  <c r="U177" i="17"/>
  <c r="U178" i="17"/>
  <c r="U179" i="17"/>
  <c r="U180" i="17"/>
  <c r="U181" i="17"/>
  <c r="U182" i="17"/>
  <c r="U183" i="17"/>
  <c r="U184" i="17"/>
  <c r="U185" i="17"/>
  <c r="U186" i="17"/>
  <c r="U187" i="17"/>
  <c r="U188" i="17"/>
  <c r="U189" i="17"/>
  <c r="U190" i="17"/>
  <c r="U191" i="17"/>
  <c r="U192" i="17"/>
  <c r="U193" i="17"/>
  <c r="U194" i="17"/>
  <c r="U195" i="17"/>
  <c r="U196" i="17"/>
  <c r="U197" i="17"/>
  <c r="U198" i="17"/>
  <c r="U199" i="17"/>
  <c r="U200" i="17"/>
  <c r="U201" i="17"/>
  <c r="U202" i="17"/>
  <c r="U203" i="17"/>
  <c r="U204" i="17"/>
  <c r="U205" i="17"/>
  <c r="U206" i="17"/>
  <c r="U207" i="17"/>
  <c r="U208" i="17"/>
  <c r="U209" i="17"/>
  <c r="U210" i="17"/>
  <c r="U211" i="17"/>
  <c r="U212" i="17"/>
  <c r="U213" i="17"/>
  <c r="U214" i="17"/>
  <c r="U215" i="17"/>
  <c r="U216" i="17"/>
  <c r="U217" i="17"/>
  <c r="U218" i="17"/>
  <c r="U219" i="17"/>
  <c r="U220" i="17"/>
  <c r="U221" i="17"/>
  <c r="U222" i="17"/>
  <c r="U223" i="17"/>
  <c r="U224" i="17"/>
  <c r="U225" i="17"/>
  <c r="U226" i="17"/>
  <c r="U227" i="17"/>
  <c r="U228" i="17"/>
  <c r="U229" i="17"/>
  <c r="U230" i="17"/>
  <c r="U231" i="17"/>
  <c r="U232" i="17"/>
  <c r="U233" i="17"/>
  <c r="U234" i="17"/>
  <c r="U235" i="17"/>
  <c r="U236" i="17"/>
  <c r="U237" i="17"/>
  <c r="U238" i="17"/>
  <c r="U239" i="17"/>
  <c r="U240" i="17"/>
  <c r="U241" i="17"/>
  <c r="U242" i="17"/>
  <c r="U243" i="17"/>
  <c r="U244" i="17"/>
  <c r="U245" i="17"/>
  <c r="U246" i="17"/>
  <c r="U247" i="17"/>
  <c r="U248" i="17"/>
  <c r="U249" i="17"/>
  <c r="U250" i="17"/>
  <c r="U251" i="17"/>
  <c r="U252" i="17"/>
  <c r="U253" i="17"/>
  <c r="U254" i="17"/>
  <c r="U255" i="17"/>
  <c r="U256" i="17"/>
  <c r="U257" i="17"/>
  <c r="U258" i="17"/>
  <c r="U259" i="17"/>
  <c r="U260" i="17"/>
  <c r="U261" i="17"/>
  <c r="U262" i="17"/>
  <c r="U263" i="17"/>
  <c r="U264" i="17"/>
  <c r="U265" i="17"/>
  <c r="U266" i="17"/>
  <c r="U267" i="17"/>
  <c r="U268" i="17"/>
  <c r="U269" i="17"/>
  <c r="U270" i="17"/>
  <c r="U271" i="17"/>
  <c r="U272" i="17"/>
  <c r="U273" i="17"/>
  <c r="U274" i="17"/>
  <c r="U275" i="17"/>
  <c r="U276" i="17"/>
  <c r="U277" i="17"/>
  <c r="U278" i="17"/>
  <c r="U279" i="17"/>
  <c r="U280" i="17"/>
  <c r="U281" i="17"/>
  <c r="U282" i="17"/>
  <c r="U283" i="17"/>
  <c r="U284" i="17"/>
  <c r="U285" i="17"/>
  <c r="U286" i="17"/>
  <c r="U287" i="17"/>
  <c r="U288" i="17"/>
  <c r="U289" i="17"/>
  <c r="U290" i="17"/>
  <c r="U291" i="17"/>
  <c r="U292" i="17"/>
  <c r="U293" i="17"/>
  <c r="U294" i="17"/>
  <c r="U295" i="17"/>
  <c r="U296" i="17"/>
  <c r="U297" i="17"/>
  <c r="U298" i="17"/>
  <c r="U299" i="17"/>
  <c r="U300" i="17"/>
  <c r="U301" i="17"/>
  <c r="U302" i="17"/>
  <c r="U303" i="17"/>
  <c r="U304" i="17"/>
  <c r="U305" i="17"/>
  <c r="U306" i="17"/>
  <c r="U307" i="17"/>
  <c r="U308" i="17"/>
  <c r="U309" i="17"/>
  <c r="U310" i="17"/>
  <c r="U311" i="17"/>
  <c r="U312" i="17"/>
  <c r="U313" i="17"/>
  <c r="U314" i="17"/>
  <c r="U315" i="17"/>
  <c r="U316" i="17"/>
  <c r="U317" i="17"/>
  <c r="U318" i="17"/>
  <c r="U319" i="17"/>
  <c r="U320" i="17"/>
  <c r="U321" i="17"/>
  <c r="U322" i="17"/>
  <c r="U323" i="17"/>
  <c r="U324" i="17"/>
  <c r="U325" i="17"/>
  <c r="U326" i="17"/>
  <c r="U327" i="17"/>
  <c r="U328" i="17"/>
  <c r="U329" i="17"/>
  <c r="U330" i="17"/>
  <c r="U331" i="17"/>
  <c r="U332" i="17"/>
  <c r="U333" i="17"/>
  <c r="U334" i="17"/>
  <c r="U335" i="17"/>
  <c r="U336" i="17"/>
  <c r="U337" i="17"/>
  <c r="U338" i="17"/>
  <c r="U339" i="17"/>
  <c r="U340" i="17"/>
  <c r="U341" i="17"/>
  <c r="U342" i="17"/>
  <c r="U343" i="17"/>
  <c r="U344" i="17"/>
  <c r="U345" i="17"/>
  <c r="U346" i="17"/>
  <c r="U347" i="17"/>
  <c r="U348" i="17"/>
  <c r="U349" i="17"/>
  <c r="U350" i="17"/>
  <c r="U351" i="17"/>
  <c r="U352" i="17"/>
  <c r="U353" i="17"/>
  <c r="U354" i="17"/>
  <c r="U355" i="17"/>
  <c r="U356" i="17"/>
  <c r="U357" i="17"/>
  <c r="U358" i="17"/>
  <c r="U359" i="17"/>
  <c r="U360" i="17"/>
  <c r="U361" i="17"/>
  <c r="U362" i="17"/>
  <c r="U363" i="17"/>
  <c r="U364" i="17"/>
  <c r="U365" i="17"/>
  <c r="U366" i="17"/>
  <c r="U367" i="17"/>
  <c r="U368" i="17"/>
  <c r="U369" i="17"/>
  <c r="U370" i="17"/>
  <c r="U371" i="17"/>
  <c r="U372" i="17"/>
  <c r="U373" i="17"/>
  <c r="U374" i="17"/>
  <c r="U375" i="17"/>
  <c r="U376" i="17"/>
  <c r="U377" i="17"/>
  <c r="U378" i="17"/>
  <c r="U379" i="17"/>
  <c r="U380" i="17"/>
  <c r="U381" i="17"/>
  <c r="U382" i="17"/>
  <c r="U383" i="17"/>
  <c r="U384" i="17"/>
  <c r="U385" i="17"/>
  <c r="U386" i="17"/>
  <c r="U387" i="17"/>
  <c r="U388" i="17"/>
  <c r="U389" i="17"/>
  <c r="U390" i="17"/>
  <c r="U391" i="17"/>
  <c r="U392" i="17"/>
  <c r="U393" i="17"/>
  <c r="U394" i="17"/>
  <c r="U395" i="17"/>
  <c r="U396" i="17"/>
  <c r="U397" i="17"/>
  <c r="U398" i="17"/>
  <c r="U2" i="17"/>
  <c r="T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143" i="17"/>
  <c r="T144" i="17"/>
  <c r="T145" i="17"/>
  <c r="T146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T165" i="17"/>
  <c r="T166" i="17"/>
  <c r="T167" i="17"/>
  <c r="T168" i="17"/>
  <c r="T169" i="17"/>
  <c r="T170" i="17"/>
  <c r="T171" i="17"/>
  <c r="T172" i="17"/>
  <c r="T173" i="17"/>
  <c r="T174" i="17"/>
  <c r="T175" i="17"/>
  <c r="T176" i="17"/>
  <c r="T177" i="17"/>
  <c r="T178" i="17"/>
  <c r="T179" i="17"/>
  <c r="T180" i="17"/>
  <c r="T181" i="17"/>
  <c r="T182" i="17"/>
  <c r="T183" i="17"/>
  <c r="T184" i="17"/>
  <c r="T185" i="17"/>
  <c r="T186" i="17"/>
  <c r="T187" i="17"/>
  <c r="T188" i="17"/>
  <c r="T189" i="17"/>
  <c r="T190" i="17"/>
  <c r="T191" i="17"/>
  <c r="T192" i="17"/>
  <c r="T193" i="17"/>
  <c r="T194" i="17"/>
  <c r="T195" i="17"/>
  <c r="T196" i="17"/>
  <c r="T197" i="17"/>
  <c r="T198" i="17"/>
  <c r="T199" i="17"/>
  <c r="T200" i="17"/>
  <c r="T201" i="17"/>
  <c r="T202" i="17"/>
  <c r="T203" i="17"/>
  <c r="T204" i="17"/>
  <c r="T205" i="17"/>
  <c r="T206" i="17"/>
  <c r="T207" i="17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21" i="17"/>
  <c r="T222" i="17"/>
  <c r="T223" i="17"/>
  <c r="T224" i="17"/>
  <c r="T225" i="17"/>
  <c r="T226" i="17"/>
  <c r="T227" i="17"/>
  <c r="T228" i="17"/>
  <c r="T229" i="17"/>
  <c r="T230" i="17"/>
  <c r="T231" i="17"/>
  <c r="T232" i="17"/>
  <c r="T233" i="17"/>
  <c r="T234" i="17"/>
  <c r="T235" i="17"/>
  <c r="T236" i="17"/>
  <c r="T237" i="17"/>
  <c r="T238" i="17"/>
  <c r="T239" i="17"/>
  <c r="T240" i="17"/>
  <c r="T241" i="17"/>
  <c r="T242" i="17"/>
  <c r="T243" i="17"/>
  <c r="T244" i="17"/>
  <c r="T245" i="17"/>
  <c r="T246" i="17"/>
  <c r="T247" i="17"/>
  <c r="T248" i="17"/>
  <c r="T249" i="17"/>
  <c r="T250" i="17"/>
  <c r="T251" i="17"/>
  <c r="T252" i="17"/>
  <c r="T253" i="17"/>
  <c r="T254" i="17"/>
  <c r="T255" i="17"/>
  <c r="T256" i="17"/>
  <c r="T257" i="17"/>
  <c r="T258" i="17"/>
  <c r="T259" i="17"/>
  <c r="T260" i="17"/>
  <c r="T261" i="17"/>
  <c r="T262" i="17"/>
  <c r="T263" i="17"/>
  <c r="T264" i="17"/>
  <c r="T265" i="17"/>
  <c r="T266" i="17"/>
  <c r="T267" i="17"/>
  <c r="T268" i="17"/>
  <c r="T269" i="17"/>
  <c r="T270" i="17"/>
  <c r="T271" i="17"/>
  <c r="T272" i="17"/>
  <c r="T273" i="17"/>
  <c r="T274" i="17"/>
  <c r="T275" i="17"/>
  <c r="T276" i="17"/>
  <c r="T277" i="17"/>
  <c r="T278" i="17"/>
  <c r="T279" i="17"/>
  <c r="T280" i="17"/>
  <c r="T281" i="17"/>
  <c r="T282" i="17"/>
  <c r="T283" i="17"/>
  <c r="T284" i="17"/>
  <c r="T285" i="17"/>
  <c r="T286" i="17"/>
  <c r="T287" i="17"/>
  <c r="T288" i="17"/>
  <c r="T289" i="17"/>
  <c r="T290" i="17"/>
  <c r="T291" i="17"/>
  <c r="T292" i="17"/>
  <c r="T293" i="17"/>
  <c r="T294" i="17"/>
  <c r="T295" i="17"/>
  <c r="T296" i="17"/>
  <c r="T297" i="17"/>
  <c r="T298" i="17"/>
  <c r="T299" i="17"/>
  <c r="T300" i="17"/>
  <c r="T301" i="17"/>
  <c r="T302" i="17"/>
  <c r="T303" i="17"/>
  <c r="T304" i="17"/>
  <c r="T305" i="17"/>
  <c r="T306" i="17"/>
  <c r="T307" i="17"/>
  <c r="T308" i="17"/>
  <c r="T309" i="17"/>
  <c r="T310" i="17"/>
  <c r="T311" i="17"/>
  <c r="T312" i="17"/>
  <c r="T313" i="17"/>
  <c r="T314" i="17"/>
  <c r="T315" i="17"/>
  <c r="T316" i="17"/>
  <c r="T317" i="17"/>
  <c r="T318" i="17"/>
  <c r="T319" i="17"/>
  <c r="T320" i="17"/>
  <c r="T321" i="17"/>
  <c r="T322" i="17"/>
  <c r="T323" i="17"/>
  <c r="T324" i="17"/>
  <c r="T325" i="17"/>
  <c r="T326" i="17"/>
  <c r="T327" i="17"/>
  <c r="T328" i="17"/>
  <c r="T329" i="17"/>
  <c r="T330" i="17"/>
  <c r="T331" i="17"/>
  <c r="T332" i="17"/>
  <c r="T333" i="17"/>
  <c r="T334" i="17"/>
  <c r="T335" i="17"/>
  <c r="T336" i="17"/>
  <c r="T337" i="17"/>
  <c r="T338" i="17"/>
  <c r="T339" i="17"/>
  <c r="T340" i="17"/>
  <c r="T341" i="17"/>
  <c r="T342" i="17"/>
  <c r="T343" i="17"/>
  <c r="T344" i="17"/>
  <c r="T345" i="17"/>
  <c r="T346" i="17"/>
  <c r="T347" i="17"/>
  <c r="T348" i="17"/>
  <c r="T349" i="17"/>
  <c r="T350" i="17"/>
  <c r="T351" i="17"/>
  <c r="T352" i="17"/>
  <c r="T353" i="17"/>
  <c r="T354" i="17"/>
  <c r="T355" i="17"/>
  <c r="T356" i="17"/>
  <c r="T357" i="17"/>
  <c r="T358" i="17"/>
  <c r="T359" i="17"/>
  <c r="T360" i="17"/>
  <c r="T361" i="17"/>
  <c r="T362" i="17"/>
  <c r="T363" i="17"/>
  <c r="T364" i="17"/>
  <c r="T365" i="17"/>
  <c r="T366" i="17"/>
  <c r="T367" i="17"/>
  <c r="T368" i="17"/>
  <c r="T369" i="17"/>
  <c r="T370" i="17"/>
  <c r="T371" i="17"/>
  <c r="T372" i="17"/>
  <c r="T373" i="17"/>
  <c r="T374" i="17"/>
  <c r="T375" i="17"/>
  <c r="T376" i="17"/>
  <c r="T377" i="17"/>
  <c r="T378" i="17"/>
  <c r="T379" i="17"/>
  <c r="T380" i="17"/>
  <c r="T381" i="17"/>
  <c r="T382" i="17"/>
  <c r="T383" i="17"/>
  <c r="T384" i="17"/>
  <c r="T385" i="17"/>
  <c r="T386" i="17"/>
  <c r="T387" i="17"/>
  <c r="T388" i="17"/>
  <c r="T389" i="17"/>
  <c r="T390" i="17"/>
  <c r="T391" i="17"/>
  <c r="T392" i="17"/>
  <c r="T393" i="17"/>
  <c r="T394" i="17"/>
  <c r="T395" i="17"/>
  <c r="T396" i="17"/>
  <c r="T397" i="17"/>
  <c r="T398" i="17"/>
  <c r="T2" i="17"/>
  <c r="S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202" i="17"/>
  <c r="S203" i="17"/>
  <c r="S204" i="17"/>
  <c r="S205" i="17"/>
  <c r="S206" i="17"/>
  <c r="S207" i="17"/>
  <c r="S208" i="17"/>
  <c r="S209" i="17"/>
  <c r="S210" i="17"/>
  <c r="S211" i="17"/>
  <c r="S212" i="17"/>
  <c r="S213" i="17"/>
  <c r="S214" i="17"/>
  <c r="S215" i="17"/>
  <c r="S216" i="17"/>
  <c r="S217" i="17"/>
  <c r="S218" i="17"/>
  <c r="S219" i="17"/>
  <c r="S220" i="17"/>
  <c r="S221" i="17"/>
  <c r="S222" i="17"/>
  <c r="S223" i="17"/>
  <c r="S224" i="17"/>
  <c r="S225" i="17"/>
  <c r="S226" i="17"/>
  <c r="S227" i="17"/>
  <c r="S228" i="17"/>
  <c r="S229" i="17"/>
  <c r="S230" i="17"/>
  <c r="S231" i="17"/>
  <c r="S232" i="17"/>
  <c r="S233" i="17"/>
  <c r="S234" i="17"/>
  <c r="S235" i="17"/>
  <c r="S236" i="17"/>
  <c r="S237" i="17"/>
  <c r="S238" i="17"/>
  <c r="S239" i="17"/>
  <c r="S240" i="17"/>
  <c r="S241" i="17"/>
  <c r="S242" i="17"/>
  <c r="S243" i="17"/>
  <c r="S244" i="17"/>
  <c r="S245" i="17"/>
  <c r="S246" i="17"/>
  <c r="S247" i="17"/>
  <c r="S248" i="17"/>
  <c r="S249" i="17"/>
  <c r="S250" i="17"/>
  <c r="S251" i="17"/>
  <c r="S252" i="17"/>
  <c r="S253" i="17"/>
  <c r="S254" i="17"/>
  <c r="S255" i="17"/>
  <c r="S256" i="17"/>
  <c r="S257" i="17"/>
  <c r="S258" i="17"/>
  <c r="S259" i="17"/>
  <c r="S260" i="17"/>
  <c r="S261" i="17"/>
  <c r="S262" i="17"/>
  <c r="S263" i="17"/>
  <c r="S264" i="17"/>
  <c r="S265" i="17"/>
  <c r="S266" i="17"/>
  <c r="S267" i="17"/>
  <c r="S268" i="17"/>
  <c r="S269" i="17"/>
  <c r="S270" i="17"/>
  <c r="S271" i="17"/>
  <c r="S272" i="17"/>
  <c r="S273" i="17"/>
  <c r="S274" i="17"/>
  <c r="S275" i="17"/>
  <c r="S276" i="17"/>
  <c r="S277" i="17"/>
  <c r="S278" i="17"/>
  <c r="S279" i="17"/>
  <c r="S280" i="17"/>
  <c r="S281" i="17"/>
  <c r="S282" i="17"/>
  <c r="S283" i="17"/>
  <c r="S284" i="17"/>
  <c r="S285" i="17"/>
  <c r="S286" i="17"/>
  <c r="S287" i="17"/>
  <c r="S288" i="17"/>
  <c r="S289" i="17"/>
  <c r="S290" i="17"/>
  <c r="S291" i="17"/>
  <c r="S292" i="17"/>
  <c r="S293" i="17"/>
  <c r="S294" i="17"/>
  <c r="S295" i="17"/>
  <c r="S296" i="17"/>
  <c r="S297" i="17"/>
  <c r="S298" i="17"/>
  <c r="S299" i="17"/>
  <c r="S300" i="17"/>
  <c r="S301" i="17"/>
  <c r="S302" i="17"/>
  <c r="S303" i="17"/>
  <c r="S304" i="17"/>
  <c r="S305" i="17"/>
  <c r="S306" i="17"/>
  <c r="S307" i="17"/>
  <c r="S308" i="17"/>
  <c r="S309" i="17"/>
  <c r="S310" i="17"/>
  <c r="S311" i="17"/>
  <c r="S312" i="17"/>
  <c r="S313" i="17"/>
  <c r="S314" i="17"/>
  <c r="S315" i="17"/>
  <c r="S316" i="17"/>
  <c r="S317" i="17"/>
  <c r="S318" i="17"/>
  <c r="S319" i="17"/>
  <c r="S320" i="17"/>
  <c r="S321" i="17"/>
  <c r="S322" i="17"/>
  <c r="S323" i="17"/>
  <c r="S324" i="17"/>
  <c r="S325" i="17"/>
  <c r="S326" i="17"/>
  <c r="S327" i="17"/>
  <c r="S328" i="17"/>
  <c r="S329" i="17"/>
  <c r="S330" i="17"/>
  <c r="S331" i="17"/>
  <c r="S332" i="17"/>
  <c r="S333" i="17"/>
  <c r="S334" i="17"/>
  <c r="S335" i="17"/>
  <c r="S336" i="17"/>
  <c r="S337" i="17"/>
  <c r="S338" i="17"/>
  <c r="S339" i="17"/>
  <c r="S340" i="17"/>
  <c r="S341" i="17"/>
  <c r="S342" i="17"/>
  <c r="S343" i="17"/>
  <c r="S344" i="17"/>
  <c r="S345" i="17"/>
  <c r="S346" i="17"/>
  <c r="S347" i="17"/>
  <c r="S348" i="17"/>
  <c r="S349" i="17"/>
  <c r="S350" i="17"/>
  <c r="S351" i="17"/>
  <c r="S352" i="17"/>
  <c r="S353" i="17"/>
  <c r="S354" i="17"/>
  <c r="S355" i="17"/>
  <c r="S356" i="17"/>
  <c r="S357" i="17"/>
  <c r="S358" i="17"/>
  <c r="S359" i="17"/>
  <c r="S360" i="17"/>
  <c r="S361" i="17"/>
  <c r="S362" i="17"/>
  <c r="S363" i="17"/>
  <c r="S364" i="17"/>
  <c r="S365" i="17"/>
  <c r="S366" i="17"/>
  <c r="S367" i="17"/>
  <c r="S368" i="17"/>
  <c r="S369" i="17"/>
  <c r="S370" i="17"/>
  <c r="S371" i="17"/>
  <c r="S372" i="17"/>
  <c r="S373" i="17"/>
  <c r="S374" i="17"/>
  <c r="S375" i="17"/>
  <c r="S376" i="17"/>
  <c r="S377" i="17"/>
  <c r="S378" i="17"/>
  <c r="S379" i="17"/>
  <c r="S380" i="17"/>
  <c r="S381" i="17"/>
  <c r="S382" i="17"/>
  <c r="S383" i="17"/>
  <c r="S384" i="17"/>
  <c r="S385" i="17"/>
  <c r="S386" i="17"/>
  <c r="S387" i="17"/>
  <c r="S388" i="17"/>
  <c r="S389" i="17"/>
  <c r="S390" i="17"/>
  <c r="S391" i="17"/>
  <c r="S392" i="17"/>
  <c r="S393" i="17"/>
  <c r="S394" i="17"/>
  <c r="S395" i="17"/>
  <c r="S396" i="17"/>
  <c r="S397" i="17"/>
  <c r="S398" i="17"/>
  <c r="S2" i="17"/>
  <c r="Q3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146" i="17"/>
  <c r="Q147" i="17"/>
  <c r="Q148" i="17"/>
  <c r="Q149" i="17"/>
  <c r="Q150" i="17"/>
  <c r="Q151" i="17"/>
  <c r="Q152" i="17"/>
  <c r="Q153" i="17"/>
  <c r="Q154" i="17"/>
  <c r="Q155" i="17"/>
  <c r="Q156" i="17"/>
  <c r="Q157" i="17"/>
  <c r="Q158" i="17"/>
  <c r="Q159" i="17"/>
  <c r="Q160" i="17"/>
  <c r="Q161" i="17"/>
  <c r="Q162" i="17"/>
  <c r="Q163" i="17"/>
  <c r="Q164" i="17"/>
  <c r="Q165" i="17"/>
  <c r="Q166" i="17"/>
  <c r="Q167" i="17"/>
  <c r="Q168" i="17"/>
  <c r="Q169" i="17"/>
  <c r="Q170" i="17"/>
  <c r="Q171" i="17"/>
  <c r="Q172" i="17"/>
  <c r="Q173" i="17"/>
  <c r="Q174" i="17"/>
  <c r="Q175" i="17"/>
  <c r="Q176" i="17"/>
  <c r="Q177" i="17"/>
  <c r="Q178" i="17"/>
  <c r="Q179" i="17"/>
  <c r="Q180" i="17"/>
  <c r="Q181" i="17"/>
  <c r="Q182" i="17"/>
  <c r="Q183" i="17"/>
  <c r="Q184" i="17"/>
  <c r="Q185" i="17"/>
  <c r="Q186" i="17"/>
  <c r="Q187" i="17"/>
  <c r="Q188" i="17"/>
  <c r="Q189" i="17"/>
  <c r="Q190" i="17"/>
  <c r="Q191" i="17"/>
  <c r="Q192" i="17"/>
  <c r="Q193" i="17"/>
  <c r="Q194" i="17"/>
  <c r="Q195" i="17"/>
  <c r="Q196" i="17"/>
  <c r="Q197" i="17"/>
  <c r="Q198" i="17"/>
  <c r="Q199" i="17"/>
  <c r="Q200" i="17"/>
  <c r="Q201" i="17"/>
  <c r="Q202" i="17"/>
  <c r="Q203" i="17"/>
  <c r="Q204" i="17"/>
  <c r="Q205" i="17"/>
  <c r="Q206" i="17"/>
  <c r="Q207" i="17"/>
  <c r="Q208" i="17"/>
  <c r="Q209" i="17"/>
  <c r="Q210" i="17"/>
  <c r="Q211" i="17"/>
  <c r="Q212" i="17"/>
  <c r="Q213" i="17"/>
  <c r="Q214" i="17"/>
  <c r="Q215" i="17"/>
  <c r="Q216" i="17"/>
  <c r="Q217" i="17"/>
  <c r="Q218" i="17"/>
  <c r="Q219" i="17"/>
  <c r="Q220" i="17"/>
  <c r="Q221" i="17"/>
  <c r="Q222" i="17"/>
  <c r="Q223" i="17"/>
  <c r="Q224" i="17"/>
  <c r="Q225" i="17"/>
  <c r="Q226" i="17"/>
  <c r="Q227" i="17"/>
  <c r="Q228" i="17"/>
  <c r="Q229" i="17"/>
  <c r="Q230" i="17"/>
  <c r="Q231" i="17"/>
  <c r="Q232" i="17"/>
  <c r="Q233" i="17"/>
  <c r="Q234" i="17"/>
  <c r="Q235" i="17"/>
  <c r="Q236" i="17"/>
  <c r="Q237" i="17"/>
  <c r="Q238" i="17"/>
  <c r="Q239" i="17"/>
  <c r="Q240" i="17"/>
  <c r="Q241" i="17"/>
  <c r="Q242" i="17"/>
  <c r="Q243" i="17"/>
  <c r="Q244" i="17"/>
  <c r="Q245" i="17"/>
  <c r="Q246" i="17"/>
  <c r="Q247" i="17"/>
  <c r="Q248" i="17"/>
  <c r="Q249" i="17"/>
  <c r="Q250" i="17"/>
  <c r="Q251" i="17"/>
  <c r="Q252" i="17"/>
  <c r="Q253" i="17"/>
  <c r="Q254" i="17"/>
  <c r="Q255" i="17"/>
  <c r="Q256" i="17"/>
  <c r="Q257" i="17"/>
  <c r="Q258" i="17"/>
  <c r="Q259" i="17"/>
  <c r="Q260" i="17"/>
  <c r="Q261" i="17"/>
  <c r="Q262" i="17"/>
  <c r="Q263" i="17"/>
  <c r="Q264" i="17"/>
  <c r="Q265" i="17"/>
  <c r="Q266" i="17"/>
  <c r="Q267" i="17"/>
  <c r="Q268" i="17"/>
  <c r="Q269" i="17"/>
  <c r="Q270" i="17"/>
  <c r="Q271" i="17"/>
  <c r="Q272" i="17"/>
  <c r="Q273" i="17"/>
  <c r="Q274" i="17"/>
  <c r="Q275" i="17"/>
  <c r="Q276" i="17"/>
  <c r="Q277" i="17"/>
  <c r="Q278" i="17"/>
  <c r="Q279" i="17"/>
  <c r="Q280" i="17"/>
  <c r="Q281" i="17"/>
  <c r="Q282" i="17"/>
  <c r="Q283" i="17"/>
  <c r="Q284" i="17"/>
  <c r="Q285" i="17"/>
  <c r="Q286" i="17"/>
  <c r="Q287" i="17"/>
  <c r="Q288" i="17"/>
  <c r="Q289" i="17"/>
  <c r="Q290" i="17"/>
  <c r="Q291" i="17"/>
  <c r="Q292" i="17"/>
  <c r="Q293" i="17"/>
  <c r="Q294" i="17"/>
  <c r="Q295" i="17"/>
  <c r="Q296" i="17"/>
  <c r="Q297" i="17"/>
  <c r="Q298" i="17"/>
  <c r="Q299" i="17"/>
  <c r="Q300" i="17"/>
  <c r="Q301" i="17"/>
  <c r="Q302" i="17"/>
  <c r="Q303" i="17"/>
  <c r="Q304" i="17"/>
  <c r="Q305" i="17"/>
  <c r="Q306" i="17"/>
  <c r="Q307" i="17"/>
  <c r="Q308" i="17"/>
  <c r="Q309" i="17"/>
  <c r="Q310" i="17"/>
  <c r="Q311" i="17"/>
  <c r="Q312" i="17"/>
  <c r="Q313" i="17"/>
  <c r="Q314" i="17"/>
  <c r="Q315" i="17"/>
  <c r="Q316" i="17"/>
  <c r="Q317" i="17"/>
  <c r="Q318" i="17"/>
  <c r="Q319" i="17"/>
  <c r="Q320" i="17"/>
  <c r="Q321" i="17"/>
  <c r="Q322" i="17"/>
  <c r="Q323" i="17"/>
  <c r="Q324" i="17"/>
  <c r="Q325" i="17"/>
  <c r="Q326" i="17"/>
  <c r="Q327" i="17"/>
  <c r="Q328" i="17"/>
  <c r="Q329" i="17"/>
  <c r="Q330" i="17"/>
  <c r="Q331" i="17"/>
  <c r="Q332" i="17"/>
  <c r="Q333" i="17"/>
  <c r="Q334" i="17"/>
  <c r="Q335" i="17"/>
  <c r="Q336" i="17"/>
  <c r="Q337" i="17"/>
  <c r="Q338" i="17"/>
  <c r="Q339" i="17"/>
  <c r="Q340" i="17"/>
  <c r="Q341" i="17"/>
  <c r="Q342" i="17"/>
  <c r="Q343" i="17"/>
  <c r="Q344" i="17"/>
  <c r="Q345" i="17"/>
  <c r="Q346" i="17"/>
  <c r="Q347" i="17"/>
  <c r="Q348" i="17"/>
  <c r="Q349" i="17"/>
  <c r="Q350" i="17"/>
  <c r="Q351" i="17"/>
  <c r="Q352" i="17"/>
  <c r="Q353" i="17"/>
  <c r="Q354" i="17"/>
  <c r="Q355" i="17"/>
  <c r="Q356" i="17"/>
  <c r="Q357" i="17"/>
  <c r="Q358" i="17"/>
  <c r="Q359" i="17"/>
  <c r="Q360" i="17"/>
  <c r="Q361" i="17"/>
  <c r="Q362" i="17"/>
  <c r="Q363" i="17"/>
  <c r="Q364" i="17"/>
  <c r="Q365" i="17"/>
  <c r="Q366" i="17"/>
  <c r="Q367" i="17"/>
  <c r="Q368" i="17"/>
  <c r="Q369" i="17"/>
  <c r="Q370" i="17"/>
  <c r="Q371" i="17"/>
  <c r="Q372" i="17"/>
  <c r="Q373" i="17"/>
  <c r="Q374" i="17"/>
  <c r="Q375" i="17"/>
  <c r="Q376" i="17"/>
  <c r="Q377" i="17"/>
  <c r="Q378" i="17"/>
  <c r="Q379" i="17"/>
  <c r="Q380" i="17"/>
  <c r="Q381" i="17"/>
  <c r="Q382" i="17"/>
  <c r="Q383" i="17"/>
  <c r="Q384" i="17"/>
  <c r="Q385" i="17"/>
  <c r="Q386" i="17"/>
  <c r="Q387" i="17"/>
  <c r="Q388" i="17"/>
  <c r="Q389" i="17"/>
  <c r="Q390" i="17"/>
  <c r="Q391" i="17"/>
  <c r="Q392" i="17"/>
  <c r="Q393" i="17"/>
  <c r="Q394" i="17"/>
  <c r="Q395" i="17"/>
  <c r="Q396" i="17"/>
  <c r="Q397" i="17"/>
  <c r="Q398" i="17"/>
  <c r="Q2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2" i="17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2" i="17"/>
  <c r="B3" i="17"/>
  <c r="C3" i="17"/>
  <c r="B4" i="17"/>
  <c r="C4" i="17"/>
  <c r="B5" i="17"/>
  <c r="C5" i="17"/>
  <c r="B6" i="17"/>
  <c r="C6" i="17"/>
  <c r="B7" i="17"/>
  <c r="C7" i="17"/>
  <c r="B8" i="17"/>
  <c r="C8" i="17"/>
  <c r="B9" i="17"/>
  <c r="C9" i="17"/>
  <c r="B10" i="17"/>
  <c r="C10" i="17"/>
  <c r="B11" i="17"/>
  <c r="C11" i="17"/>
  <c r="B12" i="17"/>
  <c r="C12" i="17"/>
  <c r="B13" i="17"/>
  <c r="C13" i="17"/>
  <c r="B14" i="17"/>
  <c r="C14" i="17"/>
  <c r="B15" i="17"/>
  <c r="C15" i="17"/>
  <c r="B16" i="17"/>
  <c r="C16" i="17"/>
  <c r="B17" i="17"/>
  <c r="C17" i="17"/>
  <c r="B18" i="17"/>
  <c r="C18" i="17"/>
  <c r="B19" i="17"/>
  <c r="C19" i="17"/>
  <c r="B20" i="17"/>
  <c r="C20" i="17"/>
  <c r="B21" i="17"/>
  <c r="C21" i="17"/>
  <c r="B22" i="17"/>
  <c r="C22" i="17"/>
  <c r="B23" i="17"/>
  <c r="C23" i="17"/>
  <c r="B24" i="17"/>
  <c r="C24" i="17"/>
  <c r="B25" i="17"/>
  <c r="C25" i="17"/>
  <c r="B26" i="17"/>
  <c r="C26" i="17"/>
  <c r="B27" i="17"/>
  <c r="C27" i="17"/>
  <c r="B28" i="17"/>
  <c r="C28" i="17"/>
  <c r="B29" i="17"/>
  <c r="C29" i="17"/>
  <c r="B30" i="17"/>
  <c r="C30" i="17"/>
  <c r="B31" i="17"/>
  <c r="C31" i="17"/>
  <c r="B32" i="17"/>
  <c r="C32" i="17"/>
  <c r="B33" i="17"/>
  <c r="C33" i="17"/>
  <c r="B34" i="17"/>
  <c r="C34" i="17"/>
  <c r="B35" i="17"/>
  <c r="C35" i="17"/>
  <c r="B36" i="17"/>
  <c r="C36" i="17"/>
  <c r="B37" i="17"/>
  <c r="C37" i="17"/>
  <c r="B38" i="17"/>
  <c r="C38" i="17"/>
  <c r="B39" i="17"/>
  <c r="C39" i="17"/>
  <c r="B40" i="17"/>
  <c r="C40" i="17"/>
  <c r="B41" i="17"/>
  <c r="C41" i="17"/>
  <c r="B42" i="17"/>
  <c r="C42" i="17"/>
  <c r="B43" i="17"/>
  <c r="C43" i="17"/>
  <c r="B44" i="17"/>
  <c r="C44" i="17"/>
  <c r="B45" i="17"/>
  <c r="C45" i="17"/>
  <c r="B46" i="17"/>
  <c r="C46" i="17"/>
  <c r="B47" i="17"/>
  <c r="C47" i="17"/>
  <c r="B48" i="17"/>
  <c r="C48" i="17"/>
  <c r="B49" i="17"/>
  <c r="C49" i="17"/>
  <c r="B50" i="17"/>
  <c r="C50" i="17"/>
  <c r="B51" i="17"/>
  <c r="C51" i="17"/>
  <c r="B52" i="17"/>
  <c r="C52" i="17"/>
  <c r="B53" i="17"/>
  <c r="C53" i="17"/>
  <c r="B54" i="17"/>
  <c r="C54" i="17"/>
  <c r="B55" i="17"/>
  <c r="C55" i="17"/>
  <c r="B56" i="17"/>
  <c r="C56" i="17"/>
  <c r="B57" i="17"/>
  <c r="C57" i="17"/>
  <c r="B58" i="17"/>
  <c r="C58" i="17"/>
  <c r="B59" i="17"/>
  <c r="C59" i="17"/>
  <c r="B60" i="17"/>
  <c r="C60" i="17"/>
  <c r="B61" i="17"/>
  <c r="C61" i="17"/>
  <c r="B62" i="17"/>
  <c r="C62" i="17"/>
  <c r="B63" i="17"/>
  <c r="C63" i="17"/>
  <c r="B64" i="17"/>
  <c r="C64" i="17"/>
  <c r="B65" i="17"/>
  <c r="C65" i="17"/>
  <c r="B66" i="17"/>
  <c r="C66" i="17"/>
  <c r="B67" i="17"/>
  <c r="C67" i="17"/>
  <c r="B68" i="17"/>
  <c r="C68" i="17"/>
  <c r="B69" i="17"/>
  <c r="C69" i="17"/>
  <c r="B70" i="17"/>
  <c r="C70" i="17"/>
  <c r="B71" i="17"/>
  <c r="C71" i="17"/>
  <c r="B72" i="17"/>
  <c r="C72" i="17"/>
  <c r="B73" i="17"/>
  <c r="C73" i="17"/>
  <c r="B74" i="17"/>
  <c r="C74" i="17"/>
  <c r="B75" i="17"/>
  <c r="C75" i="17"/>
  <c r="B76" i="17"/>
  <c r="C76" i="17"/>
  <c r="B77" i="17"/>
  <c r="C77" i="17"/>
  <c r="B78" i="17"/>
  <c r="C78" i="17"/>
  <c r="B79" i="17"/>
  <c r="C79" i="17"/>
  <c r="B80" i="17"/>
  <c r="C80" i="17"/>
  <c r="B81" i="17"/>
  <c r="C81" i="17"/>
  <c r="B82" i="17"/>
  <c r="C82" i="17"/>
  <c r="B83" i="17"/>
  <c r="C83" i="17"/>
  <c r="B84" i="17"/>
  <c r="C84" i="17"/>
  <c r="B85" i="17"/>
  <c r="C85" i="17"/>
  <c r="B86" i="17"/>
  <c r="C86" i="17"/>
  <c r="B87" i="17"/>
  <c r="C87" i="17"/>
  <c r="B88" i="17"/>
  <c r="C88" i="17"/>
  <c r="B89" i="17"/>
  <c r="C89" i="17"/>
  <c r="B90" i="17"/>
  <c r="C90" i="17"/>
  <c r="B91" i="17"/>
  <c r="C91" i="17"/>
  <c r="B92" i="17"/>
  <c r="C92" i="17"/>
  <c r="B93" i="17"/>
  <c r="C93" i="17"/>
  <c r="B94" i="17"/>
  <c r="C94" i="17"/>
  <c r="B95" i="17"/>
  <c r="C95" i="17"/>
  <c r="B96" i="17"/>
  <c r="C96" i="17"/>
  <c r="B97" i="17"/>
  <c r="C97" i="17"/>
  <c r="B98" i="17"/>
  <c r="C98" i="17"/>
  <c r="B99" i="17"/>
  <c r="C99" i="17"/>
  <c r="B100" i="17"/>
  <c r="C100" i="17"/>
  <c r="B101" i="17"/>
  <c r="C101" i="17"/>
  <c r="B102" i="17"/>
  <c r="C102" i="17"/>
  <c r="B103" i="17"/>
  <c r="C103" i="17"/>
  <c r="B104" i="17"/>
  <c r="C104" i="17"/>
  <c r="B105" i="17"/>
  <c r="C105" i="17"/>
  <c r="B106" i="17"/>
  <c r="C106" i="17"/>
  <c r="B107" i="17"/>
  <c r="C107" i="17"/>
  <c r="B108" i="17"/>
  <c r="C108" i="17"/>
  <c r="B109" i="17"/>
  <c r="C109" i="17"/>
  <c r="B110" i="17"/>
  <c r="C110" i="17"/>
  <c r="B111" i="17"/>
  <c r="C111" i="17"/>
  <c r="B112" i="17"/>
  <c r="C112" i="17"/>
  <c r="B113" i="17"/>
  <c r="C113" i="17"/>
  <c r="B114" i="17"/>
  <c r="C114" i="17"/>
  <c r="B115" i="17"/>
  <c r="C115" i="17"/>
  <c r="B116" i="17"/>
  <c r="C116" i="17"/>
  <c r="B117" i="17"/>
  <c r="C117" i="17"/>
  <c r="B118" i="17"/>
  <c r="C118" i="17"/>
  <c r="B119" i="17"/>
  <c r="C119" i="17"/>
  <c r="B120" i="17"/>
  <c r="C120" i="17"/>
  <c r="B121" i="17"/>
  <c r="C121" i="17"/>
  <c r="B122" i="17"/>
  <c r="C122" i="17"/>
  <c r="B123" i="17"/>
  <c r="C123" i="17"/>
  <c r="B124" i="17"/>
  <c r="C124" i="17"/>
  <c r="B125" i="17"/>
  <c r="C125" i="17"/>
  <c r="B126" i="17"/>
  <c r="C126" i="17"/>
  <c r="B127" i="17"/>
  <c r="C127" i="17"/>
  <c r="B128" i="17"/>
  <c r="C128" i="17"/>
  <c r="B129" i="17"/>
  <c r="C129" i="17"/>
  <c r="B130" i="17"/>
  <c r="C130" i="17"/>
  <c r="B131" i="17"/>
  <c r="C131" i="17"/>
  <c r="B132" i="17"/>
  <c r="C132" i="17"/>
  <c r="B133" i="17"/>
  <c r="C133" i="17"/>
  <c r="B134" i="17"/>
  <c r="C134" i="17"/>
  <c r="B135" i="17"/>
  <c r="C135" i="17"/>
  <c r="B136" i="17"/>
  <c r="C136" i="17"/>
  <c r="B137" i="17"/>
  <c r="C137" i="17"/>
  <c r="B138" i="17"/>
  <c r="C138" i="17"/>
  <c r="B139" i="17"/>
  <c r="C139" i="17"/>
  <c r="B140" i="17"/>
  <c r="C140" i="17"/>
  <c r="B141" i="17"/>
  <c r="C141" i="17"/>
  <c r="B142" i="17"/>
  <c r="C142" i="17"/>
  <c r="B143" i="17"/>
  <c r="C143" i="17"/>
  <c r="B144" i="17"/>
  <c r="C144" i="17"/>
  <c r="B145" i="17"/>
  <c r="C145" i="17"/>
  <c r="B146" i="17"/>
  <c r="C146" i="17"/>
  <c r="B147" i="17"/>
  <c r="C147" i="17"/>
  <c r="B148" i="17"/>
  <c r="C148" i="17"/>
  <c r="B149" i="17"/>
  <c r="C149" i="17"/>
  <c r="B150" i="17"/>
  <c r="C150" i="17"/>
  <c r="B151" i="17"/>
  <c r="C151" i="17"/>
  <c r="B152" i="17"/>
  <c r="C152" i="17"/>
  <c r="B153" i="17"/>
  <c r="C153" i="17"/>
  <c r="B154" i="17"/>
  <c r="C154" i="17"/>
  <c r="B155" i="17"/>
  <c r="C155" i="17"/>
  <c r="B156" i="17"/>
  <c r="C156" i="17"/>
  <c r="B157" i="17"/>
  <c r="C157" i="17"/>
  <c r="B158" i="17"/>
  <c r="C158" i="17"/>
  <c r="B159" i="17"/>
  <c r="C159" i="17"/>
  <c r="B160" i="17"/>
  <c r="C160" i="17"/>
  <c r="B161" i="17"/>
  <c r="C161" i="17"/>
  <c r="B162" i="17"/>
  <c r="C162" i="17"/>
  <c r="B163" i="17"/>
  <c r="C163" i="17"/>
  <c r="B164" i="17"/>
  <c r="C164" i="17"/>
  <c r="B165" i="17"/>
  <c r="C165" i="17"/>
  <c r="B166" i="17"/>
  <c r="C166" i="17"/>
  <c r="B167" i="17"/>
  <c r="C167" i="17"/>
  <c r="B168" i="17"/>
  <c r="C168" i="17"/>
  <c r="B169" i="17"/>
  <c r="C169" i="17"/>
  <c r="B170" i="17"/>
  <c r="C170" i="17"/>
  <c r="B171" i="17"/>
  <c r="C171" i="17"/>
  <c r="B172" i="17"/>
  <c r="C172" i="17"/>
  <c r="B173" i="17"/>
  <c r="C173" i="17"/>
  <c r="B174" i="17"/>
  <c r="C174" i="17"/>
  <c r="B175" i="17"/>
  <c r="C175" i="17"/>
  <c r="B176" i="17"/>
  <c r="C176" i="17"/>
  <c r="B177" i="17"/>
  <c r="C177" i="17"/>
  <c r="B178" i="17"/>
  <c r="C178" i="17"/>
  <c r="B179" i="17"/>
  <c r="C179" i="17"/>
  <c r="B180" i="17"/>
  <c r="C180" i="17"/>
  <c r="B181" i="17"/>
  <c r="C181" i="17"/>
  <c r="B182" i="17"/>
  <c r="C182" i="17"/>
  <c r="B183" i="17"/>
  <c r="C183" i="17"/>
  <c r="B184" i="17"/>
  <c r="C184" i="17"/>
  <c r="B185" i="17"/>
  <c r="C185" i="17"/>
  <c r="B186" i="17"/>
  <c r="C186" i="17"/>
  <c r="B187" i="17"/>
  <c r="C187" i="17"/>
  <c r="B188" i="17"/>
  <c r="C188" i="17"/>
  <c r="B189" i="17"/>
  <c r="C189" i="17"/>
  <c r="B190" i="17"/>
  <c r="C190" i="17"/>
  <c r="B191" i="17"/>
  <c r="C191" i="17"/>
  <c r="B192" i="17"/>
  <c r="C192" i="17"/>
  <c r="B193" i="17"/>
  <c r="C193" i="17"/>
  <c r="B194" i="17"/>
  <c r="C194" i="17"/>
  <c r="B195" i="17"/>
  <c r="C195" i="17"/>
  <c r="B196" i="17"/>
  <c r="C196" i="17"/>
  <c r="B197" i="17"/>
  <c r="C197" i="17"/>
  <c r="B198" i="17"/>
  <c r="C198" i="17"/>
  <c r="B199" i="17"/>
  <c r="C199" i="17"/>
  <c r="B200" i="17"/>
  <c r="C200" i="17"/>
  <c r="B201" i="17"/>
  <c r="C201" i="17"/>
  <c r="B202" i="17"/>
  <c r="C202" i="17"/>
  <c r="B203" i="17"/>
  <c r="C203" i="17"/>
  <c r="B204" i="17"/>
  <c r="C204" i="17"/>
  <c r="B205" i="17"/>
  <c r="C205" i="17"/>
  <c r="B206" i="17"/>
  <c r="C206" i="17"/>
  <c r="B207" i="17"/>
  <c r="C207" i="17"/>
  <c r="B208" i="17"/>
  <c r="C208" i="17"/>
  <c r="B209" i="17"/>
  <c r="C209" i="17"/>
  <c r="B210" i="17"/>
  <c r="C210" i="17"/>
  <c r="B211" i="17"/>
  <c r="C211" i="17"/>
  <c r="B212" i="17"/>
  <c r="C212" i="17"/>
  <c r="B213" i="17"/>
  <c r="C213" i="17"/>
  <c r="B214" i="17"/>
  <c r="C214" i="17"/>
  <c r="B215" i="17"/>
  <c r="C215" i="17"/>
  <c r="B216" i="17"/>
  <c r="C216" i="17"/>
  <c r="B217" i="17"/>
  <c r="C217" i="17"/>
  <c r="B218" i="17"/>
  <c r="C218" i="17"/>
  <c r="B219" i="17"/>
  <c r="C219" i="17"/>
  <c r="B220" i="17"/>
  <c r="C220" i="17"/>
  <c r="B221" i="17"/>
  <c r="C221" i="17"/>
  <c r="B222" i="17"/>
  <c r="C222" i="17"/>
  <c r="B223" i="17"/>
  <c r="C223" i="17"/>
  <c r="B224" i="17"/>
  <c r="C224" i="17"/>
  <c r="B225" i="17"/>
  <c r="C225" i="17"/>
  <c r="B226" i="17"/>
  <c r="C226" i="17"/>
  <c r="B227" i="17"/>
  <c r="C227" i="17"/>
  <c r="B228" i="17"/>
  <c r="C228" i="17"/>
  <c r="B229" i="17"/>
  <c r="C229" i="17"/>
  <c r="B230" i="17"/>
  <c r="C230" i="17"/>
  <c r="B231" i="17"/>
  <c r="C231" i="17"/>
  <c r="B232" i="17"/>
  <c r="C232" i="17"/>
  <c r="B233" i="17"/>
  <c r="C233" i="17"/>
  <c r="B234" i="17"/>
  <c r="C234" i="17"/>
  <c r="B235" i="17"/>
  <c r="C235" i="17"/>
  <c r="B236" i="17"/>
  <c r="C236" i="17"/>
  <c r="B237" i="17"/>
  <c r="C237" i="17"/>
  <c r="B238" i="17"/>
  <c r="C238" i="17"/>
  <c r="B239" i="17"/>
  <c r="C239" i="17"/>
  <c r="B240" i="17"/>
  <c r="C240" i="17"/>
  <c r="B241" i="17"/>
  <c r="C241" i="17"/>
  <c r="B242" i="17"/>
  <c r="C242" i="17"/>
  <c r="B243" i="17"/>
  <c r="C243" i="17"/>
  <c r="B244" i="17"/>
  <c r="C244" i="17"/>
  <c r="B245" i="17"/>
  <c r="C245" i="17"/>
  <c r="B246" i="17"/>
  <c r="C246" i="17"/>
  <c r="B247" i="17"/>
  <c r="C247" i="17"/>
  <c r="B248" i="17"/>
  <c r="C248" i="17"/>
  <c r="B249" i="17"/>
  <c r="C249" i="17"/>
  <c r="B250" i="17"/>
  <c r="C250" i="17"/>
  <c r="B251" i="17"/>
  <c r="C251" i="17"/>
  <c r="B252" i="17"/>
  <c r="C252" i="17"/>
  <c r="B253" i="17"/>
  <c r="C253" i="17"/>
  <c r="B254" i="17"/>
  <c r="C254" i="17"/>
  <c r="B255" i="17"/>
  <c r="C255" i="17"/>
  <c r="B256" i="17"/>
  <c r="C256" i="17"/>
  <c r="B257" i="17"/>
  <c r="C257" i="17"/>
  <c r="B258" i="17"/>
  <c r="C258" i="17"/>
  <c r="B259" i="17"/>
  <c r="C259" i="17"/>
  <c r="B260" i="17"/>
  <c r="C260" i="17"/>
  <c r="B261" i="17"/>
  <c r="C261" i="17"/>
  <c r="B262" i="17"/>
  <c r="C262" i="17"/>
  <c r="B263" i="17"/>
  <c r="C263" i="17"/>
  <c r="B264" i="17"/>
  <c r="C264" i="17"/>
  <c r="B265" i="17"/>
  <c r="C265" i="17"/>
  <c r="B266" i="17"/>
  <c r="C266" i="17"/>
  <c r="B267" i="17"/>
  <c r="C267" i="17"/>
  <c r="B268" i="17"/>
  <c r="C268" i="17"/>
  <c r="B269" i="17"/>
  <c r="C269" i="17"/>
  <c r="B270" i="17"/>
  <c r="C270" i="17"/>
  <c r="B271" i="17"/>
  <c r="C271" i="17"/>
  <c r="B272" i="17"/>
  <c r="C272" i="17"/>
  <c r="B273" i="17"/>
  <c r="C273" i="17"/>
  <c r="B274" i="17"/>
  <c r="C274" i="17"/>
  <c r="B275" i="17"/>
  <c r="C275" i="17"/>
  <c r="B276" i="17"/>
  <c r="C276" i="17"/>
  <c r="B277" i="17"/>
  <c r="C277" i="17"/>
  <c r="B278" i="17"/>
  <c r="C278" i="17"/>
  <c r="B279" i="17"/>
  <c r="C279" i="17"/>
  <c r="B280" i="17"/>
  <c r="C280" i="17"/>
  <c r="B281" i="17"/>
  <c r="C281" i="17"/>
  <c r="B282" i="17"/>
  <c r="C282" i="17"/>
  <c r="B283" i="17"/>
  <c r="C283" i="17"/>
  <c r="B284" i="17"/>
  <c r="C284" i="17"/>
  <c r="B285" i="17"/>
  <c r="C285" i="17"/>
  <c r="B286" i="17"/>
  <c r="C286" i="17"/>
  <c r="B287" i="17"/>
  <c r="C287" i="17"/>
  <c r="B288" i="17"/>
  <c r="C288" i="17"/>
  <c r="B289" i="17"/>
  <c r="C289" i="17"/>
  <c r="B290" i="17"/>
  <c r="C290" i="17"/>
  <c r="B291" i="17"/>
  <c r="C291" i="17"/>
  <c r="B292" i="17"/>
  <c r="C292" i="17"/>
  <c r="B293" i="17"/>
  <c r="C293" i="17"/>
  <c r="B294" i="17"/>
  <c r="C294" i="17"/>
  <c r="B295" i="17"/>
  <c r="C295" i="17"/>
  <c r="B296" i="17"/>
  <c r="C296" i="17"/>
  <c r="B297" i="17"/>
  <c r="C297" i="17"/>
  <c r="B298" i="17"/>
  <c r="C298" i="17"/>
  <c r="B299" i="17"/>
  <c r="C299" i="17"/>
  <c r="B300" i="17"/>
  <c r="C300" i="17"/>
  <c r="B301" i="17"/>
  <c r="C301" i="17"/>
  <c r="B302" i="17"/>
  <c r="C302" i="17"/>
  <c r="B303" i="17"/>
  <c r="C303" i="17"/>
  <c r="B304" i="17"/>
  <c r="C304" i="17"/>
  <c r="B305" i="17"/>
  <c r="C305" i="17"/>
  <c r="B306" i="17"/>
  <c r="C306" i="17"/>
  <c r="B307" i="17"/>
  <c r="C307" i="17"/>
  <c r="B308" i="17"/>
  <c r="C308" i="17"/>
  <c r="B309" i="17"/>
  <c r="C309" i="17"/>
  <c r="B310" i="17"/>
  <c r="C310" i="17"/>
  <c r="B311" i="17"/>
  <c r="C311" i="17"/>
  <c r="B312" i="17"/>
  <c r="C312" i="17"/>
  <c r="B313" i="17"/>
  <c r="C313" i="17"/>
  <c r="B314" i="17"/>
  <c r="C314" i="17"/>
  <c r="B315" i="17"/>
  <c r="C315" i="17"/>
  <c r="B316" i="17"/>
  <c r="C316" i="17"/>
  <c r="B317" i="17"/>
  <c r="C317" i="17"/>
  <c r="B318" i="17"/>
  <c r="C318" i="17"/>
  <c r="B319" i="17"/>
  <c r="C319" i="17"/>
  <c r="B320" i="17"/>
  <c r="C320" i="17"/>
  <c r="B321" i="17"/>
  <c r="C321" i="17"/>
  <c r="B322" i="17"/>
  <c r="C322" i="17"/>
  <c r="B323" i="17"/>
  <c r="C323" i="17"/>
  <c r="B324" i="17"/>
  <c r="C324" i="17"/>
  <c r="B325" i="17"/>
  <c r="C325" i="17"/>
  <c r="B326" i="17"/>
  <c r="C326" i="17"/>
  <c r="B327" i="17"/>
  <c r="C327" i="17"/>
  <c r="B328" i="17"/>
  <c r="C328" i="17"/>
  <c r="B329" i="17"/>
  <c r="C329" i="17"/>
  <c r="B330" i="17"/>
  <c r="C330" i="17"/>
  <c r="B331" i="17"/>
  <c r="C331" i="17"/>
  <c r="B332" i="17"/>
  <c r="C332" i="17"/>
  <c r="B333" i="17"/>
  <c r="C333" i="17"/>
  <c r="B334" i="17"/>
  <c r="C334" i="17"/>
  <c r="B335" i="17"/>
  <c r="C335" i="17"/>
  <c r="B336" i="17"/>
  <c r="C336" i="17"/>
  <c r="B337" i="17"/>
  <c r="C337" i="17"/>
  <c r="B338" i="17"/>
  <c r="C338" i="17"/>
  <c r="B339" i="17"/>
  <c r="C339" i="17"/>
  <c r="B340" i="17"/>
  <c r="C340" i="17"/>
  <c r="B341" i="17"/>
  <c r="C341" i="17"/>
  <c r="B342" i="17"/>
  <c r="C342" i="17"/>
  <c r="B343" i="17"/>
  <c r="C343" i="17"/>
  <c r="B344" i="17"/>
  <c r="C344" i="17"/>
  <c r="B345" i="17"/>
  <c r="C345" i="17"/>
  <c r="B346" i="17"/>
  <c r="C346" i="17"/>
  <c r="B347" i="17"/>
  <c r="C347" i="17"/>
  <c r="B348" i="17"/>
  <c r="C348" i="17"/>
  <c r="B349" i="17"/>
  <c r="C349" i="17"/>
  <c r="B350" i="17"/>
  <c r="C350" i="17"/>
  <c r="B351" i="17"/>
  <c r="C351" i="17"/>
  <c r="B352" i="17"/>
  <c r="C352" i="17"/>
  <c r="B353" i="17"/>
  <c r="C353" i="17"/>
  <c r="B354" i="17"/>
  <c r="C354" i="17"/>
  <c r="B355" i="17"/>
  <c r="C355" i="17"/>
  <c r="B356" i="17"/>
  <c r="C356" i="17"/>
  <c r="B357" i="17"/>
  <c r="C357" i="17"/>
  <c r="B358" i="17"/>
  <c r="C358" i="17"/>
  <c r="B359" i="17"/>
  <c r="C359" i="17"/>
  <c r="B360" i="17"/>
  <c r="C360" i="17"/>
  <c r="B361" i="17"/>
  <c r="C361" i="17"/>
  <c r="B362" i="17"/>
  <c r="C362" i="17"/>
  <c r="B363" i="17"/>
  <c r="C363" i="17"/>
  <c r="B364" i="17"/>
  <c r="C364" i="17"/>
  <c r="B365" i="17"/>
  <c r="C365" i="17"/>
  <c r="B366" i="17"/>
  <c r="C366" i="17"/>
  <c r="B367" i="17"/>
  <c r="C367" i="17"/>
  <c r="B368" i="17"/>
  <c r="C368" i="17"/>
  <c r="B369" i="17"/>
  <c r="C369" i="17"/>
  <c r="B370" i="17"/>
  <c r="C370" i="17"/>
  <c r="B371" i="17"/>
  <c r="C371" i="17"/>
  <c r="B372" i="17"/>
  <c r="C372" i="17"/>
  <c r="B373" i="17"/>
  <c r="C373" i="17"/>
  <c r="B374" i="17"/>
  <c r="C374" i="17"/>
  <c r="B375" i="17"/>
  <c r="C375" i="17"/>
  <c r="B376" i="17"/>
  <c r="C376" i="17"/>
  <c r="B377" i="17"/>
  <c r="C377" i="17"/>
  <c r="B378" i="17"/>
  <c r="C378" i="17"/>
  <c r="B379" i="17"/>
  <c r="C379" i="17"/>
  <c r="B380" i="17"/>
  <c r="C380" i="17"/>
  <c r="B381" i="17"/>
  <c r="C381" i="17"/>
  <c r="B382" i="17"/>
  <c r="C382" i="17"/>
  <c r="B383" i="17"/>
  <c r="C383" i="17"/>
  <c r="B384" i="17"/>
  <c r="C384" i="17"/>
  <c r="B385" i="17"/>
  <c r="C385" i="17"/>
  <c r="B386" i="17"/>
  <c r="C386" i="17"/>
  <c r="B387" i="17"/>
  <c r="C387" i="17"/>
  <c r="B388" i="17"/>
  <c r="C388" i="17"/>
  <c r="B389" i="17"/>
  <c r="C389" i="17"/>
  <c r="B390" i="17"/>
  <c r="C390" i="17"/>
  <c r="B391" i="17"/>
  <c r="C391" i="17"/>
  <c r="B392" i="17"/>
  <c r="C392" i="17"/>
  <c r="B393" i="17"/>
  <c r="C393" i="17"/>
  <c r="B394" i="17"/>
  <c r="C394" i="17"/>
  <c r="B395" i="17"/>
  <c r="C395" i="17"/>
  <c r="B396" i="17"/>
  <c r="C396" i="17"/>
  <c r="B397" i="17"/>
  <c r="C397" i="17"/>
  <c r="B398" i="17"/>
  <c r="C398" i="17"/>
  <c r="C2" i="17"/>
  <c r="B2" i="17"/>
  <c r="CI391" i="1"/>
  <c r="CI392" i="1"/>
  <c r="CI371" i="1"/>
  <c r="CI124" i="1"/>
  <c r="CI338" i="1"/>
  <c r="CI388" i="1"/>
  <c r="CI282" i="1"/>
  <c r="CI43" i="1"/>
  <c r="CI105" i="1"/>
  <c r="CI384" i="1"/>
  <c r="CI219" i="1"/>
  <c r="CI156" i="1"/>
  <c r="CI34" i="1"/>
  <c r="CI359" i="1"/>
  <c r="CI379" i="1"/>
  <c r="CI331" i="1"/>
  <c r="CI368" i="1"/>
  <c r="CI14" i="1"/>
  <c r="CI189" i="1"/>
  <c r="CI273" i="1"/>
  <c r="CI253" i="1"/>
  <c r="CI180" i="1"/>
  <c r="CI15" i="1"/>
  <c r="CI151" i="1"/>
  <c r="CI184" i="1"/>
  <c r="CI245" i="1"/>
  <c r="CI269" i="1"/>
  <c r="CI5" i="1"/>
  <c r="C7" i="19" l="1"/>
  <c r="C9" i="19"/>
  <c r="CF12" i="1"/>
  <c r="CC12" i="1"/>
  <c r="CF360" i="1"/>
  <c r="BB4" i="19" a="1"/>
  <c r="BB4" i="19" s="1"/>
  <c r="BB3" i="19" a="1"/>
  <c r="BB3" i="19" s="1"/>
  <c r="BB2" i="19" a="1"/>
  <c r="BB2" i="19" s="1"/>
  <c r="CC392" i="1"/>
  <c r="BC3" i="19" a="1"/>
  <c r="BC3" i="19" s="1"/>
  <c r="BC2" i="19" a="1"/>
  <c r="BC2" i="19" s="1"/>
  <c r="BC4" i="19" a="1"/>
  <c r="BC4" i="19" s="1"/>
  <c r="M6" i="11"/>
  <c r="J5" i="11"/>
  <c r="F5" i="11"/>
  <c r="C5" i="11"/>
  <c r="CB392" i="1"/>
  <c r="F4" i="11"/>
  <c r="F6" i="11"/>
  <c r="CE392" i="1"/>
  <c r="CG392" i="1" s="1"/>
  <c r="M4" i="11"/>
  <c r="C6" i="11"/>
  <c r="M5" i="11"/>
  <c r="J6" i="11"/>
  <c r="CF183" i="1"/>
  <c r="CG183" i="1" s="1"/>
  <c r="CK392" i="1"/>
  <c r="CO392" i="1" s="1"/>
  <c r="J4" i="11"/>
  <c r="CH392" i="1"/>
  <c r="CN392" i="1" s="1"/>
  <c r="C4" i="11"/>
  <c r="CE360" i="1"/>
  <c r="BJ3" i="19" a="1"/>
  <c r="BJ3" i="19" s="1"/>
  <c r="BJ4" i="19" a="1"/>
  <c r="BJ4" i="19" s="1"/>
  <c r="BJ2" i="19" a="1"/>
  <c r="BJ2" i="19" s="1"/>
  <c r="BG3" i="19" a="1"/>
  <c r="BG3" i="19" s="1"/>
  <c r="BG2" i="19" a="1"/>
  <c r="BG2" i="19" s="1"/>
  <c r="BG4" i="19" a="1"/>
  <c r="BG4" i="19" s="1"/>
  <c r="BF3" i="19" a="1"/>
  <c r="BF3" i="19" s="1"/>
  <c r="BF2" i="19" a="1"/>
  <c r="BF2" i="19" s="1"/>
  <c r="BF4" i="19" a="1"/>
  <c r="BF4" i="19" s="1"/>
  <c r="BO2" i="19" a="1"/>
  <c r="BO2" i="19" s="1"/>
  <c r="BO4" i="19" a="1"/>
  <c r="BO4" i="19" s="1"/>
  <c r="BO3" i="19" a="1"/>
  <c r="BO3" i="19" s="1"/>
  <c r="BN2" i="19" a="1"/>
  <c r="BN2" i="19" s="1"/>
  <c r="BN4" i="19" a="1"/>
  <c r="BN4" i="19" s="1"/>
  <c r="BN3" i="19" a="1"/>
  <c r="BN3" i="19" s="1"/>
  <c r="BK3" i="19" a="1"/>
  <c r="BK3" i="19" s="1"/>
  <c r="BK4" i="19" a="1"/>
  <c r="BK4" i="19" s="1"/>
  <c r="BK2" i="19" a="1"/>
  <c r="BK2" i="19" s="1"/>
  <c r="CB360" i="1"/>
  <c r="CD360" i="1" s="1"/>
  <c r="CF206" i="1"/>
  <c r="CG206" i="1" s="1"/>
  <c r="CC206" i="1"/>
  <c r="CD206" i="1" s="1"/>
  <c r="AJ5" i="19"/>
  <c r="AJ9" i="19" s="1"/>
  <c r="T5" i="19"/>
  <c r="T9" i="19" s="1"/>
  <c r="AY5" i="19"/>
  <c r="AY9" i="19" s="1"/>
  <c r="AI5" i="19"/>
  <c r="AI9" i="19" s="1"/>
  <c r="S5" i="19"/>
  <c r="S8" i="19" s="1"/>
  <c r="AK5" i="19"/>
  <c r="AK8" i="19" s="1"/>
  <c r="U5" i="19"/>
  <c r="U9" i="19" s="1"/>
  <c r="E5" i="19"/>
  <c r="E7" i="19" s="1"/>
  <c r="D11" i="19" s="1"/>
  <c r="D5" i="19"/>
  <c r="D7" i="19" s="1"/>
  <c r="F5" i="19"/>
  <c r="F9" i="19" s="1"/>
  <c r="AX5" i="19"/>
  <c r="AX9" i="19" s="1"/>
  <c r="AH5" i="19"/>
  <c r="R5" i="19"/>
  <c r="AW5" i="19"/>
  <c r="AG5" i="19"/>
  <c r="AG9" i="19" s="1"/>
  <c r="Q5" i="19"/>
  <c r="AV5" i="19"/>
  <c r="AV9" i="19" s="1"/>
  <c r="AF5" i="19"/>
  <c r="AF9" i="19" s="1"/>
  <c r="P5" i="19"/>
  <c r="P9" i="19" s="1"/>
  <c r="G5" i="19"/>
  <c r="G7" i="19" s="1"/>
  <c r="AU5" i="19"/>
  <c r="AU9" i="19" s="1"/>
  <c r="AE5" i="19"/>
  <c r="AE9" i="19" s="1"/>
  <c r="O5" i="19"/>
  <c r="O9" i="19" s="1"/>
  <c r="AT5" i="19"/>
  <c r="AT7" i="19" s="1"/>
  <c r="AD5" i="19"/>
  <c r="AD7" i="19" s="1"/>
  <c r="N5" i="19"/>
  <c r="N7" i="19" s="1"/>
  <c r="AS5" i="19"/>
  <c r="AS7" i="19" s="1"/>
  <c r="AC5" i="19"/>
  <c r="AC7" i="19" s="1"/>
  <c r="M5" i="19"/>
  <c r="M7" i="19" s="1"/>
  <c r="AR5" i="19"/>
  <c r="AR9" i="19" s="1"/>
  <c r="AB5" i="19"/>
  <c r="AB9" i="19" s="1"/>
  <c r="L5" i="19"/>
  <c r="L7" i="19" s="1"/>
  <c r="L11" i="19" s="1"/>
  <c r="AQ5" i="19"/>
  <c r="AQ7" i="19" s="1"/>
  <c r="AA5" i="19"/>
  <c r="AA9" i="19" s="1"/>
  <c r="K5" i="19"/>
  <c r="K7" i="19" s="1"/>
  <c r="AP5" i="19"/>
  <c r="AP9" i="19" s="1"/>
  <c r="Z5" i="19"/>
  <c r="Z8" i="19" s="1"/>
  <c r="J5" i="19"/>
  <c r="J8" i="19" s="1"/>
  <c r="AO5" i="19"/>
  <c r="AO7" i="19" s="1"/>
  <c r="I5" i="19"/>
  <c r="I8" i="19" s="1"/>
  <c r="H12" i="19" s="1"/>
  <c r="AN5" i="19"/>
  <c r="AN8" i="19" s="1"/>
  <c r="X5" i="19"/>
  <c r="X9" i="19" s="1"/>
  <c r="H5" i="19"/>
  <c r="H9" i="19" s="1"/>
  <c r="AM5" i="19"/>
  <c r="AM8" i="19" s="1"/>
  <c r="W5" i="19"/>
  <c r="W7" i="19" s="1"/>
  <c r="AL5" i="19"/>
  <c r="AL9" i="19" s="1"/>
  <c r="V5" i="19"/>
  <c r="V9" i="19" s="1"/>
  <c r="Y5" i="19"/>
  <c r="Y9" i="19" s="1"/>
  <c r="CC4" i="1"/>
  <c r="CC136" i="1"/>
  <c r="CF265" i="1"/>
  <c r="CF118" i="1"/>
  <c r="CC155" i="1"/>
  <c r="CC144" i="1"/>
  <c r="CC353" i="1"/>
  <c r="CC363" i="1"/>
  <c r="CC281" i="1"/>
  <c r="CC202" i="1"/>
  <c r="CC251" i="1"/>
  <c r="CC291" i="1"/>
  <c r="CC285" i="1"/>
  <c r="CC222" i="1"/>
  <c r="CC236" i="1"/>
  <c r="CC24" i="1"/>
  <c r="CC113" i="1"/>
  <c r="CC10" i="1"/>
  <c r="CC28" i="1"/>
  <c r="CF29" i="1"/>
  <c r="CF381" i="1"/>
  <c r="CF196" i="1"/>
  <c r="CF385" i="1"/>
  <c r="CF351" i="1"/>
  <c r="CF262" i="1"/>
  <c r="CF364" i="1"/>
  <c r="CF378" i="1"/>
  <c r="CF33" i="1"/>
  <c r="CF198" i="1"/>
  <c r="CF228" i="1"/>
  <c r="CF286" i="1"/>
  <c r="CF210" i="1"/>
  <c r="CF112" i="1"/>
  <c r="CF200" i="1"/>
  <c r="CF63" i="1"/>
  <c r="CF327" i="1"/>
  <c r="CF100" i="1"/>
  <c r="CC188" i="1"/>
  <c r="CC154" i="1"/>
  <c r="CC79" i="1"/>
  <c r="CC362" i="1"/>
  <c r="CC246" i="1"/>
  <c r="CC340" i="1"/>
  <c r="CC106" i="1"/>
  <c r="CC13" i="1"/>
  <c r="CC50" i="1"/>
  <c r="CC39" i="1"/>
  <c r="CC108" i="1"/>
  <c r="CF70" i="1"/>
  <c r="CF244" i="1"/>
  <c r="CF35" i="1"/>
  <c r="CF163" i="1"/>
  <c r="CC73" i="1"/>
  <c r="CC60" i="1"/>
  <c r="CC303" i="1"/>
  <c r="CK206" i="1"/>
  <c r="CO206" i="1" s="1"/>
  <c r="CC290" i="1"/>
  <c r="CC334" i="1"/>
  <c r="CC270" i="1"/>
  <c r="CC83" i="1"/>
  <c r="CF355" i="1"/>
  <c r="CF86" i="1"/>
  <c r="CC9" i="1"/>
  <c r="CF303" i="1"/>
  <c r="CF32" i="1"/>
  <c r="CF263" i="1"/>
  <c r="CF348" i="1"/>
  <c r="CF107" i="1"/>
  <c r="CF235" i="1"/>
  <c r="CC333" i="1"/>
  <c r="CC213" i="1"/>
  <c r="CC176" i="1"/>
  <c r="CF246" i="1"/>
  <c r="CF22" i="1"/>
  <c r="CC31" i="1"/>
  <c r="CC243" i="1"/>
  <c r="CC192" i="1"/>
  <c r="CC234" i="1"/>
  <c r="CC393" i="1"/>
  <c r="CC166" i="1"/>
  <c r="CC145" i="1"/>
  <c r="CC190" i="1"/>
  <c r="CC38" i="1"/>
  <c r="CC7" i="1"/>
  <c r="CF366" i="1"/>
  <c r="CF220" i="1"/>
  <c r="CF149" i="1"/>
  <c r="CF21" i="1"/>
  <c r="CF315" i="1"/>
  <c r="CF58" i="1"/>
  <c r="CF84" i="1"/>
  <c r="CF201" i="1"/>
  <c r="CF361" i="1"/>
  <c r="CF178" i="1"/>
  <c r="CF358" i="1"/>
  <c r="CF68" i="1"/>
  <c r="CF147" i="1"/>
  <c r="CF373" i="1"/>
  <c r="CF258" i="1"/>
  <c r="CF49" i="1"/>
  <c r="CF274" i="1"/>
  <c r="CC296" i="1"/>
  <c r="CC30" i="1"/>
  <c r="CF141" i="1"/>
  <c r="CF140" i="1"/>
  <c r="CF42" i="1"/>
  <c r="CF203" i="1"/>
  <c r="CF117" i="1"/>
  <c r="CF75" i="1"/>
  <c r="CC101" i="1"/>
  <c r="CC89" i="1"/>
  <c r="CC150" i="1"/>
  <c r="CC161" i="1"/>
  <c r="CF215" i="1"/>
  <c r="CF60" i="1"/>
  <c r="CF290" i="1"/>
  <c r="CC308" i="1"/>
  <c r="CC103" i="1"/>
  <c r="CC324" i="1"/>
  <c r="CC59" i="1"/>
  <c r="CC247" i="1"/>
  <c r="CC208" i="1"/>
  <c r="CC304" i="1"/>
  <c r="CC225" i="1"/>
  <c r="CC22" i="1"/>
  <c r="CB183" i="1"/>
  <c r="CD183" i="1" s="1"/>
  <c r="CC97" i="1"/>
  <c r="CF48" i="1"/>
  <c r="CF297" i="1"/>
  <c r="CC229" i="1"/>
  <c r="CC271" i="1"/>
  <c r="CC162" i="1"/>
  <c r="CC47" i="1"/>
  <c r="CC342" i="1"/>
  <c r="CC395" i="1"/>
  <c r="CC341" i="1"/>
  <c r="CC382" i="1"/>
  <c r="CC325" i="1"/>
  <c r="CC277" i="1"/>
  <c r="CC211" i="1"/>
  <c r="CF232" i="1"/>
  <c r="CF333" i="1"/>
  <c r="CF322" i="1"/>
  <c r="CF36" i="1"/>
  <c r="CF159" i="1"/>
  <c r="CF125" i="1"/>
  <c r="CF182" i="1"/>
  <c r="CF152" i="1"/>
  <c r="CF213" i="1"/>
  <c r="CF9" i="1"/>
  <c r="CF369" i="1"/>
  <c r="CF129" i="1"/>
  <c r="CF115" i="1"/>
  <c r="CF176" i="1"/>
  <c r="CC397" i="1"/>
  <c r="CF69" i="1"/>
  <c r="CF339" i="1"/>
  <c r="CF365" i="1"/>
  <c r="CF257" i="1"/>
  <c r="CF230" i="1"/>
  <c r="CF157" i="1"/>
  <c r="CC67" i="1"/>
  <c r="CC199" i="1"/>
  <c r="CC127" i="1"/>
  <c r="CC240" i="1"/>
  <c r="CC104" i="1"/>
  <c r="CC128" i="1"/>
  <c r="CC27" i="1"/>
  <c r="CC93" i="1"/>
  <c r="CF83" i="1"/>
  <c r="CF291" i="1"/>
  <c r="CF222" i="1"/>
  <c r="CF209" i="1"/>
  <c r="CF99" i="1"/>
  <c r="CC267" i="1"/>
  <c r="CC336" i="1"/>
  <c r="CF190" i="1"/>
  <c r="CF136" i="1"/>
  <c r="CF168" i="1"/>
  <c r="CC294" i="1"/>
  <c r="CC227" i="1"/>
  <c r="CC279" i="1"/>
  <c r="CC321" i="1"/>
  <c r="CC307" i="1"/>
  <c r="CC249" i="1"/>
  <c r="CC305" i="1"/>
  <c r="CC185" i="1"/>
  <c r="CC6" i="1"/>
  <c r="CC350" i="1"/>
  <c r="CC221" i="1"/>
  <c r="CC17" i="1"/>
  <c r="CC173" i="1"/>
  <c r="CC168" i="1"/>
  <c r="CF337" i="1"/>
  <c r="CF295" i="1"/>
  <c r="CF20" i="1"/>
  <c r="CF252" i="1"/>
  <c r="CF61" i="1"/>
  <c r="CF394" i="1"/>
  <c r="CF66" i="1"/>
  <c r="CF137" i="1"/>
  <c r="CF123" i="1"/>
  <c r="CF139" i="1"/>
  <c r="CF383" i="1"/>
  <c r="CF376" i="1"/>
  <c r="CF25" i="1"/>
  <c r="CF293" i="1"/>
  <c r="CF309" i="1"/>
  <c r="CF172" i="1"/>
  <c r="CF302" i="1"/>
  <c r="CF314" i="1"/>
  <c r="CF349" i="1"/>
  <c r="CC370" i="1"/>
  <c r="CC250" i="1"/>
  <c r="CC82" i="1"/>
  <c r="CF171" i="1"/>
  <c r="CC275" i="1"/>
  <c r="CF130" i="1"/>
  <c r="CF77" i="1"/>
  <c r="CC316" i="1"/>
  <c r="CF356" i="1"/>
  <c r="CF238" i="1"/>
  <c r="CC116" i="1"/>
  <c r="CC323" i="1"/>
  <c r="CC119" i="1"/>
  <c r="CC37" i="1"/>
  <c r="CF76" i="1"/>
  <c r="CF223" i="1"/>
  <c r="CF354" i="1"/>
  <c r="CF102" i="1"/>
  <c r="CC146" i="1"/>
  <c r="CC231" i="1"/>
  <c r="CC3" i="1"/>
  <c r="CC344" i="1"/>
  <c r="CC87" i="1"/>
  <c r="CF121" i="1"/>
  <c r="CF216" i="1"/>
  <c r="CC111" i="1"/>
  <c r="CC132" i="1"/>
  <c r="CC261" i="1"/>
  <c r="CC226" i="1"/>
  <c r="CC122" i="1"/>
  <c r="CF110" i="1"/>
  <c r="CF227" i="1"/>
  <c r="CC110" i="1"/>
  <c r="CC32" i="1"/>
  <c r="CC142" i="1"/>
  <c r="CC217" i="1"/>
  <c r="CC159" i="1"/>
  <c r="CC95" i="1"/>
  <c r="CC152" i="1"/>
  <c r="CC130" i="1"/>
  <c r="CC259" i="1"/>
  <c r="CC289" i="1"/>
  <c r="CC115" i="1"/>
  <c r="CF362" i="1"/>
  <c r="CF39" i="1"/>
  <c r="CF225" i="1"/>
  <c r="CF6" i="1"/>
  <c r="CF221" i="1"/>
  <c r="CF397" i="1"/>
  <c r="CC53" i="1"/>
  <c r="CC276" i="1"/>
  <c r="CC177" i="1"/>
  <c r="CC214" i="1"/>
  <c r="CC19" i="1"/>
  <c r="CF372" i="1"/>
  <c r="CF207" i="1"/>
  <c r="CC254" i="1"/>
  <c r="CC134" i="1"/>
  <c r="CC317" i="1"/>
  <c r="CC114" i="1"/>
  <c r="CC330" i="1"/>
  <c r="CC380" i="1"/>
  <c r="CF142" i="1"/>
  <c r="CF255" i="1"/>
  <c r="CC232" i="1"/>
  <c r="CC107" i="1"/>
  <c r="CC125" i="1"/>
  <c r="CC283" i="1"/>
  <c r="CC131" i="1"/>
  <c r="CC354" i="1"/>
  <c r="CC345" i="1"/>
  <c r="CF13" i="1"/>
  <c r="CF30" i="1"/>
  <c r="CF185" i="1"/>
  <c r="CF7" i="1"/>
  <c r="CF59" i="1"/>
  <c r="CC74" i="1"/>
  <c r="CC352" i="1"/>
  <c r="CC328" i="1"/>
  <c r="CC377" i="1"/>
  <c r="CC288" i="1"/>
  <c r="CC80" i="1"/>
  <c r="CC179" i="1"/>
  <c r="CC204" i="1"/>
  <c r="CC169" i="1"/>
  <c r="CC16" i="1"/>
  <c r="CF88" i="1"/>
  <c r="CF170" i="1"/>
  <c r="CC272" i="1"/>
  <c r="CC396" i="1"/>
  <c r="CC78" i="1"/>
  <c r="CF267" i="1"/>
  <c r="CF217" i="1"/>
  <c r="CF67" i="1"/>
  <c r="CF256" i="1"/>
  <c r="CF312" i="1"/>
  <c r="CF120" i="1"/>
  <c r="CF131" i="1"/>
  <c r="CF186" i="1"/>
  <c r="CC256" i="1"/>
  <c r="CC55" i="1"/>
  <c r="CC76" i="1"/>
  <c r="CC120" i="1"/>
  <c r="CC102" i="1"/>
  <c r="CC215" i="1"/>
  <c r="CF31" i="1"/>
  <c r="CF296" i="1"/>
  <c r="CF243" i="1"/>
  <c r="CF294" i="1"/>
  <c r="CF234" i="1"/>
  <c r="CF393" i="1"/>
  <c r="CF208" i="1"/>
  <c r="CC175" i="1"/>
  <c r="CC98" i="1"/>
  <c r="CC239" i="1"/>
  <c r="CC164" i="1"/>
  <c r="CC237" i="1"/>
  <c r="CC346" i="1"/>
  <c r="CF347" i="1"/>
  <c r="CF329" i="1"/>
  <c r="CF18" i="1"/>
  <c r="CC158" i="1"/>
  <c r="CC45" i="1"/>
  <c r="CC224" i="1"/>
  <c r="CC40" i="1"/>
  <c r="CC153" i="1"/>
  <c r="CC390" i="1"/>
  <c r="CC313" i="1"/>
  <c r="CF95" i="1"/>
  <c r="CF259" i="1"/>
  <c r="CF289" i="1"/>
  <c r="CF336" i="1"/>
  <c r="CF345" i="1"/>
  <c r="CC322" i="1"/>
  <c r="CC36" i="1"/>
  <c r="CC312" i="1"/>
  <c r="CC182" i="1"/>
  <c r="CC235" i="1"/>
  <c r="CC186" i="1"/>
  <c r="CF73" i="1"/>
  <c r="CF4" i="1"/>
  <c r="CF352" i="1"/>
  <c r="CF188" i="1"/>
  <c r="CF249" i="1"/>
  <c r="CF166" i="1"/>
  <c r="CF305" i="1"/>
  <c r="CF145" i="1"/>
  <c r="CF38" i="1"/>
  <c r="CF79" i="1"/>
  <c r="CF17" i="1"/>
  <c r="CC160" i="1"/>
  <c r="CC241" i="1"/>
  <c r="CC71" i="1"/>
  <c r="CC298" i="1"/>
  <c r="CF46" i="1"/>
  <c r="CC54" i="1"/>
  <c r="CC138" i="1"/>
  <c r="CC301" i="1"/>
  <c r="CC386" i="1"/>
  <c r="CF55" i="1"/>
  <c r="CF283" i="1"/>
  <c r="CF92" i="1"/>
  <c r="CF279" i="1"/>
  <c r="CC92" i="1"/>
  <c r="CC223" i="1"/>
  <c r="CC255" i="1"/>
  <c r="CC369" i="1"/>
  <c r="CC129" i="1"/>
  <c r="CC77" i="1"/>
  <c r="CF340" i="1"/>
  <c r="CF106" i="1"/>
  <c r="CF50" i="1"/>
  <c r="CF192" i="1"/>
  <c r="CF370" i="1"/>
  <c r="CF108" i="1"/>
  <c r="CF154" i="1"/>
  <c r="CF350" i="1"/>
  <c r="CF173" i="1"/>
  <c r="CC148" i="1"/>
  <c r="CC143" i="1"/>
  <c r="CC326" i="1"/>
  <c r="CC287" i="1"/>
  <c r="CC109" i="1"/>
  <c r="CC193" i="1"/>
  <c r="CC319" i="1"/>
  <c r="CC212" i="1"/>
  <c r="CC197" i="1"/>
  <c r="CC366" i="1"/>
  <c r="CC263" i="1"/>
  <c r="CC265" i="1"/>
  <c r="CC70" i="1"/>
  <c r="CC337" i="1"/>
  <c r="CC348" i="1"/>
  <c r="CC220" i="1"/>
  <c r="CC295" i="1"/>
  <c r="CC20" i="1"/>
  <c r="CC244" i="1"/>
  <c r="CC149" i="1"/>
  <c r="CC35" i="1"/>
  <c r="CC252" i="1"/>
  <c r="CC61" i="1"/>
  <c r="CC355" i="1"/>
  <c r="CC21" i="1"/>
  <c r="CC315" i="1"/>
  <c r="CC58" i="1"/>
  <c r="CC394" i="1"/>
  <c r="CC84" i="1"/>
  <c r="CC163" i="1"/>
  <c r="CC118" i="1"/>
  <c r="CC66" i="1"/>
  <c r="CC201" i="1"/>
  <c r="CC361" i="1"/>
  <c r="CC178" i="1"/>
  <c r="CC358" i="1"/>
  <c r="CC137" i="1"/>
  <c r="CC68" i="1"/>
  <c r="CC147" i="1"/>
  <c r="CC123" i="1"/>
  <c r="CC139" i="1"/>
  <c r="CC383" i="1"/>
  <c r="CC376" i="1"/>
  <c r="CC25" i="1"/>
  <c r="CC293" i="1"/>
  <c r="CC373" i="1"/>
  <c r="CC309" i="1"/>
  <c r="CC258" i="1"/>
  <c r="CC172" i="1"/>
  <c r="CC302" i="1"/>
  <c r="CC314" i="1"/>
  <c r="CC49" i="1"/>
  <c r="CC349" i="1"/>
  <c r="CC274" i="1"/>
  <c r="CF148" i="1"/>
  <c r="CF175" i="1"/>
  <c r="CF98" i="1"/>
  <c r="CF143" i="1"/>
  <c r="CF326" i="1"/>
  <c r="CF160" i="1"/>
  <c r="CF287" i="1"/>
  <c r="CF241" i="1"/>
  <c r="CF74" i="1"/>
  <c r="CF109" i="1"/>
  <c r="CF199" i="1"/>
  <c r="CF193" i="1"/>
  <c r="CF71" i="1"/>
  <c r="CF239" i="1"/>
  <c r="CF319" i="1"/>
  <c r="CF127" i="1"/>
  <c r="CF212" i="1"/>
  <c r="CF197" i="1"/>
  <c r="CF240" i="1"/>
  <c r="CF104" i="1"/>
  <c r="CF167" i="1"/>
  <c r="CF23" i="1"/>
  <c r="CF165" i="1"/>
  <c r="CF187" i="1"/>
  <c r="CF181" i="1"/>
  <c r="CF128" i="1"/>
  <c r="CF27" i="1"/>
  <c r="CF57" i="1"/>
  <c r="CF205" i="1"/>
  <c r="CF56" i="1"/>
  <c r="CF310" i="1"/>
  <c r="CF195" i="1"/>
  <c r="CF320" i="1"/>
  <c r="CF93" i="1"/>
  <c r="CF318" i="1"/>
  <c r="CF367" i="1"/>
  <c r="CF324" i="1"/>
  <c r="CF398" i="1"/>
  <c r="CF284" i="1"/>
  <c r="CF81" i="1"/>
  <c r="CF85" i="1"/>
  <c r="CF97" i="1"/>
  <c r="CF174" i="1"/>
  <c r="CC29" i="1"/>
  <c r="CC381" i="1"/>
  <c r="CC385" i="1"/>
  <c r="CC69" i="1"/>
  <c r="CC351" i="1"/>
  <c r="CC339" i="1"/>
  <c r="CC262" i="1"/>
  <c r="CC46" i="1"/>
  <c r="CC33" i="1"/>
  <c r="CC198" i="1"/>
  <c r="CC286" i="1"/>
  <c r="CC88" i="1"/>
  <c r="CC347" i="1"/>
  <c r="CC210" i="1"/>
  <c r="CC329" i="1"/>
  <c r="CC86" i="1"/>
  <c r="CC18" i="1"/>
  <c r="CC365" i="1"/>
  <c r="CC209" i="1"/>
  <c r="CC203" i="1"/>
  <c r="CC216" i="1"/>
  <c r="CC63" i="1"/>
  <c r="CC100" i="1"/>
  <c r="CC257" i="1"/>
  <c r="CC75" i="1"/>
  <c r="CC170" i="1"/>
  <c r="CF321" i="1"/>
  <c r="CF260" i="1"/>
  <c r="CF268" i="1"/>
  <c r="CF91" i="1"/>
  <c r="CF218" i="1"/>
  <c r="CF72" i="1"/>
  <c r="CF133" i="1"/>
  <c r="CF299" i="1"/>
  <c r="CF90" i="1"/>
  <c r="CF389" i="1"/>
  <c r="CF280" i="1"/>
  <c r="CF194" i="1"/>
  <c r="CF233" i="1"/>
  <c r="CF264" i="1"/>
  <c r="CF135" i="1"/>
  <c r="CF126" i="1"/>
  <c r="CF307" i="1"/>
  <c r="CF96" i="1"/>
  <c r="CF65" i="1"/>
  <c r="CF191" i="1"/>
  <c r="CC196" i="1"/>
  <c r="CC364" i="1"/>
  <c r="CC378" i="1"/>
  <c r="CC141" i="1"/>
  <c r="CC228" i="1"/>
  <c r="CC230" i="1"/>
  <c r="CC121" i="1"/>
  <c r="CC112" i="1"/>
  <c r="CC140" i="1"/>
  <c r="CC42" i="1"/>
  <c r="CC356" i="1"/>
  <c r="CC171" i="1"/>
  <c r="CC157" i="1"/>
  <c r="CC200" i="1"/>
  <c r="CC99" i="1"/>
  <c r="CC372" i="1"/>
  <c r="CC327" i="1"/>
  <c r="CC238" i="1"/>
  <c r="CC207" i="1"/>
  <c r="CC117" i="1"/>
  <c r="CF311" i="1"/>
  <c r="CF374" i="1"/>
  <c r="CF62" i="1"/>
  <c r="CF11" i="1"/>
  <c r="CF332" i="1"/>
  <c r="CF306" i="1"/>
  <c r="CF242" i="1"/>
  <c r="CF375" i="1"/>
  <c r="CF8" i="1"/>
  <c r="CF343" i="1"/>
  <c r="CF292" i="1"/>
  <c r="CF44" i="1"/>
  <c r="CF387" i="1"/>
  <c r="CF266" i="1"/>
  <c r="CF248" i="1"/>
  <c r="CF41" i="1"/>
  <c r="CF278" i="1"/>
  <c r="CF51" i="1"/>
  <c r="CF300" i="1"/>
  <c r="CF64" i="1"/>
  <c r="CF335" i="1"/>
  <c r="CF357" i="1"/>
  <c r="CF94" i="1"/>
  <c r="CF26" i="1"/>
  <c r="CF52" i="1"/>
  <c r="CF2" i="1"/>
  <c r="CC165" i="1"/>
  <c r="CC181" i="1"/>
  <c r="CC57" i="1"/>
  <c r="CC205" i="1"/>
  <c r="CC195" i="1"/>
  <c r="CC320" i="1"/>
  <c r="CC398" i="1"/>
  <c r="CC284" i="1"/>
  <c r="CC81" i="1"/>
  <c r="CC85" i="1"/>
  <c r="CC174" i="1"/>
  <c r="CF53" i="1"/>
  <c r="CF144" i="1"/>
  <c r="CF316" i="1"/>
  <c r="CF353" i="1"/>
  <c r="CF202" i="1"/>
  <c r="CF251" i="1"/>
  <c r="CF146" i="1"/>
  <c r="CF288" i="1"/>
  <c r="CF236" i="1"/>
  <c r="CF101" i="1"/>
  <c r="CF24" i="1"/>
  <c r="CF80" i="1"/>
  <c r="CF344" i="1"/>
  <c r="CF177" i="1"/>
  <c r="CF113" i="1"/>
  <c r="CF10" i="1"/>
  <c r="CF237" i="1"/>
  <c r="CF179" i="1"/>
  <c r="CF87" i="1"/>
  <c r="CF214" i="1"/>
  <c r="CF346" i="1"/>
  <c r="CF247" i="1"/>
  <c r="CF19" i="1"/>
  <c r="CF250" i="1"/>
  <c r="CF204" i="1"/>
  <c r="CF82" i="1"/>
  <c r="CF28" i="1"/>
  <c r="CF169" i="1"/>
  <c r="CF16" i="1"/>
  <c r="CC167" i="1"/>
  <c r="CC23" i="1"/>
  <c r="CC187" i="1"/>
  <c r="CC56" i="1"/>
  <c r="CC310" i="1"/>
  <c r="CC318" i="1"/>
  <c r="CC367" i="1"/>
  <c r="CF276" i="1"/>
  <c r="CF363" i="1"/>
  <c r="CF377" i="1"/>
  <c r="CF298" i="1"/>
  <c r="CF285" i="1"/>
  <c r="CF334" i="1"/>
  <c r="CF231" i="1"/>
  <c r="CF3" i="1"/>
  <c r="CC11" i="1"/>
  <c r="CC332" i="1"/>
  <c r="CC306" i="1"/>
  <c r="CC260" i="1"/>
  <c r="CC242" i="1"/>
  <c r="CC268" i="1"/>
  <c r="CC91" i="1"/>
  <c r="CC48" i="1"/>
  <c r="CC218" i="1"/>
  <c r="CC375" i="1"/>
  <c r="CC72" i="1"/>
  <c r="CC8" i="1"/>
  <c r="CC299" i="1"/>
  <c r="CC389" i="1"/>
  <c r="CC280" i="1"/>
  <c r="CC233" i="1"/>
  <c r="CC264" i="1"/>
  <c r="CC135" i="1"/>
  <c r="CC387" i="1"/>
  <c r="CC248" i="1"/>
  <c r="CC96" i="1"/>
  <c r="CC41" i="1"/>
  <c r="CC191" i="1"/>
  <c r="CC51" i="1"/>
  <c r="CC64" i="1"/>
  <c r="CC357" i="1"/>
  <c r="CC94" i="1"/>
  <c r="CC26" i="1"/>
  <c r="CC52" i="1"/>
  <c r="CC2" i="1"/>
  <c r="CF111" i="1"/>
  <c r="CF229" i="1"/>
  <c r="CF89" i="1"/>
  <c r="CF224" i="1"/>
  <c r="CF271" i="1"/>
  <c r="CF116" i="1"/>
  <c r="CF40" i="1"/>
  <c r="CF162" i="1"/>
  <c r="CF47" i="1"/>
  <c r="CF272" i="1"/>
  <c r="CF254" i="1"/>
  <c r="CF153" i="1"/>
  <c r="CF261" i="1"/>
  <c r="CF54" i="1"/>
  <c r="CF396" i="1"/>
  <c r="CF323" i="1"/>
  <c r="CF226" i="1"/>
  <c r="CF275" i="1"/>
  <c r="CF78" i="1"/>
  <c r="CF342" i="1"/>
  <c r="CF134" i="1"/>
  <c r="CF317" i="1"/>
  <c r="CF395" i="1"/>
  <c r="CF341" i="1"/>
  <c r="CF382" i="1"/>
  <c r="CF325" i="1"/>
  <c r="CF114" i="1"/>
  <c r="CF161" i="1"/>
  <c r="CF138" i="1"/>
  <c r="CF119" i="1"/>
  <c r="CF390" i="1"/>
  <c r="CF330" i="1"/>
  <c r="CF301" i="1"/>
  <c r="CF277" i="1"/>
  <c r="CF380" i="1"/>
  <c r="CF313" i="1"/>
  <c r="CF37" i="1"/>
  <c r="CF211" i="1"/>
  <c r="CF122" i="1"/>
  <c r="CF386" i="1"/>
  <c r="CF328" i="1"/>
  <c r="CF155" i="1"/>
  <c r="CF164" i="1"/>
  <c r="CF281" i="1"/>
  <c r="CF270" i="1"/>
  <c r="CF304" i="1"/>
  <c r="CC311" i="1"/>
  <c r="CC374" i="1"/>
  <c r="CC62" i="1"/>
  <c r="CC133" i="1"/>
  <c r="CC90" i="1"/>
  <c r="CC343" i="1"/>
  <c r="CC292" i="1"/>
  <c r="CC194" i="1"/>
  <c r="CC44" i="1"/>
  <c r="CC297" i="1"/>
  <c r="CC126" i="1"/>
  <c r="CC266" i="1"/>
  <c r="CC65" i="1"/>
  <c r="CC278" i="1"/>
  <c r="CC300" i="1"/>
  <c r="CC335" i="1"/>
  <c r="CF308" i="1"/>
  <c r="CF158" i="1"/>
  <c r="CF103" i="1"/>
  <c r="CF132" i="1"/>
  <c r="CF45" i="1"/>
  <c r="CF150" i="1"/>
  <c r="CK118" i="1"/>
  <c r="CO118" i="1" s="1"/>
  <c r="CI281" i="1"/>
  <c r="CK397" i="1"/>
  <c r="CO397" i="1" s="1"/>
  <c r="CL22" i="1"/>
  <c r="CL190" i="1"/>
  <c r="CL290" i="1"/>
  <c r="CK12" i="1"/>
  <c r="CO12" i="1" s="1"/>
  <c r="CL12" i="1"/>
  <c r="CI336" i="1"/>
  <c r="CL246" i="1"/>
  <c r="CL60" i="1"/>
  <c r="CL303" i="1"/>
  <c r="CL168" i="1"/>
  <c r="CL9" i="1"/>
  <c r="CL206" i="1"/>
  <c r="CI118" i="1"/>
  <c r="CL49" i="1"/>
  <c r="CK258" i="1"/>
  <c r="CO258" i="1" s="1"/>
  <c r="CK49" i="1"/>
  <c r="CO49" i="1" s="1"/>
  <c r="CI113" i="1"/>
  <c r="CL140" i="1"/>
  <c r="CL100" i="1"/>
  <c r="CK100" i="1"/>
  <c r="CO100" i="1" s="1"/>
  <c r="CK32" i="1"/>
  <c r="CO32" i="1" s="1"/>
  <c r="CI374" i="1"/>
  <c r="CI133" i="1"/>
  <c r="CI307" i="1"/>
  <c r="CL48" i="1"/>
  <c r="CI50" i="1"/>
  <c r="CI22" i="1"/>
  <c r="CI188" i="1"/>
  <c r="CK20" i="1"/>
  <c r="CO20" i="1" s="1"/>
  <c r="CK244" i="1"/>
  <c r="CO244" i="1" s="1"/>
  <c r="CK252" i="1"/>
  <c r="CO252" i="1" s="1"/>
  <c r="CK201" i="1"/>
  <c r="CO201" i="1" s="1"/>
  <c r="CK31" i="1"/>
  <c r="CO31" i="1" s="1"/>
  <c r="CK50" i="1"/>
  <c r="CO50" i="1" s="1"/>
  <c r="CK67" i="1"/>
  <c r="CO67" i="1" s="1"/>
  <c r="CK9" i="1"/>
  <c r="CO9" i="1" s="1"/>
  <c r="CK57" i="1"/>
  <c r="CO57" i="1" s="1"/>
  <c r="CL126" i="1"/>
  <c r="CL266" i="1"/>
  <c r="CI244" i="1"/>
  <c r="CI31" i="1"/>
  <c r="CI393" i="1"/>
  <c r="CI190" i="1"/>
  <c r="CI290" i="1"/>
  <c r="CK333" i="1"/>
  <c r="CO333" i="1" s="1"/>
  <c r="CK332" i="1"/>
  <c r="CO332" i="1" s="1"/>
  <c r="CK306" i="1"/>
  <c r="CO306" i="1" s="1"/>
  <c r="CK260" i="1"/>
  <c r="CO260" i="1" s="1"/>
  <c r="CK268" i="1"/>
  <c r="CO268" i="1" s="1"/>
  <c r="CK48" i="1"/>
  <c r="CO48" i="1" s="1"/>
  <c r="CK375" i="1"/>
  <c r="CO375" i="1" s="1"/>
  <c r="CK292" i="1"/>
  <c r="CO292" i="1" s="1"/>
  <c r="CK297" i="1"/>
  <c r="CO297" i="1" s="1"/>
  <c r="CK126" i="1"/>
  <c r="CO126" i="1" s="1"/>
  <c r="CK278" i="1"/>
  <c r="CO278" i="1" s="1"/>
  <c r="CI89" i="1"/>
  <c r="CK190" i="1"/>
  <c r="CO190" i="1" s="1"/>
  <c r="CI109" i="1"/>
  <c r="CI128" i="1"/>
  <c r="CI84" i="1"/>
  <c r="CI48" i="1"/>
  <c r="CL244" i="1"/>
  <c r="CL315" i="1"/>
  <c r="CL201" i="1"/>
  <c r="CL258" i="1"/>
  <c r="CI69" i="1"/>
  <c r="CK193" i="1"/>
  <c r="CO193" i="1" s="1"/>
  <c r="CK261" i="1"/>
  <c r="CO261" i="1" s="1"/>
  <c r="CI239" i="1"/>
  <c r="CI127" i="1"/>
  <c r="CI56" i="1"/>
  <c r="CI321" i="1"/>
  <c r="CI268" i="1"/>
  <c r="CI8" i="1"/>
  <c r="CI389" i="1"/>
  <c r="CI44" i="1"/>
  <c r="CI266" i="1"/>
  <c r="CI51" i="1"/>
  <c r="CI322" i="1"/>
  <c r="CL263" i="1"/>
  <c r="CL265" i="1"/>
  <c r="CL337" i="1"/>
  <c r="CL348" i="1"/>
  <c r="CL20" i="1"/>
  <c r="CL149" i="1"/>
  <c r="CL252" i="1"/>
  <c r="CL58" i="1"/>
  <c r="CL147" i="1"/>
  <c r="CL25" i="1"/>
  <c r="CL232" i="1"/>
  <c r="CK70" i="1"/>
  <c r="CO70" i="1" s="1"/>
  <c r="CK25" i="1"/>
  <c r="CO25" i="1" s="1"/>
  <c r="CI83" i="1"/>
  <c r="CI236" i="1"/>
  <c r="CL385" i="1"/>
  <c r="CL112" i="1"/>
  <c r="CL327" i="1"/>
  <c r="CI229" i="1"/>
  <c r="CI120" i="1"/>
  <c r="CI162" i="1"/>
  <c r="CI107" i="1"/>
  <c r="CI161" i="1"/>
  <c r="CI147" i="1"/>
  <c r="CK196" i="1"/>
  <c r="CO196" i="1" s="1"/>
  <c r="CK351" i="1"/>
  <c r="CO351" i="1" s="1"/>
  <c r="CK364" i="1"/>
  <c r="CO364" i="1" s="1"/>
  <c r="CK33" i="1"/>
  <c r="CO33" i="1" s="1"/>
  <c r="CK286" i="1"/>
  <c r="CO286" i="1" s="1"/>
  <c r="CK140" i="1"/>
  <c r="CO140" i="1" s="1"/>
  <c r="CK200" i="1"/>
  <c r="CO200" i="1" s="1"/>
  <c r="CK63" i="1"/>
  <c r="CO63" i="1" s="1"/>
  <c r="CK117" i="1"/>
  <c r="CO117" i="1" s="1"/>
  <c r="CL29" i="1"/>
  <c r="CL117" i="1"/>
  <c r="CI295" i="1"/>
  <c r="CI309" i="1"/>
  <c r="CL107" i="1"/>
  <c r="CL71" i="1"/>
  <c r="CL235" i="1"/>
  <c r="CL186" i="1"/>
  <c r="CL215" i="1"/>
  <c r="CI30" i="1"/>
  <c r="CI60" i="1"/>
  <c r="CI79" i="1"/>
  <c r="CI28" i="1"/>
  <c r="CL351" i="1"/>
  <c r="CI267" i="1"/>
  <c r="CI125" i="1"/>
  <c r="CL193" i="1"/>
  <c r="CL197" i="1"/>
  <c r="CL165" i="1"/>
  <c r="CL97" i="1"/>
  <c r="CL173" i="1"/>
  <c r="CI209" i="1"/>
  <c r="CI225" i="1"/>
  <c r="CK181" i="1"/>
  <c r="CO181" i="1" s="1"/>
  <c r="CL200" i="1"/>
  <c r="CI228" i="1"/>
  <c r="CI327" i="1"/>
  <c r="CK104" i="1"/>
  <c r="CO104" i="1" s="1"/>
  <c r="CI200" i="1"/>
  <c r="CL109" i="1"/>
  <c r="CL239" i="1"/>
  <c r="CL181" i="1"/>
  <c r="CL57" i="1"/>
  <c r="CL56" i="1"/>
  <c r="CL85" i="1"/>
  <c r="CI42" i="1"/>
  <c r="CK312" i="1"/>
  <c r="CO312" i="1" s="1"/>
  <c r="CK129" i="1"/>
  <c r="CO129" i="1" s="1"/>
  <c r="CK176" i="1"/>
  <c r="CO176" i="1" s="1"/>
  <c r="CK109" i="1"/>
  <c r="CO109" i="1" s="1"/>
  <c r="CK239" i="1"/>
  <c r="CO239" i="1" s="1"/>
  <c r="CK56" i="1"/>
  <c r="CO56" i="1" s="1"/>
  <c r="CK195" i="1"/>
  <c r="CO195" i="1" s="1"/>
  <c r="CK85" i="1"/>
  <c r="CO85" i="1" s="1"/>
  <c r="CK97" i="1"/>
  <c r="CO97" i="1" s="1"/>
  <c r="CK232" i="1"/>
  <c r="CO232" i="1" s="1"/>
  <c r="CI232" i="1"/>
  <c r="CI306" i="1"/>
  <c r="CI278" i="1"/>
  <c r="CI110" i="1"/>
  <c r="CL374" i="1"/>
  <c r="CL11" i="1"/>
  <c r="CL332" i="1"/>
  <c r="CL306" i="1"/>
  <c r="CL260" i="1"/>
  <c r="CL268" i="1"/>
  <c r="CL218" i="1"/>
  <c r="CL299" i="1"/>
  <c r="CL292" i="1"/>
  <c r="CL135" i="1"/>
  <c r="CL297" i="1"/>
  <c r="CL176" i="1"/>
  <c r="CL324" i="1"/>
  <c r="CL77" i="1"/>
  <c r="CL41" i="1"/>
  <c r="CL278" i="1"/>
  <c r="CI19" i="1"/>
  <c r="CK77" i="1"/>
  <c r="CO77" i="1" s="1"/>
  <c r="CL318" i="1"/>
  <c r="CI201" i="1"/>
  <c r="CI49" i="1"/>
  <c r="CK182" i="1"/>
  <c r="CO182" i="1" s="1"/>
  <c r="CL352" i="1"/>
  <c r="CI46" i="1"/>
  <c r="CK316" i="1"/>
  <c r="CO316" i="1" s="1"/>
  <c r="CK164" i="1"/>
  <c r="CO164" i="1" s="1"/>
  <c r="CK146" i="1"/>
  <c r="CO146" i="1" s="1"/>
  <c r="CI21" i="1"/>
  <c r="CK26" i="1"/>
  <c r="CO26" i="1" s="1"/>
  <c r="CI339" i="1"/>
  <c r="CI67" i="1"/>
  <c r="CL272" i="1"/>
  <c r="CL261" i="1"/>
  <c r="CI197" i="1"/>
  <c r="CI167" i="1"/>
  <c r="CI23" i="1"/>
  <c r="CI367" i="1"/>
  <c r="CI398" i="1"/>
  <c r="CK308" i="1"/>
  <c r="CO308" i="1" s="1"/>
  <c r="CK229" i="1"/>
  <c r="CO229" i="1" s="1"/>
  <c r="CK103" i="1"/>
  <c r="CO103" i="1" s="1"/>
  <c r="CK132" i="1"/>
  <c r="CO132" i="1" s="1"/>
  <c r="CK89" i="1"/>
  <c r="CO89" i="1" s="1"/>
  <c r="CK162" i="1"/>
  <c r="CO162" i="1" s="1"/>
  <c r="CK47" i="1"/>
  <c r="CO47" i="1" s="1"/>
  <c r="CK150" i="1"/>
  <c r="CO150" i="1" s="1"/>
  <c r="CK254" i="1"/>
  <c r="CO254" i="1" s="1"/>
  <c r="CK153" i="1"/>
  <c r="CO153" i="1" s="1"/>
  <c r="CK396" i="1"/>
  <c r="CO396" i="1" s="1"/>
  <c r="CK275" i="1"/>
  <c r="CO275" i="1" s="1"/>
  <c r="CK395" i="1"/>
  <c r="CO395" i="1" s="1"/>
  <c r="CK341" i="1"/>
  <c r="CO341" i="1" s="1"/>
  <c r="CK161" i="1"/>
  <c r="CO161" i="1" s="1"/>
  <c r="CK301" i="1"/>
  <c r="CO301" i="1" s="1"/>
  <c r="CK380" i="1"/>
  <c r="CO380" i="1" s="1"/>
  <c r="CK313" i="1"/>
  <c r="CO313" i="1" s="1"/>
  <c r="CK211" i="1"/>
  <c r="CO211" i="1" s="1"/>
  <c r="CK122" i="1"/>
  <c r="CO122" i="1" s="1"/>
  <c r="CK386" i="1"/>
  <c r="CO386" i="1" s="1"/>
  <c r="CI211" i="1"/>
  <c r="CI126" i="1"/>
  <c r="CI176" i="1"/>
  <c r="CL242" i="1"/>
  <c r="CI148" i="1"/>
  <c r="CI241" i="1"/>
  <c r="CI193" i="1"/>
  <c r="CK40" i="1"/>
  <c r="CO40" i="1" s="1"/>
  <c r="CK134" i="1"/>
  <c r="CO134" i="1" s="1"/>
  <c r="CK277" i="1"/>
  <c r="CO277" i="1" s="1"/>
  <c r="CI11" i="1"/>
  <c r="CL366" i="1"/>
  <c r="CL295" i="1"/>
  <c r="CL35" i="1"/>
  <c r="CL61" i="1"/>
  <c r="CL355" i="1"/>
  <c r="CL84" i="1"/>
  <c r="CL160" i="1"/>
  <c r="CL358" i="1"/>
  <c r="CL123" i="1"/>
  <c r="CL139" i="1"/>
  <c r="CL172" i="1"/>
  <c r="CL314" i="1"/>
  <c r="CL67" i="1"/>
  <c r="CK266" i="1"/>
  <c r="CO266" i="1" s="1"/>
  <c r="CK324" i="1"/>
  <c r="CO324" i="1" s="1"/>
  <c r="CI98" i="1"/>
  <c r="CI195" i="1"/>
  <c r="CI93" i="1"/>
  <c r="CI174" i="1"/>
  <c r="CK271" i="1"/>
  <c r="CO271" i="1" s="1"/>
  <c r="CK382" i="1"/>
  <c r="CO382" i="1" s="1"/>
  <c r="CL23" i="1"/>
  <c r="CI260" i="1"/>
  <c r="CI387" i="1"/>
  <c r="CI248" i="1"/>
  <c r="CI352" i="1"/>
  <c r="CI108" i="1"/>
  <c r="CI249" i="1"/>
  <c r="CI185" i="1"/>
  <c r="CI6" i="1"/>
  <c r="CK366" i="1"/>
  <c r="CO366" i="1" s="1"/>
  <c r="CK295" i="1"/>
  <c r="CO295" i="1" s="1"/>
  <c r="CK21" i="1"/>
  <c r="CO21" i="1" s="1"/>
  <c r="CK160" i="1"/>
  <c r="CO160" i="1" s="1"/>
  <c r="CK358" i="1"/>
  <c r="CO358" i="1" s="1"/>
  <c r="CK139" i="1"/>
  <c r="CO139" i="1" s="1"/>
  <c r="CK274" i="1"/>
  <c r="CO274" i="1" s="1"/>
  <c r="CL300" i="1"/>
  <c r="CL26" i="1"/>
  <c r="CK72" i="1"/>
  <c r="CO72" i="1" s="1"/>
  <c r="CK300" i="1"/>
  <c r="CO300" i="1" s="1"/>
  <c r="CK326" i="1"/>
  <c r="CO326" i="1" s="1"/>
  <c r="CL136" i="1"/>
  <c r="CI29" i="1"/>
  <c r="CI326" i="1"/>
  <c r="CK111" i="1"/>
  <c r="CO111" i="1" s="1"/>
  <c r="CK158" i="1"/>
  <c r="CO158" i="1" s="1"/>
  <c r="CK54" i="1"/>
  <c r="CO54" i="1" s="1"/>
  <c r="CK323" i="1"/>
  <c r="CO323" i="1" s="1"/>
  <c r="CK78" i="1"/>
  <c r="CO78" i="1" s="1"/>
  <c r="CK317" i="1"/>
  <c r="CO317" i="1" s="1"/>
  <c r="CK119" i="1"/>
  <c r="CO119" i="1" s="1"/>
  <c r="CK186" i="1"/>
  <c r="CO186" i="1" s="1"/>
  <c r="CI62" i="1"/>
  <c r="CI299" i="1"/>
  <c r="CI280" i="1"/>
  <c r="CI376" i="1"/>
  <c r="CI144" i="1"/>
  <c r="CI276" i="1"/>
  <c r="CI146" i="1"/>
  <c r="CI304" i="1"/>
  <c r="CI204" i="1"/>
  <c r="CH128" i="1"/>
  <c r="CN128" i="1" s="1"/>
  <c r="CL262" i="1"/>
  <c r="CL198" i="1"/>
  <c r="CL228" i="1"/>
  <c r="CL42" i="1"/>
  <c r="CL256" i="1"/>
  <c r="CL74" i="1"/>
  <c r="CI296" i="1"/>
  <c r="CI18" i="1"/>
  <c r="CI173" i="1"/>
  <c r="CI130" i="1"/>
  <c r="CI136" i="1"/>
  <c r="CL326" i="1"/>
  <c r="CL115" i="1"/>
  <c r="CI240" i="1"/>
  <c r="CK45" i="1"/>
  <c r="CO45" i="1" s="1"/>
  <c r="CI26" i="1"/>
  <c r="CI73" i="1"/>
  <c r="CI377" i="1"/>
  <c r="CI237" i="1"/>
  <c r="CI348" i="1"/>
  <c r="CL333" i="1"/>
  <c r="CL322" i="1"/>
  <c r="CL182" i="1"/>
  <c r="CL345" i="1"/>
  <c r="CK203" i="1"/>
  <c r="CO203" i="1" s="1"/>
  <c r="CI349" i="1"/>
  <c r="CL143" i="1"/>
  <c r="CL187" i="1"/>
  <c r="CL213" i="1"/>
  <c r="CL102" i="1"/>
  <c r="CK143" i="1"/>
  <c r="CO143" i="1" s="1"/>
  <c r="CL312" i="1"/>
  <c r="CI378" i="1"/>
  <c r="CI112" i="1"/>
  <c r="CK374" i="1"/>
  <c r="CO374" i="1" s="1"/>
  <c r="CK205" i="1"/>
  <c r="CO205" i="1" s="1"/>
  <c r="CK76" i="1"/>
  <c r="CO76" i="1" s="1"/>
  <c r="CK213" i="1"/>
  <c r="CO213" i="1" s="1"/>
  <c r="CK255" i="1"/>
  <c r="CO255" i="1" s="1"/>
  <c r="CK369" i="1"/>
  <c r="CO369" i="1" s="1"/>
  <c r="CK115" i="1"/>
  <c r="CO115" i="1" s="1"/>
  <c r="CK191" i="1"/>
  <c r="CO191" i="1" s="1"/>
  <c r="CK102" i="1"/>
  <c r="CO102" i="1" s="1"/>
  <c r="CK262" i="1"/>
  <c r="CO262" i="1" s="1"/>
  <c r="CK141" i="1"/>
  <c r="CO141" i="1" s="1"/>
  <c r="CK198" i="1"/>
  <c r="CO198" i="1" s="1"/>
  <c r="CK42" i="1"/>
  <c r="CO42" i="1" s="1"/>
  <c r="CK75" i="1"/>
  <c r="CO75" i="1" s="1"/>
  <c r="CI293" i="1"/>
  <c r="CL31" i="1"/>
  <c r="CL64" i="1"/>
  <c r="CL76" i="1"/>
  <c r="CL152" i="1"/>
  <c r="CL255" i="1"/>
  <c r="CL375" i="1"/>
  <c r="CL50" i="1"/>
  <c r="CI12" i="1"/>
  <c r="CI140" i="1"/>
  <c r="CK381" i="1"/>
  <c r="CO381" i="1" s="1"/>
  <c r="CI70" i="1"/>
  <c r="CI58" i="1"/>
  <c r="CL7" i="1"/>
  <c r="CI199" i="1"/>
  <c r="CI71" i="1"/>
  <c r="CI104" i="1"/>
  <c r="CI181" i="1"/>
  <c r="CI27" i="1"/>
  <c r="CI82" i="1"/>
  <c r="CI132" i="1"/>
  <c r="CI301" i="1"/>
  <c r="CL397" i="1"/>
  <c r="CK73" i="1"/>
  <c r="CO73" i="1" s="1"/>
  <c r="CK60" i="1"/>
  <c r="CO60" i="1" s="1"/>
  <c r="CK303" i="1"/>
  <c r="CO303" i="1" s="1"/>
  <c r="CK296" i="1"/>
  <c r="CO296" i="1" s="1"/>
  <c r="CK136" i="1"/>
  <c r="CO136" i="1" s="1"/>
  <c r="CK173" i="1"/>
  <c r="CO173" i="1" s="1"/>
  <c r="CK168" i="1"/>
  <c r="CO168" i="1" s="1"/>
  <c r="CI291" i="1"/>
  <c r="CI177" i="1"/>
  <c r="CI279" i="1"/>
  <c r="CI254" i="1"/>
  <c r="CI341" i="1"/>
  <c r="CI325" i="1"/>
  <c r="CI366" i="1"/>
  <c r="CI360" i="1"/>
  <c r="CI337" i="1"/>
  <c r="CI20" i="1"/>
  <c r="CI149" i="1"/>
  <c r="CI252" i="1"/>
  <c r="CI123" i="1"/>
  <c r="CI302" i="1"/>
  <c r="CI274" i="1"/>
  <c r="CL53" i="1"/>
  <c r="CL155" i="1"/>
  <c r="CL316" i="1"/>
  <c r="CL164" i="1"/>
  <c r="CL353" i="1"/>
  <c r="CL83" i="1"/>
  <c r="CL291" i="1"/>
  <c r="CL146" i="1"/>
  <c r="CL222" i="1"/>
  <c r="CL288" i="1"/>
  <c r="CL214" i="1"/>
  <c r="CL19" i="1"/>
  <c r="CL16" i="1"/>
  <c r="CI286" i="1"/>
  <c r="CI210" i="1"/>
  <c r="CI329" i="1"/>
  <c r="CI86" i="1"/>
  <c r="CI365" i="1"/>
  <c r="CI356" i="1"/>
  <c r="CI157" i="1"/>
  <c r="CI372" i="1"/>
  <c r="CI238" i="1"/>
  <c r="CI207" i="1"/>
  <c r="CI170" i="1"/>
  <c r="CK328" i="1"/>
  <c r="CO328" i="1" s="1"/>
  <c r="CK53" i="1"/>
  <c r="CO53" i="1" s="1"/>
  <c r="CK155" i="1"/>
  <c r="CO155" i="1" s="1"/>
  <c r="CK144" i="1"/>
  <c r="CO144" i="1" s="1"/>
  <c r="CK276" i="1"/>
  <c r="CO276" i="1" s="1"/>
  <c r="CK353" i="1"/>
  <c r="CO353" i="1" s="1"/>
  <c r="CK363" i="1"/>
  <c r="CO363" i="1" s="1"/>
  <c r="CK281" i="1"/>
  <c r="CO281" i="1" s="1"/>
  <c r="CK202" i="1"/>
  <c r="CO202" i="1" s="1"/>
  <c r="CK83" i="1"/>
  <c r="CO83" i="1" s="1"/>
  <c r="CK251" i="1"/>
  <c r="CO251" i="1" s="1"/>
  <c r="CK291" i="1"/>
  <c r="CO291" i="1" s="1"/>
  <c r="CK377" i="1"/>
  <c r="CO377" i="1" s="1"/>
  <c r="CK298" i="1"/>
  <c r="CO298" i="1" s="1"/>
  <c r="CK285" i="1"/>
  <c r="CO285" i="1" s="1"/>
  <c r="CK270" i="1"/>
  <c r="CO270" i="1" s="1"/>
  <c r="CK334" i="1"/>
  <c r="CO334" i="1" s="1"/>
  <c r="CK231" i="1"/>
  <c r="CO231" i="1" s="1"/>
  <c r="CK222" i="1"/>
  <c r="CO222" i="1" s="1"/>
  <c r="CK288" i="1"/>
  <c r="CO288" i="1" s="1"/>
  <c r="CK304" i="1"/>
  <c r="CO304" i="1" s="1"/>
  <c r="CK3" i="1"/>
  <c r="CO3" i="1" s="1"/>
  <c r="CK236" i="1"/>
  <c r="CO236" i="1" s="1"/>
  <c r="CK101" i="1"/>
  <c r="CO101" i="1" s="1"/>
  <c r="CK24" i="1"/>
  <c r="CO24" i="1" s="1"/>
  <c r="CK80" i="1"/>
  <c r="CO80" i="1" s="1"/>
  <c r="CK344" i="1"/>
  <c r="CO344" i="1" s="1"/>
  <c r="CK177" i="1"/>
  <c r="CO177" i="1" s="1"/>
  <c r="CK113" i="1"/>
  <c r="CO113" i="1" s="1"/>
  <c r="CK10" i="1"/>
  <c r="CO10" i="1" s="1"/>
  <c r="CK237" i="1"/>
  <c r="CO237" i="1" s="1"/>
  <c r="CK179" i="1"/>
  <c r="CO179" i="1" s="1"/>
  <c r="CK87" i="1"/>
  <c r="CO87" i="1" s="1"/>
  <c r="CK214" i="1"/>
  <c r="CO214" i="1" s="1"/>
  <c r="CK346" i="1"/>
  <c r="CO346" i="1" s="1"/>
  <c r="CK247" i="1"/>
  <c r="CO247" i="1" s="1"/>
  <c r="CK19" i="1"/>
  <c r="CO19" i="1" s="1"/>
  <c r="CK250" i="1"/>
  <c r="CO250" i="1" s="1"/>
  <c r="CK204" i="1"/>
  <c r="CO204" i="1" s="1"/>
  <c r="CK82" i="1"/>
  <c r="CO82" i="1" s="1"/>
  <c r="CK28" i="1"/>
  <c r="CO28" i="1" s="1"/>
  <c r="CK169" i="1"/>
  <c r="CO169" i="1" s="1"/>
  <c r="CK16" i="1"/>
  <c r="CO16" i="1" s="1"/>
  <c r="CL129" i="1"/>
  <c r="CI196" i="1"/>
  <c r="CI262" i="1"/>
  <c r="CI33" i="1"/>
  <c r="CI198" i="1"/>
  <c r="CI88" i="1"/>
  <c r="CI203" i="1"/>
  <c r="CI99" i="1"/>
  <c r="CI117" i="1"/>
  <c r="CI32" i="1"/>
  <c r="CI142" i="1"/>
  <c r="CI333" i="1"/>
  <c r="CI36" i="1"/>
  <c r="CI227" i="1"/>
  <c r="CI55" i="1"/>
  <c r="CI312" i="1"/>
  <c r="CI76" i="1"/>
  <c r="CI95" i="1"/>
  <c r="CI283" i="1"/>
  <c r="CI235" i="1"/>
  <c r="CI259" i="1"/>
  <c r="CI213" i="1"/>
  <c r="CI92" i="1"/>
  <c r="CI9" i="1"/>
  <c r="CI131" i="1"/>
  <c r="CI255" i="1"/>
  <c r="CI354" i="1"/>
  <c r="CI369" i="1"/>
  <c r="CI129" i="1"/>
  <c r="CI77" i="1"/>
  <c r="CI102" i="1"/>
  <c r="CI215" i="1"/>
  <c r="CL111" i="1"/>
  <c r="CL308" i="1"/>
  <c r="CL229" i="1"/>
  <c r="CL158" i="1"/>
  <c r="CL103" i="1"/>
  <c r="CL132" i="1"/>
  <c r="CL45" i="1"/>
  <c r="CL89" i="1"/>
  <c r="CL224" i="1"/>
  <c r="CL271" i="1"/>
  <c r="CL116" i="1"/>
  <c r="CL40" i="1"/>
  <c r="CL162" i="1"/>
  <c r="CL47" i="1"/>
  <c r="CL150" i="1"/>
  <c r="CL254" i="1"/>
  <c r="CL153" i="1"/>
  <c r="CL54" i="1"/>
  <c r="CL396" i="1"/>
  <c r="CL323" i="1"/>
  <c r="CL226" i="1"/>
  <c r="CL275" i="1"/>
  <c r="CL78" i="1"/>
  <c r="CL342" i="1"/>
  <c r="CL134" i="1"/>
  <c r="CL317" i="1"/>
  <c r="CL395" i="1"/>
  <c r="CL341" i="1"/>
  <c r="CL382" i="1"/>
  <c r="CL325" i="1"/>
  <c r="CL114" i="1"/>
  <c r="CL161" i="1"/>
  <c r="CL138" i="1"/>
  <c r="CL119" i="1"/>
  <c r="CL390" i="1"/>
  <c r="CL330" i="1"/>
  <c r="CL301" i="1"/>
  <c r="CL277" i="1"/>
  <c r="CL380" i="1"/>
  <c r="CL313" i="1"/>
  <c r="CL37" i="1"/>
  <c r="CL211" i="1"/>
  <c r="CL122" i="1"/>
  <c r="CL386" i="1"/>
  <c r="CI160" i="1"/>
  <c r="CI265" i="1"/>
  <c r="CK116" i="1"/>
  <c r="CO116" i="1" s="1"/>
  <c r="CK342" i="1"/>
  <c r="CO342" i="1" s="1"/>
  <c r="CK94" i="1"/>
  <c r="CO94" i="1" s="1"/>
  <c r="CI152" i="1"/>
  <c r="CI41" i="1"/>
  <c r="CL192" i="1"/>
  <c r="CL220" i="1"/>
  <c r="CL376" i="1"/>
  <c r="CL309" i="1"/>
  <c r="CI370" i="1"/>
  <c r="CI166" i="1"/>
  <c r="CI159" i="1"/>
  <c r="CI7" i="1"/>
  <c r="CK149" i="1"/>
  <c r="CO149" i="1" s="1"/>
  <c r="CK175" i="1"/>
  <c r="CO175" i="1" s="1"/>
  <c r="CK355" i="1"/>
  <c r="CO355" i="1" s="1"/>
  <c r="CK58" i="1"/>
  <c r="CO58" i="1" s="1"/>
  <c r="CK361" i="1"/>
  <c r="CO361" i="1" s="1"/>
  <c r="CK178" i="1"/>
  <c r="CO178" i="1" s="1"/>
  <c r="CK51" i="1"/>
  <c r="CO51" i="1" s="1"/>
  <c r="CK137" i="1"/>
  <c r="CO137" i="1" s="1"/>
  <c r="CK264" i="1"/>
  <c r="CO264" i="1" s="1"/>
  <c r="CK174" i="1"/>
  <c r="CO174" i="1" s="1"/>
  <c r="CK123" i="1"/>
  <c r="CO123" i="1" s="1"/>
  <c r="CK383" i="1"/>
  <c r="CO383" i="1" s="1"/>
  <c r="CK376" i="1"/>
  <c r="CO376" i="1" s="1"/>
  <c r="CK293" i="1"/>
  <c r="CO293" i="1" s="1"/>
  <c r="CK373" i="1"/>
  <c r="CO373" i="1" s="1"/>
  <c r="CK321" i="1"/>
  <c r="CO321" i="1" s="1"/>
  <c r="CK309" i="1"/>
  <c r="CO309" i="1" s="1"/>
  <c r="CK172" i="1"/>
  <c r="CO172" i="1" s="1"/>
  <c r="CK302" i="1"/>
  <c r="CO302" i="1" s="1"/>
  <c r="CK314" i="1"/>
  <c r="CO314" i="1" s="1"/>
  <c r="CK357" i="1"/>
  <c r="CO357" i="1" s="1"/>
  <c r="CK349" i="1"/>
  <c r="CO349" i="1" s="1"/>
  <c r="CK217" i="1"/>
  <c r="CO217" i="1" s="1"/>
  <c r="CK289" i="1"/>
  <c r="CO289" i="1" s="1"/>
  <c r="CK307" i="1"/>
  <c r="CO307" i="1" s="1"/>
  <c r="CI53" i="1"/>
  <c r="CI223" i="1"/>
  <c r="CI334" i="1"/>
  <c r="CI115" i="1"/>
  <c r="CI24" i="1"/>
  <c r="CI87" i="1"/>
  <c r="CI346" i="1"/>
  <c r="CI351" i="1"/>
  <c r="CI16" i="1"/>
  <c r="CL381" i="1"/>
  <c r="CL39" i="1"/>
  <c r="CL287" i="1"/>
  <c r="CL194" i="1"/>
  <c r="CL196" i="1"/>
  <c r="CL30" i="1"/>
  <c r="CL339" i="1"/>
  <c r="CL364" i="1"/>
  <c r="CL38" i="1"/>
  <c r="CL6" i="1"/>
  <c r="CL46" i="1"/>
  <c r="CL378" i="1"/>
  <c r="CL335" i="1"/>
  <c r="CL33" i="1"/>
  <c r="CL79" i="1"/>
  <c r="CL141" i="1"/>
  <c r="CL389" i="1"/>
  <c r="CL286" i="1"/>
  <c r="CL294" i="1"/>
  <c r="CL13" i="1"/>
  <c r="CL241" i="1"/>
  <c r="CL98" i="1"/>
  <c r="CL230" i="1"/>
  <c r="CL310" i="1"/>
  <c r="CL88" i="1"/>
  <c r="CL240" i="1"/>
  <c r="CL343" i="1"/>
  <c r="CL347" i="1"/>
  <c r="CL210" i="1"/>
  <c r="CL319" i="1"/>
  <c r="CL320" i="1"/>
  <c r="CL121" i="1"/>
  <c r="CL329" i="1"/>
  <c r="CL86" i="1"/>
  <c r="CL94" i="1"/>
  <c r="CL18" i="1"/>
  <c r="CL365" i="1"/>
  <c r="CL398" i="1"/>
  <c r="CL167" i="1"/>
  <c r="CL90" i="1"/>
  <c r="CL367" i="1"/>
  <c r="CL55" i="1"/>
  <c r="CL127" i="1"/>
  <c r="CK235" i="1"/>
  <c r="CO235" i="1" s="1"/>
  <c r="CI311" i="1"/>
  <c r="CI277" i="1"/>
  <c r="CL361" i="1"/>
  <c r="CL59" i="1"/>
  <c r="CL148" i="1"/>
  <c r="CL81" i="1"/>
  <c r="CL178" i="1"/>
  <c r="CL51" i="1"/>
  <c r="CL137" i="1"/>
  <c r="CL174" i="1"/>
  <c r="CL264" i="1"/>
  <c r="CL293" i="1"/>
  <c r="CL354" i="1"/>
  <c r="CL373" i="1"/>
  <c r="CL321" i="1"/>
  <c r="CK318" i="1"/>
  <c r="CO318" i="1" s="1"/>
  <c r="CK348" i="1"/>
  <c r="CO348" i="1" s="1"/>
  <c r="CK35" i="1"/>
  <c r="CO35" i="1" s="1"/>
  <c r="CK315" i="1"/>
  <c r="CO315" i="1" s="1"/>
  <c r="CK227" i="1"/>
  <c r="CO227" i="1" s="1"/>
  <c r="CK68" i="1"/>
  <c r="CO68" i="1" s="1"/>
  <c r="CK93" i="1"/>
  <c r="CO93" i="1" s="1"/>
  <c r="CK65" i="1"/>
  <c r="CO65" i="1" s="1"/>
  <c r="CK147" i="1"/>
  <c r="CO147" i="1" s="1"/>
  <c r="CI54" i="1"/>
  <c r="CI316" i="1"/>
  <c r="CI363" i="1"/>
  <c r="CI202" i="1"/>
  <c r="CI251" i="1"/>
  <c r="CI285" i="1"/>
  <c r="CI222" i="1"/>
  <c r="CL69" i="1"/>
  <c r="CI111" i="1"/>
  <c r="CI224" i="1"/>
  <c r="CI153" i="1"/>
  <c r="CI323" i="1"/>
  <c r="CI317" i="1"/>
  <c r="CI114" i="1"/>
  <c r="CI119" i="1"/>
  <c r="CI330" i="1"/>
  <c r="CI313" i="1"/>
  <c r="CI386" i="1"/>
  <c r="CK398" i="1"/>
  <c r="CO398" i="1" s="1"/>
  <c r="CK90" i="1"/>
  <c r="CO90" i="1" s="1"/>
  <c r="CI45" i="1"/>
  <c r="CI347" i="1"/>
  <c r="CL311" i="1"/>
  <c r="CK127" i="1"/>
  <c r="CO127" i="1" s="1"/>
  <c r="CL131" i="1"/>
  <c r="CK224" i="1"/>
  <c r="CO224" i="1" s="1"/>
  <c r="CK215" i="1"/>
  <c r="CO215" i="1" s="1"/>
  <c r="CK272" i="1"/>
  <c r="CO272" i="1" s="1"/>
  <c r="CK165" i="1"/>
  <c r="CO165" i="1" s="1"/>
  <c r="CI357" i="1"/>
  <c r="CI172" i="1"/>
  <c r="CL274" i="1"/>
  <c r="CL307" i="1"/>
  <c r="CL289" i="1"/>
  <c r="CI362" i="1"/>
  <c r="CI350" i="1"/>
  <c r="CK263" i="1"/>
  <c r="CO263" i="1" s="1"/>
  <c r="CK61" i="1"/>
  <c r="CO61" i="1" s="1"/>
  <c r="CK163" i="1"/>
  <c r="CO163" i="1" s="1"/>
  <c r="CI139" i="1"/>
  <c r="CL267" i="1"/>
  <c r="CL227" i="1"/>
  <c r="CL92" i="1"/>
  <c r="CK131" i="1"/>
  <c r="CO131" i="1" s="1"/>
  <c r="CI141" i="1"/>
  <c r="CI230" i="1"/>
  <c r="CI121" i="1"/>
  <c r="CI171" i="1"/>
  <c r="CI216" i="1"/>
  <c r="CI63" i="1"/>
  <c r="CI100" i="1"/>
  <c r="CK142" i="1"/>
  <c r="CO142" i="1" s="1"/>
  <c r="CK267" i="1"/>
  <c r="CO267" i="1" s="1"/>
  <c r="CK322" i="1"/>
  <c r="CO322" i="1" s="1"/>
  <c r="CK62" i="1"/>
  <c r="CO62" i="1" s="1"/>
  <c r="CK71" i="1"/>
  <c r="CO71" i="1" s="1"/>
  <c r="CK95" i="1"/>
  <c r="CO95" i="1" s="1"/>
  <c r="CK283" i="1"/>
  <c r="CO283" i="1" s="1"/>
  <c r="CK152" i="1"/>
  <c r="CO152" i="1" s="1"/>
  <c r="CK92" i="1"/>
  <c r="CO92" i="1" s="1"/>
  <c r="CK120" i="1"/>
  <c r="CO120" i="1" s="1"/>
  <c r="CK279" i="1"/>
  <c r="CO279" i="1" s="1"/>
  <c r="CK223" i="1"/>
  <c r="CO223" i="1" s="1"/>
  <c r="CK354" i="1"/>
  <c r="CO354" i="1" s="1"/>
  <c r="CK336" i="1"/>
  <c r="CO336" i="1" s="1"/>
  <c r="CK96" i="1"/>
  <c r="CO96" i="1" s="1"/>
  <c r="CI116" i="1"/>
  <c r="CL110" i="1"/>
  <c r="CL199" i="1"/>
  <c r="CK299" i="1"/>
  <c r="CO299" i="1" s="1"/>
  <c r="CK259" i="1"/>
  <c r="CO259" i="1" s="1"/>
  <c r="CK226" i="1"/>
  <c r="CO226" i="1" s="1"/>
  <c r="CK390" i="1"/>
  <c r="CO390" i="1" s="1"/>
  <c r="CK187" i="1"/>
  <c r="CO187" i="1" s="1"/>
  <c r="CK330" i="1"/>
  <c r="CO330" i="1" s="1"/>
  <c r="CK64" i="1"/>
  <c r="CO64" i="1" s="1"/>
  <c r="CL21" i="1"/>
  <c r="CL95" i="1"/>
  <c r="CL248" i="1"/>
  <c r="CL212" i="1"/>
  <c r="CL68" i="1"/>
  <c r="CL93" i="1"/>
  <c r="CL65" i="1"/>
  <c r="CI106" i="1"/>
  <c r="CI66" i="1"/>
  <c r="CI358" i="1"/>
  <c r="CK107" i="1"/>
  <c r="CO107" i="1" s="1"/>
  <c r="CI385" i="1"/>
  <c r="CK199" i="1"/>
  <c r="CO199" i="1" s="1"/>
  <c r="CL175" i="1"/>
  <c r="CI85" i="1"/>
  <c r="CK325" i="1"/>
  <c r="CO325" i="1" s="1"/>
  <c r="CK335" i="1"/>
  <c r="CO335" i="1" s="1"/>
  <c r="CK114" i="1"/>
  <c r="CO114" i="1" s="1"/>
  <c r="CK197" i="1"/>
  <c r="CO197" i="1" s="1"/>
  <c r="CL394" i="1"/>
  <c r="CL8" i="1"/>
  <c r="CL349" i="1"/>
  <c r="CI61" i="1"/>
  <c r="CL279" i="1"/>
  <c r="CK311" i="1"/>
  <c r="CO311" i="1" s="1"/>
  <c r="CI364" i="1"/>
  <c r="CK23" i="1"/>
  <c r="CO23" i="1" s="1"/>
  <c r="CL195" i="1"/>
  <c r="CI342" i="1"/>
  <c r="CK218" i="1"/>
  <c r="CO218" i="1" s="1"/>
  <c r="CL44" i="1"/>
  <c r="CK135" i="1"/>
  <c r="CO135" i="1" s="1"/>
  <c r="CL4" i="1"/>
  <c r="CL70" i="1"/>
  <c r="CL66" i="1"/>
  <c r="CL383" i="1"/>
  <c r="CI75" i="1"/>
  <c r="CL357" i="1"/>
  <c r="CI168" i="1"/>
  <c r="CK265" i="1"/>
  <c r="CO265" i="1" s="1"/>
  <c r="CK337" i="1"/>
  <c r="CO337" i="1" s="1"/>
  <c r="CK220" i="1"/>
  <c r="CO220" i="1" s="1"/>
  <c r="CK394" i="1"/>
  <c r="CO394" i="1" s="1"/>
  <c r="CK8" i="1"/>
  <c r="CO8" i="1" s="1"/>
  <c r="CL223" i="1"/>
  <c r="CI381" i="1"/>
  <c r="CK110" i="1"/>
  <c r="CO110" i="1" s="1"/>
  <c r="CK27" i="1"/>
  <c r="CO27" i="1" s="1"/>
  <c r="CK44" i="1"/>
  <c r="CO44" i="1" s="1"/>
  <c r="CI187" i="1"/>
  <c r="CI382" i="1"/>
  <c r="CK138" i="1"/>
  <c r="CO138" i="1" s="1"/>
  <c r="CK130" i="1"/>
  <c r="CO130" i="1" s="1"/>
  <c r="CK319" i="1"/>
  <c r="CO319" i="1" s="1"/>
  <c r="CK320" i="1"/>
  <c r="CO320" i="1" s="1"/>
  <c r="CK37" i="1"/>
  <c r="CO37" i="1" s="1"/>
  <c r="CK148" i="1"/>
  <c r="CO148" i="1" s="1"/>
  <c r="CK81" i="1"/>
  <c r="CO81" i="1" s="1"/>
  <c r="CK256" i="1"/>
  <c r="CO256" i="1" s="1"/>
  <c r="CI135" i="1"/>
  <c r="CI345" i="1"/>
  <c r="CI182" i="1"/>
  <c r="CI191" i="1"/>
  <c r="CI344" i="1"/>
  <c r="CK84" i="1"/>
  <c r="CO84" i="1" s="1"/>
  <c r="CL259" i="1"/>
  <c r="CL27" i="1"/>
  <c r="CI64" i="1"/>
  <c r="CK41" i="1"/>
  <c r="CO41" i="1" s="1"/>
  <c r="CI57" i="1"/>
  <c r="CI375" i="1"/>
  <c r="CI194" i="1"/>
  <c r="CI2" i="1"/>
  <c r="CL163" i="1"/>
  <c r="CL225" i="1"/>
  <c r="CL118" i="1"/>
  <c r="CL104" i="1"/>
  <c r="CL302" i="1"/>
  <c r="CL393" i="1"/>
  <c r="CI243" i="1"/>
  <c r="CI145" i="1"/>
  <c r="CK66" i="1"/>
  <c r="CO66" i="1" s="1"/>
  <c r="CI263" i="1"/>
  <c r="CI35" i="1"/>
  <c r="CL217" i="1"/>
  <c r="CL283" i="1"/>
  <c r="CL120" i="1"/>
  <c r="CL336" i="1"/>
  <c r="CI361" i="1"/>
  <c r="CL216" i="1"/>
  <c r="CL208" i="1"/>
  <c r="CI289" i="1"/>
  <c r="CI217" i="1"/>
  <c r="CL73" i="1"/>
  <c r="CL221" i="1"/>
  <c r="CL234" i="1"/>
  <c r="CL340" i="1"/>
  <c r="CL108" i="1"/>
  <c r="CL249" i="1"/>
  <c r="CL296" i="1"/>
  <c r="CL91" i="1"/>
  <c r="CK212" i="1"/>
  <c r="CO212" i="1" s="1"/>
  <c r="CK248" i="1"/>
  <c r="CO248" i="1" s="1"/>
  <c r="CL369" i="1"/>
  <c r="CK345" i="1"/>
  <c r="CO345" i="1" s="1"/>
  <c r="CL52" i="1"/>
  <c r="CL356" i="1"/>
  <c r="CL203" i="1"/>
  <c r="CL17" i="1"/>
  <c r="CL106" i="1"/>
  <c r="CL305" i="1"/>
  <c r="CL157" i="1"/>
  <c r="CL154" i="1"/>
  <c r="CL185" i="1"/>
  <c r="CL238" i="1"/>
  <c r="CK29" i="1"/>
  <c r="CO29" i="1" s="1"/>
  <c r="CK88" i="1"/>
  <c r="CO88" i="1" s="1"/>
  <c r="CK347" i="1"/>
  <c r="CO347" i="1" s="1"/>
  <c r="CK112" i="1"/>
  <c r="CO112" i="1" s="1"/>
  <c r="CK209" i="1"/>
  <c r="CO209" i="1" s="1"/>
  <c r="CK171" i="1"/>
  <c r="CO171" i="1" s="1"/>
  <c r="CK238" i="1"/>
  <c r="CO238" i="1" s="1"/>
  <c r="CK207" i="1"/>
  <c r="CO207" i="1" s="1"/>
  <c r="CL142" i="1"/>
  <c r="CK74" i="1"/>
  <c r="CO74" i="1" s="1"/>
  <c r="CK343" i="1"/>
  <c r="CO343" i="1" s="1"/>
  <c r="CI256" i="1"/>
  <c r="CK91" i="1"/>
  <c r="CO91" i="1" s="1"/>
  <c r="CL125" i="1"/>
  <c r="CK194" i="1"/>
  <c r="CO194" i="1" s="1"/>
  <c r="CK52" i="1"/>
  <c r="CO52" i="1" s="1"/>
  <c r="CL32" i="1"/>
  <c r="CK287" i="1"/>
  <c r="CO287" i="1" s="1"/>
  <c r="CK125" i="1"/>
  <c r="CO125" i="1" s="1"/>
  <c r="CL130" i="1"/>
  <c r="CK69" i="1"/>
  <c r="CO69" i="1" s="1"/>
  <c r="CK121" i="1"/>
  <c r="CO121" i="1" s="1"/>
  <c r="CK18" i="1"/>
  <c r="CO18" i="1" s="1"/>
  <c r="CK365" i="1"/>
  <c r="CO365" i="1" s="1"/>
  <c r="CK216" i="1"/>
  <c r="CO216" i="1" s="1"/>
  <c r="CK99" i="1"/>
  <c r="CO99" i="1" s="1"/>
  <c r="CK257" i="1"/>
  <c r="CO257" i="1" s="1"/>
  <c r="CI287" i="1"/>
  <c r="CI74" i="1"/>
  <c r="CI81" i="1"/>
  <c r="CI72" i="1"/>
  <c r="CI233" i="1"/>
  <c r="CI264" i="1"/>
  <c r="CI300" i="1"/>
  <c r="CI335" i="1"/>
  <c r="CI94" i="1"/>
  <c r="CI52" i="1"/>
  <c r="CK11" i="1"/>
  <c r="CO11" i="1" s="1"/>
  <c r="CK242" i="1"/>
  <c r="CO242" i="1" s="1"/>
  <c r="CL159" i="1"/>
  <c r="CL280" i="1"/>
  <c r="CK128" i="1"/>
  <c r="CO128" i="1" s="1"/>
  <c r="CK310" i="1"/>
  <c r="CO310" i="1" s="1"/>
  <c r="CL209" i="1"/>
  <c r="CL75" i="1"/>
  <c r="CL166" i="1"/>
  <c r="CL170" i="1"/>
  <c r="CL145" i="1"/>
  <c r="CI186" i="1"/>
  <c r="CK46" i="1"/>
  <c r="CO46" i="1" s="1"/>
  <c r="CK378" i="1"/>
  <c r="CO378" i="1" s="1"/>
  <c r="CK230" i="1"/>
  <c r="CO230" i="1" s="1"/>
  <c r="CK210" i="1"/>
  <c r="CO210" i="1" s="1"/>
  <c r="CK329" i="1"/>
  <c r="CO329" i="1" s="1"/>
  <c r="CK86" i="1"/>
  <c r="CO86" i="1" s="1"/>
  <c r="CK372" i="1"/>
  <c r="CO372" i="1" s="1"/>
  <c r="CK327" i="1"/>
  <c r="CO327" i="1" s="1"/>
  <c r="CK170" i="1"/>
  <c r="CO170" i="1" s="1"/>
  <c r="CK55" i="1"/>
  <c r="CO55" i="1" s="1"/>
  <c r="CI175" i="1"/>
  <c r="CI143" i="1"/>
  <c r="CI205" i="1"/>
  <c r="CI320" i="1"/>
  <c r="CI318" i="1"/>
  <c r="CI324" i="1"/>
  <c r="CI97" i="1"/>
  <c r="CK367" i="1"/>
  <c r="CO367" i="1" s="1"/>
  <c r="CI90" i="1"/>
  <c r="CI343" i="1"/>
  <c r="CI292" i="1"/>
  <c r="CI297" i="1"/>
  <c r="CI96" i="1"/>
  <c r="CI65" i="1"/>
  <c r="CI246" i="1"/>
  <c r="CI340" i="1"/>
  <c r="CI4" i="1"/>
  <c r="CI303" i="1"/>
  <c r="CI13" i="1"/>
  <c r="CI192" i="1"/>
  <c r="CI294" i="1"/>
  <c r="CI39" i="1"/>
  <c r="CI234" i="1"/>
  <c r="CI154" i="1"/>
  <c r="CI206" i="1"/>
  <c r="CI305" i="1"/>
  <c r="CI208" i="1"/>
  <c r="CI38" i="1"/>
  <c r="CI221" i="1"/>
  <c r="CI17" i="1"/>
  <c r="CI59" i="1"/>
  <c r="CI397" i="1"/>
  <c r="CI103" i="1"/>
  <c r="CI150" i="1"/>
  <c r="CI275" i="1"/>
  <c r="CI314" i="1"/>
  <c r="CK98" i="1"/>
  <c r="CO98" i="1" s="1"/>
  <c r="CL36" i="1"/>
  <c r="CK159" i="1"/>
  <c r="CO159" i="1" s="1"/>
  <c r="CL133" i="1"/>
  <c r="CK280" i="1"/>
  <c r="CO280" i="1" s="1"/>
  <c r="CL387" i="1"/>
  <c r="CL96" i="1"/>
  <c r="CL284" i="1"/>
  <c r="CL171" i="1"/>
  <c r="CL372" i="1"/>
  <c r="CL207" i="1"/>
  <c r="CL350" i="1"/>
  <c r="CL362" i="1"/>
  <c r="CL370" i="1"/>
  <c r="CK385" i="1"/>
  <c r="CO385" i="1" s="1"/>
  <c r="CK339" i="1"/>
  <c r="CO339" i="1" s="1"/>
  <c r="CK228" i="1"/>
  <c r="CO228" i="1" s="1"/>
  <c r="CK356" i="1"/>
  <c r="CO356" i="1" s="1"/>
  <c r="CK157" i="1"/>
  <c r="CO157" i="1" s="1"/>
  <c r="CK167" i="1"/>
  <c r="CO167" i="1" s="1"/>
  <c r="CI183" i="1"/>
  <c r="CI319" i="1"/>
  <c r="CI212" i="1"/>
  <c r="CI165" i="1"/>
  <c r="CI310" i="1"/>
  <c r="CI284" i="1"/>
  <c r="CK240" i="1"/>
  <c r="CO240" i="1" s="1"/>
  <c r="CL128" i="1"/>
  <c r="CI332" i="1"/>
  <c r="CI242" i="1"/>
  <c r="CI91" i="1"/>
  <c r="CI218" i="1"/>
  <c r="CI328" i="1"/>
  <c r="CI155" i="1"/>
  <c r="CI164" i="1"/>
  <c r="CI353" i="1"/>
  <c r="CI298" i="1"/>
  <c r="CI270" i="1"/>
  <c r="CI231" i="1"/>
  <c r="CI288" i="1"/>
  <c r="CI3" i="1"/>
  <c r="CI101" i="1"/>
  <c r="CI80" i="1"/>
  <c r="CI10" i="1"/>
  <c r="CI179" i="1"/>
  <c r="CI214" i="1"/>
  <c r="CI247" i="1"/>
  <c r="CI250" i="1"/>
  <c r="CI169" i="1"/>
  <c r="CI257" i="1"/>
  <c r="CL62" i="1"/>
  <c r="CK36" i="1"/>
  <c r="CO36" i="1" s="1"/>
  <c r="CK133" i="1"/>
  <c r="CO133" i="1" s="1"/>
  <c r="CL233" i="1"/>
  <c r="CK387" i="1"/>
  <c r="CO387" i="1" s="1"/>
  <c r="CL205" i="1"/>
  <c r="CK284" i="1"/>
  <c r="CO284" i="1" s="1"/>
  <c r="CL2" i="1"/>
  <c r="CL99" i="1"/>
  <c r="CL243" i="1"/>
  <c r="CL63" i="1"/>
  <c r="CL188" i="1"/>
  <c r="CL257" i="1"/>
  <c r="CI308" i="1"/>
  <c r="CI158" i="1"/>
  <c r="CI271" i="1"/>
  <c r="CI40" i="1"/>
  <c r="CI47" i="1"/>
  <c r="CI272" i="1"/>
  <c r="CI261" i="1"/>
  <c r="CI396" i="1"/>
  <c r="CI226" i="1"/>
  <c r="CI78" i="1"/>
  <c r="CI134" i="1"/>
  <c r="CI395" i="1"/>
  <c r="CI138" i="1"/>
  <c r="CI390" i="1"/>
  <c r="CI380" i="1"/>
  <c r="CI37" i="1"/>
  <c r="CI122" i="1"/>
  <c r="CK362" i="1"/>
  <c r="CO362" i="1" s="1"/>
  <c r="CK246" i="1"/>
  <c r="CO246" i="1" s="1"/>
  <c r="CK22" i="1"/>
  <c r="CO22" i="1" s="1"/>
  <c r="CK340" i="1"/>
  <c r="CO340" i="1" s="1"/>
  <c r="CK4" i="1"/>
  <c r="CO4" i="1" s="1"/>
  <c r="CK106" i="1"/>
  <c r="CO106" i="1" s="1"/>
  <c r="CK13" i="1"/>
  <c r="CO13" i="1" s="1"/>
  <c r="CK243" i="1"/>
  <c r="CO243" i="1" s="1"/>
  <c r="CK192" i="1"/>
  <c r="CO192" i="1" s="1"/>
  <c r="CK294" i="1"/>
  <c r="CO294" i="1" s="1"/>
  <c r="CK370" i="1"/>
  <c r="CO370" i="1" s="1"/>
  <c r="CK39" i="1"/>
  <c r="CO39" i="1" s="1"/>
  <c r="CK352" i="1"/>
  <c r="CO352" i="1" s="1"/>
  <c r="CK234" i="1"/>
  <c r="CO234" i="1" s="1"/>
  <c r="CK108" i="1"/>
  <c r="CO108" i="1" s="1"/>
  <c r="CK393" i="1"/>
  <c r="CO393" i="1" s="1"/>
  <c r="CK188" i="1"/>
  <c r="CO188" i="1" s="1"/>
  <c r="CK154" i="1"/>
  <c r="CO154" i="1" s="1"/>
  <c r="CK249" i="1"/>
  <c r="CO249" i="1" s="1"/>
  <c r="CK166" i="1"/>
  <c r="CO166" i="1" s="1"/>
  <c r="CK305" i="1"/>
  <c r="CO305" i="1" s="1"/>
  <c r="CK145" i="1"/>
  <c r="CO145" i="1" s="1"/>
  <c r="CK30" i="1"/>
  <c r="CO30" i="1" s="1"/>
  <c r="CK225" i="1"/>
  <c r="CO225" i="1" s="1"/>
  <c r="CK208" i="1"/>
  <c r="CO208" i="1" s="1"/>
  <c r="CK185" i="1"/>
  <c r="CO185" i="1" s="1"/>
  <c r="CK38" i="1"/>
  <c r="CO38" i="1" s="1"/>
  <c r="CK6" i="1"/>
  <c r="CO6" i="1" s="1"/>
  <c r="CK350" i="1"/>
  <c r="CO350" i="1" s="1"/>
  <c r="CK290" i="1"/>
  <c r="CO290" i="1" s="1"/>
  <c r="CK79" i="1"/>
  <c r="CO79" i="1" s="1"/>
  <c r="CK221" i="1"/>
  <c r="CO221" i="1" s="1"/>
  <c r="CK7" i="1"/>
  <c r="CO7" i="1" s="1"/>
  <c r="CK17" i="1"/>
  <c r="CO17" i="1" s="1"/>
  <c r="CK59" i="1"/>
  <c r="CO59" i="1" s="1"/>
  <c r="CK233" i="1"/>
  <c r="CO233" i="1" s="1"/>
  <c r="CL191" i="1"/>
  <c r="CK2" i="1"/>
  <c r="CO2" i="1" s="1"/>
  <c r="CI220" i="1"/>
  <c r="CI355" i="1"/>
  <c r="CI315" i="1"/>
  <c r="CI394" i="1"/>
  <c r="CI163" i="1"/>
  <c r="CI178" i="1"/>
  <c r="CI137" i="1"/>
  <c r="CI68" i="1"/>
  <c r="CI383" i="1"/>
  <c r="CI25" i="1"/>
  <c r="CI373" i="1"/>
  <c r="CI258" i="1"/>
  <c r="CL328" i="1"/>
  <c r="CL144" i="1"/>
  <c r="CL276" i="1"/>
  <c r="CL363" i="1"/>
  <c r="CL281" i="1"/>
  <c r="CL202" i="1"/>
  <c r="CL251" i="1"/>
  <c r="CL377" i="1"/>
  <c r="CL298" i="1"/>
  <c r="CL285" i="1"/>
  <c r="CL270" i="1"/>
  <c r="CL334" i="1"/>
  <c r="CL231" i="1"/>
  <c r="CL304" i="1"/>
  <c r="CL3" i="1"/>
  <c r="CL236" i="1"/>
  <c r="CL101" i="1"/>
  <c r="CL24" i="1"/>
  <c r="CL80" i="1"/>
  <c r="CL344" i="1"/>
  <c r="CL177" i="1"/>
  <c r="CL113" i="1"/>
  <c r="CL10" i="1"/>
  <c r="CL237" i="1"/>
  <c r="CL179" i="1"/>
  <c r="CL87" i="1"/>
  <c r="CL346" i="1"/>
  <c r="CL247" i="1"/>
  <c r="CL250" i="1"/>
  <c r="CL204" i="1"/>
  <c r="CL82" i="1"/>
  <c r="CL28" i="1"/>
  <c r="CL169" i="1"/>
  <c r="CK241" i="1"/>
  <c r="CO241" i="1" s="1"/>
  <c r="CL72" i="1"/>
  <c r="CK389" i="1"/>
  <c r="CO389" i="1" s="1"/>
  <c r="CM15" i="1"/>
  <c r="CB333" i="1"/>
  <c r="CE22" i="1"/>
  <c r="BN74" i="1"/>
  <c r="BO74" i="1" s="1"/>
  <c r="CB213" i="1"/>
  <c r="CB176" i="1"/>
  <c r="CE109" i="1"/>
  <c r="CB227" i="1"/>
  <c r="CB92" i="1"/>
  <c r="CB131" i="1"/>
  <c r="CB336" i="1"/>
  <c r="CE246" i="1"/>
  <c r="CE73" i="1"/>
  <c r="CE60" i="1"/>
  <c r="CE31" i="1"/>
  <c r="CE50" i="1"/>
  <c r="CE190" i="1"/>
  <c r="CE290" i="1"/>
  <c r="CH311" i="1"/>
  <c r="CN311" i="1" s="1"/>
  <c r="CH321" i="1"/>
  <c r="CN321" i="1" s="1"/>
  <c r="CM245" i="1"/>
  <c r="CH22" i="1"/>
  <c r="CN22" i="1" s="1"/>
  <c r="CH188" i="1"/>
  <c r="CN188" i="1" s="1"/>
  <c r="CH47" i="1"/>
  <c r="CN47" i="1" s="1"/>
  <c r="CB4" i="1"/>
  <c r="CB192" i="1"/>
  <c r="CB225" i="1"/>
  <c r="CB290" i="1"/>
  <c r="CE244" i="1"/>
  <c r="CE315" i="1"/>
  <c r="CE118" i="1"/>
  <c r="CE201" i="1"/>
  <c r="CH267" i="1"/>
  <c r="CN267" i="1" s="1"/>
  <c r="CH181" i="1"/>
  <c r="CN181" i="1" s="1"/>
  <c r="CH12" i="1"/>
  <c r="CN12" i="1" s="1"/>
  <c r="CE140" i="1"/>
  <c r="CE100" i="1"/>
  <c r="CH307" i="1"/>
  <c r="CN307" i="1" s="1"/>
  <c r="CH278" i="1"/>
  <c r="CN278" i="1" s="1"/>
  <c r="CM189" i="1"/>
  <c r="CH161" i="1"/>
  <c r="CN161" i="1" s="1"/>
  <c r="CH211" i="1"/>
  <c r="CN211" i="1" s="1"/>
  <c r="CB110" i="1"/>
  <c r="CE136" i="1"/>
  <c r="CH44" i="1"/>
  <c r="CN44" i="1" s="1"/>
  <c r="CB38" i="1"/>
  <c r="CB136" i="1"/>
  <c r="CE274" i="1"/>
  <c r="CB67" i="1"/>
  <c r="CB256" i="1"/>
  <c r="CB146" i="1"/>
  <c r="CE176" i="1"/>
  <c r="CB217" i="1"/>
  <c r="CE296" i="1"/>
  <c r="CB352" i="1"/>
  <c r="CE84" i="1"/>
  <c r="CH89" i="1"/>
  <c r="CN89" i="1" s="1"/>
  <c r="CE7" i="1"/>
  <c r="CB279" i="1"/>
  <c r="CM331" i="1"/>
  <c r="CM388" i="1"/>
  <c r="CH138" i="1"/>
  <c r="CN138" i="1" s="1"/>
  <c r="CE46" i="1"/>
  <c r="CH190" i="1"/>
  <c r="CN190" i="1" s="1"/>
  <c r="CH274" i="1"/>
  <c r="CN274" i="1" s="1"/>
  <c r="CE267" i="1"/>
  <c r="CE56" i="1"/>
  <c r="CH49" i="1"/>
  <c r="CN49" i="1" s="1"/>
  <c r="CH117" i="1"/>
  <c r="CN117" i="1" s="1"/>
  <c r="CG184" i="1"/>
  <c r="CB211" i="1"/>
  <c r="CH252" i="1"/>
  <c r="CN252" i="1" s="1"/>
  <c r="CB85" i="1"/>
  <c r="CD184" i="1"/>
  <c r="CB33" i="1"/>
  <c r="CB63" i="1"/>
  <c r="CE321" i="1"/>
  <c r="CE48" i="1"/>
  <c r="CE133" i="1"/>
  <c r="CE297" i="1"/>
  <c r="CE126" i="1"/>
  <c r="CE307" i="1"/>
  <c r="CE65" i="1"/>
  <c r="CE13" i="1"/>
  <c r="CE243" i="1"/>
  <c r="CE39" i="1"/>
  <c r="CE208" i="1"/>
  <c r="CH62" i="1"/>
  <c r="CN62" i="1" s="1"/>
  <c r="CH260" i="1"/>
  <c r="CN260" i="1" s="1"/>
  <c r="CH48" i="1"/>
  <c r="CN48" i="1" s="1"/>
  <c r="CH280" i="1"/>
  <c r="CN280" i="1" s="1"/>
  <c r="CH266" i="1"/>
  <c r="CN266" i="1" s="1"/>
  <c r="CH173" i="1"/>
  <c r="CN173" i="1" s="1"/>
  <c r="CJ391" i="1"/>
  <c r="CB287" i="1"/>
  <c r="CB19" i="1"/>
  <c r="CB118" i="1"/>
  <c r="CB377" i="1"/>
  <c r="CB358" i="1"/>
  <c r="CE222" i="1"/>
  <c r="CE112" i="1"/>
  <c r="CE200" i="1"/>
  <c r="CH146" i="1"/>
  <c r="CN146" i="1" s="1"/>
  <c r="CM124" i="1"/>
  <c r="CH109" i="1"/>
  <c r="CN109" i="1" s="1"/>
  <c r="CH85" i="1"/>
  <c r="CN85" i="1" s="1"/>
  <c r="CB232" i="1"/>
  <c r="CB142" i="1"/>
  <c r="CB36" i="1"/>
  <c r="CB159" i="1"/>
  <c r="CB95" i="1"/>
  <c r="CB182" i="1"/>
  <c r="CB289" i="1"/>
  <c r="CB369" i="1"/>
  <c r="CE340" i="1"/>
  <c r="CB322" i="1"/>
  <c r="CB55" i="1"/>
  <c r="CB76" i="1"/>
  <c r="CB283" i="1"/>
  <c r="CB255" i="1"/>
  <c r="CB186" i="1"/>
  <c r="CB129" i="1"/>
  <c r="CE192" i="1"/>
  <c r="CE234" i="1"/>
  <c r="CE393" i="1"/>
  <c r="CE154" i="1"/>
  <c r="CE166" i="1"/>
  <c r="CE30" i="1"/>
  <c r="CE38" i="1"/>
  <c r="CE59" i="1"/>
  <c r="CH268" i="1"/>
  <c r="CN268" i="1" s="1"/>
  <c r="CH8" i="1"/>
  <c r="CN8" i="1" s="1"/>
  <c r="CH299" i="1"/>
  <c r="CN299" i="1" s="1"/>
  <c r="CH387" i="1"/>
  <c r="CN387" i="1" s="1"/>
  <c r="CH64" i="1"/>
  <c r="CN64" i="1" s="1"/>
  <c r="CH229" i="1"/>
  <c r="CN229" i="1" s="1"/>
  <c r="CH275" i="1"/>
  <c r="CN275" i="1" s="1"/>
  <c r="CB306" i="1"/>
  <c r="CB218" i="1"/>
  <c r="CB90" i="1"/>
  <c r="CB389" i="1"/>
  <c r="CB233" i="1"/>
  <c r="CB307" i="1"/>
  <c r="CB278" i="1"/>
  <c r="CB51" i="1"/>
  <c r="CE308" i="1"/>
  <c r="CE229" i="1"/>
  <c r="CE103" i="1"/>
  <c r="CE89" i="1"/>
  <c r="CE271" i="1"/>
  <c r="CE162" i="1"/>
  <c r="CE47" i="1"/>
  <c r="CE150" i="1"/>
  <c r="CE342" i="1"/>
  <c r="CE395" i="1"/>
  <c r="CE341" i="1"/>
  <c r="CE382" i="1"/>
  <c r="CE325" i="1"/>
  <c r="CE161" i="1"/>
  <c r="CE277" i="1"/>
  <c r="CE211" i="1"/>
  <c r="CH295" i="1"/>
  <c r="CN295" i="1" s="1"/>
  <c r="CH244" i="1"/>
  <c r="CN244" i="1" s="1"/>
  <c r="CH309" i="1"/>
  <c r="CN309" i="1" s="1"/>
  <c r="CM273" i="1"/>
  <c r="CM156" i="1"/>
  <c r="CM384" i="1"/>
  <c r="CB32" i="1"/>
  <c r="CB152" i="1"/>
  <c r="CB259" i="1"/>
  <c r="CB115" i="1"/>
  <c r="CB215" i="1"/>
  <c r="CE362" i="1"/>
  <c r="CE106" i="1"/>
  <c r="CE108" i="1"/>
  <c r="CE188" i="1"/>
  <c r="CE225" i="1"/>
  <c r="CH11" i="1"/>
  <c r="CN11" i="1" s="1"/>
  <c r="CH41" i="1"/>
  <c r="CN41" i="1" s="1"/>
  <c r="CH191" i="1"/>
  <c r="CN191" i="1" s="1"/>
  <c r="CH357" i="1"/>
  <c r="CN357" i="1" s="1"/>
  <c r="CH26" i="1"/>
  <c r="CN26" i="1" s="1"/>
  <c r="CH103" i="1"/>
  <c r="CN103" i="1" s="1"/>
  <c r="CH162" i="1"/>
  <c r="CN162" i="1" s="1"/>
  <c r="CH150" i="1"/>
  <c r="CN150" i="1" s="1"/>
  <c r="CB311" i="1"/>
  <c r="CH378" i="1"/>
  <c r="CN378" i="1" s="1"/>
  <c r="CJ379" i="1"/>
  <c r="CH164" i="1"/>
  <c r="CN164" i="1" s="1"/>
  <c r="CB265" i="1"/>
  <c r="CB361" i="1"/>
  <c r="CD384" i="1"/>
  <c r="CH397" i="1"/>
  <c r="CN397" i="1" s="1"/>
  <c r="CH168" i="1"/>
  <c r="CN168" i="1" s="1"/>
  <c r="CH375" i="1"/>
  <c r="CN375" i="1" s="1"/>
  <c r="CB160" i="1"/>
  <c r="CB66" i="1"/>
  <c r="CB109" i="1"/>
  <c r="CH53" i="1"/>
  <c r="CN53" i="1" s="1"/>
  <c r="CH251" i="1"/>
  <c r="CN251" i="1" s="1"/>
  <c r="CB241" i="1"/>
  <c r="CD151" i="1"/>
  <c r="CB57" i="1"/>
  <c r="CH19" i="1"/>
  <c r="CN19" i="1" s="1"/>
  <c r="CG5" i="1"/>
  <c r="CH361" i="1"/>
  <c r="CN361" i="1" s="1"/>
  <c r="CH224" i="1"/>
  <c r="CN224" i="1" s="1"/>
  <c r="CM183" i="1"/>
  <c r="CB297" i="1"/>
  <c r="CE272" i="1"/>
  <c r="CH358" i="1"/>
  <c r="CN358" i="1" s="1"/>
  <c r="CH347" i="1"/>
  <c r="CN347" i="1" s="1"/>
  <c r="CH63" i="1"/>
  <c r="CN63" i="1" s="1"/>
  <c r="CB181" i="1"/>
  <c r="CB30" i="1"/>
  <c r="CE20" i="1"/>
  <c r="CE252" i="1"/>
  <c r="CE147" i="1"/>
  <c r="CE383" i="1"/>
  <c r="CE258" i="1"/>
  <c r="CE49" i="1"/>
  <c r="CH232" i="1"/>
  <c r="CN232" i="1" s="1"/>
  <c r="CH125" i="1"/>
  <c r="CN125" i="1" s="1"/>
  <c r="CH279" i="1"/>
  <c r="CN279" i="1" s="1"/>
  <c r="CH176" i="1"/>
  <c r="CN176" i="1" s="1"/>
  <c r="CM151" i="1"/>
  <c r="CH153" i="1"/>
  <c r="CN153" i="1" s="1"/>
  <c r="CB72" i="1"/>
  <c r="CB194" i="1"/>
  <c r="CE301" i="1"/>
  <c r="CH66" i="1"/>
  <c r="CN66" i="1" s="1"/>
  <c r="CH351" i="1"/>
  <c r="CN351" i="1" s="1"/>
  <c r="CH100" i="1"/>
  <c r="CN100" i="1" s="1"/>
  <c r="CB246" i="1"/>
  <c r="CB60" i="1"/>
  <c r="CB303" i="1"/>
  <c r="CH183" i="1"/>
  <c r="CN183" i="1" s="1"/>
  <c r="CH27" i="1"/>
  <c r="CN27" i="1" s="1"/>
  <c r="CH386" i="1"/>
  <c r="CN386" i="1" s="1"/>
  <c r="CB264" i="1"/>
  <c r="CE323" i="1"/>
  <c r="CB190" i="1"/>
  <c r="CH382" i="1"/>
  <c r="CN382" i="1" s="1"/>
  <c r="CH119" i="1"/>
  <c r="CN119" i="1" s="1"/>
  <c r="CB91" i="1"/>
  <c r="CB65" i="1"/>
  <c r="CE78" i="1"/>
  <c r="CH265" i="1"/>
  <c r="CN265" i="1" s="1"/>
  <c r="CH376" i="1"/>
  <c r="CN376" i="1" s="1"/>
  <c r="CE117" i="1"/>
  <c r="CH206" i="1"/>
  <c r="CN206" i="1" s="1"/>
  <c r="CH272" i="1"/>
  <c r="CN272" i="1" s="1"/>
  <c r="CH254" i="1"/>
  <c r="CN254" i="1" s="1"/>
  <c r="CH263" i="1"/>
  <c r="CN263" i="1" s="1"/>
  <c r="CH35" i="1"/>
  <c r="CN35" i="1" s="1"/>
  <c r="CH147" i="1"/>
  <c r="CN147" i="1" s="1"/>
  <c r="CB83" i="1"/>
  <c r="CH220" i="1"/>
  <c r="CN220" i="1" s="1"/>
  <c r="CH258" i="1"/>
  <c r="CN258" i="1" s="1"/>
  <c r="CM5" i="1"/>
  <c r="CM379" i="1"/>
  <c r="CM43" i="1"/>
  <c r="CB147" i="1"/>
  <c r="CG379" i="1"/>
  <c r="CG34" i="1"/>
  <c r="CH313" i="1"/>
  <c r="CN313" i="1" s="1"/>
  <c r="CE224" i="1"/>
  <c r="CE261" i="1"/>
  <c r="CE54" i="1"/>
  <c r="CE317" i="1"/>
  <c r="CB222" i="1"/>
  <c r="CE10" i="1"/>
  <c r="CH33" i="1"/>
  <c r="CN33" i="1" s="1"/>
  <c r="CM180" i="1"/>
  <c r="CM282" i="1"/>
  <c r="CB343" i="1"/>
  <c r="CE396" i="1"/>
  <c r="CH343" i="1"/>
  <c r="CN343" i="1" s="1"/>
  <c r="CH65" i="1"/>
  <c r="CN65" i="1" s="1"/>
  <c r="CB196" i="1"/>
  <c r="CB351" i="1"/>
  <c r="CB364" i="1"/>
  <c r="CB141" i="1"/>
  <c r="CB366" i="1"/>
  <c r="CB327" i="1"/>
  <c r="CB117" i="1"/>
  <c r="CE268" i="1"/>
  <c r="CE375" i="1"/>
  <c r="CE8" i="1"/>
  <c r="CE90" i="1"/>
  <c r="CE343" i="1"/>
  <c r="CE264" i="1"/>
  <c r="CE278" i="1"/>
  <c r="CH333" i="1"/>
  <c r="CN333" i="1" s="1"/>
  <c r="CH67" i="1"/>
  <c r="CN67" i="1" s="1"/>
  <c r="CH227" i="1"/>
  <c r="CN227" i="1" s="1"/>
  <c r="CH283" i="1"/>
  <c r="CN283" i="1" s="1"/>
  <c r="CH213" i="1"/>
  <c r="CN213" i="1" s="1"/>
  <c r="CH9" i="1"/>
  <c r="CN9" i="1" s="1"/>
  <c r="CH255" i="1"/>
  <c r="CN255" i="1" s="1"/>
  <c r="CH102" i="1"/>
  <c r="CN102" i="1" s="1"/>
  <c r="CM360" i="1"/>
  <c r="CM219" i="1"/>
  <c r="CB107" i="1"/>
  <c r="CB150" i="1"/>
  <c r="CB223" i="1"/>
  <c r="CB394" i="1"/>
  <c r="CB354" i="1"/>
  <c r="CB162" i="1"/>
  <c r="CB77" i="1"/>
  <c r="CB310" i="1"/>
  <c r="CB45" i="1"/>
  <c r="CB61" i="1"/>
  <c r="CE370" i="1"/>
  <c r="CE6" i="1"/>
  <c r="CE87" i="1"/>
  <c r="CH51" i="1"/>
  <c r="CN51" i="1" s="1"/>
  <c r="CH270" i="1"/>
  <c r="CN270" i="1" s="1"/>
  <c r="CH2" i="1"/>
  <c r="CN2" i="1" s="1"/>
  <c r="CH106" i="1"/>
  <c r="CN106" i="1" s="1"/>
  <c r="CH7" i="1"/>
  <c r="CN7" i="1" s="1"/>
  <c r="CB293" i="1"/>
  <c r="CH78" i="1"/>
  <c r="CN78" i="1" s="1"/>
  <c r="CE313" i="1"/>
  <c r="CJ124" i="1"/>
  <c r="CJ15" i="1"/>
  <c r="CD156" i="1"/>
  <c r="CH45" i="1"/>
  <c r="CN45" i="1" s="1"/>
  <c r="CE40" i="1"/>
  <c r="CB7" i="1"/>
  <c r="CJ43" i="1"/>
  <c r="CB130" i="1"/>
  <c r="CB319" i="1"/>
  <c r="CB320" i="1"/>
  <c r="CE70" i="1"/>
  <c r="CE4" i="1"/>
  <c r="CE352" i="1"/>
  <c r="CH135" i="1"/>
  <c r="CN135" i="1" s="1"/>
  <c r="CH145" i="1"/>
  <c r="CN145" i="1" s="1"/>
  <c r="CE122" i="1"/>
  <c r="CJ151" i="1"/>
  <c r="CB73" i="1"/>
  <c r="CB108" i="1"/>
  <c r="CB249" i="1"/>
  <c r="CB3" i="1"/>
  <c r="CB125" i="1"/>
  <c r="CB71" i="1"/>
  <c r="CB345" i="1"/>
  <c r="CB102" i="1"/>
  <c r="CB28" i="1"/>
  <c r="CE185" i="1"/>
  <c r="CE233" i="1"/>
  <c r="CE168" i="1"/>
  <c r="CE397" i="1"/>
  <c r="CH249" i="1"/>
  <c r="CN249" i="1" s="1"/>
  <c r="CJ105" i="1"/>
  <c r="CD269" i="1"/>
  <c r="CB280" i="1"/>
  <c r="CB314" i="1"/>
  <c r="CE347" i="1"/>
  <c r="CB267" i="1"/>
  <c r="CB123" i="1"/>
  <c r="CB235" i="1"/>
  <c r="CB161" i="1"/>
  <c r="CB120" i="1"/>
  <c r="CB175" i="1"/>
  <c r="CB103" i="1"/>
  <c r="CB9" i="1"/>
  <c r="CB56" i="1"/>
  <c r="CE79" i="1"/>
  <c r="CE33" i="1"/>
  <c r="CE173" i="1"/>
  <c r="CH389" i="1"/>
  <c r="CN389" i="1" s="1"/>
  <c r="CH202" i="1"/>
  <c r="CN202" i="1" s="1"/>
  <c r="CH233" i="1"/>
  <c r="CN233" i="1" s="1"/>
  <c r="CG43" i="1"/>
  <c r="CG338" i="1"/>
  <c r="CH111" i="1"/>
  <c r="CN111" i="1" s="1"/>
  <c r="CB260" i="1"/>
  <c r="CB229" i="1"/>
  <c r="CB116" i="1"/>
  <c r="CE195" i="1"/>
  <c r="CE179" i="1"/>
  <c r="CB312" i="1"/>
  <c r="CB382" i="1"/>
  <c r="CG14" i="1"/>
  <c r="CE303" i="1"/>
  <c r="CE146" i="1"/>
  <c r="CE294" i="1"/>
  <c r="CE249" i="1"/>
  <c r="CE305" i="1"/>
  <c r="CE145" i="1"/>
  <c r="CE169" i="1"/>
  <c r="CE350" i="1"/>
  <c r="CE221" i="1"/>
  <c r="CE284" i="1"/>
  <c r="CE17" i="1"/>
  <c r="CH194" i="1"/>
  <c r="CN194" i="1" s="1"/>
  <c r="CH39" i="1"/>
  <c r="CN39" i="1" s="1"/>
  <c r="CH195" i="1"/>
  <c r="CN195" i="1" s="1"/>
  <c r="CH248" i="1"/>
  <c r="CN248" i="1" s="1"/>
  <c r="CH179" i="1"/>
  <c r="CN179" i="1" s="1"/>
  <c r="CH234" i="1"/>
  <c r="CN234" i="1" s="1"/>
  <c r="CH185" i="1"/>
  <c r="CN185" i="1" s="1"/>
  <c r="CE204" i="1"/>
  <c r="CJ359" i="1"/>
  <c r="CB200" i="1"/>
  <c r="CE62" i="1"/>
  <c r="CJ384" i="1"/>
  <c r="CH54" i="1"/>
  <c r="CN54" i="1" s="1"/>
  <c r="CH330" i="1"/>
  <c r="CN330" i="1" s="1"/>
  <c r="CB11" i="1"/>
  <c r="CB324" i="1"/>
  <c r="CB191" i="1"/>
  <c r="CE158" i="1"/>
  <c r="CE330" i="1"/>
  <c r="CE386" i="1"/>
  <c r="CB397" i="1"/>
  <c r="CB193" i="1"/>
  <c r="CB143" i="1"/>
  <c r="CG269" i="1"/>
  <c r="CH364" i="1"/>
  <c r="CN364" i="1" s="1"/>
  <c r="CH87" i="1"/>
  <c r="CN87" i="1" s="1"/>
  <c r="CB277" i="1"/>
  <c r="CB362" i="1"/>
  <c r="CB370" i="1"/>
  <c r="CE366" i="1"/>
  <c r="CE263" i="1"/>
  <c r="CE348" i="1"/>
  <c r="CE220" i="1"/>
  <c r="CE35" i="1"/>
  <c r="CE61" i="1"/>
  <c r="CE58" i="1"/>
  <c r="CE163" i="1"/>
  <c r="CE66" i="1"/>
  <c r="CE68" i="1"/>
  <c r="CE376" i="1"/>
  <c r="CE293" i="1"/>
  <c r="CB163" i="1"/>
  <c r="CB266" i="1"/>
  <c r="CE165" i="1"/>
  <c r="CE351" i="1"/>
  <c r="CE88" i="1"/>
  <c r="CH292" i="1"/>
  <c r="CN292" i="1" s="1"/>
  <c r="CB344" i="1"/>
  <c r="CB357" i="1"/>
  <c r="CH308" i="1"/>
  <c r="CN308" i="1" s="1"/>
  <c r="CH370" i="1"/>
  <c r="CN370" i="1" s="1"/>
  <c r="CH277" i="1"/>
  <c r="CN277" i="1" s="1"/>
  <c r="CB62" i="1"/>
  <c r="CB242" i="1"/>
  <c r="CB375" i="1"/>
  <c r="CB8" i="1"/>
  <c r="CB335" i="1"/>
  <c r="CE45" i="1"/>
  <c r="CE153" i="1"/>
  <c r="CE138" i="1"/>
  <c r="CE119" i="1"/>
  <c r="CE186" i="1"/>
  <c r="CH84" i="1"/>
  <c r="CN84" i="1" s="1"/>
  <c r="CG219" i="1"/>
  <c r="CH381" i="1"/>
  <c r="CN381" i="1" s="1"/>
  <c r="CH228" i="1"/>
  <c r="CN228" i="1" s="1"/>
  <c r="CH121" i="1"/>
  <c r="CN121" i="1" s="1"/>
  <c r="CJ388" i="1"/>
  <c r="CD14" i="1"/>
  <c r="CB106" i="1"/>
  <c r="CB294" i="1"/>
  <c r="CB393" i="1"/>
  <c r="CB154" i="1"/>
  <c r="CB166" i="1"/>
  <c r="CB305" i="1"/>
  <c r="CB145" i="1"/>
  <c r="CB208" i="1"/>
  <c r="CB79" i="1"/>
  <c r="CB205" i="1"/>
  <c r="CB221" i="1"/>
  <c r="CB17" i="1"/>
  <c r="CB168" i="1"/>
  <c r="CE337" i="1"/>
  <c r="CE149" i="1"/>
  <c r="CE355" i="1"/>
  <c r="CE21" i="1"/>
  <c r="CE394" i="1"/>
  <c r="CE361" i="1"/>
  <c r="CE178" i="1"/>
  <c r="CE358" i="1"/>
  <c r="CE137" i="1"/>
  <c r="CE123" i="1"/>
  <c r="CE139" i="1"/>
  <c r="CE25" i="1"/>
  <c r="CE373" i="1"/>
  <c r="CB202" i="1"/>
  <c r="CB302" i="1"/>
  <c r="CH160" i="1"/>
  <c r="CN160" i="1" s="1"/>
  <c r="CB240" i="1"/>
  <c r="CB155" i="1"/>
  <c r="CB298" i="1"/>
  <c r="CE262" i="1"/>
  <c r="CE107" i="1"/>
  <c r="CE171" i="1"/>
  <c r="CH360" i="1"/>
  <c r="CN360" i="1" s="1"/>
  <c r="CH116" i="1"/>
  <c r="CN116" i="1" s="1"/>
  <c r="CH317" i="1"/>
  <c r="CN317" i="1" s="1"/>
  <c r="CJ273" i="1"/>
  <c r="CJ156" i="1"/>
  <c r="CB97" i="1"/>
  <c r="CB48" i="1"/>
  <c r="CB299" i="1"/>
  <c r="CB248" i="1"/>
  <c r="CB64" i="1"/>
  <c r="CB2" i="1"/>
  <c r="CE111" i="1"/>
  <c r="CE254" i="1"/>
  <c r="CE226" i="1"/>
  <c r="CH58" i="1"/>
  <c r="CN58" i="1" s="1"/>
  <c r="CH172" i="1"/>
  <c r="CN172" i="1" s="1"/>
  <c r="CH349" i="1"/>
  <c r="CN349" i="1" s="1"/>
  <c r="CD388" i="1"/>
  <c r="CD359" i="1"/>
  <c r="CH385" i="1"/>
  <c r="CN385" i="1" s="1"/>
  <c r="CH230" i="1"/>
  <c r="CN230" i="1" s="1"/>
  <c r="CH112" i="1"/>
  <c r="CN112" i="1" s="1"/>
  <c r="CB31" i="1"/>
  <c r="CB50" i="1"/>
  <c r="CB214" i="1"/>
  <c r="CB234" i="1"/>
  <c r="CB188" i="1"/>
  <c r="CB185" i="1"/>
  <c r="CB350" i="1"/>
  <c r="CE295" i="1"/>
  <c r="CB177" i="1"/>
  <c r="CJ184" i="1"/>
  <c r="CB263" i="1"/>
  <c r="CB348" i="1"/>
  <c r="CB149" i="1"/>
  <c r="CB315" i="1"/>
  <c r="CB139" i="1"/>
  <c r="CB376" i="1"/>
  <c r="CB349" i="1"/>
  <c r="CE287" i="1"/>
  <c r="CE197" i="1"/>
  <c r="CE318" i="1"/>
  <c r="CH337" i="1"/>
  <c r="CN337" i="1" s="1"/>
  <c r="CH149" i="1"/>
  <c r="CN149" i="1" s="1"/>
  <c r="CH355" i="1"/>
  <c r="CN355" i="1" s="1"/>
  <c r="CH383" i="1"/>
  <c r="CN383" i="1" s="1"/>
  <c r="CB316" i="1"/>
  <c r="CH323" i="1"/>
  <c r="CN323" i="1" s="1"/>
  <c r="CB268" i="1"/>
  <c r="CB292" i="1"/>
  <c r="CB44" i="1"/>
  <c r="CB26" i="1"/>
  <c r="CE116" i="1"/>
  <c r="CE114" i="1"/>
  <c r="CE390" i="1"/>
  <c r="CE380" i="1"/>
  <c r="CH70" i="1"/>
  <c r="CN70" i="1" s="1"/>
  <c r="CH4" i="1"/>
  <c r="CN4" i="1" s="1"/>
  <c r="CD189" i="1"/>
  <c r="CD331" i="1"/>
  <c r="CG180" i="1"/>
  <c r="CG282" i="1"/>
  <c r="CH141" i="1"/>
  <c r="CN141" i="1" s="1"/>
  <c r="CB22" i="1"/>
  <c r="CB386" i="1"/>
  <c r="CB340" i="1"/>
  <c r="CB13" i="1"/>
  <c r="CB296" i="1"/>
  <c r="CB243" i="1"/>
  <c r="CB39" i="1"/>
  <c r="CB6" i="1"/>
  <c r="CB173" i="1"/>
  <c r="CB81" i="1"/>
  <c r="CB59" i="1"/>
  <c r="CB148" i="1"/>
  <c r="CE265" i="1"/>
  <c r="CD273" i="1"/>
  <c r="CD219" i="1"/>
  <c r="CG15" i="1"/>
  <c r="CH365" i="1"/>
  <c r="CN365" i="1" s="1"/>
  <c r="CE71" i="1"/>
  <c r="CH222" i="1"/>
  <c r="CN222" i="1" s="1"/>
  <c r="CH114" i="1"/>
  <c r="CN114" i="1" s="1"/>
  <c r="CB374" i="1"/>
  <c r="CB332" i="1"/>
  <c r="CB321" i="1"/>
  <c r="CB373" i="1"/>
  <c r="CB135" i="1"/>
  <c r="CB41" i="1"/>
  <c r="CE132" i="1"/>
  <c r="CE275" i="1"/>
  <c r="CH21" i="1"/>
  <c r="CN21" i="1" s="1"/>
  <c r="CH118" i="1"/>
  <c r="CN118" i="1" s="1"/>
  <c r="CH104" i="1"/>
  <c r="CN104" i="1" s="1"/>
  <c r="CH139" i="1"/>
  <c r="CN139" i="1" s="1"/>
  <c r="CH293" i="1"/>
  <c r="CN293" i="1" s="1"/>
  <c r="CH314" i="1"/>
  <c r="CN314" i="1" s="1"/>
  <c r="CJ189" i="1"/>
  <c r="CJ331" i="1"/>
  <c r="CB198" i="1"/>
  <c r="CB230" i="1"/>
  <c r="CB347" i="1"/>
  <c r="CB121" i="1"/>
  <c r="CB112" i="1"/>
  <c r="CB18" i="1"/>
  <c r="CB365" i="1"/>
  <c r="CB356" i="1"/>
  <c r="CB203" i="1"/>
  <c r="CB100" i="1"/>
  <c r="CB128" i="1"/>
  <c r="CB257" i="1"/>
  <c r="CB170" i="1"/>
  <c r="CE311" i="1"/>
  <c r="CE374" i="1"/>
  <c r="CE333" i="1"/>
  <c r="CE11" i="1"/>
  <c r="CE332" i="1"/>
  <c r="CE198" i="1"/>
  <c r="CE218" i="1"/>
  <c r="CE72" i="1"/>
  <c r="CE299" i="1"/>
  <c r="CE231" i="1"/>
  <c r="CE298" i="1"/>
  <c r="CE389" i="1"/>
  <c r="CE280" i="1"/>
  <c r="CE194" i="1"/>
  <c r="CE44" i="1"/>
  <c r="CE135" i="1"/>
  <c r="CE96" i="1"/>
  <c r="CE41" i="1"/>
  <c r="CE155" i="1"/>
  <c r="CE300" i="1"/>
  <c r="CE357" i="1"/>
  <c r="CE94" i="1"/>
  <c r="CE26" i="1"/>
  <c r="CE52" i="1"/>
  <c r="CE2" i="1"/>
  <c r="CH32" i="1"/>
  <c r="CN32" i="1" s="1"/>
  <c r="CH82" i="1"/>
  <c r="CN82" i="1" s="1"/>
  <c r="CH31" i="1"/>
  <c r="CN31" i="1" s="1"/>
  <c r="CH312" i="1"/>
  <c r="CN312" i="1" s="1"/>
  <c r="CH76" i="1"/>
  <c r="CN76" i="1" s="1"/>
  <c r="CH95" i="1"/>
  <c r="CN95" i="1" s="1"/>
  <c r="CH131" i="1"/>
  <c r="CN131" i="1" s="1"/>
  <c r="CH354" i="1"/>
  <c r="CN354" i="1" s="1"/>
  <c r="CH369" i="1"/>
  <c r="CN369" i="1" s="1"/>
  <c r="CH129" i="1"/>
  <c r="CN129" i="1" s="1"/>
  <c r="CH50" i="1"/>
  <c r="CN50" i="1" s="1"/>
  <c r="CH77" i="1"/>
  <c r="CN77" i="1" s="1"/>
  <c r="CH96" i="1"/>
  <c r="CN96" i="1" s="1"/>
  <c r="CH215" i="1"/>
  <c r="CN215" i="1" s="1"/>
  <c r="CB70" i="1"/>
  <c r="CB304" i="1"/>
  <c r="CE291" i="1"/>
  <c r="CH342" i="1"/>
  <c r="CN342" i="1" s="1"/>
  <c r="CB133" i="1"/>
  <c r="CB387" i="1"/>
  <c r="CB126" i="1"/>
  <c r="CB96" i="1"/>
  <c r="CB300" i="1"/>
  <c r="CB94" i="1"/>
  <c r="CB52" i="1"/>
  <c r="CE101" i="1"/>
  <c r="CE134" i="1"/>
  <c r="CE37" i="1"/>
  <c r="CH348" i="1"/>
  <c r="CN348" i="1" s="1"/>
  <c r="CH61" i="1"/>
  <c r="CN61" i="1" s="1"/>
  <c r="CE385" i="1"/>
  <c r="CB29" i="1"/>
  <c r="CB381" i="1"/>
  <c r="CB385" i="1"/>
  <c r="CB69" i="1"/>
  <c r="CB339" i="1"/>
  <c r="CB262" i="1"/>
  <c r="CB46" i="1"/>
  <c r="CB378" i="1"/>
  <c r="CB228" i="1"/>
  <c r="CB286" i="1"/>
  <c r="CB98" i="1"/>
  <c r="CB88" i="1"/>
  <c r="CB210" i="1"/>
  <c r="CB329" i="1"/>
  <c r="CB86" i="1"/>
  <c r="CB140" i="1"/>
  <c r="CB209" i="1"/>
  <c r="CB199" i="1"/>
  <c r="CB42" i="1"/>
  <c r="CB171" i="1"/>
  <c r="CB398" i="1"/>
  <c r="CB216" i="1"/>
  <c r="CB157" i="1"/>
  <c r="CB99" i="1"/>
  <c r="CB167" i="1"/>
  <c r="CB372" i="1"/>
  <c r="CB238" i="1"/>
  <c r="CB207" i="1"/>
  <c r="CB367" i="1"/>
  <c r="CB75" i="1"/>
  <c r="CE306" i="1"/>
  <c r="CE260" i="1"/>
  <c r="CE242" i="1"/>
  <c r="CE91" i="1"/>
  <c r="CE292" i="1"/>
  <c r="CE387" i="1"/>
  <c r="CE266" i="1"/>
  <c r="CE248" i="1"/>
  <c r="CE191" i="1"/>
  <c r="CE51" i="1"/>
  <c r="CE64" i="1"/>
  <c r="CE335" i="1"/>
  <c r="CH142" i="1"/>
  <c r="CN142" i="1" s="1"/>
  <c r="CH36" i="1"/>
  <c r="CN36" i="1" s="1"/>
  <c r="CH284" i="1"/>
  <c r="CN284" i="1" s="1"/>
  <c r="CH55" i="1"/>
  <c r="CN55" i="1" s="1"/>
  <c r="CH235" i="1"/>
  <c r="CN235" i="1" s="1"/>
  <c r="CH259" i="1"/>
  <c r="CN259" i="1" s="1"/>
  <c r="CH92" i="1"/>
  <c r="CN92" i="1" s="1"/>
  <c r="CD15" i="1"/>
  <c r="CH167" i="1"/>
  <c r="CN167" i="1" s="1"/>
  <c r="CH398" i="1"/>
  <c r="CN398" i="1" s="1"/>
  <c r="CB342" i="1"/>
  <c r="CE172" i="1"/>
  <c r="CE314" i="1"/>
  <c r="CH322" i="1"/>
  <c r="CN322" i="1" s="1"/>
  <c r="CH223" i="1"/>
  <c r="CN223" i="1" s="1"/>
  <c r="CH334" i="1"/>
  <c r="CN334" i="1" s="1"/>
  <c r="CH285" i="1"/>
  <c r="CN285" i="1" s="1"/>
  <c r="CE309" i="1"/>
  <c r="CE302" i="1"/>
  <c r="CH217" i="1"/>
  <c r="CN217" i="1" s="1"/>
  <c r="CH130" i="1"/>
  <c r="CN130" i="1" s="1"/>
  <c r="CH186" i="1"/>
  <c r="CN186" i="1" s="1"/>
  <c r="CH113" i="1"/>
  <c r="CN113" i="1" s="1"/>
  <c r="CH345" i="1"/>
  <c r="CN345" i="1" s="1"/>
  <c r="CH175" i="1"/>
  <c r="CN175" i="1" s="1"/>
  <c r="CH320" i="1"/>
  <c r="CN320" i="1" s="1"/>
  <c r="CJ180" i="1"/>
  <c r="CB144" i="1"/>
  <c r="CB276" i="1"/>
  <c r="CB251" i="1"/>
  <c r="CB270" i="1"/>
  <c r="CB113" i="1"/>
  <c r="CE257" i="1"/>
  <c r="CE75" i="1"/>
  <c r="CE170" i="1"/>
  <c r="CH374" i="1"/>
  <c r="CN374" i="1" s="1"/>
  <c r="CH332" i="1"/>
  <c r="CN332" i="1" s="1"/>
  <c r="CH136" i="1"/>
  <c r="CN136" i="1" s="1"/>
  <c r="CH306" i="1"/>
  <c r="CN306" i="1" s="1"/>
  <c r="CH242" i="1"/>
  <c r="CN242" i="1" s="1"/>
  <c r="CH91" i="1"/>
  <c r="CN91" i="1" s="1"/>
  <c r="CH218" i="1"/>
  <c r="CN218" i="1" s="1"/>
  <c r="CH72" i="1"/>
  <c r="CN72" i="1" s="1"/>
  <c r="CH133" i="1"/>
  <c r="CN133" i="1" s="1"/>
  <c r="CH90" i="1"/>
  <c r="CN90" i="1" s="1"/>
  <c r="CH264" i="1"/>
  <c r="CN264" i="1" s="1"/>
  <c r="CH297" i="1"/>
  <c r="CN297" i="1" s="1"/>
  <c r="CH126" i="1"/>
  <c r="CN126" i="1" s="1"/>
  <c r="CH300" i="1"/>
  <c r="CN300" i="1" s="1"/>
  <c r="CH335" i="1"/>
  <c r="CN335" i="1" s="1"/>
  <c r="CH94" i="1"/>
  <c r="CN94" i="1" s="1"/>
  <c r="CH52" i="1"/>
  <c r="CN52" i="1" s="1"/>
  <c r="CH166" i="1"/>
  <c r="CN166" i="1" s="1"/>
  <c r="CH290" i="1"/>
  <c r="CN290" i="1" s="1"/>
  <c r="CD43" i="1"/>
  <c r="CG124" i="1"/>
  <c r="CH13" i="1"/>
  <c r="CN13" i="1" s="1"/>
  <c r="CH38" i="1"/>
  <c r="CN38" i="1" s="1"/>
  <c r="CB111" i="1"/>
  <c r="CB323" i="1"/>
  <c r="CB313" i="1"/>
  <c r="CE322" i="1"/>
  <c r="CE349" i="1"/>
  <c r="CH110" i="1"/>
  <c r="CN110" i="1" s="1"/>
  <c r="CH256" i="1"/>
  <c r="CN256" i="1" s="1"/>
  <c r="CH159" i="1"/>
  <c r="CN159" i="1" s="1"/>
  <c r="CH182" i="1"/>
  <c r="CN182" i="1" s="1"/>
  <c r="CH152" i="1"/>
  <c r="CN152" i="1" s="1"/>
  <c r="CH120" i="1"/>
  <c r="CN120" i="1" s="1"/>
  <c r="CH336" i="1"/>
  <c r="CN336" i="1" s="1"/>
  <c r="CH74" i="1"/>
  <c r="CN74" i="1" s="1"/>
  <c r="CH212" i="1"/>
  <c r="CN212" i="1" s="1"/>
  <c r="CH318" i="1"/>
  <c r="CN318" i="1" s="1"/>
  <c r="CJ5" i="1"/>
  <c r="CB285" i="1"/>
  <c r="CB334" i="1"/>
  <c r="CB288" i="1"/>
  <c r="CB236" i="1"/>
  <c r="CB80" i="1"/>
  <c r="CB10" i="1"/>
  <c r="CB179" i="1"/>
  <c r="CB247" i="1"/>
  <c r="CB82" i="1"/>
  <c r="CB169" i="1"/>
  <c r="CE29" i="1"/>
  <c r="CE69" i="1"/>
  <c r="CE339" i="1"/>
  <c r="CE286" i="1"/>
  <c r="CE210" i="1"/>
  <c r="CE209" i="1"/>
  <c r="CE42" i="1"/>
  <c r="CE63" i="1"/>
  <c r="CE372" i="1"/>
  <c r="CE327" i="1"/>
  <c r="CE238" i="1"/>
  <c r="CE207" i="1"/>
  <c r="CE346" i="1"/>
  <c r="CD282" i="1"/>
  <c r="CG156" i="1"/>
  <c r="CH132" i="1"/>
  <c r="CN132" i="1" s="1"/>
  <c r="CH40" i="1"/>
  <c r="CN40" i="1" s="1"/>
  <c r="CH37" i="1"/>
  <c r="CN37" i="1" s="1"/>
  <c r="CB212" i="1"/>
  <c r="CJ253" i="1"/>
  <c r="CB295" i="1"/>
  <c r="CB244" i="1"/>
  <c r="CB35" i="1"/>
  <c r="CB239" i="1"/>
  <c r="CB84" i="1"/>
  <c r="CB309" i="1"/>
  <c r="CB258" i="1"/>
  <c r="CB127" i="1"/>
  <c r="CE175" i="1"/>
  <c r="CE241" i="1"/>
  <c r="CE74" i="1"/>
  <c r="CE199" i="1"/>
  <c r="CE193" i="1"/>
  <c r="CE239" i="1"/>
  <c r="CE319" i="1"/>
  <c r="CE127" i="1"/>
  <c r="CE212" i="1"/>
  <c r="CE240" i="1"/>
  <c r="CE104" i="1"/>
  <c r="CE167" i="1"/>
  <c r="CE23" i="1"/>
  <c r="CE187" i="1"/>
  <c r="CE181" i="1"/>
  <c r="CE128" i="1"/>
  <c r="CE27" i="1"/>
  <c r="CE57" i="1"/>
  <c r="CE205" i="1"/>
  <c r="CE310" i="1"/>
  <c r="CE320" i="1"/>
  <c r="CE93" i="1"/>
  <c r="CE367" i="1"/>
  <c r="CE324" i="1"/>
  <c r="CE398" i="1"/>
  <c r="CE81" i="1"/>
  <c r="CE85" i="1"/>
  <c r="CE97" i="1"/>
  <c r="CE174" i="1"/>
  <c r="CH366" i="1"/>
  <c r="CN366" i="1" s="1"/>
  <c r="CH20" i="1"/>
  <c r="CN20" i="1" s="1"/>
  <c r="CH315" i="1"/>
  <c r="CN315" i="1" s="1"/>
  <c r="CH239" i="1"/>
  <c r="CN239" i="1" s="1"/>
  <c r="CH394" i="1"/>
  <c r="CN394" i="1" s="1"/>
  <c r="CH163" i="1"/>
  <c r="CN163" i="1" s="1"/>
  <c r="CH201" i="1"/>
  <c r="CN201" i="1" s="1"/>
  <c r="CH178" i="1"/>
  <c r="CN178" i="1" s="1"/>
  <c r="CH137" i="1"/>
  <c r="CN137" i="1" s="1"/>
  <c r="CH68" i="1"/>
  <c r="CN68" i="1" s="1"/>
  <c r="CH123" i="1"/>
  <c r="CN123" i="1" s="1"/>
  <c r="CH25" i="1"/>
  <c r="CN25" i="1" s="1"/>
  <c r="CH373" i="1"/>
  <c r="CN373" i="1" s="1"/>
  <c r="CH302" i="1"/>
  <c r="CN302" i="1" s="1"/>
  <c r="CH177" i="1"/>
  <c r="CN177" i="1" s="1"/>
  <c r="CM338" i="1"/>
  <c r="CE281" i="1"/>
  <c r="CH107" i="1"/>
  <c r="CN107" i="1" s="1"/>
  <c r="CH289" i="1"/>
  <c r="CN289" i="1" s="1"/>
  <c r="CH115" i="1"/>
  <c r="CN115" i="1" s="1"/>
  <c r="CH324" i="1"/>
  <c r="CN324" i="1" s="1"/>
  <c r="CJ338" i="1"/>
  <c r="CB328" i="1"/>
  <c r="CB53" i="1"/>
  <c r="CB164" i="1"/>
  <c r="CB353" i="1"/>
  <c r="CB363" i="1"/>
  <c r="CB281" i="1"/>
  <c r="CB291" i="1"/>
  <c r="CB231" i="1"/>
  <c r="CB101" i="1"/>
  <c r="CB24" i="1"/>
  <c r="CB237" i="1"/>
  <c r="CB87" i="1"/>
  <c r="CB346" i="1"/>
  <c r="CB250" i="1"/>
  <c r="CB204" i="1"/>
  <c r="CB318" i="1"/>
  <c r="CB16" i="1"/>
  <c r="CE381" i="1"/>
  <c r="CE196" i="1"/>
  <c r="CE364" i="1"/>
  <c r="CE378" i="1"/>
  <c r="BN141" i="1"/>
  <c r="BO141" i="1" s="1"/>
  <c r="CE141" i="1"/>
  <c r="CE228" i="1"/>
  <c r="CE230" i="1"/>
  <c r="CE121" i="1"/>
  <c r="CE329" i="1"/>
  <c r="CE86" i="1"/>
  <c r="CE18" i="1"/>
  <c r="CE365" i="1"/>
  <c r="CE356" i="1"/>
  <c r="CE203" i="1"/>
  <c r="CE216" i="1"/>
  <c r="CE157" i="1"/>
  <c r="CE99" i="1"/>
  <c r="CJ269" i="1"/>
  <c r="CD180" i="1"/>
  <c r="CD253" i="1"/>
  <c r="CD5" i="1"/>
  <c r="CD338" i="1"/>
  <c r="CD368" i="1"/>
  <c r="CG253" i="1"/>
  <c r="CG273" i="1"/>
  <c r="CG384" i="1"/>
  <c r="CG371" i="1"/>
  <c r="CH158" i="1"/>
  <c r="CN158" i="1" s="1"/>
  <c r="CH271" i="1"/>
  <c r="CN271" i="1" s="1"/>
  <c r="CH261" i="1"/>
  <c r="CN261" i="1" s="1"/>
  <c r="CH396" i="1"/>
  <c r="CN396" i="1" s="1"/>
  <c r="CJ371" i="1"/>
  <c r="CB337" i="1"/>
  <c r="CB220" i="1"/>
  <c r="CB20" i="1"/>
  <c r="CB252" i="1"/>
  <c r="CB355" i="1"/>
  <c r="CB21" i="1"/>
  <c r="CB58" i="1"/>
  <c r="CB201" i="1"/>
  <c r="CB178" i="1"/>
  <c r="CB137" i="1"/>
  <c r="CB68" i="1"/>
  <c r="CB383" i="1"/>
  <c r="CB25" i="1"/>
  <c r="CB172" i="1"/>
  <c r="CB49" i="1"/>
  <c r="CB27" i="1"/>
  <c r="CB274" i="1"/>
  <c r="CE148" i="1"/>
  <c r="CE98" i="1"/>
  <c r="CE143" i="1"/>
  <c r="CE326" i="1"/>
  <c r="CE160" i="1"/>
  <c r="CJ245" i="1"/>
  <c r="CD245" i="1"/>
  <c r="CD12" i="1"/>
  <c r="CD105" i="1"/>
  <c r="CD391" i="1"/>
  <c r="CG151" i="1"/>
  <c r="CH29" i="1"/>
  <c r="CN29" i="1" s="1"/>
  <c r="CH196" i="1"/>
  <c r="CN196" i="1" s="1"/>
  <c r="CH80" i="1"/>
  <c r="CN80" i="1" s="1"/>
  <c r="CH69" i="1"/>
  <c r="CN69" i="1" s="1"/>
  <c r="CH339" i="1"/>
  <c r="CN339" i="1" s="1"/>
  <c r="CH262" i="1"/>
  <c r="CN262" i="1" s="1"/>
  <c r="CH46" i="1"/>
  <c r="CN46" i="1" s="1"/>
  <c r="CH198" i="1"/>
  <c r="CN198" i="1" s="1"/>
  <c r="CH98" i="1"/>
  <c r="CN98" i="1" s="1"/>
  <c r="CH241" i="1"/>
  <c r="CN241" i="1" s="1"/>
  <c r="CH286" i="1"/>
  <c r="CN286" i="1" s="1"/>
  <c r="CH88" i="1"/>
  <c r="CN88" i="1" s="1"/>
  <c r="CH210" i="1"/>
  <c r="CN210" i="1" s="1"/>
  <c r="CH329" i="1"/>
  <c r="CN329" i="1" s="1"/>
  <c r="CH86" i="1"/>
  <c r="CN86" i="1" s="1"/>
  <c r="CH209" i="1"/>
  <c r="CN209" i="1" s="1"/>
  <c r="CH356" i="1"/>
  <c r="CN356" i="1" s="1"/>
  <c r="CH203" i="1"/>
  <c r="CN203" i="1" s="1"/>
  <c r="CH157" i="1"/>
  <c r="CN157" i="1" s="1"/>
  <c r="CH154" i="1"/>
  <c r="CN154" i="1" s="1"/>
  <c r="CH99" i="1"/>
  <c r="CN99" i="1" s="1"/>
  <c r="CH372" i="1"/>
  <c r="CN372" i="1" s="1"/>
  <c r="CH238" i="1"/>
  <c r="CN238" i="1" s="1"/>
  <c r="CH207" i="1"/>
  <c r="CN207" i="1" s="1"/>
  <c r="CH346" i="1"/>
  <c r="CN346" i="1" s="1"/>
  <c r="CH170" i="1"/>
  <c r="CN170" i="1" s="1"/>
  <c r="CM253" i="1"/>
  <c r="CH18" i="1"/>
  <c r="CN18" i="1" s="1"/>
  <c r="CH140" i="1"/>
  <c r="CN140" i="1" s="1"/>
  <c r="CH42" i="1"/>
  <c r="CN42" i="1" s="1"/>
  <c r="CH171" i="1"/>
  <c r="CN171" i="1" s="1"/>
  <c r="CH216" i="1"/>
  <c r="CN216" i="1" s="1"/>
  <c r="CH200" i="1"/>
  <c r="CN200" i="1" s="1"/>
  <c r="CH327" i="1"/>
  <c r="CN327" i="1" s="1"/>
  <c r="CH257" i="1"/>
  <c r="CN257" i="1" s="1"/>
  <c r="CH75" i="1"/>
  <c r="CN75" i="1" s="1"/>
  <c r="CB308" i="1"/>
  <c r="CB158" i="1"/>
  <c r="CB132" i="1"/>
  <c r="CB89" i="1"/>
  <c r="CB224" i="1"/>
  <c r="CB271" i="1"/>
  <c r="CB40" i="1"/>
  <c r="CB47" i="1"/>
  <c r="CB272" i="1"/>
  <c r="CB165" i="1"/>
  <c r="CB254" i="1"/>
  <c r="CB153" i="1"/>
  <c r="CB261" i="1"/>
  <c r="CB54" i="1"/>
  <c r="CB396" i="1"/>
  <c r="CB226" i="1"/>
  <c r="CB275" i="1"/>
  <c r="CB78" i="1"/>
  <c r="CB134" i="1"/>
  <c r="CB317" i="1"/>
  <c r="CB395" i="1"/>
  <c r="CB341" i="1"/>
  <c r="CB325" i="1"/>
  <c r="CB114" i="1"/>
  <c r="CB197" i="1"/>
  <c r="CB138" i="1"/>
  <c r="CB119" i="1"/>
  <c r="CB390" i="1"/>
  <c r="CB187" i="1"/>
  <c r="CB330" i="1"/>
  <c r="CB301" i="1"/>
  <c r="CB380" i="1"/>
  <c r="CB37" i="1"/>
  <c r="CB122" i="1"/>
  <c r="CE110" i="1"/>
  <c r="CE32" i="1"/>
  <c r="CE232" i="1"/>
  <c r="CE142" i="1"/>
  <c r="CE217" i="1"/>
  <c r="CE67" i="1"/>
  <c r="CE36" i="1"/>
  <c r="CE256" i="1"/>
  <c r="CE227" i="1"/>
  <c r="CE55" i="1"/>
  <c r="CE159" i="1"/>
  <c r="CE312" i="1"/>
  <c r="CE125" i="1"/>
  <c r="CE76" i="1"/>
  <c r="CE95" i="1"/>
  <c r="CE182" i="1"/>
  <c r="CE283" i="1"/>
  <c r="CE152" i="1"/>
  <c r="CE235" i="1"/>
  <c r="CE130" i="1"/>
  <c r="CE259" i="1"/>
  <c r="CE213" i="1"/>
  <c r="CE289" i="1"/>
  <c r="CE92" i="1"/>
  <c r="CE120" i="1"/>
  <c r="CE9" i="1"/>
  <c r="CE279" i="1"/>
  <c r="CE131" i="1"/>
  <c r="CE334" i="1"/>
  <c r="CE223" i="1"/>
  <c r="CE255" i="1"/>
  <c r="CE354" i="1"/>
  <c r="CE369" i="1"/>
  <c r="CE336" i="1"/>
  <c r="CE129" i="1"/>
  <c r="CE115" i="1"/>
  <c r="CE77" i="1"/>
  <c r="CE345" i="1"/>
  <c r="CE102" i="1"/>
  <c r="CE28" i="1"/>
  <c r="CE215" i="1"/>
  <c r="CE236" i="1"/>
  <c r="CH328" i="1"/>
  <c r="CN328" i="1" s="1"/>
  <c r="CH155" i="1"/>
  <c r="CN155" i="1" s="1"/>
  <c r="CH16" i="1"/>
  <c r="CN16" i="1" s="1"/>
  <c r="CH60" i="1"/>
  <c r="CN60" i="1" s="1"/>
  <c r="CH353" i="1"/>
  <c r="CN353" i="1" s="1"/>
  <c r="CH281" i="1"/>
  <c r="CN281" i="1" s="1"/>
  <c r="CH291" i="1"/>
  <c r="CN291" i="1" s="1"/>
  <c r="CH298" i="1"/>
  <c r="CN298" i="1" s="1"/>
  <c r="CH3" i="1"/>
  <c r="CN3" i="1" s="1"/>
  <c r="CH101" i="1"/>
  <c r="CN101" i="1" s="1"/>
  <c r="CH226" i="1"/>
  <c r="CN226" i="1" s="1"/>
  <c r="CH134" i="1"/>
  <c r="CN134" i="1" s="1"/>
  <c r="CH395" i="1"/>
  <c r="CN395" i="1" s="1"/>
  <c r="CH341" i="1"/>
  <c r="CN341" i="1" s="1"/>
  <c r="CH325" i="1"/>
  <c r="CN325" i="1" s="1"/>
  <c r="CH319" i="1"/>
  <c r="CN319" i="1" s="1"/>
  <c r="CH340" i="1"/>
  <c r="CN340" i="1" s="1"/>
  <c r="CH390" i="1"/>
  <c r="CN390" i="1" s="1"/>
  <c r="CH301" i="1"/>
  <c r="CN301" i="1" s="1"/>
  <c r="CH247" i="1"/>
  <c r="CN247" i="1" s="1"/>
  <c r="CH380" i="1"/>
  <c r="CN380" i="1" s="1"/>
  <c r="CH59" i="1"/>
  <c r="CN59" i="1" s="1"/>
  <c r="CH148" i="1"/>
  <c r="CN148" i="1" s="1"/>
  <c r="CH122" i="1"/>
  <c r="CN122" i="1" s="1"/>
  <c r="CB326" i="1"/>
  <c r="CB74" i="1"/>
  <c r="CB104" i="1"/>
  <c r="CB23" i="1"/>
  <c r="CB195" i="1"/>
  <c r="CB93" i="1"/>
  <c r="CB284" i="1"/>
  <c r="CE353" i="1"/>
  <c r="CE304" i="1"/>
  <c r="CE82" i="1"/>
  <c r="CH237" i="1"/>
  <c r="CN237" i="1" s="1"/>
  <c r="CD124" i="1"/>
  <c r="CG189" i="1"/>
  <c r="CG331" i="1"/>
  <c r="CG388" i="1"/>
  <c r="CH326" i="1"/>
  <c r="CN326" i="1" s="1"/>
  <c r="CH193" i="1"/>
  <c r="CN193" i="1" s="1"/>
  <c r="CH127" i="1"/>
  <c r="CN127" i="1" s="1"/>
  <c r="CH197" i="1"/>
  <c r="CN197" i="1" s="1"/>
  <c r="CH240" i="1"/>
  <c r="CN240" i="1" s="1"/>
  <c r="CH23" i="1"/>
  <c r="CN23" i="1" s="1"/>
  <c r="CH187" i="1"/>
  <c r="CN187" i="1" s="1"/>
  <c r="CH57" i="1"/>
  <c r="CN57" i="1" s="1"/>
  <c r="CH56" i="1"/>
  <c r="CN56" i="1" s="1"/>
  <c r="CH93" i="1"/>
  <c r="CN93" i="1" s="1"/>
  <c r="CH367" i="1"/>
  <c r="CN367" i="1" s="1"/>
  <c r="CH174" i="1"/>
  <c r="CN174" i="1" s="1"/>
  <c r="CD379" i="1"/>
  <c r="CH362" i="1"/>
  <c r="CN362" i="1" s="1"/>
  <c r="CH73" i="1"/>
  <c r="CN73" i="1" s="1"/>
  <c r="CH243" i="1"/>
  <c r="CN243" i="1" s="1"/>
  <c r="CH288" i="1"/>
  <c r="CN288" i="1" s="1"/>
  <c r="CH352" i="1"/>
  <c r="CN352" i="1" s="1"/>
  <c r="CH108" i="1"/>
  <c r="CN108" i="1" s="1"/>
  <c r="CH30" i="1"/>
  <c r="CN30" i="1" s="1"/>
  <c r="CH225" i="1"/>
  <c r="CN225" i="1" s="1"/>
  <c r="CH6" i="1"/>
  <c r="CN6" i="1" s="1"/>
  <c r="CH350" i="1"/>
  <c r="CN350" i="1" s="1"/>
  <c r="CH79" i="1"/>
  <c r="CN79" i="1" s="1"/>
  <c r="CM269" i="1"/>
  <c r="CM105" i="1"/>
  <c r="CD34" i="1"/>
  <c r="CJ282" i="1"/>
  <c r="CD371" i="1"/>
  <c r="CG368" i="1"/>
  <c r="CH296" i="1"/>
  <c r="CN296" i="1" s="1"/>
  <c r="CB174" i="1"/>
  <c r="CE328" i="1"/>
  <c r="CE53" i="1"/>
  <c r="CE144" i="1"/>
  <c r="CE316" i="1"/>
  <c r="CE164" i="1"/>
  <c r="CE276" i="1"/>
  <c r="CE363" i="1"/>
  <c r="CE202" i="1"/>
  <c r="CE83" i="1"/>
  <c r="CE251" i="1"/>
  <c r="CE377" i="1"/>
  <c r="CE285" i="1"/>
  <c r="CE270" i="1"/>
  <c r="CE288" i="1"/>
  <c r="CE3" i="1"/>
  <c r="CE24" i="1"/>
  <c r="CE80" i="1"/>
  <c r="CE344" i="1"/>
  <c r="CE177" i="1"/>
  <c r="CE113" i="1"/>
  <c r="CE237" i="1"/>
  <c r="CE214" i="1"/>
  <c r="CE247" i="1"/>
  <c r="CE19" i="1"/>
  <c r="CE250" i="1"/>
  <c r="CE16" i="1"/>
  <c r="CH144" i="1"/>
  <c r="CN144" i="1" s="1"/>
  <c r="CH316" i="1"/>
  <c r="CN316" i="1" s="1"/>
  <c r="CH276" i="1"/>
  <c r="CN276" i="1" s="1"/>
  <c r="CH363" i="1"/>
  <c r="CN363" i="1" s="1"/>
  <c r="CH83" i="1"/>
  <c r="CN83" i="1" s="1"/>
  <c r="CH377" i="1"/>
  <c r="CN377" i="1" s="1"/>
  <c r="CH304" i="1"/>
  <c r="CN304" i="1" s="1"/>
  <c r="CH236" i="1"/>
  <c r="CN236" i="1" s="1"/>
  <c r="CH24" i="1"/>
  <c r="CN24" i="1" s="1"/>
  <c r="CH344" i="1"/>
  <c r="CN344" i="1" s="1"/>
  <c r="CH204" i="1"/>
  <c r="CN204" i="1" s="1"/>
  <c r="CH28" i="1"/>
  <c r="CN28" i="1" s="1"/>
  <c r="CM359" i="1"/>
  <c r="CJ368" i="1"/>
  <c r="CJ14" i="1"/>
  <c r="CJ34" i="1"/>
  <c r="CG245" i="1"/>
  <c r="CG12" i="1"/>
  <c r="CG391" i="1"/>
  <c r="CH143" i="1"/>
  <c r="CN143" i="1" s="1"/>
  <c r="CH287" i="1"/>
  <c r="CN287" i="1" s="1"/>
  <c r="CH199" i="1"/>
  <c r="CN199" i="1" s="1"/>
  <c r="CH71" i="1"/>
  <c r="CN71" i="1" s="1"/>
  <c r="CH165" i="1"/>
  <c r="CN165" i="1" s="1"/>
  <c r="CH205" i="1"/>
  <c r="CN205" i="1" s="1"/>
  <c r="CH310" i="1"/>
  <c r="CN310" i="1" s="1"/>
  <c r="CH81" i="1"/>
  <c r="CN81" i="1" s="1"/>
  <c r="CH97" i="1"/>
  <c r="CN97" i="1" s="1"/>
  <c r="CJ219" i="1"/>
  <c r="CG359" i="1"/>
  <c r="CG105" i="1"/>
  <c r="CH246" i="1"/>
  <c r="CN246" i="1" s="1"/>
  <c r="CH303" i="1"/>
  <c r="CN303" i="1" s="1"/>
  <c r="CH192" i="1"/>
  <c r="CN192" i="1" s="1"/>
  <c r="CH294" i="1"/>
  <c r="CN294" i="1" s="1"/>
  <c r="CH393" i="1"/>
  <c r="CN393" i="1" s="1"/>
  <c r="CH305" i="1"/>
  <c r="CN305" i="1" s="1"/>
  <c r="CH208" i="1"/>
  <c r="CN208" i="1" s="1"/>
  <c r="CH221" i="1"/>
  <c r="CN221" i="1" s="1"/>
  <c r="CH17" i="1"/>
  <c r="CN17" i="1" s="1"/>
  <c r="CH231" i="1"/>
  <c r="CN231" i="1" s="1"/>
  <c r="CH10" i="1"/>
  <c r="CN10" i="1" s="1"/>
  <c r="CH214" i="1"/>
  <c r="CN214" i="1" s="1"/>
  <c r="CH250" i="1"/>
  <c r="CN250" i="1" s="1"/>
  <c r="CH169" i="1"/>
  <c r="CN169" i="1" s="1"/>
  <c r="CM14" i="1"/>
  <c r="CM368" i="1"/>
  <c r="CM34" i="1"/>
  <c r="BN99" i="1"/>
  <c r="BO99" i="1" s="1"/>
  <c r="BJ262" i="1"/>
  <c r="BK262" i="1" s="1"/>
  <c r="BJ117" i="1"/>
  <c r="BK117" i="1" s="1"/>
  <c r="BN375" i="1"/>
  <c r="BO375" i="1" s="1"/>
  <c r="BN261" i="1"/>
  <c r="BO261" i="1" s="1"/>
  <c r="BN64" i="1"/>
  <c r="BO64" i="1" s="1"/>
  <c r="BN352" i="1"/>
  <c r="BO352" i="1" s="1"/>
  <c r="BJ196" i="1"/>
  <c r="BK196" i="1" s="1"/>
  <c r="BN268" i="1"/>
  <c r="BO268" i="1" s="1"/>
  <c r="BJ381" i="1"/>
  <c r="BK381" i="1" s="1"/>
  <c r="BJ170" i="1"/>
  <c r="BK170" i="1" s="1"/>
  <c r="BN116" i="1"/>
  <c r="BO116" i="1" s="1"/>
  <c r="BR298" i="1"/>
  <c r="BS298" i="1" s="1"/>
  <c r="BR177" i="1"/>
  <c r="BS177" i="1" s="1"/>
  <c r="BJ22" i="1"/>
  <c r="BK22" i="1" s="1"/>
  <c r="BN220" i="1"/>
  <c r="BO220" i="1" s="1"/>
  <c r="BN355" i="1"/>
  <c r="BO355" i="1" s="1"/>
  <c r="BN163" i="1"/>
  <c r="BO163" i="1" s="1"/>
  <c r="BN293" i="1"/>
  <c r="BO293" i="1" s="1"/>
  <c r="BN392" i="1"/>
  <c r="BR76" i="1"/>
  <c r="BS76" i="1" s="1"/>
  <c r="BJ59" i="1"/>
  <c r="BK59" i="1" s="1"/>
  <c r="BJ306" i="1"/>
  <c r="BK306" i="1" s="1"/>
  <c r="BN145" i="1"/>
  <c r="BO145" i="1" s="1"/>
  <c r="BN128" i="1"/>
  <c r="BO128" i="1" s="1"/>
  <c r="BN212" i="1"/>
  <c r="BO212" i="1" s="1"/>
  <c r="BJ37" i="1"/>
  <c r="BK37" i="1" s="1"/>
  <c r="BN142" i="1"/>
  <c r="BO142" i="1" s="1"/>
  <c r="BJ313" i="1"/>
  <c r="BK313" i="1" s="1"/>
  <c r="BN256" i="1"/>
  <c r="BO256" i="1" s="1"/>
  <c r="BR271" i="1"/>
  <c r="BS271" i="1" s="1"/>
  <c r="BN165" i="1"/>
  <c r="BO165" i="1" s="1"/>
  <c r="BJ226" i="1"/>
  <c r="BK226" i="1" s="1"/>
  <c r="BN215" i="1"/>
  <c r="BO215" i="1" s="1"/>
  <c r="BN97" i="1"/>
  <c r="BO97" i="1" s="1"/>
  <c r="BN102" i="1"/>
  <c r="BO102" i="1" s="1"/>
  <c r="BJ316" i="1"/>
  <c r="BK316" i="1" s="1"/>
  <c r="BJ53" i="1"/>
  <c r="BK53" i="1" s="1"/>
  <c r="BJ229" i="1"/>
  <c r="BK229" i="1" s="1"/>
  <c r="BJ66" i="1"/>
  <c r="BK66" i="1" s="1"/>
  <c r="BR398" i="1"/>
  <c r="BS398" i="1" s="1"/>
  <c r="BJ160" i="1"/>
  <c r="BK160" i="1" s="1"/>
  <c r="BJ326" i="1"/>
  <c r="BK326" i="1" s="1"/>
  <c r="BJ109" i="1"/>
  <c r="BK109" i="1" s="1"/>
  <c r="BN53" i="1"/>
  <c r="BO53" i="1" s="1"/>
  <c r="BJ256" i="1"/>
  <c r="BK256" i="1" s="1"/>
  <c r="BJ195" i="1"/>
  <c r="BK195" i="1" s="1"/>
  <c r="BR346" i="1"/>
  <c r="BS346" i="1" s="1"/>
  <c r="BN148" i="1"/>
  <c r="BO148" i="1" s="1"/>
  <c r="BR319" i="1"/>
  <c r="BS319" i="1" s="1"/>
  <c r="BN303" i="1"/>
  <c r="BO303" i="1" s="1"/>
  <c r="BN301" i="1"/>
  <c r="BO301" i="1" s="1"/>
  <c r="BN258" i="1"/>
  <c r="BO258" i="1" s="1"/>
  <c r="BN114" i="1"/>
  <c r="BO114" i="1" s="1"/>
  <c r="BR242" i="1"/>
  <c r="BS242" i="1" s="1"/>
  <c r="BR124" i="1"/>
  <c r="BS124" i="1" s="1"/>
  <c r="BR127" i="1"/>
  <c r="BS127" i="1" s="1"/>
  <c r="BN370" i="1"/>
  <c r="BO370" i="1" s="1"/>
  <c r="BN13" i="1"/>
  <c r="BO13" i="1" s="1"/>
  <c r="BR362" i="1"/>
  <c r="BS362" i="1" s="1"/>
  <c r="BR40" i="1"/>
  <c r="BS40" i="1" s="1"/>
  <c r="BN75" i="1"/>
  <c r="BO75" i="1" s="1"/>
  <c r="BR42" i="1"/>
  <c r="BS42" i="1" s="1"/>
  <c r="BR266" i="1"/>
  <c r="BS266" i="1" s="1"/>
  <c r="BN206" i="1"/>
  <c r="BO206" i="1" s="1"/>
  <c r="BR287" i="1"/>
  <c r="BS287" i="1" s="1"/>
  <c r="BR149" i="1"/>
  <c r="BS149" i="1" s="1"/>
  <c r="BR198" i="1"/>
  <c r="BS198" i="1" s="1"/>
  <c r="BR379" i="1"/>
  <c r="BS379" i="1" s="1"/>
  <c r="BN283" i="1"/>
  <c r="BO283" i="1" s="1"/>
  <c r="BJ174" i="1"/>
  <c r="BK174" i="1" s="1"/>
  <c r="BJ393" i="1"/>
  <c r="BK393" i="1" s="1"/>
  <c r="BR17" i="1"/>
  <c r="BS17" i="1" s="1"/>
  <c r="BN98" i="1"/>
  <c r="BO98" i="1" s="1"/>
  <c r="BJ375" i="1"/>
  <c r="BK375" i="1" s="1"/>
  <c r="BJ319" i="1"/>
  <c r="BK319" i="1" s="1"/>
  <c r="BJ249" i="1"/>
  <c r="BK249" i="1" s="1"/>
  <c r="BJ134" i="1"/>
  <c r="BK134" i="1" s="1"/>
  <c r="BJ30" i="1"/>
  <c r="BK30" i="1" s="1"/>
  <c r="BN269" i="1"/>
  <c r="BO269" i="1" s="1"/>
  <c r="BN328" i="1"/>
  <c r="BO328" i="1" s="1"/>
  <c r="BN385" i="1"/>
  <c r="BO385" i="1" s="1"/>
  <c r="BN337" i="1"/>
  <c r="BO337" i="1" s="1"/>
  <c r="BN237" i="1"/>
  <c r="BO237" i="1" s="1"/>
  <c r="BN296" i="1"/>
  <c r="BO296" i="1" s="1"/>
  <c r="BN230" i="1"/>
  <c r="BO230" i="1" s="1"/>
  <c r="BJ388" i="1"/>
  <c r="BK388" i="1" s="1"/>
  <c r="BJ56" i="1"/>
  <c r="BK56" i="1" s="1"/>
  <c r="BJ253" i="1"/>
  <c r="BK253" i="1" s="1"/>
  <c r="BJ130" i="1"/>
  <c r="BK130" i="1" s="1"/>
  <c r="BJ291" i="1"/>
  <c r="BK291" i="1" s="1"/>
  <c r="BR294" i="1"/>
  <c r="BS294" i="1" s="1"/>
  <c r="BN82" i="1"/>
  <c r="BO82" i="1" s="1"/>
  <c r="BN395" i="1"/>
  <c r="BO395" i="1" s="1"/>
  <c r="BJ238" i="1"/>
  <c r="BK238" i="1" s="1"/>
  <c r="BJ228" i="1"/>
  <c r="BK228" i="1" s="1"/>
  <c r="BR316" i="1"/>
  <c r="BS316" i="1" s="1"/>
  <c r="BR322" i="1"/>
  <c r="BS322" i="1" s="1"/>
  <c r="BJ227" i="1"/>
  <c r="BK227" i="1" s="1"/>
  <c r="BN55" i="1"/>
  <c r="BO55" i="1" s="1"/>
  <c r="BN331" i="1"/>
  <c r="BO331" i="1" s="1"/>
  <c r="BN17" i="1"/>
  <c r="BO17" i="1" s="1"/>
  <c r="BN274" i="1"/>
  <c r="BO274" i="1" s="1"/>
  <c r="BR31" i="1"/>
  <c r="BS31" i="1" s="1"/>
  <c r="BN103" i="1"/>
  <c r="BO103" i="1" s="1"/>
  <c r="BN60" i="1"/>
  <c r="BO60" i="1" s="1"/>
  <c r="BN275" i="1"/>
  <c r="BO275" i="1" s="1"/>
  <c r="BR329" i="1"/>
  <c r="BS329" i="1" s="1"/>
  <c r="BN232" i="1"/>
  <c r="BO232" i="1" s="1"/>
  <c r="BN243" i="1"/>
  <c r="BO243" i="1" s="1"/>
  <c r="BR256" i="1"/>
  <c r="BS256" i="1" s="1"/>
  <c r="BN40" i="1"/>
  <c r="BO40" i="1" s="1"/>
  <c r="BN179" i="1"/>
  <c r="BO179" i="1" s="1"/>
  <c r="BR295" i="1"/>
  <c r="BS295" i="1" s="1"/>
  <c r="BR25" i="1"/>
  <c r="BS25" i="1" s="1"/>
  <c r="BJ91" i="1"/>
  <c r="BK91" i="1" s="1"/>
  <c r="BN47" i="1"/>
  <c r="BO47" i="1" s="1"/>
  <c r="BJ271" i="1"/>
  <c r="BK271" i="1" s="1"/>
  <c r="BJ162" i="1"/>
  <c r="BK162" i="1" s="1"/>
  <c r="BJ179" i="1"/>
  <c r="BK179" i="1" s="1"/>
  <c r="BN119" i="1"/>
  <c r="BO119" i="1" s="1"/>
  <c r="BR41" i="1"/>
  <c r="BS41" i="1" s="1"/>
  <c r="BR370" i="1"/>
  <c r="BS370" i="1" s="1"/>
  <c r="BR166" i="1"/>
  <c r="BS166" i="1" s="1"/>
  <c r="BR289" i="1"/>
  <c r="BS289" i="1" s="1"/>
  <c r="BR240" i="1"/>
  <c r="BS240" i="1" s="1"/>
  <c r="BR280" i="1"/>
  <c r="BS280" i="1" s="1"/>
  <c r="BR334" i="1"/>
  <c r="BS334" i="1" s="1"/>
  <c r="BN219" i="1"/>
  <c r="BO219" i="1" s="1"/>
  <c r="BJ110" i="1"/>
  <c r="BK110" i="1" s="1"/>
  <c r="BR386" i="1"/>
  <c r="BS386" i="1" s="1"/>
  <c r="BJ276" i="1"/>
  <c r="BK276" i="1" s="1"/>
  <c r="BJ273" i="1"/>
  <c r="BK273" i="1" s="1"/>
  <c r="BN35" i="1"/>
  <c r="BO35" i="1" s="1"/>
  <c r="BN24" i="1"/>
  <c r="BO24" i="1" s="1"/>
  <c r="BN27" i="1"/>
  <c r="BO27" i="1" s="1"/>
  <c r="BJ372" i="1"/>
  <c r="BK372" i="1" s="1"/>
  <c r="BJ270" i="1"/>
  <c r="BK270" i="1" s="1"/>
  <c r="BJ129" i="1"/>
  <c r="BK129" i="1" s="1"/>
  <c r="BN207" i="1"/>
  <c r="BO207" i="1" s="1"/>
  <c r="BJ102" i="1"/>
  <c r="BK102" i="1" s="1"/>
  <c r="BJ173" i="1"/>
  <c r="BK173" i="1" s="1"/>
  <c r="BJ363" i="1"/>
  <c r="BK363" i="1" s="1"/>
  <c r="BN23" i="1"/>
  <c r="BO23" i="1" s="1"/>
  <c r="BN193" i="1"/>
  <c r="BO193" i="1" s="1"/>
  <c r="BJ241" i="1"/>
  <c r="BK241" i="1" s="1"/>
  <c r="BN112" i="1"/>
  <c r="BO112" i="1" s="1"/>
  <c r="BN192" i="1"/>
  <c r="BO192" i="1" s="1"/>
  <c r="BJ139" i="1"/>
  <c r="BK139" i="1" s="1"/>
  <c r="BJ284" i="1"/>
  <c r="BK284" i="1" s="1"/>
  <c r="BJ221" i="1"/>
  <c r="BK221" i="1" s="1"/>
  <c r="BJ210" i="1"/>
  <c r="BK210" i="1" s="1"/>
  <c r="BN37" i="1"/>
  <c r="BO37" i="1" s="1"/>
  <c r="BR244" i="1"/>
  <c r="BS244" i="1" s="1"/>
  <c r="BR344" i="1"/>
  <c r="BS344" i="1" s="1"/>
  <c r="BN155" i="1"/>
  <c r="BO155" i="1" s="1"/>
  <c r="BN311" i="1"/>
  <c r="BO311" i="1" s="1"/>
  <c r="BN376" i="1"/>
  <c r="BO376" i="1" s="1"/>
  <c r="BN106" i="1"/>
  <c r="BO106" i="1" s="1"/>
  <c r="BN373" i="1"/>
  <c r="BO373" i="1" s="1"/>
  <c r="BR188" i="1"/>
  <c r="BS188" i="1" s="1"/>
  <c r="BR269" i="1"/>
  <c r="BS269" i="1" s="1"/>
  <c r="BJ260" i="1"/>
  <c r="BK260" i="1" s="1"/>
  <c r="BJ222" i="1"/>
  <c r="BK222" i="1" s="1"/>
  <c r="BJ3" i="1"/>
  <c r="BK3" i="1" s="1"/>
  <c r="BN189" i="1"/>
  <c r="BO189" i="1" s="1"/>
  <c r="BN374" i="1"/>
  <c r="BO374" i="1" s="1"/>
  <c r="BJ106" i="1"/>
  <c r="BK106" i="1" s="1"/>
  <c r="BN71" i="1"/>
  <c r="BO71" i="1" s="1"/>
  <c r="BN390" i="1"/>
  <c r="BO390" i="1" s="1"/>
  <c r="BN49" i="1"/>
  <c r="BO49" i="1" s="1"/>
  <c r="BN62" i="1"/>
  <c r="BO62" i="1" s="1"/>
  <c r="BN262" i="1"/>
  <c r="BO262" i="1" s="1"/>
  <c r="BJ362" i="1"/>
  <c r="BK362" i="1" s="1"/>
  <c r="BN316" i="1"/>
  <c r="BO316" i="1" s="1"/>
  <c r="BJ245" i="1"/>
  <c r="BK245" i="1" s="1"/>
  <c r="BJ360" i="1"/>
  <c r="BK360" i="1" s="1"/>
  <c r="BN160" i="1"/>
  <c r="BO160" i="1" s="1"/>
  <c r="BJ233" i="1"/>
  <c r="BK233" i="1" s="1"/>
  <c r="BN90" i="1"/>
  <c r="BO90" i="1" s="1"/>
  <c r="BR217" i="1"/>
  <c r="BS217" i="1" s="1"/>
  <c r="BN143" i="1"/>
  <c r="BO143" i="1" s="1"/>
  <c r="BN164" i="1"/>
  <c r="BO164" i="1" s="1"/>
  <c r="BJ268" i="1"/>
  <c r="BK268" i="1" s="1"/>
  <c r="BJ124" i="1"/>
  <c r="BK124" i="1" s="1"/>
  <c r="BN320" i="1"/>
  <c r="BO320" i="1" s="1"/>
  <c r="BN48" i="1"/>
  <c r="BO48" i="1" s="1"/>
  <c r="BJ218" i="1"/>
  <c r="BK218" i="1" s="1"/>
  <c r="BJ133" i="1"/>
  <c r="BK133" i="1" s="1"/>
  <c r="BJ259" i="1"/>
  <c r="BK259" i="1" s="1"/>
  <c r="BN266" i="1"/>
  <c r="BO266" i="1" s="1"/>
  <c r="BJ203" i="1"/>
  <c r="BK203" i="1" s="1"/>
  <c r="BN343" i="1"/>
  <c r="BO343" i="1" s="1"/>
  <c r="BR193" i="1"/>
  <c r="BS193" i="1" s="1"/>
  <c r="BR141" i="1"/>
  <c r="BS141" i="1" s="1"/>
  <c r="BR93" i="1"/>
  <c r="BS93" i="1" s="1"/>
  <c r="BR58" i="1"/>
  <c r="BS58" i="1" s="1"/>
  <c r="BR282" i="1"/>
  <c r="BS282" i="1" s="1"/>
  <c r="BR172" i="1"/>
  <c r="BS172" i="1" s="1"/>
  <c r="BR371" i="1"/>
  <c r="BS371" i="1" s="1"/>
  <c r="BN299" i="1"/>
  <c r="BO299" i="1" s="1"/>
  <c r="BN147" i="1"/>
  <c r="BO147" i="1" s="1"/>
  <c r="BJ343" i="1"/>
  <c r="BK343" i="1" s="1"/>
  <c r="BN104" i="1"/>
  <c r="BO104" i="1" s="1"/>
  <c r="BN265" i="1"/>
  <c r="BO265" i="1" s="1"/>
  <c r="BJ13" i="1"/>
  <c r="BK13" i="1" s="1"/>
  <c r="BN317" i="1"/>
  <c r="BO317" i="1" s="1"/>
  <c r="BN177" i="1"/>
  <c r="BO177" i="1" s="1"/>
  <c r="BN169" i="1"/>
  <c r="BO169" i="1" s="1"/>
  <c r="BJ155" i="1"/>
  <c r="BK155" i="1" s="1"/>
  <c r="BN11" i="1"/>
  <c r="BO11" i="1" s="1"/>
  <c r="BJ60" i="1"/>
  <c r="BK60" i="1" s="1"/>
  <c r="BJ50" i="1"/>
  <c r="BK50" i="1" s="1"/>
  <c r="BJ78" i="1"/>
  <c r="BK78" i="1" s="1"/>
  <c r="BN361" i="1"/>
  <c r="BO361" i="1" s="1"/>
  <c r="BN327" i="1"/>
  <c r="BO327" i="1" s="1"/>
  <c r="BN121" i="1"/>
  <c r="BO121" i="1" s="1"/>
  <c r="BR376" i="1"/>
  <c r="BS376" i="1" s="1"/>
  <c r="BR375" i="1"/>
  <c r="BS375" i="1" s="1"/>
  <c r="BR192" i="1"/>
  <c r="BS192" i="1" s="1"/>
  <c r="BR206" i="1"/>
  <c r="BS206" i="1" s="1"/>
  <c r="BR297" i="1"/>
  <c r="BS297" i="1" s="1"/>
  <c r="BN175" i="1"/>
  <c r="BO175" i="1" s="1"/>
  <c r="BJ144" i="1"/>
  <c r="BK144" i="1" s="1"/>
  <c r="BJ265" i="1"/>
  <c r="BK265" i="1" s="1"/>
  <c r="BJ15" i="1"/>
  <c r="BK15" i="1" s="1"/>
  <c r="BJ329" i="1"/>
  <c r="BK329" i="1" s="1"/>
  <c r="BN326" i="1"/>
  <c r="BO326" i="1" s="1"/>
  <c r="BN154" i="1"/>
  <c r="BO154" i="1" s="1"/>
  <c r="BJ23" i="1"/>
  <c r="BK23" i="1" s="1"/>
  <c r="BJ191" i="1"/>
  <c r="BK191" i="1" s="1"/>
  <c r="BN58" i="1"/>
  <c r="BO58" i="1" s="1"/>
  <c r="BJ317" i="1"/>
  <c r="BK317" i="1" s="1"/>
  <c r="BN7" i="1"/>
  <c r="BO7" i="1" s="1"/>
  <c r="BR381" i="1"/>
  <c r="BS381" i="1" s="1"/>
  <c r="BN245" i="1"/>
  <c r="BO245" i="1" s="1"/>
  <c r="BN183" i="1"/>
  <c r="BO183" i="1" s="1"/>
  <c r="BN158" i="1"/>
  <c r="BO158" i="1" s="1"/>
  <c r="BJ332" i="1"/>
  <c r="BK332" i="1" s="1"/>
  <c r="BN161" i="1"/>
  <c r="BO161" i="1" s="1"/>
  <c r="BN353" i="1"/>
  <c r="BO353" i="1" s="1"/>
  <c r="BJ165" i="1"/>
  <c r="BK165" i="1" s="1"/>
  <c r="BJ19" i="1"/>
  <c r="BK19" i="1" s="1"/>
  <c r="BJ183" i="1"/>
  <c r="BK183" i="1" s="1"/>
  <c r="BN68" i="1"/>
  <c r="BO68" i="1" s="1"/>
  <c r="BN9" i="1"/>
  <c r="BO9" i="1" s="1"/>
  <c r="BJ77" i="1"/>
  <c r="BK77" i="1" s="1"/>
  <c r="BN208" i="1"/>
  <c r="BO208" i="1" s="1"/>
  <c r="BR53" i="1"/>
  <c r="BS53" i="1" s="1"/>
  <c r="BR130" i="1"/>
  <c r="BS130" i="1" s="1"/>
  <c r="BJ73" i="1"/>
  <c r="BK73" i="1" s="1"/>
  <c r="BJ290" i="1"/>
  <c r="BK290" i="1" s="1"/>
  <c r="BN54" i="1"/>
  <c r="BO54" i="1" s="1"/>
  <c r="BR390" i="1"/>
  <c r="BS390" i="1" s="1"/>
  <c r="BR56" i="1"/>
  <c r="BS56" i="1" s="1"/>
  <c r="BR234" i="1"/>
  <c r="BS234" i="1" s="1"/>
  <c r="BR396" i="1"/>
  <c r="BS396" i="1" s="1"/>
  <c r="BN185" i="1"/>
  <c r="BO185" i="1" s="1"/>
  <c r="BN295" i="1"/>
  <c r="BO295" i="1" s="1"/>
  <c r="BJ365" i="1"/>
  <c r="BK365" i="1" s="1"/>
  <c r="BJ181" i="1"/>
  <c r="BK181" i="1" s="1"/>
  <c r="BN80" i="1"/>
  <c r="BO80" i="1" s="1"/>
  <c r="BR260" i="1"/>
  <c r="BS260" i="1" s="1"/>
  <c r="BJ180" i="1"/>
  <c r="BK180" i="1" s="1"/>
  <c r="BN321" i="1"/>
  <c r="BO321" i="1" s="1"/>
  <c r="BJ45" i="1"/>
  <c r="BK45" i="1" s="1"/>
  <c r="BJ112" i="1"/>
  <c r="BK112" i="1" s="1"/>
  <c r="BJ47" i="1"/>
  <c r="BK47" i="1" s="1"/>
  <c r="BN96" i="1"/>
  <c r="BO96" i="1" s="1"/>
  <c r="BJ334" i="1"/>
  <c r="BK334" i="1" s="1"/>
  <c r="BN246" i="1"/>
  <c r="BO246" i="1" s="1"/>
  <c r="BN188" i="1"/>
  <c r="BO188" i="1" s="1"/>
  <c r="BJ351" i="1"/>
  <c r="BK351" i="1" s="1"/>
  <c r="BJ328" i="1"/>
  <c r="BK328" i="1" s="1"/>
  <c r="BN157" i="1"/>
  <c r="BO157" i="1" s="1"/>
  <c r="BJ246" i="1"/>
  <c r="BK246" i="1" s="1"/>
  <c r="BN348" i="1"/>
  <c r="BO348" i="1" s="1"/>
  <c r="BJ376" i="1"/>
  <c r="BK376" i="1" s="1"/>
  <c r="BJ242" i="1"/>
  <c r="BK242" i="1" s="1"/>
  <c r="BN124" i="1"/>
  <c r="BO124" i="1" s="1"/>
  <c r="BJ285" i="1"/>
  <c r="BK285" i="1" s="1"/>
  <c r="BJ395" i="1"/>
  <c r="BK395" i="1" s="1"/>
  <c r="BN389" i="1"/>
  <c r="BO389" i="1" s="1"/>
  <c r="BN131" i="1"/>
  <c r="BO131" i="1" s="1"/>
  <c r="BN314" i="1"/>
  <c r="BO314" i="1" s="1"/>
  <c r="BN118" i="1"/>
  <c r="BO118" i="1" s="1"/>
  <c r="BR267" i="1"/>
  <c r="BS267" i="1" s="1"/>
  <c r="BN152" i="1"/>
  <c r="BR110" i="1"/>
  <c r="BS110" i="1" s="1"/>
  <c r="BN5" i="1"/>
  <c r="BO5" i="1" s="1"/>
  <c r="BJ157" i="1"/>
  <c r="BK157" i="1" s="1"/>
  <c r="BN41" i="1"/>
  <c r="BO41" i="1" s="1"/>
  <c r="BJ235" i="1"/>
  <c r="BK235" i="1" s="1"/>
  <c r="BJ161" i="1"/>
  <c r="BK161" i="1" s="1"/>
  <c r="BJ20" i="1"/>
  <c r="BK20" i="1" s="1"/>
  <c r="BN25" i="1"/>
  <c r="BO25" i="1" s="1"/>
  <c r="BJ159" i="1"/>
  <c r="BK159" i="1" s="1"/>
  <c r="BN8" i="1"/>
  <c r="BO8" i="1" s="1"/>
  <c r="BN34" i="1"/>
  <c r="BO34" i="1" s="1"/>
  <c r="BN137" i="1"/>
  <c r="BO137" i="1" s="1"/>
  <c r="BJ120" i="1"/>
  <c r="BK120" i="1" s="1"/>
  <c r="BJ279" i="1"/>
  <c r="BK279" i="1" s="1"/>
  <c r="BN205" i="1"/>
  <c r="BO205" i="1" s="1"/>
  <c r="BN182" i="1"/>
  <c r="BO182" i="1" s="1"/>
  <c r="BN19" i="1"/>
  <c r="BO19" i="1" s="1"/>
  <c r="BN223" i="1"/>
  <c r="BO223" i="1" s="1"/>
  <c r="BN173" i="1"/>
  <c r="BO173" i="1" s="1"/>
  <c r="BR164" i="1"/>
  <c r="BS164" i="1" s="1"/>
  <c r="BR333" i="1"/>
  <c r="BS333" i="1" s="1"/>
  <c r="BR60" i="1"/>
  <c r="BS60" i="1" s="1"/>
  <c r="BR302" i="1"/>
  <c r="BS302" i="1" s="1"/>
  <c r="BJ374" i="1"/>
  <c r="BK374" i="1" s="1"/>
  <c r="BJ369" i="1"/>
  <c r="BK369" i="1" s="1"/>
  <c r="BR155" i="1"/>
  <c r="BS155" i="1" s="1"/>
  <c r="BN231" i="1"/>
  <c r="BO231" i="1" s="1"/>
  <c r="BN329" i="1"/>
  <c r="BO329" i="1" s="1"/>
  <c r="BJ188" i="1"/>
  <c r="BK188" i="1" s="1"/>
  <c r="BN149" i="1"/>
  <c r="BO149" i="1" s="1"/>
  <c r="BJ25" i="1"/>
  <c r="BK25" i="1" s="1"/>
  <c r="BN61" i="1"/>
  <c r="BO61" i="1" s="1"/>
  <c r="BN379" i="1"/>
  <c r="BO379" i="1" s="1"/>
  <c r="BN305" i="1"/>
  <c r="BO305" i="1" s="1"/>
  <c r="BN394" i="1"/>
  <c r="BO394" i="1" s="1"/>
  <c r="BJ80" i="1"/>
  <c r="BK80" i="1" s="1"/>
  <c r="BJ57" i="1"/>
  <c r="BK57" i="1" s="1"/>
  <c r="BN382" i="1"/>
  <c r="BO382" i="1" s="1"/>
  <c r="BN336" i="1"/>
  <c r="BO336" i="1" s="1"/>
  <c r="BJ301" i="1"/>
  <c r="BK301" i="1" s="1"/>
  <c r="BJ114" i="1"/>
  <c r="BK114" i="1" s="1"/>
  <c r="BJ257" i="1"/>
  <c r="BK257" i="1" s="1"/>
  <c r="BJ152" i="1"/>
  <c r="BN170" i="1"/>
  <c r="BO170" i="1" s="1"/>
  <c r="BR219" i="1"/>
  <c r="BS219" i="1" s="1"/>
  <c r="BR291" i="1"/>
  <c r="BS291" i="1" s="1"/>
  <c r="BR350" i="1"/>
  <c r="BS350" i="1" s="1"/>
  <c r="BR82" i="1"/>
  <c r="BS82" i="1" s="1"/>
  <c r="BR102" i="1"/>
  <c r="BS102" i="1" s="1"/>
  <c r="BR104" i="1"/>
  <c r="BS104" i="1" s="1"/>
  <c r="BR292" i="1"/>
  <c r="BS292" i="1" s="1"/>
  <c r="BN15" i="1"/>
  <c r="BO15" i="1" s="1"/>
  <c r="BR262" i="1"/>
  <c r="BS262" i="1" s="1"/>
  <c r="BN111" i="1"/>
  <c r="BO111" i="1" s="1"/>
  <c r="BN184" i="1"/>
  <c r="BO184" i="1" s="1"/>
  <c r="BJ69" i="1"/>
  <c r="BK69" i="1" s="1"/>
  <c r="BJ149" i="1"/>
  <c r="BK149" i="1" s="1"/>
  <c r="BN252" i="1"/>
  <c r="BO252" i="1" s="1"/>
  <c r="BJ55" i="1"/>
  <c r="BK55" i="1" s="1"/>
  <c r="BN384" i="1"/>
  <c r="BO384" i="1" s="1"/>
  <c r="BN76" i="1"/>
  <c r="BO76" i="1" s="1"/>
  <c r="BN86" i="1"/>
  <c r="BO86" i="1" s="1"/>
  <c r="BJ140" i="1"/>
  <c r="BK140" i="1" s="1"/>
  <c r="BN203" i="1"/>
  <c r="BO203" i="1" s="1"/>
  <c r="BN248" i="1"/>
  <c r="BO248" i="1" s="1"/>
  <c r="BJ367" i="1"/>
  <c r="BK367" i="1" s="1"/>
  <c r="BJ336" i="1"/>
  <c r="BK336" i="1" s="1"/>
  <c r="BN398" i="1"/>
  <c r="BO398" i="1" s="1"/>
  <c r="BJ283" i="1"/>
  <c r="BK283" i="1" s="1"/>
  <c r="BJ81" i="1"/>
  <c r="BK81" i="1" s="1"/>
  <c r="BJ349" i="1"/>
  <c r="BK349" i="1" s="1"/>
  <c r="BN386" i="1"/>
  <c r="BO386" i="1" s="1"/>
  <c r="BR233" i="1"/>
  <c r="BS233" i="1" s="1"/>
  <c r="BR332" i="1"/>
  <c r="BS332" i="1" s="1"/>
  <c r="BR276" i="1"/>
  <c r="BS276" i="1" s="1"/>
  <c r="BR79" i="1"/>
  <c r="BS79" i="1" s="1"/>
  <c r="BJ353" i="1"/>
  <c r="BK353" i="1" s="1"/>
  <c r="BN339" i="1"/>
  <c r="BO339" i="1" s="1"/>
  <c r="BJ322" i="1"/>
  <c r="BK322" i="1" s="1"/>
  <c r="BN281" i="1"/>
  <c r="BO281" i="1" s="1"/>
  <c r="BN244" i="1"/>
  <c r="BO244" i="1" s="1"/>
  <c r="BJ48" i="1"/>
  <c r="BK48" i="1" s="1"/>
  <c r="BN107" i="1"/>
  <c r="BO107" i="1" s="1"/>
  <c r="BJ384" i="1"/>
  <c r="BK384" i="1" s="1"/>
  <c r="BJ288" i="1"/>
  <c r="BK288" i="1" s="1"/>
  <c r="BN285" i="1"/>
  <c r="BO285" i="1" s="1"/>
  <c r="BJ305" i="1"/>
  <c r="BK305" i="1" s="1"/>
  <c r="BJ389" i="1"/>
  <c r="BK389" i="1" s="1"/>
  <c r="BN51" i="1"/>
  <c r="BO51" i="1" s="1"/>
  <c r="BN330" i="1"/>
  <c r="BO330" i="1" s="1"/>
  <c r="BJ234" i="1"/>
  <c r="BK234" i="1" s="1"/>
  <c r="BJ396" i="1"/>
  <c r="BK396" i="1" s="1"/>
  <c r="BN240" i="1"/>
  <c r="BO240" i="1" s="1"/>
  <c r="BJ116" i="1"/>
  <c r="BK116" i="1" s="1"/>
  <c r="BN187" i="1"/>
  <c r="BO187" i="1" s="1"/>
  <c r="BJ366" i="1"/>
  <c r="BK366" i="1" s="1"/>
  <c r="BJ311" i="1"/>
  <c r="BK311" i="1" s="1"/>
  <c r="BJ11" i="1"/>
  <c r="BK11" i="1" s="1"/>
  <c r="BN267" i="1"/>
  <c r="BO267" i="1" s="1"/>
  <c r="BN224" i="1"/>
  <c r="BO224" i="1" s="1"/>
  <c r="BJ65" i="1"/>
  <c r="BK65" i="1" s="1"/>
  <c r="BN50" i="1"/>
  <c r="BO50" i="1" s="1"/>
  <c r="BJ252" i="1"/>
  <c r="BK252" i="1" s="1"/>
  <c r="BJ243" i="1"/>
  <c r="BK243" i="1" s="1"/>
  <c r="BN358" i="1"/>
  <c r="BO358" i="1" s="1"/>
  <c r="BN95" i="1"/>
  <c r="BO95" i="1" s="1"/>
  <c r="BJ146" i="1"/>
  <c r="BK146" i="1" s="1"/>
  <c r="BJ84" i="1"/>
  <c r="BK84" i="1" s="1"/>
  <c r="BJ248" i="1"/>
  <c r="BK248" i="1" s="1"/>
  <c r="BJ277" i="1"/>
  <c r="BK277" i="1" s="1"/>
  <c r="BJ335" i="1"/>
  <c r="BK335" i="1" s="1"/>
  <c r="BJ345" i="1"/>
  <c r="BK345" i="1" s="1"/>
  <c r="BN12" i="1"/>
  <c r="BO12" i="1" s="1"/>
  <c r="BJ377" i="1"/>
  <c r="BK377" i="1" s="1"/>
  <c r="BN332" i="1"/>
  <c r="BO332" i="1" s="1"/>
  <c r="BJ339" i="1"/>
  <c r="BK339" i="1" s="1"/>
  <c r="BJ244" i="1"/>
  <c r="BK244" i="1" s="1"/>
  <c r="BJ46" i="1"/>
  <c r="BK46" i="1" s="1"/>
  <c r="BN272" i="1"/>
  <c r="BO272" i="1" s="1"/>
  <c r="BJ342" i="1"/>
  <c r="BK342" i="1" s="1"/>
  <c r="BN365" i="1"/>
  <c r="BO365" i="1" s="1"/>
  <c r="BN126" i="1"/>
  <c r="BO126" i="1" s="1"/>
  <c r="BN214" i="1"/>
  <c r="BO214" i="1" s="1"/>
  <c r="BJ324" i="1"/>
  <c r="BK324" i="1" s="1"/>
  <c r="BN247" i="1"/>
  <c r="BO247" i="1" s="1"/>
  <c r="BN380" i="1"/>
  <c r="BO380" i="1" s="1"/>
  <c r="BJ94" i="1"/>
  <c r="BK94" i="1" s="1"/>
  <c r="BR331" i="1"/>
  <c r="BS331" i="1" s="1"/>
  <c r="BR259" i="1"/>
  <c r="BS259" i="1" s="1"/>
  <c r="BR304" i="1"/>
  <c r="BS304" i="1" s="1"/>
  <c r="BN253" i="1"/>
  <c r="BO253" i="1" s="1"/>
  <c r="BN198" i="1"/>
  <c r="BO198" i="1" s="1"/>
  <c r="BJ274" i="1"/>
  <c r="BK274" i="1" s="1"/>
  <c r="BJ148" i="1"/>
  <c r="BK148" i="1" s="1"/>
  <c r="BJ348" i="1"/>
  <c r="BK348" i="1" s="1"/>
  <c r="BJ224" i="1"/>
  <c r="BK224" i="1" s="1"/>
  <c r="BN271" i="1"/>
  <c r="BO271" i="1" s="1"/>
  <c r="BN14" i="1"/>
  <c r="BO14" i="1" s="1"/>
  <c r="BN378" i="1"/>
  <c r="BO378" i="1" s="1"/>
  <c r="BJ99" i="1"/>
  <c r="BK99" i="1" s="1"/>
  <c r="BN264" i="1"/>
  <c r="BO264" i="1" s="1"/>
  <c r="BJ147" i="1"/>
  <c r="BK147" i="1" s="1"/>
  <c r="BN347" i="1"/>
  <c r="BO347" i="1" s="1"/>
  <c r="BN350" i="1"/>
  <c r="BO350" i="1" s="1"/>
  <c r="BN172" i="1"/>
  <c r="BO172" i="1" s="1"/>
  <c r="BJ280" i="1"/>
  <c r="BK280" i="1" s="1"/>
  <c r="BJ204" i="1"/>
  <c r="BK204" i="1" s="1"/>
  <c r="BN85" i="1"/>
  <c r="BO85" i="1" s="1"/>
  <c r="BR352" i="1"/>
  <c r="BS352" i="1" s="1"/>
  <c r="BR283" i="1"/>
  <c r="BS283" i="1" s="1"/>
  <c r="BJ32" i="1"/>
  <c r="BK32" i="1" s="1"/>
  <c r="BJ202" i="1"/>
  <c r="BK202" i="1" s="1"/>
  <c r="BJ378" i="1"/>
  <c r="BK378" i="1" s="1"/>
  <c r="BJ33" i="1"/>
  <c r="BK33" i="1" s="1"/>
  <c r="BJ251" i="1"/>
  <c r="BK251" i="1" s="1"/>
  <c r="BJ236" i="1"/>
  <c r="BK236" i="1" s="1"/>
  <c r="BN63" i="1"/>
  <c r="BO63" i="1" s="1"/>
  <c r="BN318" i="1"/>
  <c r="BO318" i="1" s="1"/>
  <c r="BJ307" i="1"/>
  <c r="BK307" i="1" s="1"/>
  <c r="BJ97" i="1"/>
  <c r="BK97" i="1" s="1"/>
  <c r="BJ122" i="1"/>
  <c r="BK122" i="1" s="1"/>
  <c r="BR299" i="1"/>
  <c r="BS299" i="1" s="1"/>
  <c r="BR230" i="1"/>
  <c r="BS230" i="1" s="1"/>
  <c r="BR336" i="1"/>
  <c r="BS336" i="1" s="1"/>
  <c r="BJ98" i="1"/>
  <c r="BK98" i="1" s="1"/>
  <c r="BJ175" i="1"/>
  <c r="BK175" i="1" s="1"/>
  <c r="BJ232" i="1"/>
  <c r="BK232" i="1" s="1"/>
  <c r="BN340" i="1"/>
  <c r="BO340" i="1" s="1"/>
  <c r="BN306" i="1"/>
  <c r="BO306" i="1" s="1"/>
  <c r="BN200" i="1"/>
  <c r="BO200" i="1" s="1"/>
  <c r="BN242" i="1"/>
  <c r="BO242" i="1" s="1"/>
  <c r="BN241" i="1"/>
  <c r="BO241" i="1" s="1"/>
  <c r="BJ364" i="1"/>
  <c r="BK364" i="1" s="1"/>
  <c r="BN368" i="1"/>
  <c r="BO368" i="1" s="1"/>
  <c r="BN239" i="1"/>
  <c r="BO239" i="1" s="1"/>
  <c r="BJ331" i="1"/>
  <c r="BK331" i="1" s="1"/>
  <c r="BN294" i="1"/>
  <c r="BO294" i="1" s="1"/>
  <c r="BN315" i="1"/>
  <c r="BO315" i="1" s="1"/>
  <c r="BN190" i="1"/>
  <c r="BO190" i="1" s="1"/>
  <c r="BN270" i="1"/>
  <c r="BO270" i="1" s="1"/>
  <c r="BN176" i="1"/>
  <c r="BO176" i="1" s="1"/>
  <c r="BN393" i="1"/>
  <c r="BO393" i="1" s="1"/>
  <c r="BR255" i="1"/>
  <c r="BS255" i="1" s="1"/>
  <c r="BR20" i="1"/>
  <c r="BS20" i="1" s="1"/>
  <c r="BR50" i="1"/>
  <c r="BS50" i="1" s="1"/>
  <c r="BR355" i="1"/>
  <c r="BS355" i="1" s="1"/>
  <c r="BR377" i="1"/>
  <c r="BS377" i="1" s="1"/>
  <c r="BR23" i="1"/>
  <c r="BS23" i="1" s="1"/>
  <c r="BN308" i="1"/>
  <c r="BO308" i="1" s="1"/>
  <c r="BJ340" i="1"/>
  <c r="BK340" i="1" s="1"/>
  <c r="BN222" i="1"/>
  <c r="BO222" i="1" s="1"/>
  <c r="BN276" i="1"/>
  <c r="BO276" i="1" s="1"/>
  <c r="BN91" i="1"/>
  <c r="BO91" i="1" s="1"/>
  <c r="BN83" i="1"/>
  <c r="BO83" i="1" s="1"/>
  <c r="BN138" i="1"/>
  <c r="BO138" i="1" s="1"/>
  <c r="BJ239" i="1"/>
  <c r="BK239" i="1" s="1"/>
  <c r="BJ315" i="1"/>
  <c r="BK315" i="1" s="1"/>
  <c r="BN153" i="1"/>
  <c r="BO153" i="1" s="1"/>
  <c r="BN39" i="1"/>
  <c r="BO39" i="1" s="1"/>
  <c r="BJ318" i="1"/>
  <c r="BK318" i="1" s="1"/>
  <c r="BJ171" i="1"/>
  <c r="BK171" i="1" s="1"/>
  <c r="BN325" i="1"/>
  <c r="BO325" i="1" s="1"/>
  <c r="BJ373" i="1"/>
  <c r="BK373" i="1" s="1"/>
  <c r="BN26" i="1"/>
  <c r="BO26" i="1" s="1"/>
  <c r="BR69" i="1"/>
  <c r="BS69" i="1" s="1"/>
  <c r="BR12" i="1"/>
  <c r="BS12" i="1" s="1"/>
  <c r="BR318" i="1"/>
  <c r="BS318" i="1" s="1"/>
  <c r="BR9" i="1"/>
  <c r="BS9" i="1" s="1"/>
  <c r="BR170" i="1"/>
  <c r="BS170" i="1" s="1"/>
  <c r="BR10" i="1"/>
  <c r="BN125" i="1"/>
  <c r="BO125" i="1" s="1"/>
  <c r="BJ325" i="1"/>
  <c r="BK325" i="1" s="1"/>
  <c r="BJ26" i="1"/>
  <c r="BK26" i="1" s="1"/>
  <c r="BR196" i="1"/>
  <c r="BS196" i="1" s="1"/>
  <c r="BR330" i="1"/>
  <c r="BS330" i="1" s="1"/>
  <c r="BN110" i="1"/>
  <c r="BO110" i="1" s="1"/>
  <c r="BJ62" i="1"/>
  <c r="BK62" i="1" s="1"/>
  <c r="BN194" i="1"/>
  <c r="BO194" i="1" s="1"/>
  <c r="BN66" i="1"/>
  <c r="BO66" i="1" s="1"/>
  <c r="BN20" i="1"/>
  <c r="BO20" i="1" s="1"/>
  <c r="BN31" i="1"/>
  <c r="BO31" i="1" s="1"/>
  <c r="BN227" i="1"/>
  <c r="BO227" i="1" s="1"/>
  <c r="BN199" i="1"/>
  <c r="BO199" i="1" s="1"/>
  <c r="BJ193" i="1"/>
  <c r="BK193" i="1" s="1"/>
  <c r="BJ61" i="1"/>
  <c r="BK61" i="1" s="1"/>
  <c r="BJ192" i="1"/>
  <c r="BK192" i="1" s="1"/>
  <c r="BJ21" i="1"/>
  <c r="BK21" i="1" s="1"/>
  <c r="BN133" i="1"/>
  <c r="BO133" i="1" s="1"/>
  <c r="BJ298" i="1"/>
  <c r="BK298" i="1" s="1"/>
  <c r="BN44" i="1"/>
  <c r="BO44" i="1" s="1"/>
  <c r="BJ145" i="1"/>
  <c r="BK145" i="1" s="1"/>
  <c r="BN282" i="1"/>
  <c r="BO282" i="1" s="1"/>
  <c r="BJ341" i="1"/>
  <c r="BK341" i="1" s="1"/>
  <c r="BJ356" i="1"/>
  <c r="BK356" i="1" s="1"/>
  <c r="BJ266" i="1"/>
  <c r="BK266" i="1" s="1"/>
  <c r="BN56" i="1"/>
  <c r="BO56" i="1" s="1"/>
  <c r="BN396" i="1"/>
  <c r="BO396" i="1" s="1"/>
  <c r="BJ302" i="1"/>
  <c r="BK302" i="1" s="1"/>
  <c r="BJ108" i="1"/>
  <c r="BK108" i="1" s="1"/>
  <c r="BJ338" i="1"/>
  <c r="BK338" i="1" s="1"/>
  <c r="BR378" i="1"/>
  <c r="BS378" i="1" s="1"/>
  <c r="BR223" i="1"/>
  <c r="BS223" i="1" s="1"/>
  <c r="BR215" i="1"/>
  <c r="BS215" i="1" s="1"/>
  <c r="BN383" i="1"/>
  <c r="BO383" i="1" s="1"/>
  <c r="BN32" i="1"/>
  <c r="BO32" i="1" s="1"/>
  <c r="BN22" i="1"/>
  <c r="BO22" i="1" s="1"/>
  <c r="BN229" i="1"/>
  <c r="BO229" i="1" s="1"/>
  <c r="BN291" i="1"/>
  <c r="BO291" i="1" s="1"/>
  <c r="BN371" i="1"/>
  <c r="BO371" i="1" s="1"/>
  <c r="BR180" i="1"/>
  <c r="BS180" i="1" s="1"/>
  <c r="BJ40" i="1"/>
  <c r="BK40" i="1" s="1"/>
  <c r="BN18" i="1"/>
  <c r="BO18" i="1" s="1"/>
  <c r="BN30" i="1"/>
  <c r="BO30" i="1" s="1"/>
  <c r="BJ214" i="1"/>
  <c r="BK214" i="1" s="1"/>
  <c r="BJ182" i="1"/>
  <c r="BK182" i="1" s="1"/>
  <c r="BJ346" i="1"/>
  <c r="BK346" i="1" s="1"/>
  <c r="BJ398" i="1"/>
  <c r="BK398" i="1" s="1"/>
  <c r="BN250" i="1"/>
  <c r="BO250" i="1" s="1"/>
  <c r="BN323" i="1"/>
  <c r="BO323" i="1" s="1"/>
  <c r="BJ2" i="1"/>
  <c r="BK2" i="1" s="1"/>
  <c r="BR226" i="1"/>
  <c r="BS226" i="1" s="1"/>
  <c r="BR45" i="1"/>
  <c r="BS45" i="1" s="1"/>
  <c r="BR105" i="1"/>
  <c r="BS105" i="1" s="1"/>
  <c r="BR140" i="1"/>
  <c r="BS140" i="1" s="1"/>
  <c r="BR7" i="1"/>
  <c r="BS7" i="1" s="1"/>
  <c r="BJ296" i="1"/>
  <c r="BK296" i="1" s="1"/>
  <c r="BJ383" i="1"/>
  <c r="BK383" i="1" s="1"/>
  <c r="BN287" i="1"/>
  <c r="BO287" i="1" s="1"/>
  <c r="BJ198" i="1"/>
  <c r="BK198" i="1" s="1"/>
  <c r="BJ6" i="1"/>
  <c r="BK6" i="1" s="1"/>
  <c r="BJ327" i="1"/>
  <c r="BK327" i="1" s="1"/>
  <c r="BJ223" i="1"/>
  <c r="BK223" i="1" s="1"/>
  <c r="BJ371" i="1"/>
  <c r="BK371" i="1" s="1"/>
  <c r="BJ121" i="1"/>
  <c r="BK121" i="1" s="1"/>
  <c r="BR83" i="1"/>
  <c r="BS83" i="1" s="1"/>
  <c r="BR57" i="1"/>
  <c r="BS57" i="1" s="1"/>
  <c r="BR345" i="1"/>
  <c r="BS345" i="1" s="1"/>
  <c r="BR97" i="1"/>
  <c r="BS97" i="1" s="1"/>
  <c r="BJ142" i="1"/>
  <c r="BK142" i="1" s="1"/>
  <c r="BJ308" i="1"/>
  <c r="BK308" i="1" s="1"/>
  <c r="BJ275" i="1"/>
  <c r="BK275" i="1" s="1"/>
  <c r="BJ254" i="1"/>
  <c r="BK254" i="1" s="1"/>
  <c r="BN171" i="1"/>
  <c r="BO171" i="1" s="1"/>
  <c r="BN307" i="1"/>
  <c r="BO307" i="1" s="1"/>
  <c r="BN225" i="1"/>
  <c r="BO225" i="1" s="1"/>
  <c r="BN238" i="1"/>
  <c r="BO238" i="1" s="1"/>
  <c r="BN366" i="1"/>
  <c r="BO366" i="1" s="1"/>
  <c r="BJ263" i="1"/>
  <c r="BK263" i="1" s="1"/>
  <c r="BN196" i="1"/>
  <c r="BO196" i="1" s="1"/>
  <c r="BN73" i="1"/>
  <c r="BO73" i="1" s="1"/>
  <c r="BN167" i="1"/>
  <c r="BO167" i="1" s="1"/>
  <c r="BN132" i="1"/>
  <c r="BO132" i="1" s="1"/>
  <c r="BN89" i="1"/>
  <c r="BO89" i="1" s="1"/>
  <c r="BN65" i="1"/>
  <c r="BO65" i="1" s="1"/>
  <c r="BN354" i="1"/>
  <c r="BO354" i="1" s="1"/>
  <c r="BJ127" i="1"/>
  <c r="BK127" i="1" s="1"/>
  <c r="BN249" i="1"/>
  <c r="BO249" i="1" s="1"/>
  <c r="BJ153" i="1"/>
  <c r="BK153" i="1" s="1"/>
  <c r="BN134" i="1"/>
  <c r="BO134" i="1" s="1"/>
  <c r="BN213" i="1"/>
  <c r="BO213" i="1" s="1"/>
  <c r="BJ166" i="1"/>
  <c r="BK166" i="1" s="1"/>
  <c r="BN209" i="1"/>
  <c r="BO209" i="1" s="1"/>
  <c r="BN42" i="1"/>
  <c r="BO42" i="1" s="1"/>
  <c r="BJ190" i="1"/>
  <c r="BK190" i="1" s="1"/>
  <c r="BN115" i="1"/>
  <c r="BO115" i="1" s="1"/>
  <c r="BJ250" i="1"/>
  <c r="BK250" i="1" s="1"/>
  <c r="BJ49" i="1"/>
  <c r="BK49" i="1" s="1"/>
  <c r="BR340" i="1"/>
  <c r="BS340" i="1" s="1"/>
  <c r="BR199" i="1"/>
  <c r="BS199" i="1" s="1"/>
  <c r="BJ219" i="1"/>
  <c r="BK219" i="1" s="1"/>
  <c r="BR393" i="1"/>
  <c r="BS393" i="1" s="1"/>
  <c r="BJ41" i="1"/>
  <c r="BK41" i="1" s="1"/>
  <c r="BJ103" i="1"/>
  <c r="BK103" i="1" s="1"/>
  <c r="BN364" i="1"/>
  <c r="BO364" i="1" s="1"/>
  <c r="BN360" i="1"/>
  <c r="BO360" i="1" s="1"/>
  <c r="BN144" i="1"/>
  <c r="BO144" i="1" s="1"/>
  <c r="BN226" i="1"/>
  <c r="BO226" i="1" s="1"/>
  <c r="BJ185" i="1"/>
  <c r="BK185" i="1" s="1"/>
  <c r="BN45" i="1"/>
  <c r="BO45" i="1" s="1"/>
  <c r="BJ89" i="1"/>
  <c r="BK89" i="1" s="1"/>
  <c r="BJ295" i="1"/>
  <c r="BK295" i="1" s="1"/>
  <c r="BN259" i="1"/>
  <c r="BO259" i="1" s="1"/>
  <c r="BJ135" i="1"/>
  <c r="BK135" i="1" s="1"/>
  <c r="BN236" i="1"/>
  <c r="BO236" i="1" s="1"/>
  <c r="BJ156" i="1"/>
  <c r="BK156" i="1" s="1"/>
  <c r="BJ300" i="1"/>
  <c r="BK300" i="1" s="1"/>
  <c r="BN335" i="1"/>
  <c r="BO335" i="1" s="1"/>
  <c r="BJ96" i="1"/>
  <c r="BK96" i="1" s="1"/>
  <c r="BJ10" i="1"/>
  <c r="BR311" i="1"/>
  <c r="BS311" i="1" s="1"/>
  <c r="BR32" i="1"/>
  <c r="BS32" i="1" s="1"/>
  <c r="BR144" i="1"/>
  <c r="BS144" i="1" s="1"/>
  <c r="BR241" i="1"/>
  <c r="BS241" i="1" s="1"/>
  <c r="BR101" i="1"/>
  <c r="BS101" i="1" s="1"/>
  <c r="BR92" i="1"/>
  <c r="BS92" i="1" s="1"/>
  <c r="BR278" i="1"/>
  <c r="BS278" i="1" s="1"/>
  <c r="BJ269" i="1"/>
  <c r="BK269" i="1" s="1"/>
  <c r="BJ5" i="1"/>
  <c r="BK5" i="1" s="1"/>
  <c r="BN120" i="1"/>
  <c r="BO120" i="1" s="1"/>
  <c r="BJ231" i="1"/>
  <c r="BK231" i="1" s="1"/>
  <c r="BJ321" i="1"/>
  <c r="BK321" i="1" s="1"/>
  <c r="BJ217" i="1"/>
  <c r="BK217" i="1" s="1"/>
  <c r="BN363" i="1"/>
  <c r="BO363" i="1" s="1"/>
  <c r="BJ354" i="1"/>
  <c r="BK354" i="1" s="1"/>
  <c r="BJ125" i="1"/>
  <c r="BK125" i="1" s="1"/>
  <c r="BJ294" i="1"/>
  <c r="BK294" i="1" s="1"/>
  <c r="BJ299" i="1"/>
  <c r="BK299" i="1" s="1"/>
  <c r="BN78" i="1"/>
  <c r="BO78" i="1" s="1"/>
  <c r="BN101" i="1"/>
  <c r="BO101" i="1" s="1"/>
  <c r="BN92" i="1"/>
  <c r="BO92" i="1" s="1"/>
  <c r="BJ387" i="1"/>
  <c r="BK387" i="1" s="1"/>
  <c r="BN344" i="1"/>
  <c r="BO344" i="1" s="1"/>
  <c r="BJ352" i="1"/>
  <c r="BK352" i="1" s="1"/>
  <c r="BJ64" i="1"/>
  <c r="BK64" i="1" s="1"/>
  <c r="BJ310" i="1"/>
  <c r="BK310" i="1" s="1"/>
  <c r="BJ357" i="1"/>
  <c r="BK357" i="1" s="1"/>
  <c r="BN117" i="1"/>
  <c r="BO117" i="1" s="1"/>
  <c r="BJ75" i="1"/>
  <c r="BK75" i="1" s="1"/>
  <c r="BN168" i="1"/>
  <c r="BO168" i="1" s="1"/>
  <c r="BJ386" i="1"/>
  <c r="BK386" i="1" s="1"/>
  <c r="BR103" i="1"/>
  <c r="BS103" i="1" s="1"/>
  <c r="BR167" i="1"/>
  <c r="BS167" i="1" s="1"/>
  <c r="BR162" i="1"/>
  <c r="BS162" i="1" s="1"/>
  <c r="BN251" i="1"/>
  <c r="BO251" i="1" s="1"/>
  <c r="BN151" i="1"/>
  <c r="BO151" i="1" s="1"/>
  <c r="BN36" i="1"/>
  <c r="BO36" i="1" s="1"/>
  <c r="BJ43" i="1"/>
  <c r="BK43" i="1" s="1"/>
  <c r="BJ391" i="1"/>
  <c r="BK391" i="1" s="1"/>
  <c r="BR186" i="1"/>
  <c r="BS186" i="1" s="1"/>
  <c r="BR163" i="1"/>
  <c r="BS163" i="1" s="1"/>
  <c r="BR117" i="1"/>
  <c r="BS117" i="1" s="1"/>
  <c r="BR392" i="1"/>
  <c r="BN46" i="1"/>
  <c r="BO46" i="1" s="1"/>
  <c r="BN130" i="1"/>
  <c r="BO130" i="1" s="1"/>
  <c r="BJ150" i="1"/>
  <c r="BK150" i="1" s="1"/>
  <c r="BN87" i="1"/>
  <c r="BO87" i="1" s="1"/>
  <c r="BN181" i="1"/>
  <c r="BO181" i="1" s="1"/>
  <c r="BN278" i="1"/>
  <c r="BO278" i="1" s="1"/>
  <c r="BN136" i="1"/>
  <c r="BO136" i="1" s="1"/>
  <c r="BJ347" i="1"/>
  <c r="BK347" i="1" s="1"/>
  <c r="BN372" i="1"/>
  <c r="BO372" i="1" s="1"/>
  <c r="BJ51" i="1"/>
  <c r="BK51" i="1" s="1"/>
  <c r="BJ216" i="1"/>
  <c r="BK216" i="1" s="1"/>
  <c r="BN257" i="1"/>
  <c r="BO257" i="1" s="1"/>
  <c r="BN81" i="1"/>
  <c r="BO81" i="1" s="1"/>
  <c r="BJ82" i="1"/>
  <c r="BK82" i="1" s="1"/>
  <c r="BR126" i="1"/>
  <c r="BS126" i="1" s="1"/>
  <c r="BN351" i="1"/>
  <c r="BO351" i="1" s="1"/>
  <c r="BJ189" i="1"/>
  <c r="BK189" i="1" s="1"/>
  <c r="BN38" i="1"/>
  <c r="BO38" i="1" s="1"/>
  <c r="BN159" i="1"/>
  <c r="BO159" i="1" s="1"/>
  <c r="BJ379" i="1"/>
  <c r="BK379" i="1" s="1"/>
  <c r="BN319" i="1"/>
  <c r="BO319" i="1" s="1"/>
  <c r="BJ93" i="1"/>
  <c r="BK93" i="1" s="1"/>
  <c r="BJ286" i="1"/>
  <c r="BK286" i="1" s="1"/>
  <c r="BN359" i="1"/>
  <c r="BO359" i="1" s="1"/>
  <c r="BN234" i="1"/>
  <c r="BO234" i="1" s="1"/>
  <c r="BJ240" i="1"/>
  <c r="BK240" i="1" s="1"/>
  <c r="BN52" i="1"/>
  <c r="BO52" i="1" s="1"/>
  <c r="BJ292" i="1"/>
  <c r="BK292" i="1" s="1"/>
  <c r="BR11" i="1"/>
  <c r="BS11" i="1" s="1"/>
  <c r="BR35" i="1"/>
  <c r="BS35" i="1" s="1"/>
  <c r="BR272" i="1"/>
  <c r="BS272" i="1" s="1"/>
  <c r="BR133" i="1"/>
  <c r="BS133" i="1" s="1"/>
  <c r="BR128" i="1"/>
  <c r="BS128" i="1" s="1"/>
  <c r="BR30" i="1"/>
  <c r="BS30" i="1" s="1"/>
  <c r="BR284" i="1"/>
  <c r="BS284" i="1" s="1"/>
  <c r="BR210" i="1"/>
  <c r="BS210" i="1" s="1"/>
  <c r="BR314" i="1"/>
  <c r="BS314" i="1" s="1"/>
  <c r="BR118" i="1"/>
  <c r="BS118" i="1" s="1"/>
  <c r="BN255" i="1"/>
  <c r="BO255" i="1" s="1"/>
  <c r="BJ158" i="1"/>
  <c r="BK158" i="1" s="1"/>
  <c r="BN67" i="1"/>
  <c r="BO67" i="1" s="1"/>
  <c r="BJ36" i="1"/>
  <c r="BK36" i="1" s="1"/>
  <c r="BN195" i="1"/>
  <c r="BO195" i="1" s="1"/>
  <c r="BN180" i="1"/>
  <c r="BO180" i="1" s="1"/>
  <c r="BJ267" i="1"/>
  <c r="BK267" i="1" s="1"/>
  <c r="BJ4" i="1"/>
  <c r="BK4" i="1" s="1"/>
  <c r="BJ337" i="1"/>
  <c r="BK337" i="1" s="1"/>
  <c r="BJ12" i="1"/>
  <c r="BK12" i="1" s="1"/>
  <c r="BN33" i="1"/>
  <c r="BO33" i="1" s="1"/>
  <c r="BN312" i="1"/>
  <c r="BO312" i="1" s="1"/>
  <c r="BN21" i="1"/>
  <c r="BO21" i="1" s="1"/>
  <c r="BN298" i="1"/>
  <c r="BO298" i="1" s="1"/>
  <c r="BJ63" i="1"/>
  <c r="BK63" i="1" s="1"/>
  <c r="BJ136" i="1"/>
  <c r="BK136" i="1" s="1"/>
  <c r="BJ382" i="1"/>
  <c r="BK382" i="1" s="1"/>
  <c r="BJ205" i="1"/>
  <c r="BK205" i="1" s="1"/>
  <c r="BN309" i="1"/>
  <c r="BO309" i="1" s="1"/>
  <c r="BJ79" i="1"/>
  <c r="BK79" i="1" s="1"/>
  <c r="BN284" i="1"/>
  <c r="BO284" i="1" s="1"/>
  <c r="BN302" i="1"/>
  <c r="BO302" i="1" s="1"/>
  <c r="BN108" i="1"/>
  <c r="BO108" i="1" s="1"/>
  <c r="BJ211" i="1"/>
  <c r="BK211" i="1" s="1"/>
  <c r="BN338" i="1"/>
  <c r="BO338" i="1" s="1"/>
  <c r="BR132" i="1"/>
  <c r="BS132" i="1" s="1"/>
  <c r="BR320" i="1"/>
  <c r="BS320" i="1" s="1"/>
  <c r="BR249" i="1"/>
  <c r="BS249" i="1" s="1"/>
  <c r="BN29" i="1"/>
  <c r="BO29" i="1" s="1"/>
  <c r="BN235" i="1"/>
  <c r="BO235" i="1" s="1"/>
  <c r="BN322" i="1"/>
  <c r="BO322" i="1" s="1"/>
  <c r="BJ355" i="1"/>
  <c r="BK355" i="1" s="1"/>
  <c r="BJ312" i="1"/>
  <c r="BK312" i="1" s="1"/>
  <c r="BN288" i="1"/>
  <c r="BO288" i="1" s="1"/>
  <c r="BN123" i="1"/>
  <c r="BO123" i="1" s="1"/>
  <c r="BN221" i="1"/>
  <c r="BO221" i="1" s="1"/>
  <c r="BN204" i="1"/>
  <c r="BO204" i="1" s="1"/>
  <c r="BR285" i="1"/>
  <c r="BS285" i="1" s="1"/>
  <c r="BR388" i="1"/>
  <c r="BS388" i="1" s="1"/>
  <c r="BR300" i="1"/>
  <c r="BS300" i="1" s="1"/>
  <c r="BR391" i="1"/>
  <c r="BS391" i="1" s="1"/>
  <c r="BJ29" i="1"/>
  <c r="BK29" i="1" s="1"/>
  <c r="BN333" i="1"/>
  <c r="BO333" i="1" s="1"/>
  <c r="BJ200" i="1"/>
  <c r="BK200" i="1" s="1"/>
  <c r="BJ320" i="1"/>
  <c r="BK320" i="1" s="1"/>
  <c r="BJ14" i="1"/>
  <c r="BK14" i="1" s="1"/>
  <c r="BN150" i="1"/>
  <c r="BO150" i="1" s="1"/>
  <c r="BJ8" i="1"/>
  <c r="BK8" i="1" s="1"/>
  <c r="BN228" i="1"/>
  <c r="BO228" i="1" s="1"/>
  <c r="BN191" i="1"/>
  <c r="BO191" i="1" s="1"/>
  <c r="BN357" i="1"/>
  <c r="BO357" i="1" s="1"/>
  <c r="BN28" i="1"/>
  <c r="BO28" i="1" s="1"/>
  <c r="BN2" i="1"/>
  <c r="BO2" i="1" s="1"/>
  <c r="BR374" i="1"/>
  <c r="BS374" i="1" s="1"/>
  <c r="BR61" i="1"/>
  <c r="BS61" i="1" s="1"/>
  <c r="BR71" i="1"/>
  <c r="BS71" i="1" s="1"/>
  <c r="BR90" i="1"/>
  <c r="BS90" i="1" s="1"/>
  <c r="BR62" i="1"/>
  <c r="BS62" i="1" s="1"/>
  <c r="BN273" i="1"/>
  <c r="BO273" i="1" s="1"/>
  <c r="BJ287" i="1"/>
  <c r="BK287" i="1" s="1"/>
  <c r="BJ35" i="1"/>
  <c r="BK35" i="1" s="1"/>
  <c r="BJ138" i="1"/>
  <c r="BK138" i="1" s="1"/>
  <c r="BN233" i="1"/>
  <c r="BO233" i="1" s="1"/>
  <c r="BN135" i="1"/>
  <c r="BO135" i="1" s="1"/>
  <c r="BN166" i="1"/>
  <c r="BO166" i="1" s="1"/>
  <c r="BN197" i="1"/>
  <c r="BO197" i="1" s="1"/>
  <c r="BN300" i="1"/>
  <c r="BO300" i="1" s="1"/>
  <c r="BN100" i="1"/>
  <c r="BO100" i="1" s="1"/>
  <c r="BJ28" i="1"/>
  <c r="BK28" i="1" s="1"/>
  <c r="BR220" i="1"/>
  <c r="BS220" i="1" s="1"/>
  <c r="BR218" i="1"/>
  <c r="BS218" i="1" s="1"/>
  <c r="BJ314" i="1"/>
  <c r="BK314" i="1" s="1"/>
  <c r="BJ17" i="1"/>
  <c r="BK17" i="1" s="1"/>
  <c r="BJ169" i="1"/>
  <c r="BK169" i="1" s="1"/>
  <c r="BJ143" i="1"/>
  <c r="BK143" i="1" s="1"/>
  <c r="BJ123" i="1"/>
  <c r="BK123" i="1" s="1"/>
  <c r="BR328" i="1"/>
  <c r="BS328" i="1" s="1"/>
  <c r="BR107" i="1"/>
  <c r="BS107" i="1" s="1"/>
  <c r="BJ333" i="1"/>
  <c r="BK333" i="1" s="1"/>
  <c r="BJ255" i="1"/>
  <c r="BK255" i="1" s="1"/>
  <c r="BJ67" i="1"/>
  <c r="BK67" i="1" s="1"/>
  <c r="BJ31" i="1"/>
  <c r="BK31" i="1" s="1"/>
  <c r="BN105" i="1"/>
  <c r="BO105" i="1" s="1"/>
  <c r="BN140" i="1"/>
  <c r="BO140" i="1" s="1"/>
  <c r="BJ197" i="1"/>
  <c r="BK197" i="1" s="1"/>
  <c r="BJ330" i="1"/>
  <c r="BK330" i="1" s="1"/>
  <c r="BN280" i="1"/>
  <c r="BO280" i="1" s="1"/>
  <c r="BJ118" i="1"/>
  <c r="BK118" i="1" s="1"/>
  <c r="BJ85" i="1"/>
  <c r="BK85" i="1" s="1"/>
  <c r="BR65" i="1"/>
  <c r="BS65" i="1" s="1"/>
  <c r="BJ132" i="1"/>
  <c r="BK132" i="1" s="1"/>
  <c r="BJ111" i="1"/>
  <c r="BK111" i="1" s="1"/>
  <c r="BN70" i="1"/>
  <c r="BO70" i="1" s="1"/>
  <c r="BJ141" i="1"/>
  <c r="BK141" i="1" s="1"/>
  <c r="BN263" i="1"/>
  <c r="BO263" i="1" s="1"/>
  <c r="BJ70" i="1"/>
  <c r="BK70" i="1" s="1"/>
  <c r="BJ194" i="1"/>
  <c r="BK194" i="1" s="1"/>
  <c r="BJ220" i="1"/>
  <c r="BK220" i="1" s="1"/>
  <c r="BJ281" i="1"/>
  <c r="BK281" i="1" s="1"/>
  <c r="BJ74" i="1"/>
  <c r="BK74" i="1" s="1"/>
  <c r="BJ83" i="1"/>
  <c r="BK83" i="1" s="1"/>
  <c r="BJ370" i="1"/>
  <c r="BK370" i="1" s="1"/>
  <c r="BN6" i="1"/>
  <c r="BO6" i="1" s="1"/>
  <c r="BJ361" i="1"/>
  <c r="BK361" i="1" s="1"/>
  <c r="BJ92" i="1"/>
  <c r="BK92" i="1" s="1"/>
  <c r="BJ126" i="1"/>
  <c r="BK126" i="1" s="1"/>
  <c r="BJ278" i="1"/>
  <c r="BK278" i="1" s="1"/>
  <c r="BJ380" i="1"/>
  <c r="BK380" i="1" s="1"/>
  <c r="BJ16" i="1"/>
  <c r="BK16" i="1" s="1"/>
  <c r="BR46" i="1"/>
  <c r="BS46" i="1" s="1"/>
  <c r="BN162" i="1"/>
  <c r="BO162" i="1" s="1"/>
  <c r="BN369" i="1"/>
  <c r="BO369" i="1" s="1"/>
  <c r="BN324" i="1"/>
  <c r="BO324" i="1" s="1"/>
  <c r="BJ187" i="1"/>
  <c r="BK187" i="1" s="1"/>
  <c r="BN186" i="1"/>
  <c r="BO186" i="1" s="1"/>
  <c r="BJ42" i="1"/>
  <c r="BK42" i="1" s="1"/>
  <c r="BN341" i="1"/>
  <c r="BO341" i="1" s="1"/>
  <c r="BJ350" i="1"/>
  <c r="BK350" i="1" s="1"/>
  <c r="BJ115" i="1"/>
  <c r="BK115" i="1" s="1"/>
  <c r="BN211" i="1"/>
  <c r="BO211" i="1" s="1"/>
  <c r="BJ215" i="1"/>
  <c r="BK215" i="1" s="1"/>
  <c r="BR265" i="1"/>
  <c r="BS265" i="1" s="1"/>
  <c r="BJ368" i="1"/>
  <c r="BK368" i="1" s="1"/>
  <c r="BJ154" i="1"/>
  <c r="BK154" i="1" s="1"/>
  <c r="BJ128" i="1"/>
  <c r="BK128" i="1" s="1"/>
  <c r="BN356" i="1"/>
  <c r="BO356" i="1" s="1"/>
  <c r="BJ344" i="1"/>
  <c r="BK344" i="1" s="1"/>
  <c r="BJ72" i="1"/>
  <c r="BK72" i="1" s="1"/>
  <c r="BJ76" i="1"/>
  <c r="BK76" i="1" s="1"/>
  <c r="BN84" i="1"/>
  <c r="BO84" i="1" s="1"/>
  <c r="BR394" i="1"/>
  <c r="BS394" i="1" s="1"/>
  <c r="BJ167" i="1"/>
  <c r="BK167" i="1" s="1"/>
  <c r="BJ184" i="1"/>
  <c r="BK184" i="1" s="1"/>
  <c r="BJ151" i="1"/>
  <c r="BK151" i="1" s="1"/>
  <c r="BJ303" i="1"/>
  <c r="BK303" i="1" s="1"/>
  <c r="BJ385" i="1"/>
  <c r="BK385" i="1" s="1"/>
  <c r="BN217" i="1"/>
  <c r="BO217" i="1" s="1"/>
  <c r="BJ107" i="1"/>
  <c r="BK107" i="1" s="1"/>
  <c r="BN3" i="1"/>
  <c r="BO3" i="1" s="1"/>
  <c r="BJ137" i="1"/>
  <c r="BK137" i="1" s="1"/>
  <c r="BN94" i="1"/>
  <c r="BO94" i="1" s="1"/>
  <c r="BN292" i="1"/>
  <c r="BO292" i="1" s="1"/>
  <c r="BR366" i="1"/>
  <c r="BS366" i="1" s="1"/>
  <c r="BR15" i="1"/>
  <c r="BS15" i="1" s="1"/>
  <c r="BN381" i="1"/>
  <c r="BO381" i="1" s="1"/>
  <c r="BJ164" i="1"/>
  <c r="BK164" i="1" s="1"/>
  <c r="BN260" i="1"/>
  <c r="BO260" i="1" s="1"/>
  <c r="BN109" i="1"/>
  <c r="BO109" i="1" s="1"/>
  <c r="BJ38" i="1"/>
  <c r="BK38" i="1" s="1"/>
  <c r="BJ272" i="1"/>
  <c r="BK272" i="1" s="1"/>
  <c r="BN93" i="1"/>
  <c r="BO93" i="1" s="1"/>
  <c r="BN127" i="1"/>
  <c r="BO127" i="1" s="1"/>
  <c r="BN279" i="1"/>
  <c r="BO279" i="1" s="1"/>
  <c r="BJ258" i="1"/>
  <c r="BK258" i="1" s="1"/>
  <c r="BR305" i="1"/>
  <c r="BS305" i="1" s="1"/>
  <c r="BR153" i="1"/>
  <c r="BS153" i="1" s="1"/>
  <c r="BR380" i="1"/>
  <c r="BS380" i="1" s="1"/>
  <c r="BJ359" i="1"/>
  <c r="BK359" i="1" s="1"/>
  <c r="BN297" i="1"/>
  <c r="BO297" i="1" s="1"/>
  <c r="BJ209" i="1"/>
  <c r="BK209" i="1" s="1"/>
  <c r="BN346" i="1"/>
  <c r="BO346" i="1" s="1"/>
  <c r="BN277" i="1"/>
  <c r="BO277" i="1" s="1"/>
  <c r="BJ100" i="1"/>
  <c r="BK100" i="1" s="1"/>
  <c r="BJ163" i="1"/>
  <c r="BK163" i="1" s="1"/>
  <c r="BN77" i="1"/>
  <c r="BO77" i="1" s="1"/>
  <c r="BR98" i="1"/>
  <c r="BS98" i="1" s="1"/>
  <c r="BR59" i="1"/>
  <c r="BS59" i="1" s="1"/>
  <c r="BJ323" i="1"/>
  <c r="BK323" i="1" s="1"/>
  <c r="BN210" i="1"/>
  <c r="BO210" i="1" s="1"/>
  <c r="BJ7" i="1"/>
  <c r="BK7" i="1" s="1"/>
  <c r="BN362" i="1"/>
  <c r="BO362" i="1" s="1"/>
  <c r="BJ199" i="1"/>
  <c r="BK199" i="1" s="1"/>
  <c r="BJ71" i="1"/>
  <c r="BK71" i="1" s="1"/>
  <c r="BN254" i="1"/>
  <c r="BO254" i="1" s="1"/>
  <c r="BJ68" i="1"/>
  <c r="BK68" i="1" s="1"/>
  <c r="BJ390" i="1"/>
  <c r="BK390" i="1" s="1"/>
  <c r="BJ247" i="1"/>
  <c r="BK247" i="1" s="1"/>
  <c r="BN113" i="1"/>
  <c r="BO113" i="1" s="1"/>
  <c r="BJ172" i="1"/>
  <c r="BK172" i="1" s="1"/>
  <c r="BN216" i="1"/>
  <c r="BO216" i="1" s="1"/>
  <c r="BN349" i="1"/>
  <c r="BO349" i="1" s="1"/>
  <c r="BJ52" i="1"/>
  <c r="BK52" i="1" s="1"/>
  <c r="BJ392" i="1"/>
  <c r="BR5" i="1"/>
  <c r="BS5" i="1" s="1"/>
  <c r="BR111" i="1"/>
  <c r="BS111" i="1" s="1"/>
  <c r="BR161" i="1"/>
  <c r="BS161" i="1" s="1"/>
  <c r="BR8" i="1"/>
  <c r="BS8" i="1" s="1"/>
  <c r="BR131" i="1"/>
  <c r="BS131" i="1" s="1"/>
  <c r="BR173" i="1"/>
  <c r="BS173" i="1" s="1"/>
  <c r="BR349" i="1"/>
  <c r="BS349" i="1" s="1"/>
  <c r="BN4" i="1"/>
  <c r="BO4" i="1" s="1"/>
  <c r="BJ237" i="1"/>
  <c r="BK237" i="1" s="1"/>
  <c r="BN218" i="1"/>
  <c r="BO218" i="1" s="1"/>
  <c r="BN377" i="1"/>
  <c r="BO377" i="1" s="1"/>
  <c r="BJ168" i="1"/>
  <c r="BK168" i="1" s="1"/>
  <c r="BR273" i="1"/>
  <c r="BS273" i="1" s="1"/>
  <c r="BR353" i="1"/>
  <c r="BS353" i="1" s="1"/>
  <c r="BR341" i="1"/>
  <c r="BS341" i="1" s="1"/>
  <c r="BR214" i="1"/>
  <c r="BS214" i="1" s="1"/>
  <c r="BJ264" i="1"/>
  <c r="BK264" i="1" s="1"/>
  <c r="BN178" i="1"/>
  <c r="BO178" i="1" s="1"/>
  <c r="BJ282" i="1"/>
  <c r="BK282" i="1" s="1"/>
  <c r="BJ27" i="1"/>
  <c r="BK27" i="1" s="1"/>
  <c r="BN57" i="1"/>
  <c r="BO57" i="1" s="1"/>
  <c r="BJ54" i="1"/>
  <c r="BK54" i="1" s="1"/>
  <c r="BJ176" i="1"/>
  <c r="BK176" i="1" s="1"/>
  <c r="BN10" i="1"/>
  <c r="BN16" i="1"/>
  <c r="BO16" i="1" s="1"/>
  <c r="BR29" i="1"/>
  <c r="BS29" i="1" s="1"/>
  <c r="BR326" i="1"/>
  <c r="BS326" i="1" s="1"/>
  <c r="BR254" i="1"/>
  <c r="BS254" i="1" s="1"/>
  <c r="BR187" i="1"/>
  <c r="BS187" i="1" s="1"/>
  <c r="BR54" i="1"/>
  <c r="BS54" i="1" s="1"/>
  <c r="BR335" i="1"/>
  <c r="BS335" i="1" s="1"/>
  <c r="BR159" i="1"/>
  <c r="BS159" i="1" s="1"/>
  <c r="BR288" i="1"/>
  <c r="BS288" i="1" s="1"/>
  <c r="BR95" i="1"/>
  <c r="BS95" i="1" s="1"/>
  <c r="BR156" i="1"/>
  <c r="BS156" i="1" s="1"/>
  <c r="BR246" i="1"/>
  <c r="BS246" i="1" s="1"/>
  <c r="BR190" i="1"/>
  <c r="BS190" i="1" s="1"/>
  <c r="BR68" i="1"/>
  <c r="BS68" i="1" s="1"/>
  <c r="BR324" i="1"/>
  <c r="BS324" i="1" s="1"/>
  <c r="BN69" i="1"/>
  <c r="BO69" i="1" s="1"/>
  <c r="BN202" i="1"/>
  <c r="BO202" i="1" s="1"/>
  <c r="BN72" i="1"/>
  <c r="BO72" i="1" s="1"/>
  <c r="BN286" i="1"/>
  <c r="BO286" i="1" s="1"/>
  <c r="BN201" i="1"/>
  <c r="BO201" i="1" s="1"/>
  <c r="BN88" i="1"/>
  <c r="BO88" i="1" s="1"/>
  <c r="BJ131" i="1"/>
  <c r="BK131" i="1" s="1"/>
  <c r="BJ225" i="1"/>
  <c r="BK225" i="1" s="1"/>
  <c r="BJ113" i="1"/>
  <c r="BK113" i="1" s="1"/>
  <c r="BN79" i="1"/>
  <c r="BO79" i="1" s="1"/>
  <c r="BJ208" i="1"/>
  <c r="BK208" i="1" s="1"/>
  <c r="BJ104" i="1"/>
  <c r="BK104" i="1" s="1"/>
  <c r="BN391" i="1"/>
  <c r="BO391" i="1" s="1"/>
  <c r="BR22" i="1"/>
  <c r="BS22" i="1" s="1"/>
  <c r="BR236" i="1"/>
  <c r="BS236" i="1" s="1"/>
  <c r="BR49" i="1"/>
  <c r="BS49" i="1" s="1"/>
  <c r="BR168" i="1"/>
  <c r="BS168" i="1" s="1"/>
  <c r="BR277" i="1"/>
  <c r="BS277" i="1" s="1"/>
  <c r="BR323" i="1"/>
  <c r="BS323" i="1" s="1"/>
  <c r="BR373" i="1"/>
  <c r="BS373" i="1" s="1"/>
  <c r="BN304" i="1"/>
  <c r="BO304" i="1" s="1"/>
  <c r="BN342" i="1"/>
  <c r="BO342" i="1" s="1"/>
  <c r="BJ58" i="1"/>
  <c r="BK58" i="1" s="1"/>
  <c r="BN387" i="1"/>
  <c r="BO387" i="1" s="1"/>
  <c r="BJ95" i="1"/>
  <c r="BK95" i="1" s="1"/>
  <c r="BJ9" i="1"/>
  <c r="BK9" i="1" s="1"/>
  <c r="BN146" i="1"/>
  <c r="BO146" i="1" s="1"/>
  <c r="BJ177" i="1"/>
  <c r="BK177" i="1" s="1"/>
  <c r="BN290" i="1"/>
  <c r="BO290" i="1" s="1"/>
  <c r="BN139" i="1"/>
  <c r="BO139" i="1" s="1"/>
  <c r="BN334" i="1"/>
  <c r="BO334" i="1" s="1"/>
  <c r="BR36" i="1"/>
  <c r="BS36" i="1" s="1"/>
  <c r="BR21" i="1"/>
  <c r="BS21" i="1" s="1"/>
  <c r="BR154" i="1"/>
  <c r="BS154" i="1" s="1"/>
  <c r="BR87" i="1"/>
  <c r="BS87" i="1" s="1"/>
  <c r="BR181" i="1"/>
  <c r="BS181" i="1" s="1"/>
  <c r="BR113" i="1"/>
  <c r="BS113" i="1" s="1"/>
  <c r="BN345" i="1"/>
  <c r="BO345" i="1" s="1"/>
  <c r="BR160" i="1"/>
  <c r="BS160" i="1" s="1"/>
  <c r="BR3" i="1"/>
  <c r="BS3" i="1" s="1"/>
  <c r="BR325" i="1"/>
  <c r="BS325" i="1" s="1"/>
  <c r="BR64" i="1"/>
  <c r="BS64" i="1" s="1"/>
  <c r="BJ86" i="1"/>
  <c r="BK86" i="1" s="1"/>
  <c r="BJ105" i="1"/>
  <c r="BK105" i="1" s="1"/>
  <c r="BN388" i="1"/>
  <c r="BO388" i="1" s="1"/>
  <c r="BR364" i="1"/>
  <c r="BS364" i="1" s="1"/>
  <c r="BR264" i="1"/>
  <c r="BS264" i="1" s="1"/>
  <c r="BJ18" i="1"/>
  <c r="BK18" i="1" s="1"/>
  <c r="BJ309" i="1"/>
  <c r="BK309" i="1" s="1"/>
  <c r="BJ297" i="1"/>
  <c r="BK297" i="1" s="1"/>
  <c r="BN43" i="1"/>
  <c r="BO43" i="1" s="1"/>
  <c r="BR365" i="1"/>
  <c r="BS365" i="1" s="1"/>
  <c r="BR209" i="1"/>
  <c r="BS209" i="1" s="1"/>
  <c r="BN310" i="1"/>
  <c r="BO310" i="1" s="1"/>
  <c r="BJ119" i="1"/>
  <c r="BK119" i="1" s="1"/>
  <c r="BR2" i="1"/>
  <c r="BS2" i="1" s="1"/>
  <c r="BJ289" i="1"/>
  <c r="BK289" i="1" s="1"/>
  <c r="BR143" i="1"/>
  <c r="BS143" i="1" s="1"/>
  <c r="BN156" i="1"/>
  <c r="BO156" i="1" s="1"/>
  <c r="BJ261" i="1"/>
  <c r="BK261" i="1" s="1"/>
  <c r="BN59" i="1"/>
  <c r="BO59" i="1" s="1"/>
  <c r="BR73" i="1"/>
  <c r="BS73" i="1" s="1"/>
  <c r="BR232" i="1"/>
  <c r="BS232" i="1" s="1"/>
  <c r="BR96" i="1"/>
  <c r="BS96" i="1" s="1"/>
  <c r="BN174" i="1"/>
  <c r="BO174" i="1" s="1"/>
  <c r="BN289" i="1"/>
  <c r="BO289" i="1" s="1"/>
  <c r="BJ87" i="1"/>
  <c r="BK87" i="1" s="1"/>
  <c r="BJ101" i="1"/>
  <c r="BK101" i="1" s="1"/>
  <c r="BR70" i="1"/>
  <c r="BS70" i="1" s="1"/>
  <c r="BR205" i="1"/>
  <c r="BS205" i="1" s="1"/>
  <c r="BJ34" i="1"/>
  <c r="BK34" i="1" s="1"/>
  <c r="BR33" i="1"/>
  <c r="BS33" i="1" s="1"/>
  <c r="BR99" i="1"/>
  <c r="BS99" i="1" s="1"/>
  <c r="BR216" i="1"/>
  <c r="BS216" i="1" s="1"/>
  <c r="BR169" i="1"/>
  <c r="BS169" i="1" s="1"/>
  <c r="BJ304" i="1"/>
  <c r="BK304" i="1" s="1"/>
  <c r="BJ358" i="1"/>
  <c r="BK358" i="1" s="1"/>
  <c r="BN367" i="1"/>
  <c r="BO367" i="1" s="1"/>
  <c r="BN313" i="1"/>
  <c r="BO313" i="1" s="1"/>
  <c r="BR213" i="1"/>
  <c r="BS213" i="1" s="1"/>
  <c r="BR123" i="1"/>
  <c r="BS123" i="1" s="1"/>
  <c r="BR247" i="1"/>
  <c r="BS247" i="1" s="1"/>
  <c r="BR257" i="1"/>
  <c r="BS257" i="1" s="1"/>
  <c r="BR208" i="1"/>
  <c r="BS208" i="1" s="1"/>
  <c r="BJ44" i="1"/>
  <c r="BK44" i="1" s="1"/>
  <c r="BJ293" i="1"/>
  <c r="BK293" i="1" s="1"/>
  <c r="BR14" i="1"/>
  <c r="BS14" i="1" s="1"/>
  <c r="BR361" i="1"/>
  <c r="BS361" i="1" s="1"/>
  <c r="BR293" i="1"/>
  <c r="BS293" i="1" s="1"/>
  <c r="BR367" i="1"/>
  <c r="BS367" i="1" s="1"/>
  <c r="BR48" i="1"/>
  <c r="BS48" i="1" s="1"/>
  <c r="BR26" i="1"/>
  <c r="BS26" i="1" s="1"/>
  <c r="BR55" i="1"/>
  <c r="BS55" i="1" s="1"/>
  <c r="BR34" i="1"/>
  <c r="BS34" i="1" s="1"/>
  <c r="BJ213" i="1"/>
  <c r="BK213" i="1" s="1"/>
  <c r="BR306" i="1"/>
  <c r="BS306" i="1" s="1"/>
  <c r="BJ88" i="1"/>
  <c r="BK88" i="1" s="1"/>
  <c r="BJ212" i="1"/>
  <c r="BK212" i="1" s="1"/>
  <c r="BJ24" i="1"/>
  <c r="BK24" i="1" s="1"/>
  <c r="BR337" i="1"/>
  <c r="BS337" i="1" s="1"/>
  <c r="BR52" i="1"/>
  <c r="BS52" i="1" s="1"/>
  <c r="BR253" i="1"/>
  <c r="BS253" i="1" s="1"/>
  <c r="BR268" i="1"/>
  <c r="BS268" i="1" s="1"/>
  <c r="BR150" i="1"/>
  <c r="BS150" i="1" s="1"/>
  <c r="BR134" i="1"/>
  <c r="BS134" i="1" s="1"/>
  <c r="BJ90" i="1"/>
  <c r="BK90" i="1" s="1"/>
  <c r="BR383" i="1"/>
  <c r="BS383" i="1" s="1"/>
  <c r="BR275" i="1"/>
  <c r="BS275" i="1" s="1"/>
  <c r="BN122" i="1"/>
  <c r="BO122" i="1" s="1"/>
  <c r="BR112" i="1"/>
  <c r="BS112" i="1" s="1"/>
  <c r="BR18" i="1"/>
  <c r="BS18" i="1" s="1"/>
  <c r="BR80" i="1"/>
  <c r="BS80" i="1" s="1"/>
  <c r="BR115" i="1"/>
  <c r="BS115" i="1" s="1"/>
  <c r="BJ230" i="1"/>
  <c r="BK230" i="1" s="1"/>
  <c r="BJ186" i="1"/>
  <c r="BK186" i="1" s="1"/>
  <c r="BR270" i="1"/>
  <c r="BS270" i="1" s="1"/>
  <c r="BR174" i="1"/>
  <c r="BS174" i="1" s="1"/>
  <c r="BR138" i="1"/>
  <c r="BS138" i="1" s="1"/>
  <c r="BJ201" i="1"/>
  <c r="BK201" i="1" s="1"/>
  <c r="BJ39" i="1"/>
  <c r="BK39" i="1" s="1"/>
  <c r="BJ207" i="1"/>
  <c r="BK207" i="1" s="1"/>
  <c r="BR44" i="1"/>
  <c r="BS44" i="1" s="1"/>
  <c r="BR184" i="1"/>
  <c r="BS184" i="1" s="1"/>
  <c r="BR296" i="1"/>
  <c r="BS296" i="1" s="1"/>
  <c r="BR67" i="1"/>
  <c r="BS67" i="1" s="1"/>
  <c r="BR43" i="1"/>
  <c r="BS43" i="1" s="1"/>
  <c r="BR51" i="1"/>
  <c r="BS51" i="1" s="1"/>
  <c r="BR238" i="1"/>
  <c r="BS238" i="1" s="1"/>
  <c r="BJ178" i="1"/>
  <c r="BK178" i="1" s="1"/>
  <c r="BJ206" i="1"/>
  <c r="BK206" i="1" s="1"/>
  <c r="BJ394" i="1"/>
  <c r="BK394" i="1" s="1"/>
  <c r="BN129" i="1"/>
  <c r="BO129" i="1" s="1"/>
  <c r="BR157" i="1"/>
  <c r="BS157" i="1" s="1"/>
  <c r="BR303" i="1"/>
  <c r="BS303" i="1" s="1"/>
  <c r="BR279" i="1"/>
  <c r="BS279" i="1" s="1"/>
  <c r="BR317" i="1"/>
  <c r="BS317" i="1" s="1"/>
  <c r="BR387" i="1"/>
  <c r="BS387" i="1" s="1"/>
  <c r="BR389" i="1"/>
  <c r="BS389" i="1" s="1"/>
  <c r="BR290" i="1"/>
  <c r="BS290" i="1" s="1"/>
  <c r="BR204" i="1"/>
  <c r="BS204" i="1" s="1"/>
  <c r="BR211" i="1"/>
  <c r="BS211" i="1" s="1"/>
  <c r="BR175" i="1"/>
  <c r="BS175" i="1" s="1"/>
  <c r="BR384" i="1"/>
  <c r="BS384" i="1" s="1"/>
  <c r="BR178" i="1"/>
  <c r="BS178" i="1" s="1"/>
  <c r="BR258" i="1"/>
  <c r="BS258" i="1" s="1"/>
  <c r="BR37" i="1"/>
  <c r="BS37" i="1" s="1"/>
  <c r="BR152" i="1"/>
  <c r="BR158" i="1"/>
  <c r="BS158" i="1" s="1"/>
  <c r="BR66" i="1"/>
  <c r="BS66" i="1" s="1"/>
  <c r="BR171" i="1"/>
  <c r="BS171" i="1" s="1"/>
  <c r="BR182" i="1"/>
  <c r="BS182" i="1" s="1"/>
  <c r="BR343" i="1"/>
  <c r="BS343" i="1" s="1"/>
  <c r="BR28" i="1"/>
  <c r="BS28" i="1" s="1"/>
  <c r="BR339" i="1"/>
  <c r="BS339" i="1" s="1"/>
  <c r="BR116" i="1"/>
  <c r="BS116" i="1" s="1"/>
  <c r="BR86" i="1"/>
  <c r="BS86" i="1" s="1"/>
  <c r="BR88" i="1"/>
  <c r="BS88" i="1" s="1"/>
  <c r="BR19" i="1"/>
  <c r="BS19" i="1" s="1"/>
  <c r="BR194" i="1"/>
  <c r="BS194" i="1" s="1"/>
  <c r="BR363" i="1"/>
  <c r="BS363" i="1" s="1"/>
  <c r="BR342" i="1"/>
  <c r="BS342" i="1" s="1"/>
  <c r="BR358" i="1"/>
  <c r="BS358" i="1" s="1"/>
  <c r="BR84" i="1"/>
  <c r="BS84" i="1" s="1"/>
  <c r="BR310" i="1"/>
  <c r="BS310" i="1" s="1"/>
  <c r="BR224" i="1"/>
  <c r="BS224" i="1" s="1"/>
  <c r="BR368" i="1"/>
  <c r="BS368" i="1" s="1"/>
  <c r="BR356" i="1"/>
  <c r="BS356" i="1" s="1"/>
  <c r="BR248" i="1"/>
  <c r="BS248" i="1" s="1"/>
  <c r="BR357" i="1"/>
  <c r="BS357" i="1" s="1"/>
  <c r="BR348" i="1"/>
  <c r="BS348" i="1" s="1"/>
  <c r="BR382" i="1"/>
  <c r="BS382" i="1" s="1"/>
  <c r="BR114" i="1"/>
  <c r="BS114" i="1" s="1"/>
  <c r="BR221" i="1"/>
  <c r="BS221" i="1" s="1"/>
  <c r="BR229" i="1"/>
  <c r="BS229" i="1" s="1"/>
  <c r="BR222" i="1"/>
  <c r="BS222" i="1" s="1"/>
  <c r="BR94" i="1"/>
  <c r="BS94" i="1" s="1"/>
  <c r="BR147" i="1"/>
  <c r="BS147" i="1" s="1"/>
  <c r="BR313" i="1"/>
  <c r="BS313" i="1" s="1"/>
  <c r="BR4" i="1"/>
  <c r="BS4" i="1" s="1"/>
  <c r="BR106" i="1"/>
  <c r="BS106" i="1" s="1"/>
  <c r="BR231" i="1"/>
  <c r="BS231" i="1" s="1"/>
  <c r="BR281" i="1"/>
  <c r="BS281" i="1" s="1"/>
  <c r="BR227" i="1"/>
  <c r="BS227" i="1" s="1"/>
  <c r="BR179" i="1"/>
  <c r="BS179" i="1" s="1"/>
  <c r="BR286" i="1"/>
  <c r="BS286" i="1" s="1"/>
  <c r="BR191" i="1"/>
  <c r="BS191" i="1" s="1"/>
  <c r="BR24" i="1"/>
  <c r="BS24" i="1" s="1"/>
  <c r="BR197" i="1"/>
  <c r="BS197" i="1" s="1"/>
  <c r="BR301" i="1"/>
  <c r="BS301" i="1" s="1"/>
  <c r="BR139" i="1"/>
  <c r="BS139" i="1" s="1"/>
  <c r="BR75" i="1"/>
  <c r="BS75" i="1" s="1"/>
  <c r="BR274" i="1"/>
  <c r="BS274" i="1" s="1"/>
  <c r="BR245" i="1"/>
  <c r="BS245" i="1" s="1"/>
  <c r="BR142" i="1"/>
  <c r="BS142" i="1" s="1"/>
  <c r="BR235" i="1"/>
  <c r="BS235" i="1" s="1"/>
  <c r="BR89" i="1"/>
  <c r="BS89" i="1" s="1"/>
  <c r="BR72" i="1"/>
  <c r="BS72" i="1" s="1"/>
  <c r="BR228" i="1"/>
  <c r="BS228" i="1" s="1"/>
  <c r="BR39" i="1"/>
  <c r="BS39" i="1" s="1"/>
  <c r="BR395" i="1"/>
  <c r="BS395" i="1" s="1"/>
  <c r="BR347" i="1"/>
  <c r="BS347" i="1" s="1"/>
  <c r="BR309" i="1"/>
  <c r="BS309" i="1" s="1"/>
  <c r="BR108" i="1"/>
  <c r="BS108" i="1" s="1"/>
  <c r="BR165" i="1"/>
  <c r="BS165" i="1" s="1"/>
  <c r="BR321" i="1"/>
  <c r="BS321" i="1" s="1"/>
  <c r="BR13" i="1"/>
  <c r="BS13" i="1" s="1"/>
  <c r="BR38" i="1"/>
  <c r="BS38" i="1" s="1"/>
  <c r="BR225" i="1"/>
  <c r="BS225" i="1" s="1"/>
  <c r="BR122" i="1"/>
  <c r="BS122" i="1" s="1"/>
  <c r="BR263" i="1"/>
  <c r="BS263" i="1" s="1"/>
  <c r="BR354" i="1"/>
  <c r="BS354" i="1" s="1"/>
  <c r="BR250" i="1"/>
  <c r="BS250" i="1" s="1"/>
  <c r="BR183" i="1"/>
  <c r="BS183" i="1" s="1"/>
  <c r="BR109" i="1"/>
  <c r="BS109" i="1" s="1"/>
  <c r="BR6" i="1"/>
  <c r="BS6" i="1" s="1"/>
  <c r="BR100" i="1"/>
  <c r="BS100" i="1" s="1"/>
  <c r="BR207" i="1"/>
  <c r="BS207" i="1" s="1"/>
  <c r="BR121" i="1"/>
  <c r="BS121" i="1" s="1"/>
  <c r="BR200" i="1"/>
  <c r="BS200" i="1" s="1"/>
  <c r="BR125" i="1"/>
  <c r="BS125" i="1" s="1"/>
  <c r="BR78" i="1"/>
  <c r="BS78" i="1" s="1"/>
  <c r="BR137" i="1"/>
  <c r="BS137" i="1" s="1"/>
  <c r="BR120" i="1"/>
  <c r="BS120" i="1" s="1"/>
  <c r="BR327" i="1"/>
  <c r="BS327" i="1" s="1"/>
  <c r="BR129" i="1"/>
  <c r="BS129" i="1" s="1"/>
  <c r="BR338" i="1"/>
  <c r="BS338" i="1" s="1"/>
  <c r="BR308" i="1"/>
  <c r="BS308" i="1" s="1"/>
  <c r="BR201" i="1"/>
  <c r="BS201" i="1" s="1"/>
  <c r="BR16" i="1"/>
  <c r="BS16" i="1" s="1"/>
  <c r="BR202" i="1"/>
  <c r="BS202" i="1" s="1"/>
  <c r="BR239" i="1"/>
  <c r="BS239" i="1" s="1"/>
  <c r="BR315" i="1"/>
  <c r="BS315" i="1" s="1"/>
  <c r="BR145" i="1"/>
  <c r="BS145" i="1" s="1"/>
  <c r="BR360" i="1"/>
  <c r="BS360" i="1" s="1"/>
  <c r="BR385" i="1"/>
  <c r="BS385" i="1" s="1"/>
  <c r="BR119" i="1"/>
  <c r="BS119" i="1" s="1"/>
  <c r="BR74" i="1"/>
  <c r="BS74" i="1" s="1"/>
  <c r="BR243" i="1"/>
  <c r="BS243" i="1" s="1"/>
  <c r="BR359" i="1"/>
  <c r="BS359" i="1" s="1"/>
  <c r="BR136" i="1"/>
  <c r="BS136" i="1" s="1"/>
  <c r="BR146" i="1"/>
  <c r="BS146" i="1" s="1"/>
  <c r="BR176" i="1"/>
  <c r="BS176" i="1" s="1"/>
  <c r="BR185" i="1"/>
  <c r="BS185" i="1" s="1"/>
  <c r="BR195" i="1"/>
  <c r="BS195" i="1" s="1"/>
  <c r="BR27" i="1"/>
  <c r="BS27" i="1" s="1"/>
  <c r="BR252" i="1"/>
  <c r="BS252" i="1" s="1"/>
  <c r="BR261" i="1"/>
  <c r="BS261" i="1" s="1"/>
  <c r="BR369" i="1"/>
  <c r="BS369" i="1" s="1"/>
  <c r="BR135" i="1"/>
  <c r="BS135" i="1" s="1"/>
  <c r="BR203" i="1"/>
  <c r="BS203" i="1" s="1"/>
  <c r="BR148" i="1"/>
  <c r="BS148" i="1" s="1"/>
  <c r="BR351" i="1"/>
  <c r="BS351" i="1" s="1"/>
  <c r="BR151" i="1"/>
  <c r="BS151" i="1" s="1"/>
  <c r="BR237" i="1"/>
  <c r="BS237" i="1" s="1"/>
  <c r="BR189" i="1"/>
  <c r="BS189" i="1" s="1"/>
  <c r="BR91" i="1"/>
  <c r="BS91" i="1" s="1"/>
  <c r="BR47" i="1"/>
  <c r="BS47" i="1" s="1"/>
  <c r="BR251" i="1"/>
  <c r="BS251" i="1" s="1"/>
  <c r="BR312" i="1"/>
  <c r="BS312" i="1" s="1"/>
  <c r="BR212" i="1"/>
  <c r="BS212" i="1" s="1"/>
  <c r="BR63" i="1"/>
  <c r="BS63" i="1" s="1"/>
  <c r="BR307" i="1"/>
  <c r="BS307" i="1" s="1"/>
  <c r="BR372" i="1"/>
  <c r="BS372" i="1" s="1"/>
  <c r="BR77" i="1"/>
  <c r="BS77" i="1" s="1"/>
  <c r="BR81" i="1"/>
  <c r="BS81" i="1" s="1"/>
  <c r="BR85" i="1"/>
  <c r="BS85" i="1" s="1"/>
  <c r="BY16" i="1"/>
  <c r="BY211" i="1"/>
  <c r="BY41" i="1"/>
  <c r="BY28" i="1"/>
  <c r="BY26" i="1"/>
  <c r="BY94" i="1"/>
  <c r="BY371" i="1"/>
  <c r="BY161" i="1"/>
  <c r="BY79" i="1"/>
  <c r="BY250" i="1"/>
  <c r="BY301" i="1"/>
  <c r="BY277" i="1"/>
  <c r="BY354" i="1"/>
  <c r="BY386" i="1"/>
  <c r="BY380" i="1"/>
  <c r="BY275" i="1"/>
  <c r="BY171" i="1"/>
  <c r="BY167" i="1"/>
  <c r="CG360" i="1" l="1"/>
  <c r="CD392" i="1"/>
  <c r="BB5" i="19"/>
  <c r="BB8" i="19" s="1"/>
  <c r="BC5" i="19"/>
  <c r="BC7" i="19" s="1"/>
  <c r="D4" i="11"/>
  <c r="BO392" i="1"/>
  <c r="N4" i="11"/>
  <c r="BK392" i="1"/>
  <c r="G4" i="11"/>
  <c r="N6" i="11"/>
  <c r="BS10" i="1"/>
  <c r="D5" i="11"/>
  <c r="BK10" i="1"/>
  <c r="G5" i="11"/>
  <c r="CJ392" i="1"/>
  <c r="BO10" i="1"/>
  <c r="N5" i="11"/>
  <c r="D6" i="11"/>
  <c r="G6" i="11"/>
  <c r="BF5" i="19"/>
  <c r="BF7" i="19" s="1"/>
  <c r="BN5" i="19"/>
  <c r="BN7" i="19" s="1"/>
  <c r="BO5" i="19"/>
  <c r="BO8" i="19" s="1"/>
  <c r="BG5" i="19"/>
  <c r="BG9" i="19" s="1"/>
  <c r="BS152" i="1"/>
  <c r="BJ5" i="19"/>
  <c r="BJ8" i="19" s="1"/>
  <c r="BK5" i="19"/>
  <c r="BK9" i="19" s="1"/>
  <c r="BO152" i="1"/>
  <c r="Y13" i="19"/>
  <c r="BK152" i="1"/>
  <c r="AY13" i="19"/>
  <c r="AJ7" i="19"/>
  <c r="AJ8" i="19"/>
  <c r="AK12" i="19" s="1"/>
  <c r="AG13" i="19"/>
  <c r="U13" i="19"/>
  <c r="M11" i="19"/>
  <c r="AY7" i="19"/>
  <c r="T7" i="19"/>
  <c r="AY8" i="19"/>
  <c r="CG385" i="1"/>
  <c r="S9" i="19"/>
  <c r="AI7" i="19"/>
  <c r="T8" i="19"/>
  <c r="AI8" i="19"/>
  <c r="E11" i="19"/>
  <c r="K8" i="19"/>
  <c r="K12" i="19" s="1"/>
  <c r="Z7" i="19"/>
  <c r="I9" i="19"/>
  <c r="H13" i="19" s="1"/>
  <c r="Z9" i="19"/>
  <c r="AA13" i="19" s="1"/>
  <c r="S7" i="19"/>
  <c r="J7" i="19"/>
  <c r="K11" i="19" s="1"/>
  <c r="H7" i="19"/>
  <c r="X8" i="19"/>
  <c r="W8" i="19"/>
  <c r="AM9" i="19"/>
  <c r="AM13" i="19" s="1"/>
  <c r="K9" i="19"/>
  <c r="AS8" i="19"/>
  <c r="AP8" i="19"/>
  <c r="AP7" i="19"/>
  <c r="AQ11" i="19" s="1"/>
  <c r="W9" i="19"/>
  <c r="W13" i="19" s="1"/>
  <c r="U7" i="19"/>
  <c r="AK7" i="19"/>
  <c r="G8" i="19"/>
  <c r="AM7" i="19"/>
  <c r="AN9" i="19"/>
  <c r="N9" i="19"/>
  <c r="O13" i="19" s="1"/>
  <c r="AQ9" i="19"/>
  <c r="AQ13" i="19" s="1"/>
  <c r="I7" i="19"/>
  <c r="H11" i="19" s="1"/>
  <c r="AT8" i="19"/>
  <c r="AD9" i="19"/>
  <c r="AE13" i="19" s="1"/>
  <c r="H8" i="19"/>
  <c r="I12" i="19" s="1"/>
  <c r="AK9" i="19"/>
  <c r="AK13" i="19" s="1"/>
  <c r="AS9" i="19"/>
  <c r="AS13" i="19" s="1"/>
  <c r="AA7" i="19"/>
  <c r="U8" i="19"/>
  <c r="AA8" i="19"/>
  <c r="AA12" i="19" s="1"/>
  <c r="AQ8" i="19"/>
  <c r="AT9" i="19"/>
  <c r="AU13" i="19" s="1"/>
  <c r="Q8" i="19"/>
  <c r="Q7" i="19"/>
  <c r="Q9" i="19"/>
  <c r="Q13" i="19" s="1"/>
  <c r="AW8" i="19"/>
  <c r="AW7" i="19"/>
  <c r="R7" i="19"/>
  <c r="R8" i="19"/>
  <c r="S12" i="19" s="1"/>
  <c r="X7" i="19"/>
  <c r="AW9" i="19"/>
  <c r="AW13" i="19" s="1"/>
  <c r="AH7" i="19"/>
  <c r="AH8" i="19"/>
  <c r="AN7" i="19"/>
  <c r="AO11" i="19" s="1"/>
  <c r="AX7" i="19"/>
  <c r="AX8" i="19"/>
  <c r="L8" i="19"/>
  <c r="AD8" i="19"/>
  <c r="AB8" i="19"/>
  <c r="R9" i="19"/>
  <c r="AR8" i="19"/>
  <c r="E8" i="19"/>
  <c r="D12" i="19" s="1"/>
  <c r="E9" i="19"/>
  <c r="D13" i="19" s="1"/>
  <c r="V8" i="19"/>
  <c r="AO9" i="19"/>
  <c r="AG8" i="19"/>
  <c r="AG7" i="19"/>
  <c r="AB7" i="19"/>
  <c r="AC11" i="19" s="1"/>
  <c r="Y8" i="19"/>
  <c r="AH9" i="19"/>
  <c r="AI13" i="19" s="1"/>
  <c r="G9" i="19"/>
  <c r="G13" i="19" s="1"/>
  <c r="Y7" i="19"/>
  <c r="AR7" i="19"/>
  <c r="AS11" i="19" s="1"/>
  <c r="L9" i="19"/>
  <c r="L13" i="19" s="1"/>
  <c r="AE8" i="19"/>
  <c r="AE7" i="19"/>
  <c r="AE11" i="19" s="1"/>
  <c r="AU8" i="19"/>
  <c r="AU7" i="19"/>
  <c r="AU11" i="19" s="1"/>
  <c r="P7" i="19"/>
  <c r="P11" i="19" s="1"/>
  <c r="P8" i="19"/>
  <c r="P12" i="19" s="1"/>
  <c r="AO8" i="19"/>
  <c r="AO12" i="19" s="1"/>
  <c r="V7" i="19"/>
  <c r="W11" i="19" s="1"/>
  <c r="J9" i="19"/>
  <c r="F7" i="19"/>
  <c r="G11" i="19" s="1"/>
  <c r="O8" i="19"/>
  <c r="O7" i="19"/>
  <c r="O11" i="19" s="1"/>
  <c r="AL8" i="19"/>
  <c r="AM12" i="19" s="1"/>
  <c r="N8" i="19"/>
  <c r="AF8" i="19"/>
  <c r="AF7" i="19"/>
  <c r="M9" i="19"/>
  <c r="AL7" i="19"/>
  <c r="M8" i="19"/>
  <c r="AV7" i="19"/>
  <c r="AV8" i="19"/>
  <c r="AC9" i="19"/>
  <c r="AC13" i="19" s="1"/>
  <c r="AC8" i="19"/>
  <c r="F8" i="19"/>
  <c r="D9" i="19"/>
  <c r="D8" i="19"/>
  <c r="CM206" i="1"/>
  <c r="CD385" i="1"/>
  <c r="CM397" i="1"/>
  <c r="CM229" i="1"/>
  <c r="CM118" i="1"/>
  <c r="CM12" i="1"/>
  <c r="CM207" i="1"/>
  <c r="CM258" i="1"/>
  <c r="CM25" i="1"/>
  <c r="CM261" i="1"/>
  <c r="CM396" i="1"/>
  <c r="CD176" i="1"/>
  <c r="CM363" i="1"/>
  <c r="CM24" i="1"/>
  <c r="CM31" i="1"/>
  <c r="CM82" i="1"/>
  <c r="CM49" i="1"/>
  <c r="CJ107" i="1"/>
  <c r="CJ239" i="1"/>
  <c r="CM201" i="1"/>
  <c r="CJ267" i="1"/>
  <c r="CM127" i="1"/>
  <c r="CM172" i="1"/>
  <c r="CM9" i="1"/>
  <c r="CG46" i="1"/>
  <c r="CM130" i="1"/>
  <c r="CM100" i="1"/>
  <c r="CM40" i="1"/>
  <c r="CM326" i="1"/>
  <c r="CM234" i="1"/>
  <c r="CM275" i="1"/>
  <c r="CM297" i="1"/>
  <c r="CM28" i="1"/>
  <c r="CM236" i="1"/>
  <c r="CM32" i="1"/>
  <c r="CM262" i="1"/>
  <c r="CM67" i="1"/>
  <c r="CJ120" i="1"/>
  <c r="CM190" i="1"/>
  <c r="CM211" i="1"/>
  <c r="CM57" i="1"/>
  <c r="CM193" i="1"/>
  <c r="CJ304" i="1"/>
  <c r="CD49" i="1"/>
  <c r="CM50" i="1"/>
  <c r="CM136" i="1"/>
  <c r="CM351" i="1"/>
  <c r="CM93" i="1"/>
  <c r="CM286" i="1"/>
  <c r="CM266" i="1"/>
  <c r="CM20" i="1"/>
  <c r="CM58" i="1"/>
  <c r="CG320" i="1"/>
  <c r="CM52" i="1"/>
  <c r="CM278" i="1"/>
  <c r="CM335" i="1"/>
  <c r="CM16" i="1"/>
  <c r="CM386" i="1"/>
  <c r="CM372" i="1"/>
  <c r="CM77" i="1"/>
  <c r="CM7" i="1"/>
  <c r="CM89" i="1"/>
  <c r="CM121" i="1"/>
  <c r="CJ62" i="1"/>
  <c r="CM104" i="1"/>
  <c r="CM80" i="1"/>
  <c r="CM120" i="1"/>
  <c r="CM65" i="1"/>
  <c r="CM158" i="1"/>
  <c r="CG290" i="1"/>
  <c r="CM260" i="1"/>
  <c r="CM337" i="1"/>
  <c r="CJ126" i="1"/>
  <c r="CG383" i="1"/>
  <c r="CM6" i="1"/>
  <c r="CM48" i="1"/>
  <c r="CM27" i="1"/>
  <c r="CJ128" i="1"/>
  <c r="CM345" i="1"/>
  <c r="CM60" i="1"/>
  <c r="CM288" i="1"/>
  <c r="CM153" i="1"/>
  <c r="CM268" i="1"/>
  <c r="CM70" i="1"/>
  <c r="CM333" i="1"/>
  <c r="CM255" i="1"/>
  <c r="CM23" i="1"/>
  <c r="CM238" i="1"/>
  <c r="CM102" i="1"/>
  <c r="CM334" i="1"/>
  <c r="CM53" i="1"/>
  <c r="CM140" i="1"/>
  <c r="CM296" i="1"/>
  <c r="CM274" i="1"/>
  <c r="CM13" i="1"/>
  <c r="CM323" i="1"/>
  <c r="CM171" i="1"/>
  <c r="CM182" i="1"/>
  <c r="CM381" i="1"/>
  <c r="CM26" i="1"/>
  <c r="CM54" i="1"/>
  <c r="CM332" i="1"/>
  <c r="CM329" i="1"/>
  <c r="CM322" i="1"/>
  <c r="CJ117" i="1"/>
  <c r="CM155" i="1"/>
  <c r="CM242" i="1"/>
  <c r="CG29" i="1"/>
  <c r="CM150" i="1"/>
  <c r="CM294" i="1"/>
  <c r="CM71" i="1"/>
  <c r="CM389" i="1"/>
  <c r="CM344" i="1"/>
  <c r="CM145" i="1"/>
  <c r="CM387" i="1"/>
  <c r="CM369" i="1"/>
  <c r="CM37" i="1"/>
  <c r="CM265" i="1"/>
  <c r="CM364" i="1"/>
  <c r="CM174" i="1"/>
  <c r="CM226" i="1"/>
  <c r="CM103" i="1"/>
  <c r="CM179" i="1"/>
  <c r="CM146" i="1"/>
  <c r="CM152" i="1"/>
  <c r="CM76" i="1"/>
  <c r="CM256" i="1"/>
  <c r="CM119" i="1"/>
  <c r="CM139" i="1"/>
  <c r="CM271" i="1"/>
  <c r="CM122" i="1"/>
  <c r="CM132" i="1"/>
  <c r="CM235" i="1"/>
  <c r="CM192" i="1"/>
  <c r="CM237" i="1"/>
  <c r="CM358" i="1"/>
  <c r="CM225" i="1"/>
  <c r="CM72" i="1"/>
  <c r="CM191" i="1"/>
  <c r="CM280" i="1"/>
  <c r="CM112" i="1"/>
  <c r="CM205" i="1"/>
  <c r="CM317" i="1"/>
  <c r="CD255" i="1"/>
  <c r="CM208" i="1"/>
  <c r="CM376" i="1"/>
  <c r="CM117" i="1"/>
  <c r="CM241" i="1"/>
  <c r="CM144" i="1"/>
  <c r="CM166" i="1"/>
  <c r="CM340" i="1"/>
  <c r="CM36" i="1"/>
  <c r="CM167" i="1"/>
  <c r="CM367" i="1"/>
  <c r="CM125" i="1"/>
  <c r="CM347" i="1"/>
  <c r="CM212" i="1"/>
  <c r="CM319" i="1"/>
  <c r="CM357" i="1"/>
  <c r="CM349" i="1"/>
  <c r="CM96" i="1"/>
  <c r="CM98" i="1"/>
  <c r="CM137" i="1"/>
  <c r="CM10" i="1"/>
  <c r="CM83" i="1"/>
  <c r="CM374" i="1"/>
  <c r="CM78" i="1"/>
  <c r="CM160" i="1"/>
  <c r="CM313" i="1"/>
  <c r="CM56" i="1"/>
  <c r="CD110" i="1"/>
  <c r="CM116" i="1"/>
  <c r="CM97" i="1"/>
  <c r="CM328" i="1"/>
  <c r="CM59" i="1"/>
  <c r="CM22" i="1"/>
  <c r="CM62" i="1"/>
  <c r="CM157" i="1"/>
  <c r="CM159" i="1"/>
  <c r="CM46" i="1"/>
  <c r="CM88" i="1"/>
  <c r="CM41" i="1"/>
  <c r="CM68" i="1"/>
  <c r="CM365" i="1"/>
  <c r="CM196" i="1"/>
  <c r="CM51" i="1"/>
  <c r="CM113" i="1"/>
  <c r="CM198" i="1"/>
  <c r="CM21" i="1"/>
  <c r="CM366" i="1"/>
  <c r="CM239" i="1"/>
  <c r="CM327" i="1"/>
  <c r="CM348" i="1"/>
  <c r="CM276" i="1"/>
  <c r="CM17" i="1"/>
  <c r="CM74" i="1"/>
  <c r="CM254" i="1"/>
  <c r="CM232" i="1"/>
  <c r="CM47" i="1"/>
  <c r="CM4" i="1"/>
  <c r="CM230" i="1"/>
  <c r="CM356" i="1"/>
  <c r="CM354" i="1"/>
  <c r="CM178" i="1"/>
  <c r="CM228" i="1"/>
  <c r="CM314" i="1"/>
  <c r="CM11" i="1"/>
  <c r="CM19" i="1"/>
  <c r="CM108" i="1"/>
  <c r="CM385" i="1"/>
  <c r="CM84" i="1"/>
  <c r="CM165" i="1"/>
  <c r="CM148" i="1"/>
  <c r="CM355" i="1"/>
  <c r="CM202" i="1"/>
  <c r="CM395" i="1"/>
  <c r="CM312" i="1"/>
  <c r="CM248" i="1"/>
  <c r="CM398" i="1"/>
  <c r="CM94" i="1"/>
  <c r="CM177" i="1"/>
  <c r="CM197" i="1"/>
  <c r="CM186" i="1"/>
  <c r="CM169" i="1"/>
  <c r="CM341" i="1"/>
  <c r="CM304" i="1"/>
  <c r="CM200" i="1"/>
  <c r="CM161" i="1"/>
  <c r="CM222" i="1"/>
  <c r="CJ321" i="1"/>
  <c r="CM290" i="1"/>
  <c r="CM382" i="1"/>
  <c r="CM162" i="1"/>
  <c r="CM173" i="1"/>
  <c r="CM246" i="1"/>
  <c r="CM291" i="1"/>
  <c r="CM277" i="1"/>
  <c r="CM214" i="1"/>
  <c r="CM114" i="1"/>
  <c r="CM324" i="1"/>
  <c r="CM123" i="1"/>
  <c r="CM311" i="1"/>
  <c r="CM181" i="1"/>
  <c r="CJ12" i="1"/>
  <c r="CM346" i="1"/>
  <c r="CM63" i="1"/>
  <c r="CM215" i="1"/>
  <c r="CM315" i="1"/>
  <c r="CM149" i="1"/>
  <c r="CM38" i="1"/>
  <c r="CM133" i="1"/>
  <c r="CM320" i="1"/>
  <c r="CM29" i="1"/>
  <c r="CM303" i="1"/>
  <c r="CM342" i="1"/>
  <c r="CM75" i="1"/>
  <c r="CM394" i="1"/>
  <c r="CM259" i="1"/>
  <c r="CM251" i="1"/>
  <c r="CM176" i="1"/>
  <c r="CD192" i="1"/>
  <c r="CM30" i="1"/>
  <c r="CM87" i="1"/>
  <c r="CM55" i="1"/>
  <c r="CM73" i="1"/>
  <c r="CM187" i="1"/>
  <c r="CM33" i="1"/>
  <c r="CM250" i="1"/>
  <c r="CM353" i="1"/>
  <c r="CM272" i="1"/>
  <c r="CM339" i="1"/>
  <c r="CM307" i="1"/>
  <c r="CM264" i="1"/>
  <c r="CM42" i="1"/>
  <c r="CM194" i="1"/>
  <c r="CM111" i="1"/>
  <c r="CM129" i="1"/>
  <c r="CM3" i="1"/>
  <c r="CM66" i="1"/>
  <c r="CM289" i="1"/>
  <c r="CD13" i="1"/>
  <c r="CM188" i="1"/>
  <c r="CJ150" i="1"/>
  <c r="CM91" i="1"/>
  <c r="CM135" i="1"/>
  <c r="CM64" i="1"/>
  <c r="CM101" i="1"/>
  <c r="CM281" i="1"/>
  <c r="CM141" i="1"/>
  <c r="CM213" i="1"/>
  <c r="CM115" i="1"/>
  <c r="CM90" i="1"/>
  <c r="CJ9" i="1"/>
  <c r="CM336" i="1"/>
  <c r="CM350" i="1"/>
  <c r="CM352" i="1"/>
  <c r="CM44" i="1"/>
  <c r="CM302" i="1"/>
  <c r="CJ119" i="1"/>
  <c r="CM39" i="1"/>
  <c r="CJ64" i="1"/>
  <c r="CM170" i="1"/>
  <c r="CM185" i="1"/>
  <c r="CM195" i="1"/>
  <c r="CM318" i="1"/>
  <c r="CM134" i="1"/>
  <c r="CM203" i="1"/>
  <c r="CJ200" i="1"/>
  <c r="CM233" i="1"/>
  <c r="CM243" i="1"/>
  <c r="CM284" i="1"/>
  <c r="CM86" i="1"/>
  <c r="CM18" i="1"/>
  <c r="CM299" i="1"/>
  <c r="CM383" i="1"/>
  <c r="CM380" i="1"/>
  <c r="CM231" i="1"/>
  <c r="CJ22" i="1"/>
  <c r="CG362" i="1"/>
  <c r="CD283" i="1"/>
  <c r="CM220" i="1"/>
  <c r="CM61" i="1"/>
  <c r="CG335" i="1"/>
  <c r="CJ160" i="1"/>
  <c r="CG190" i="1"/>
  <c r="CG22" i="1"/>
  <c r="CG83" i="1"/>
  <c r="CM330" i="1"/>
  <c r="CM361" i="1"/>
  <c r="CM79" i="1"/>
  <c r="CM309" i="1"/>
  <c r="CM285" i="1"/>
  <c r="CM128" i="1"/>
  <c r="CM310" i="1"/>
  <c r="CM257" i="1"/>
  <c r="CM106" i="1"/>
  <c r="CM175" i="1"/>
  <c r="CM283" i="1"/>
  <c r="CM224" i="1"/>
  <c r="CM35" i="1"/>
  <c r="CM321" i="1"/>
  <c r="CM270" i="1"/>
  <c r="CM362" i="1"/>
  <c r="CM209" i="1"/>
  <c r="CM298" i="1"/>
  <c r="CM240" i="1"/>
  <c r="CM99" i="1"/>
  <c r="CM223" i="1"/>
  <c r="CM199" i="1"/>
  <c r="CM390" i="1"/>
  <c r="CM95" i="1"/>
  <c r="CM267" i="1"/>
  <c r="CM131" i="1"/>
  <c r="CJ311" i="1"/>
  <c r="CM210" i="1"/>
  <c r="CM373" i="1"/>
  <c r="CM377" i="1"/>
  <c r="CM2" i="1"/>
  <c r="CM216" i="1"/>
  <c r="CM142" i="1"/>
  <c r="CM8" i="1"/>
  <c r="CM69" i="1"/>
  <c r="CM378" i="1"/>
  <c r="CM293" i="1"/>
  <c r="CD212" i="1"/>
  <c r="CG109" i="1"/>
  <c r="CD159" i="1"/>
  <c r="CG47" i="1"/>
  <c r="CD333" i="1"/>
  <c r="CJ10" i="1"/>
  <c r="CG48" i="1"/>
  <c r="CD225" i="1"/>
  <c r="CJ385" i="1"/>
  <c r="CG133" i="1"/>
  <c r="CG366" i="1"/>
  <c r="CG308" i="1"/>
  <c r="CG287" i="1"/>
  <c r="CG188" i="1"/>
  <c r="CG108" i="1"/>
  <c r="CD389" i="1"/>
  <c r="CG112" i="1"/>
  <c r="CD256" i="1"/>
  <c r="CG76" i="1"/>
  <c r="CG218" i="1"/>
  <c r="CJ85" i="1"/>
  <c r="CG261" i="1"/>
  <c r="CD115" i="1"/>
  <c r="CG60" i="1"/>
  <c r="CG149" i="1"/>
  <c r="CJ382" i="1"/>
  <c r="CG244" i="1"/>
  <c r="CJ190" i="1"/>
  <c r="CG211" i="1"/>
  <c r="CD63" i="1"/>
  <c r="CJ268" i="1"/>
  <c r="CJ103" i="1"/>
  <c r="CG208" i="1"/>
  <c r="CD6" i="1"/>
  <c r="CD51" i="1"/>
  <c r="CG140" i="1"/>
  <c r="CD213" i="1"/>
  <c r="CJ326" i="1"/>
  <c r="CG72" i="1"/>
  <c r="CJ278" i="1"/>
  <c r="CJ229" i="1"/>
  <c r="CG165" i="1"/>
  <c r="CG315" i="1"/>
  <c r="CD194" i="1"/>
  <c r="CD7" i="1"/>
  <c r="CJ358" i="1"/>
  <c r="CG340" i="1"/>
  <c r="CD131" i="1"/>
  <c r="CD378" i="1"/>
  <c r="CD4" i="1"/>
  <c r="CJ11" i="1"/>
  <c r="CJ378" i="1"/>
  <c r="CJ310" i="1"/>
  <c r="CJ101" i="1"/>
  <c r="CD332" i="1"/>
  <c r="CM221" i="1"/>
  <c r="CD278" i="1"/>
  <c r="CJ343" i="1"/>
  <c r="CG382" i="1"/>
  <c r="CM45" i="1"/>
  <c r="CG339" i="1"/>
  <c r="CJ284" i="1"/>
  <c r="CG235" i="1"/>
  <c r="CJ375" i="1"/>
  <c r="CG336" i="1"/>
  <c r="CJ159" i="1"/>
  <c r="CG317" i="1"/>
  <c r="CD271" i="1"/>
  <c r="CJ122" i="1"/>
  <c r="CD39" i="1"/>
  <c r="CD132" i="1"/>
  <c r="CG307" i="1"/>
  <c r="CG375" i="1"/>
  <c r="CJ342" i="1"/>
  <c r="CG224" i="1"/>
  <c r="CG176" i="1"/>
  <c r="CG73" i="1"/>
  <c r="CJ89" i="1"/>
  <c r="CD50" i="1"/>
  <c r="CD3" i="1"/>
  <c r="CD364" i="1"/>
  <c r="CJ173" i="1"/>
  <c r="CD297" i="1"/>
  <c r="CD72" i="1"/>
  <c r="CG246" i="1"/>
  <c r="CG13" i="1"/>
  <c r="CG325" i="1"/>
  <c r="CD95" i="1"/>
  <c r="CG7" i="1"/>
  <c r="CD18" i="1"/>
  <c r="CD290" i="1"/>
  <c r="CG107" i="1"/>
  <c r="CG55" i="1"/>
  <c r="CD288" i="1"/>
  <c r="CD374" i="1"/>
  <c r="CD191" i="1"/>
  <c r="CD311" i="1"/>
  <c r="CD274" i="1"/>
  <c r="CJ289" i="1"/>
  <c r="CJ307" i="1"/>
  <c r="CD260" i="1"/>
  <c r="CD182" i="1"/>
  <c r="CJ179" i="1"/>
  <c r="CJ73" i="1"/>
  <c r="CJ254" i="1"/>
  <c r="CJ47" i="1"/>
  <c r="CJ316" i="1"/>
  <c r="CJ258" i="1"/>
  <c r="CD377" i="1"/>
  <c r="CG285" i="1"/>
  <c r="CJ161" i="1"/>
  <c r="CG89" i="1"/>
  <c r="CJ63" i="1"/>
  <c r="CJ93" i="1"/>
  <c r="CD33" i="1"/>
  <c r="CG365" i="1"/>
  <c r="CD227" i="1"/>
  <c r="CG258" i="1"/>
  <c r="CJ138" i="1"/>
  <c r="CG242" i="1"/>
  <c r="CJ153" i="1"/>
  <c r="CD252" i="1"/>
  <c r="CD233" i="1"/>
  <c r="CG395" i="1"/>
  <c r="CD62" i="1"/>
  <c r="CJ130" i="1"/>
  <c r="CG201" i="1"/>
  <c r="CG250" i="1"/>
  <c r="CG38" i="1"/>
  <c r="CG205" i="1"/>
  <c r="CD129" i="1"/>
  <c r="CD31" i="1"/>
  <c r="CG254" i="1"/>
  <c r="CG204" i="1"/>
  <c r="CD76" i="1"/>
  <c r="CG267" i="1"/>
  <c r="CJ213" i="1"/>
  <c r="CD97" i="1"/>
  <c r="CG59" i="1"/>
  <c r="CJ110" i="1"/>
  <c r="CD276" i="1"/>
  <c r="CJ181" i="1"/>
  <c r="CD17" i="1"/>
  <c r="CG161" i="1"/>
  <c r="CG243" i="1"/>
  <c r="CJ188" i="1"/>
  <c r="CJ265" i="1"/>
  <c r="CG256" i="1"/>
  <c r="CG222" i="1"/>
  <c r="CM392" i="1"/>
  <c r="CG345" i="1"/>
  <c r="CD114" i="1"/>
  <c r="CD336" i="1"/>
  <c r="CG31" i="1"/>
  <c r="CG77" i="1"/>
  <c r="CG259" i="1"/>
  <c r="CG217" i="1"/>
  <c r="CD40" i="1"/>
  <c r="CM375" i="1"/>
  <c r="CD222" i="1"/>
  <c r="CJ280" i="1"/>
  <c r="CD361" i="1"/>
  <c r="CG209" i="1"/>
  <c r="CD111" i="1"/>
  <c r="CD262" i="1"/>
  <c r="CG111" i="1"/>
  <c r="CG49" i="1"/>
  <c r="CD136" i="1"/>
  <c r="CD32" i="1"/>
  <c r="CG271" i="1"/>
  <c r="CD55" i="1"/>
  <c r="CG39" i="1"/>
  <c r="CD244" i="1"/>
  <c r="CD251" i="1"/>
  <c r="CG323" i="1"/>
  <c r="CD90" i="1"/>
  <c r="CD218" i="1"/>
  <c r="CD307" i="1"/>
  <c r="CJ111" i="1"/>
  <c r="CD138" i="1"/>
  <c r="CG50" i="1"/>
  <c r="CJ109" i="1"/>
  <c r="CJ211" i="1"/>
  <c r="CG277" i="1"/>
  <c r="CG296" i="1"/>
  <c r="CG67" i="1"/>
  <c r="CJ49" i="1"/>
  <c r="CG115" i="1"/>
  <c r="CG130" i="1"/>
  <c r="CG142" i="1"/>
  <c r="CG65" i="1"/>
  <c r="CG374" i="1"/>
  <c r="CJ397" i="1"/>
  <c r="CJ374" i="1"/>
  <c r="CG396" i="1"/>
  <c r="CG118" i="1"/>
  <c r="CJ125" i="1"/>
  <c r="CG341" i="1"/>
  <c r="CD279" i="1"/>
  <c r="CJ27" i="1"/>
  <c r="CD152" i="1"/>
  <c r="CD92" i="1"/>
  <c r="CM295" i="1"/>
  <c r="CD259" i="1"/>
  <c r="CJ317" i="1"/>
  <c r="CD320" i="1"/>
  <c r="CM249" i="1"/>
  <c r="CJ303" i="1"/>
  <c r="CG100" i="1"/>
  <c r="CG30" i="1"/>
  <c r="CD217" i="1"/>
  <c r="CJ3" i="1"/>
  <c r="CM143" i="1"/>
  <c r="CG281" i="1"/>
  <c r="CD289" i="1"/>
  <c r="CJ320" i="1"/>
  <c r="CD358" i="1"/>
  <c r="CD64" i="1"/>
  <c r="CD38" i="1"/>
  <c r="CG144" i="1"/>
  <c r="CD287" i="1"/>
  <c r="CD160" i="1"/>
  <c r="CJ275" i="1"/>
  <c r="CG192" i="1"/>
  <c r="CD369" i="1"/>
  <c r="CJ377" i="1"/>
  <c r="CM92" i="1"/>
  <c r="CG369" i="1"/>
  <c r="CG110" i="1"/>
  <c r="CD137" i="1"/>
  <c r="CD291" i="1"/>
  <c r="CJ324" i="1"/>
  <c r="CJ336" i="1"/>
  <c r="CD286" i="1"/>
  <c r="CG96" i="1"/>
  <c r="CD352" i="1"/>
  <c r="CG116" i="1"/>
  <c r="CD146" i="1"/>
  <c r="CD241" i="1"/>
  <c r="CG220" i="1"/>
  <c r="CD9" i="1"/>
  <c r="CJ191" i="1"/>
  <c r="CD147" i="1"/>
  <c r="CJ193" i="1"/>
  <c r="CJ236" i="1"/>
  <c r="CG166" i="1"/>
  <c r="CG232" i="1"/>
  <c r="CG97" i="1"/>
  <c r="CD257" i="1"/>
  <c r="CJ260" i="1"/>
  <c r="CJ78" i="1"/>
  <c r="CD327" i="1"/>
  <c r="CG132" i="1"/>
  <c r="CD44" i="1"/>
  <c r="CJ195" i="1"/>
  <c r="CD120" i="1"/>
  <c r="CD366" i="1"/>
  <c r="CM301" i="1"/>
  <c r="CG78" i="1"/>
  <c r="CJ91" i="1"/>
  <c r="CD190" i="1"/>
  <c r="CJ298" i="1"/>
  <c r="CD23" i="1"/>
  <c r="CG266" i="1"/>
  <c r="CJ183" i="1"/>
  <c r="CG322" i="1"/>
  <c r="CJ373" i="1"/>
  <c r="CG274" i="1"/>
  <c r="CJ162" i="1"/>
  <c r="CG10" i="1"/>
  <c r="CJ279" i="1"/>
  <c r="CG16" i="1"/>
  <c r="CD145" i="1"/>
  <c r="CJ35" i="1"/>
  <c r="CJ57" i="1"/>
  <c r="CJ88" i="1"/>
  <c r="CD83" i="1"/>
  <c r="CD141" i="1"/>
  <c r="CJ41" i="1"/>
  <c r="CD20" i="1"/>
  <c r="CD318" i="1"/>
  <c r="CD247" i="1"/>
  <c r="CD42" i="1"/>
  <c r="CM227" i="1"/>
  <c r="CJ227" i="1"/>
  <c r="CG129" i="1"/>
  <c r="CD149" i="1"/>
  <c r="CG136" i="1"/>
  <c r="CG216" i="1"/>
  <c r="CG54" i="1"/>
  <c r="CJ164" i="1"/>
  <c r="CJ187" i="1"/>
  <c r="CM85" i="1"/>
  <c r="CJ286" i="1"/>
  <c r="CG321" i="1"/>
  <c r="CG300" i="1"/>
  <c r="CG84" i="1"/>
  <c r="CD186" i="1"/>
  <c r="CJ272" i="1"/>
  <c r="CJ66" i="1"/>
  <c r="CG114" i="1"/>
  <c r="CM247" i="1"/>
  <c r="CD67" i="1"/>
  <c r="CJ228" i="1"/>
  <c r="CD57" i="1"/>
  <c r="CD330" i="1"/>
  <c r="CJ25" i="1"/>
  <c r="CM110" i="1"/>
  <c r="CD135" i="1"/>
  <c r="CJ8" i="1"/>
  <c r="CD232" i="1"/>
  <c r="CJ244" i="1"/>
  <c r="CG270" i="1"/>
  <c r="CJ23" i="1"/>
  <c r="CG225" i="1"/>
  <c r="CD165" i="1"/>
  <c r="CM81" i="1"/>
  <c r="CJ241" i="1"/>
  <c r="CG332" i="1"/>
  <c r="CJ266" i="1"/>
  <c r="CD337" i="1"/>
  <c r="CD250" i="1"/>
  <c r="CG126" i="1"/>
  <c r="CD154" i="1"/>
  <c r="CG162" i="1"/>
  <c r="CG74" i="1"/>
  <c r="CG20" i="1"/>
  <c r="CG229" i="1"/>
  <c r="CD82" i="1"/>
  <c r="CG200" i="1"/>
  <c r="CJ28" i="1"/>
  <c r="CG289" i="1"/>
  <c r="CD197" i="1"/>
  <c r="CD272" i="1"/>
  <c r="CJ346" i="1"/>
  <c r="CJ44" i="1"/>
  <c r="CD27" i="1"/>
  <c r="CJ19" i="1"/>
  <c r="CJ168" i="1"/>
  <c r="CG171" i="1"/>
  <c r="CG169" i="1"/>
  <c r="CJ135" i="1"/>
  <c r="CJ386" i="1"/>
  <c r="CG154" i="1"/>
  <c r="CD299" i="1"/>
  <c r="CJ54" i="1"/>
  <c r="CJ145" i="1"/>
  <c r="CJ252" i="1"/>
  <c r="CJ220" i="1"/>
  <c r="CM184" i="1"/>
  <c r="CJ361" i="1"/>
  <c r="CJ309" i="1"/>
  <c r="CJ146" i="1"/>
  <c r="CM300" i="1"/>
  <c r="CJ46" i="1"/>
  <c r="CG343" i="1"/>
  <c r="CG62" i="1"/>
  <c r="CD351" i="1"/>
  <c r="CJ255" i="1"/>
  <c r="CG86" i="1"/>
  <c r="CG239" i="1"/>
  <c r="CJ90" i="1"/>
  <c r="CG389" i="1"/>
  <c r="CD41" i="1"/>
  <c r="CD296" i="1"/>
  <c r="CG348" i="1"/>
  <c r="CD263" i="1"/>
  <c r="CD36" i="1"/>
  <c r="CJ370" i="1"/>
  <c r="CG284" i="1"/>
  <c r="CD306" i="1"/>
  <c r="CM308" i="1"/>
  <c r="CD65" i="1"/>
  <c r="CJ102" i="1"/>
  <c r="CD30" i="1"/>
  <c r="CG207" i="1"/>
  <c r="CJ208" i="1"/>
  <c r="CJ376" i="1"/>
  <c r="CJ367" i="1"/>
  <c r="CD317" i="1"/>
  <c r="CJ201" i="1"/>
  <c r="CD109" i="1"/>
  <c r="CD350" i="1"/>
  <c r="CJ308" i="1"/>
  <c r="CG386" i="1"/>
  <c r="CG342" i="1"/>
  <c r="CD91" i="1"/>
  <c r="CJ176" i="1"/>
  <c r="CJ305" i="1"/>
  <c r="CJ251" i="1"/>
  <c r="CG182" i="1"/>
  <c r="CG311" i="1"/>
  <c r="CJ299" i="1"/>
  <c r="CG121" i="1"/>
  <c r="CJ163" i="1"/>
  <c r="CG310" i="1"/>
  <c r="CG199" i="1"/>
  <c r="CD236" i="1"/>
  <c r="CD211" i="1"/>
  <c r="CJ72" i="1"/>
  <c r="CD126" i="1"/>
  <c r="CG231" i="1"/>
  <c r="CD340" i="1"/>
  <c r="CD60" i="1"/>
  <c r="CD185" i="1"/>
  <c r="CD202" i="1"/>
  <c r="CG337" i="1"/>
  <c r="CD215" i="1"/>
  <c r="CD125" i="1"/>
  <c r="CD142" i="1"/>
  <c r="CD343" i="1"/>
  <c r="CM287" i="1"/>
  <c r="CM371" i="1"/>
  <c r="CG398" i="1"/>
  <c r="CJ71" i="1"/>
  <c r="CD325" i="1"/>
  <c r="CJ297" i="1"/>
  <c r="CJ59" i="1"/>
  <c r="CD94" i="1"/>
  <c r="CD100" i="1"/>
  <c r="CD243" i="1"/>
  <c r="CG393" i="1"/>
  <c r="CM370" i="1"/>
  <c r="CG104" i="1"/>
  <c r="CG153" i="1"/>
  <c r="CJ393" i="1"/>
  <c r="CG304" i="1"/>
  <c r="CG95" i="1"/>
  <c r="CD122" i="1"/>
  <c r="CD101" i="1"/>
  <c r="CM168" i="1"/>
  <c r="CG306" i="1"/>
  <c r="CG2" i="1"/>
  <c r="CG299" i="1"/>
  <c r="CD365" i="1"/>
  <c r="CD386" i="1"/>
  <c r="CD177" i="1"/>
  <c r="CD168" i="1"/>
  <c r="CJ232" i="1"/>
  <c r="CJ387" i="1"/>
  <c r="CJ313" i="1"/>
  <c r="CJ263" i="1"/>
  <c r="CG80" i="1"/>
  <c r="CG233" i="1"/>
  <c r="CJ355" i="1"/>
  <c r="CD85" i="1"/>
  <c r="CJ333" i="1"/>
  <c r="CD47" i="1"/>
  <c r="CD285" i="1"/>
  <c r="CD221" i="1"/>
  <c r="CG278" i="1"/>
  <c r="CJ214" i="1"/>
  <c r="CG131" i="1"/>
  <c r="CG94" i="1"/>
  <c r="CG181" i="1"/>
  <c r="CG81" i="1"/>
  <c r="CJ166" i="1"/>
  <c r="CJ314" i="1"/>
  <c r="CG234" i="1"/>
  <c r="CG106" i="1"/>
  <c r="CJ341" i="1"/>
  <c r="CG297" i="1"/>
  <c r="CG268" i="1"/>
  <c r="CJ357" i="1"/>
  <c r="CG187" i="1"/>
  <c r="CD372" i="1"/>
  <c r="CG37" i="1"/>
  <c r="CJ129" i="1"/>
  <c r="CJ293" i="1"/>
  <c r="CD19" i="1"/>
  <c r="CD310" i="1"/>
  <c r="CM244" i="1"/>
  <c r="CJ206" i="1"/>
  <c r="CJ224" i="1"/>
  <c r="CJ250" i="1"/>
  <c r="CD118" i="1"/>
  <c r="CG198" i="1"/>
  <c r="CM252" i="1"/>
  <c r="CG103" i="1"/>
  <c r="CD322" i="1"/>
  <c r="CD123" i="1"/>
  <c r="CJ288" i="1"/>
  <c r="CG215" i="1"/>
  <c r="CD164" i="1"/>
  <c r="CJ302" i="1"/>
  <c r="CJ223" i="1"/>
  <c r="CD167" i="1"/>
  <c r="CJ116" i="1"/>
  <c r="CG150" i="1"/>
  <c r="CG8" i="1"/>
  <c r="CJ65" i="1"/>
  <c r="CJ147" i="1"/>
  <c r="CJ165" i="1"/>
  <c r="CD334" i="1"/>
  <c r="CJ53" i="1"/>
  <c r="CG158" i="1"/>
  <c r="CJ155" i="1"/>
  <c r="CJ26" i="1"/>
  <c r="CG128" i="1"/>
  <c r="CJ77" i="1"/>
  <c r="CD181" i="1"/>
  <c r="CJ295" i="1"/>
  <c r="CJ366" i="1"/>
  <c r="CJ50" i="1"/>
  <c r="CD246" i="1"/>
  <c r="CJ389" i="1"/>
  <c r="CJ231" i="1"/>
  <c r="CJ274" i="1"/>
  <c r="CM147" i="1"/>
  <c r="CG264" i="1"/>
  <c r="CD117" i="1"/>
  <c r="CG143" i="1"/>
  <c r="CG56" i="1"/>
  <c r="CD239" i="1"/>
  <c r="CJ283" i="1"/>
  <c r="CJ48" i="1"/>
  <c r="CG390" i="1"/>
  <c r="CD303" i="1"/>
  <c r="CD2" i="1"/>
  <c r="CG301" i="1"/>
  <c r="CD264" i="1"/>
  <c r="CG313" i="1"/>
  <c r="CD341" i="1"/>
  <c r="CG292" i="1"/>
  <c r="CD205" i="1"/>
  <c r="CG45" i="1"/>
  <c r="CD11" i="1"/>
  <c r="CM343" i="1"/>
  <c r="CD93" i="1"/>
  <c r="CJ380" i="1"/>
  <c r="CJ291" i="1"/>
  <c r="CG152" i="1"/>
  <c r="CG32" i="1"/>
  <c r="CJ33" i="1"/>
  <c r="CG356" i="1"/>
  <c r="CD35" i="1"/>
  <c r="CJ40" i="1"/>
  <c r="CG223" i="1"/>
  <c r="CM109" i="1"/>
  <c r="CD398" i="1"/>
  <c r="CD339" i="1"/>
  <c r="CG79" i="1"/>
  <c r="CG352" i="1"/>
  <c r="CJ106" i="1"/>
  <c r="CD323" i="1"/>
  <c r="CG376" i="1"/>
  <c r="CD284" i="1"/>
  <c r="CJ98" i="1"/>
  <c r="CJ261" i="1"/>
  <c r="CD321" i="1"/>
  <c r="CD195" i="1"/>
  <c r="CJ247" i="1"/>
  <c r="CJ281" i="1"/>
  <c r="CM325" i="1"/>
  <c r="CJ92" i="1"/>
  <c r="CG11" i="1"/>
  <c r="CJ112" i="1"/>
  <c r="CJ249" i="1"/>
  <c r="CJ347" i="1"/>
  <c r="CJ352" i="1"/>
  <c r="CJ262" i="1"/>
  <c r="CJ242" i="1"/>
  <c r="CJ259" i="1"/>
  <c r="CG155" i="1"/>
  <c r="CD292" i="1"/>
  <c r="CJ230" i="1"/>
  <c r="CD248" i="1"/>
  <c r="CJ330" i="1"/>
  <c r="CD382" i="1"/>
  <c r="CD150" i="1"/>
  <c r="CD46" i="1"/>
  <c r="CD216" i="1"/>
  <c r="CG101" i="1"/>
  <c r="CJ240" i="1"/>
  <c r="CD172" i="1"/>
  <c r="CJ271" i="1"/>
  <c r="CJ132" i="1"/>
  <c r="CG69" i="1"/>
  <c r="CJ38" i="1"/>
  <c r="CJ186" i="1"/>
  <c r="CJ131" i="1"/>
  <c r="CG276" i="1"/>
  <c r="CD295" i="1"/>
  <c r="CM204" i="1"/>
  <c r="CJ127" i="1"/>
  <c r="CJ60" i="1"/>
  <c r="CG255" i="1"/>
  <c r="CD78" i="1"/>
  <c r="CJ327" i="1"/>
  <c r="CJ99" i="1"/>
  <c r="CJ339" i="1"/>
  <c r="CG90" i="1"/>
  <c r="CD196" i="1"/>
  <c r="CJ115" i="1"/>
  <c r="CG324" i="1"/>
  <c r="CG127" i="1"/>
  <c r="CD169" i="1"/>
  <c r="CJ398" i="1"/>
  <c r="CJ235" i="1"/>
  <c r="CJ139" i="1"/>
  <c r="CJ114" i="1"/>
  <c r="CD268" i="1"/>
  <c r="CD240" i="1"/>
  <c r="CG252" i="1"/>
  <c r="CD375" i="1"/>
  <c r="CG61" i="1"/>
  <c r="CD277" i="1"/>
  <c r="CG294" i="1"/>
  <c r="CD312" i="1"/>
  <c r="CG347" i="1"/>
  <c r="CG397" i="1"/>
  <c r="CG147" i="1"/>
  <c r="CG40" i="1"/>
  <c r="CD107" i="1"/>
  <c r="CD265" i="1"/>
  <c r="CG240" i="1"/>
  <c r="CD357" i="1"/>
  <c r="CJ2" i="1"/>
  <c r="CJ97" i="1"/>
  <c r="CG377" i="1"/>
  <c r="CJ301" i="1"/>
  <c r="CD134" i="1"/>
  <c r="CJ372" i="1"/>
  <c r="CD25" i="1"/>
  <c r="CG212" i="1"/>
  <c r="CG113" i="1"/>
  <c r="CJ24" i="1"/>
  <c r="CJ243" i="1"/>
  <c r="CD275" i="1"/>
  <c r="CD308" i="1"/>
  <c r="CJ69" i="1"/>
  <c r="CJ178" i="1"/>
  <c r="CG367" i="1"/>
  <c r="CG319" i="1"/>
  <c r="CG251" i="1"/>
  <c r="CG346" i="1"/>
  <c r="CJ136" i="1"/>
  <c r="CJ217" i="1"/>
  <c r="CJ167" i="1"/>
  <c r="CD300" i="1"/>
  <c r="CJ95" i="1"/>
  <c r="CJ104" i="1"/>
  <c r="CJ222" i="1"/>
  <c r="CG358" i="1"/>
  <c r="CD166" i="1"/>
  <c r="CG35" i="1"/>
  <c r="CJ87" i="1"/>
  <c r="CD56" i="1"/>
  <c r="CG349" i="1"/>
  <c r="CG178" i="1"/>
  <c r="CG42" i="1"/>
  <c r="CJ169" i="1"/>
  <c r="CM163" i="1"/>
  <c r="CJ6" i="1"/>
  <c r="CD315" i="1"/>
  <c r="CJ319" i="1"/>
  <c r="CJ351" i="1"/>
  <c r="CJ118" i="1"/>
  <c r="CD326" i="1"/>
  <c r="CD178" i="1"/>
  <c r="CG238" i="1"/>
  <c r="CM154" i="1"/>
  <c r="CJ285" i="1"/>
  <c r="CD86" i="1"/>
  <c r="CG361" i="1"/>
  <c r="CD103" i="1"/>
  <c r="CD174" i="1"/>
  <c r="CG279" i="1"/>
  <c r="CG159" i="1"/>
  <c r="CD54" i="1"/>
  <c r="CD201" i="1"/>
  <c r="CD231" i="1"/>
  <c r="CG327" i="1"/>
  <c r="CJ300" i="1"/>
  <c r="CG170" i="1"/>
  <c r="CD329" i="1"/>
  <c r="CD387" i="1"/>
  <c r="CD128" i="1"/>
  <c r="CG275" i="1"/>
  <c r="CG71" i="1"/>
  <c r="CJ337" i="1"/>
  <c r="CJ194" i="1"/>
  <c r="CD175" i="1"/>
  <c r="CD130" i="1"/>
  <c r="CG370" i="1"/>
  <c r="CG117" i="1"/>
  <c r="CD228" i="1"/>
  <c r="CJ216" i="1"/>
  <c r="CD24" i="1"/>
  <c r="CG302" i="1"/>
  <c r="CJ362" i="1"/>
  <c r="CG193" i="1"/>
  <c r="CJ21" i="1"/>
  <c r="CD393" i="1"/>
  <c r="CG88" i="1"/>
  <c r="CJ39" i="1"/>
  <c r="CG272" i="1"/>
  <c r="CJ45" i="1"/>
  <c r="CM164" i="1"/>
  <c r="CJ17" i="1"/>
  <c r="CJ83" i="1"/>
  <c r="CG3" i="1"/>
  <c r="CG9" i="1"/>
  <c r="CG91" i="1"/>
  <c r="CD58" i="1"/>
  <c r="CD66" i="1"/>
  <c r="CG141" i="1"/>
  <c r="CJ394" i="1"/>
  <c r="CM393" i="1"/>
  <c r="CG75" i="1"/>
  <c r="CG280" i="1"/>
  <c r="CJ365" i="1"/>
  <c r="CG380" i="1"/>
  <c r="CG318" i="1"/>
  <c r="CG195" i="1"/>
  <c r="CJ233" i="1"/>
  <c r="CD28" i="1"/>
  <c r="CG353" i="1"/>
  <c r="CJ221" i="1"/>
  <c r="CJ296" i="1"/>
  <c r="CG120" i="1"/>
  <c r="CG355" i="1"/>
  <c r="CG186" i="1"/>
  <c r="CD116" i="1"/>
  <c r="CD161" i="1"/>
  <c r="CD102" i="1"/>
  <c r="CD170" i="1"/>
  <c r="CG227" i="1"/>
  <c r="CD153" i="1"/>
  <c r="CG52" i="1"/>
  <c r="CD21" i="1"/>
  <c r="CG288" i="1"/>
  <c r="CJ67" i="1"/>
  <c r="CG241" i="1"/>
  <c r="CJ74" i="1"/>
  <c r="CG257" i="1"/>
  <c r="CJ175" i="1"/>
  <c r="CD133" i="1"/>
  <c r="CM263" i="1"/>
  <c r="CJ31" i="1"/>
  <c r="CD81" i="1"/>
  <c r="CG197" i="1"/>
  <c r="CG125" i="1"/>
  <c r="CJ276" i="1"/>
  <c r="CJ100" i="1"/>
  <c r="CJ134" i="1"/>
  <c r="CD254" i="1"/>
  <c r="CD355" i="1"/>
  <c r="CD363" i="1"/>
  <c r="CJ315" i="1"/>
  <c r="CG27" i="1"/>
  <c r="CG175" i="1"/>
  <c r="CJ290" i="1"/>
  <c r="CJ322" i="1"/>
  <c r="CD98" i="1"/>
  <c r="CJ215" i="1"/>
  <c r="CJ82" i="1"/>
  <c r="CD173" i="1"/>
  <c r="CG119" i="1"/>
  <c r="CD266" i="1"/>
  <c r="CD200" i="1"/>
  <c r="CG17" i="1"/>
  <c r="CD229" i="1"/>
  <c r="CJ202" i="1"/>
  <c r="CD280" i="1"/>
  <c r="CD61" i="1"/>
  <c r="CM126" i="1"/>
  <c r="CG173" i="1"/>
  <c r="CJ270" i="1"/>
  <c r="CM107" i="1"/>
  <c r="CJ174" i="1"/>
  <c r="CD104" i="1"/>
  <c r="CJ353" i="1"/>
  <c r="CG354" i="1"/>
  <c r="CD395" i="1"/>
  <c r="CD224" i="1"/>
  <c r="CJ170" i="1"/>
  <c r="CG148" i="1"/>
  <c r="CD220" i="1"/>
  <c r="CG99" i="1"/>
  <c r="CG196" i="1"/>
  <c r="CD353" i="1"/>
  <c r="CJ182" i="1"/>
  <c r="CJ55" i="1"/>
  <c r="CD171" i="1"/>
  <c r="CD69" i="1"/>
  <c r="CD356" i="1"/>
  <c r="CD22" i="1"/>
  <c r="CD188" i="1"/>
  <c r="CG373" i="1"/>
  <c r="CJ121" i="1"/>
  <c r="CJ277" i="1"/>
  <c r="CG33" i="1"/>
  <c r="CG168" i="1"/>
  <c r="CD71" i="1"/>
  <c r="CJ51" i="1"/>
  <c r="CD45" i="1"/>
  <c r="CM316" i="1"/>
  <c r="CD319" i="1"/>
  <c r="CJ363" i="1"/>
  <c r="CG283" i="1"/>
  <c r="CG98" i="1"/>
  <c r="CG364" i="1"/>
  <c r="CJ334" i="1"/>
  <c r="CJ294" i="1"/>
  <c r="CG157" i="1"/>
  <c r="CD345" i="1"/>
  <c r="CG303" i="1"/>
  <c r="CJ143" i="1"/>
  <c r="CJ152" i="1"/>
  <c r="CJ264" i="1"/>
  <c r="CD203" i="1"/>
  <c r="CJ390" i="1"/>
  <c r="CD179" i="1"/>
  <c r="CG26" i="1"/>
  <c r="CD349" i="1"/>
  <c r="CD234" i="1"/>
  <c r="CG25" i="1"/>
  <c r="CJ192" i="1"/>
  <c r="CJ144" i="1"/>
  <c r="CJ79" i="1"/>
  <c r="CD74" i="1"/>
  <c r="CJ340" i="1"/>
  <c r="CJ16" i="1"/>
  <c r="CD37" i="1"/>
  <c r="CJ257" i="1"/>
  <c r="CJ207" i="1"/>
  <c r="CJ198" i="1"/>
  <c r="CJ396" i="1"/>
  <c r="CD53" i="1"/>
  <c r="CD10" i="1"/>
  <c r="CJ256" i="1"/>
  <c r="CJ133" i="1"/>
  <c r="CD144" i="1"/>
  <c r="CJ36" i="1"/>
  <c r="CG260" i="1"/>
  <c r="CD199" i="1"/>
  <c r="CD381" i="1"/>
  <c r="CJ369" i="1"/>
  <c r="CG263" i="1"/>
  <c r="CD26" i="1"/>
  <c r="CD376" i="1"/>
  <c r="CD214" i="1"/>
  <c r="CJ360" i="1"/>
  <c r="CG139" i="1"/>
  <c r="CD79" i="1"/>
  <c r="CJ364" i="1"/>
  <c r="CJ185" i="1"/>
  <c r="CD235" i="1"/>
  <c r="CD77" i="1"/>
  <c r="CJ148" i="1"/>
  <c r="CJ199" i="1"/>
  <c r="CJ210" i="1"/>
  <c r="CG326" i="1"/>
  <c r="CJ287" i="1"/>
  <c r="CJ96" i="1"/>
  <c r="CG93" i="1"/>
  <c r="CD270" i="1"/>
  <c r="CG138" i="1"/>
  <c r="CD89" i="1"/>
  <c r="CJ75" i="1"/>
  <c r="CJ323" i="1"/>
  <c r="CJ350" i="1"/>
  <c r="CJ56" i="1"/>
  <c r="CD380" i="1"/>
  <c r="CD158" i="1"/>
  <c r="CM217" i="1"/>
  <c r="CJ238" i="1"/>
  <c r="CG203" i="1"/>
  <c r="CD16" i="1"/>
  <c r="CD328" i="1"/>
  <c r="CM138" i="1"/>
  <c r="CJ177" i="1"/>
  <c r="CJ20" i="1"/>
  <c r="CG57" i="1"/>
  <c r="CG372" i="1"/>
  <c r="CD80" i="1"/>
  <c r="CJ13" i="1"/>
  <c r="CM305" i="1"/>
  <c r="CJ345" i="1"/>
  <c r="CM292" i="1"/>
  <c r="CG314" i="1"/>
  <c r="CD209" i="1"/>
  <c r="CD29" i="1"/>
  <c r="CD52" i="1"/>
  <c r="CJ354" i="1"/>
  <c r="CG357" i="1"/>
  <c r="CD112" i="1"/>
  <c r="CD139" i="1"/>
  <c r="CD48" i="1"/>
  <c r="CG123" i="1"/>
  <c r="CD208" i="1"/>
  <c r="CJ381" i="1"/>
  <c r="CD163" i="1"/>
  <c r="CG221" i="1"/>
  <c r="CG179" i="1"/>
  <c r="CD314" i="1"/>
  <c r="CG185" i="1"/>
  <c r="CG160" i="1"/>
  <c r="CG387" i="1"/>
  <c r="CJ246" i="1"/>
  <c r="CG312" i="1"/>
  <c r="CJ349" i="1"/>
  <c r="CG137" i="1"/>
  <c r="CG293" i="1"/>
  <c r="CG350" i="1"/>
  <c r="CD162" i="1"/>
  <c r="CG202" i="1"/>
  <c r="CD396" i="1"/>
  <c r="CJ158" i="1"/>
  <c r="CG18" i="1"/>
  <c r="CD258" i="1"/>
  <c r="CJ52" i="1"/>
  <c r="CD96" i="1"/>
  <c r="CG41" i="1"/>
  <c r="CD230" i="1"/>
  <c r="CD59" i="1"/>
  <c r="CD335" i="1"/>
  <c r="CG68" i="1"/>
  <c r="CG87" i="1"/>
  <c r="CD394" i="1"/>
  <c r="CG295" i="1"/>
  <c r="CG344" i="1"/>
  <c r="CG134" i="1"/>
  <c r="CG63" i="1"/>
  <c r="CJ113" i="1"/>
  <c r="CJ142" i="1"/>
  <c r="CJ325" i="1"/>
  <c r="CD204" i="1"/>
  <c r="CD305" i="1"/>
  <c r="CJ108" i="1"/>
  <c r="CJ395" i="1"/>
  <c r="CD390" i="1"/>
  <c r="CJ171" i="1"/>
  <c r="CJ157" i="1"/>
  <c r="CD68" i="1"/>
  <c r="CD346" i="1"/>
  <c r="CG174" i="1"/>
  <c r="CD309" i="1"/>
  <c r="CJ94" i="1"/>
  <c r="CJ306" i="1"/>
  <c r="CM218" i="1"/>
  <c r="CG64" i="1"/>
  <c r="CD367" i="1"/>
  <c r="CD210" i="1"/>
  <c r="CG333" i="1"/>
  <c r="CD198" i="1"/>
  <c r="CJ4" i="1"/>
  <c r="CJ58" i="1"/>
  <c r="CG262" i="1"/>
  <c r="CJ234" i="1"/>
  <c r="CG145" i="1"/>
  <c r="CG291" i="1"/>
  <c r="CD267" i="1"/>
  <c r="CD249" i="1"/>
  <c r="CG4" i="1"/>
  <c r="CD293" i="1"/>
  <c r="CG6" i="1"/>
  <c r="CD223" i="1"/>
  <c r="CG228" i="1"/>
  <c r="CD99" i="1"/>
  <c r="CG122" i="1"/>
  <c r="CD157" i="1"/>
  <c r="CG378" i="1"/>
  <c r="CJ32" i="1"/>
  <c r="CG24" i="1"/>
  <c r="CG351" i="1"/>
  <c r="CJ218" i="1"/>
  <c r="CD140" i="1"/>
  <c r="CJ225" i="1"/>
  <c r="CJ328" i="1"/>
  <c r="CD226" i="1"/>
  <c r="CD127" i="1"/>
  <c r="CD148" i="1"/>
  <c r="CJ172" i="1"/>
  <c r="CG330" i="1"/>
  <c r="CG53" i="1"/>
  <c r="CG236" i="1"/>
  <c r="CD383" i="1"/>
  <c r="CJ81" i="1"/>
  <c r="CG214" i="1"/>
  <c r="CG146" i="1"/>
  <c r="CM279" i="1"/>
  <c r="CJ204" i="1"/>
  <c r="CG237" i="1"/>
  <c r="CG164" i="1"/>
  <c r="CG328" i="1"/>
  <c r="CJ197" i="1"/>
  <c r="CJ237" i="1"/>
  <c r="CG28" i="1"/>
  <c r="CG92" i="1"/>
  <c r="CD119" i="1"/>
  <c r="CD261" i="1"/>
  <c r="CJ42" i="1"/>
  <c r="CJ203" i="1"/>
  <c r="CJ80" i="1"/>
  <c r="CG329" i="1"/>
  <c r="CD87" i="1"/>
  <c r="CJ123" i="1"/>
  <c r="CG23" i="1"/>
  <c r="CG210" i="1"/>
  <c r="CJ335" i="1"/>
  <c r="CM306" i="1"/>
  <c r="CG51" i="1"/>
  <c r="CD207" i="1"/>
  <c r="CD88" i="1"/>
  <c r="CJ76" i="1"/>
  <c r="CG135" i="1"/>
  <c r="CJ141" i="1"/>
  <c r="CJ70" i="1"/>
  <c r="CD348" i="1"/>
  <c r="CD298" i="1"/>
  <c r="CD8" i="1"/>
  <c r="CG66" i="1"/>
  <c r="CD362" i="1"/>
  <c r="CD143" i="1"/>
  <c r="CG305" i="1"/>
  <c r="CD108" i="1"/>
  <c r="CG70" i="1"/>
  <c r="CJ7" i="1"/>
  <c r="CD281" i="1"/>
  <c r="CD113" i="1"/>
  <c r="CD301" i="1"/>
  <c r="CG172" i="1"/>
  <c r="CG19" i="1"/>
  <c r="CJ212" i="1"/>
  <c r="CM391" i="1"/>
  <c r="CD354" i="1"/>
  <c r="CJ30" i="1"/>
  <c r="CJ205" i="1"/>
  <c r="CG82" i="1"/>
  <c r="CJ226" i="1"/>
  <c r="CG102" i="1"/>
  <c r="CG36" i="1"/>
  <c r="CJ140" i="1"/>
  <c r="CJ356" i="1"/>
  <c r="CJ196" i="1"/>
  <c r="CD237" i="1"/>
  <c r="CJ68" i="1"/>
  <c r="CG85" i="1"/>
  <c r="CG167" i="1"/>
  <c r="CD84" i="1"/>
  <c r="CG286" i="1"/>
  <c r="CJ332" i="1"/>
  <c r="CD342" i="1"/>
  <c r="CG191" i="1"/>
  <c r="CD238" i="1"/>
  <c r="CJ61" i="1"/>
  <c r="CD304" i="1"/>
  <c r="CJ312" i="1"/>
  <c r="CG44" i="1"/>
  <c r="CD316" i="1"/>
  <c r="CG394" i="1"/>
  <c r="CD294" i="1"/>
  <c r="CG265" i="1"/>
  <c r="CD344" i="1"/>
  <c r="CG163" i="1"/>
  <c r="CD193" i="1"/>
  <c r="CG381" i="1"/>
  <c r="CJ248" i="1"/>
  <c r="CG249" i="1"/>
  <c r="CD73" i="1"/>
  <c r="CJ86" i="1"/>
  <c r="CD302" i="1"/>
  <c r="CJ329" i="1"/>
  <c r="CJ149" i="1"/>
  <c r="CD324" i="1"/>
  <c r="CJ318" i="1"/>
  <c r="CD121" i="1"/>
  <c r="CG298" i="1"/>
  <c r="CD75" i="1"/>
  <c r="CD347" i="1"/>
  <c r="CD370" i="1"/>
  <c r="CG247" i="1"/>
  <c r="CD187" i="1"/>
  <c r="CJ154" i="1"/>
  <c r="CJ344" i="1"/>
  <c r="CG316" i="1"/>
  <c r="CG177" i="1"/>
  <c r="CG363" i="1"/>
  <c r="CG213" i="1"/>
  <c r="CJ18" i="1"/>
  <c r="CJ209" i="1"/>
  <c r="CJ29" i="1"/>
  <c r="CG230" i="1"/>
  <c r="CJ137" i="1"/>
  <c r="CJ37" i="1"/>
  <c r="CG334" i="1"/>
  <c r="CD313" i="1"/>
  <c r="CG309" i="1"/>
  <c r="CG248" i="1"/>
  <c r="CJ348" i="1"/>
  <c r="CD70" i="1"/>
  <c r="CG194" i="1"/>
  <c r="CD373" i="1"/>
  <c r="CJ383" i="1"/>
  <c r="CG226" i="1"/>
  <c r="CD155" i="1"/>
  <c r="CG21" i="1"/>
  <c r="CD106" i="1"/>
  <c r="CJ84" i="1"/>
  <c r="CD242" i="1"/>
  <c r="CJ292" i="1"/>
  <c r="CG58" i="1"/>
  <c r="CD397" i="1"/>
  <c r="BS392" i="1"/>
  <c r="BY190" i="1"/>
  <c r="BY88" i="1"/>
  <c r="BY130" i="1"/>
  <c r="BY341" i="1"/>
  <c r="BY375" i="1"/>
  <c r="BY278" i="1"/>
  <c r="BY96" i="1"/>
  <c r="BY260" i="1"/>
  <c r="BY198" i="1"/>
  <c r="BY204" i="1"/>
  <c r="BY182" i="1"/>
  <c r="BY22" i="1"/>
  <c r="BY195" i="1"/>
  <c r="BY356" i="1"/>
  <c r="BY77" i="1"/>
  <c r="BY389" i="1"/>
  <c r="BY334" i="1"/>
  <c r="BY329" i="1"/>
  <c r="BY391" i="1"/>
  <c r="BY390" i="1"/>
  <c r="BY328" i="1"/>
  <c r="BY388" i="1"/>
  <c r="BY6" i="1"/>
  <c r="BY3" i="1"/>
  <c r="BY376" i="1"/>
  <c r="BY256" i="1"/>
  <c r="BY367" i="1"/>
  <c r="BY253" i="1"/>
  <c r="BY30" i="1"/>
  <c r="BY345" i="1"/>
  <c r="BY143" i="1"/>
  <c r="BY333" i="1"/>
  <c r="BY86" i="1"/>
  <c r="BY35" i="1"/>
  <c r="BY317" i="1"/>
  <c r="BY335" i="1"/>
  <c r="BY50" i="1"/>
  <c r="CA281" i="1"/>
  <c r="BY103" i="1"/>
  <c r="BY149" i="1"/>
  <c r="BY355" i="1"/>
  <c r="BY58" i="1"/>
  <c r="BY305" i="1"/>
  <c r="BY99" i="1"/>
  <c r="BY290" i="1"/>
  <c r="BY398" i="1"/>
  <c r="BY43" i="1"/>
  <c r="BY159" i="1"/>
  <c r="BY288" i="1"/>
  <c r="BY37" i="1"/>
  <c r="BY69" i="1"/>
  <c r="BY214" i="1"/>
  <c r="BY271" i="1"/>
  <c r="BY127" i="1"/>
  <c r="BY365" i="1"/>
  <c r="BY9" i="1"/>
  <c r="BY279" i="1"/>
  <c r="BY234" i="1"/>
  <c r="BY215" i="1"/>
  <c r="BY202" i="1"/>
  <c r="BY384" i="1"/>
  <c r="BY337" i="1"/>
  <c r="BY20" i="1"/>
  <c r="BY232" i="1"/>
  <c r="BY213" i="1"/>
  <c r="BY172" i="1"/>
  <c r="BY64" i="1"/>
  <c r="BY314" i="1"/>
  <c r="BY49" i="1"/>
  <c r="BY292" i="1"/>
  <c r="BY133" i="1"/>
  <c r="BY248" i="1"/>
  <c r="BY357" i="1"/>
  <c r="BY296" i="1"/>
  <c r="BY15" i="1"/>
  <c r="BY273" i="1"/>
  <c r="BY244" i="1"/>
  <c r="BY84" i="1"/>
  <c r="BY10" i="1"/>
  <c r="BY336" i="1"/>
  <c r="BY82" i="1"/>
  <c r="BY362" i="1"/>
  <c r="BY196" i="1"/>
  <c r="BY144" i="1"/>
  <c r="BY45" i="1"/>
  <c r="BY166" i="1"/>
  <c r="BY324" i="1"/>
  <c r="BY53" i="1"/>
  <c r="BY14" i="1"/>
  <c r="BY236" i="1"/>
  <c r="BY313" i="1"/>
  <c r="BY19" i="1"/>
  <c r="BY339" i="1"/>
  <c r="BY173" i="1"/>
  <c r="BY267" i="1"/>
  <c r="BY223" i="1"/>
  <c r="BY175" i="1"/>
  <c r="BY57" i="1"/>
  <c r="BY157" i="1"/>
  <c r="BY12" i="1"/>
  <c r="BY95" i="1"/>
  <c r="BY348" i="1"/>
  <c r="BY206" i="1"/>
  <c r="BY310" i="1"/>
  <c r="BY177" i="1"/>
  <c r="BY258" i="1"/>
  <c r="BY191" i="1"/>
  <c r="BY322" i="1"/>
  <c r="BY373" i="1"/>
  <c r="BY316" i="1"/>
  <c r="BY265" i="1"/>
  <c r="BY18" i="1"/>
  <c r="BY42" i="1"/>
  <c r="BY300" i="1"/>
  <c r="BY210" i="1"/>
  <c r="BY303" i="1"/>
  <c r="BY141" i="1"/>
  <c r="BY216" i="1"/>
  <c r="BY308" i="1"/>
  <c r="BY193" i="1"/>
  <c r="BY377" i="1"/>
  <c r="BY110" i="1"/>
  <c r="BY32" i="1"/>
  <c r="BY132" i="1"/>
  <c r="BY276" i="1"/>
  <c r="BY160" i="1"/>
  <c r="BY246" i="1"/>
  <c r="BY259" i="1"/>
  <c r="BY231" i="1"/>
  <c r="BY293" i="1"/>
  <c r="BY36" i="1"/>
  <c r="BY266" i="1"/>
  <c r="BY7" i="1"/>
  <c r="BY40" i="1"/>
  <c r="BY62" i="1"/>
  <c r="BY63" i="1"/>
  <c r="BY39" i="1"/>
  <c r="BY142" i="1"/>
  <c r="BY311" i="1"/>
  <c r="BY218" i="1"/>
  <c r="BY297" i="1"/>
  <c r="BY52" i="1"/>
  <c r="BY394" i="1"/>
  <c r="BY379" i="1"/>
  <c r="BY346" i="1"/>
  <c r="BY374" i="1"/>
  <c r="BY180" i="1"/>
  <c r="BY44" i="1"/>
  <c r="BY359" i="1"/>
  <c r="BY364" i="1"/>
  <c r="BY11" i="1"/>
  <c r="BY295" i="1"/>
  <c r="BY289" i="1"/>
  <c r="BY92" i="1"/>
  <c r="BY226" i="1"/>
  <c r="BY243" i="1"/>
  <c r="BY212" i="1"/>
  <c r="BY261" i="1"/>
  <c r="BY162" i="1"/>
  <c r="BY392" i="1"/>
  <c r="BY136" i="1"/>
  <c r="BY5" i="1"/>
  <c r="BY199" i="1"/>
  <c r="BY331" i="1"/>
  <c r="BY294" i="1"/>
  <c r="BY181" i="1"/>
  <c r="BY282" i="1"/>
  <c r="BY112" i="1"/>
  <c r="BY237" i="1"/>
  <c r="BY393" i="1"/>
  <c r="BY163" i="1"/>
  <c r="BY319" i="1"/>
  <c r="BY241" i="1"/>
  <c r="BY306" i="1"/>
  <c r="BY187" i="1"/>
  <c r="BY225" i="1"/>
  <c r="BY325" i="1"/>
  <c r="BY255" i="1"/>
  <c r="BY38" i="1"/>
  <c r="BY117" i="1"/>
  <c r="BY59" i="1"/>
  <c r="CA345" i="1"/>
  <c r="BY320" i="1"/>
  <c r="BY184" i="1"/>
  <c r="BY108" i="1"/>
  <c r="BY153" i="1"/>
  <c r="BY372" i="1"/>
  <c r="BY85" i="1"/>
  <c r="BY366" i="1"/>
  <c r="BY262" i="1"/>
  <c r="BY351" i="1"/>
  <c r="BY13" i="1"/>
  <c r="BY287" i="1"/>
  <c r="BY381" i="1"/>
  <c r="BY315" i="1"/>
  <c r="BY165" i="1"/>
  <c r="BY222" i="1"/>
  <c r="BY145" i="1"/>
  <c r="BY139" i="1"/>
  <c r="BY185" i="1"/>
  <c r="BY148" i="1"/>
  <c r="BY151" i="1"/>
  <c r="BY155" i="1"/>
  <c r="BY230" i="1"/>
  <c r="BY137" i="1"/>
  <c r="BY29" i="1"/>
  <c r="BY8" i="1"/>
  <c r="BY183" i="1"/>
  <c r="BY61" i="1"/>
  <c r="BY106" i="1"/>
  <c r="BY74" i="1"/>
  <c r="BY47" i="1"/>
  <c r="BY228" i="1"/>
  <c r="BY114" i="1"/>
  <c r="BY235" i="1"/>
  <c r="BY135" i="1"/>
  <c r="BY395" i="1"/>
  <c r="BY120" i="1"/>
  <c r="BY382" i="1"/>
  <c r="BY203" i="1"/>
  <c r="BY221" i="1"/>
  <c r="BY65" i="1"/>
  <c r="BY81" i="1"/>
  <c r="BY200" i="1"/>
  <c r="BY75" i="1"/>
  <c r="BY122" i="1"/>
  <c r="BY360" i="1"/>
  <c r="BY270" i="1"/>
  <c r="BY363" i="1"/>
  <c r="BY91" i="1"/>
  <c r="BY251" i="1"/>
  <c r="BY125" i="1"/>
  <c r="BY338" i="1"/>
  <c r="BY219" i="1"/>
  <c r="BY66" i="1"/>
  <c r="BY27" i="1"/>
  <c r="BY147" i="1"/>
  <c r="BY318" i="1"/>
  <c r="BY31" i="1"/>
  <c r="BY369" i="1"/>
  <c r="BY263" i="1"/>
  <c r="BY385" i="1"/>
  <c r="BY89" i="1"/>
  <c r="BY227" i="1"/>
  <c r="BY118" i="1"/>
  <c r="BY78" i="1"/>
  <c r="BY68" i="1"/>
  <c r="BY229" i="1"/>
  <c r="BY4" i="1"/>
  <c r="BY281" i="1"/>
  <c r="BY252" i="1"/>
  <c r="BY239" i="1"/>
  <c r="BY201" i="1"/>
  <c r="BY56" i="1"/>
  <c r="BY178" i="1"/>
  <c r="CA309" i="1"/>
  <c r="BY224" i="1"/>
  <c r="BY48" i="1"/>
  <c r="BY291" i="1"/>
  <c r="BY312" i="1"/>
  <c r="CA362" i="1"/>
  <c r="BY245" i="1"/>
  <c r="BY280" i="1"/>
  <c r="BY146" i="1"/>
  <c r="BY54" i="1"/>
  <c r="BY109" i="1"/>
  <c r="BY72" i="1"/>
  <c r="BY286" i="1"/>
  <c r="BY194" i="1"/>
  <c r="BY24" i="1"/>
  <c r="BY249" i="1"/>
  <c r="BY307" i="1"/>
  <c r="BY327" i="1"/>
  <c r="BY176" i="1"/>
  <c r="BY285" i="1"/>
  <c r="BY116" i="1"/>
  <c r="BY150" i="1"/>
  <c r="BY397" i="1"/>
  <c r="BY121" i="1"/>
  <c r="BY309" i="1"/>
  <c r="BY129" i="1"/>
  <c r="BY207" i="1"/>
  <c r="BY352" i="1"/>
  <c r="BY240" i="1"/>
  <c r="BY33" i="1"/>
  <c r="BY164" i="1"/>
  <c r="BY269" i="1"/>
  <c r="BY111" i="1"/>
  <c r="BY343" i="1"/>
  <c r="BY298" i="1"/>
  <c r="BY21" i="1"/>
  <c r="BY34" i="1"/>
  <c r="BY70" i="1"/>
  <c r="BY332" i="1"/>
  <c r="BY326" i="1"/>
  <c r="BY90" i="1"/>
  <c r="BY353" i="1"/>
  <c r="BY396" i="1"/>
  <c r="BY242" i="1"/>
  <c r="BY268" i="1"/>
  <c r="BY156" i="1"/>
  <c r="BY46" i="1"/>
  <c r="BY378" i="1"/>
  <c r="BY368" i="1"/>
  <c r="BY104" i="1"/>
  <c r="BY71" i="1"/>
  <c r="BY152" i="1"/>
  <c r="BY197" i="1"/>
  <c r="BY254" i="1"/>
  <c r="BY370" i="1"/>
  <c r="BY304" i="1"/>
  <c r="BY105" i="1"/>
  <c r="BY113" i="1"/>
  <c r="BY154" i="1"/>
  <c r="BY358" i="1"/>
  <c r="BY101" i="1"/>
  <c r="BY387" i="1"/>
  <c r="BY188" i="1"/>
  <c r="BY131" i="1"/>
  <c r="BY344" i="1"/>
  <c r="BY205" i="1"/>
  <c r="BY123" i="1"/>
  <c r="BY383" i="1"/>
  <c r="BY330" i="1"/>
  <c r="BY247" i="1"/>
  <c r="BY238" i="1"/>
  <c r="BY51" i="1"/>
  <c r="BY302" i="1"/>
  <c r="BY25" i="1"/>
  <c r="BY186" i="1"/>
  <c r="BY102" i="1"/>
  <c r="BY349" i="1"/>
  <c r="BY169" i="1"/>
  <c r="BY168" i="1"/>
  <c r="BY189" i="1"/>
  <c r="BY321" i="1"/>
  <c r="BY93" i="1"/>
  <c r="BY100" i="1"/>
  <c r="BY124" i="1"/>
  <c r="BY179" i="1"/>
  <c r="BY274" i="1"/>
  <c r="BY60" i="1"/>
  <c r="BY217" i="1"/>
  <c r="BY220" i="1"/>
  <c r="BY107" i="1"/>
  <c r="CA357" i="1"/>
  <c r="BY208" i="1"/>
  <c r="CA236" i="1"/>
  <c r="CA112" i="1"/>
  <c r="BY264" i="1"/>
  <c r="BY119" i="1"/>
  <c r="BY83" i="1"/>
  <c r="BY97" i="1"/>
  <c r="BY138" i="1"/>
  <c r="BY170" i="1"/>
  <c r="BY115" i="1"/>
  <c r="BY73" i="1"/>
  <c r="BY80" i="1"/>
  <c r="BY342" i="1"/>
  <c r="BY126" i="1"/>
  <c r="BY209" i="1"/>
  <c r="BY134" i="1"/>
  <c r="BY350" i="1"/>
  <c r="BY55" i="1"/>
  <c r="BY347" i="1"/>
  <c r="BY299" i="1"/>
  <c r="BY128" i="1"/>
  <c r="BY98" i="1"/>
  <c r="BY284" i="1"/>
  <c r="BY87" i="1"/>
  <c r="BY76" i="1"/>
  <c r="BY257" i="1"/>
  <c r="BY158" i="1"/>
  <c r="BY283" i="1"/>
  <c r="BY140" i="1"/>
  <c r="BY174" i="1"/>
  <c r="BY17" i="1"/>
  <c r="BY192" i="1"/>
  <c r="BY23" i="1"/>
  <c r="BY233" i="1"/>
  <c r="BY340" i="1"/>
  <c r="BY67" i="1"/>
  <c r="BY272" i="1"/>
  <c r="BY323" i="1"/>
  <c r="BY361" i="1"/>
  <c r="CA314" i="1"/>
  <c r="CA142" i="1"/>
  <c r="CA374" i="1"/>
  <c r="CA62" i="1"/>
  <c r="CA212" i="1"/>
  <c r="CA180" i="1"/>
  <c r="CA316" i="1"/>
  <c r="CA311" i="1"/>
  <c r="CA69" i="1"/>
  <c r="CA348" i="1"/>
  <c r="CA144" i="1"/>
  <c r="CA67" i="1"/>
  <c r="CA12" i="1"/>
  <c r="CA292" i="1"/>
  <c r="CA202" i="1"/>
  <c r="CA394" i="1"/>
  <c r="CA160" i="1"/>
  <c r="CA379" i="1"/>
  <c r="CA162" i="1"/>
  <c r="CA150" i="1"/>
  <c r="CA192" i="1"/>
  <c r="CA389" i="1"/>
  <c r="CA323" i="1"/>
  <c r="CA76" i="1"/>
  <c r="CA86" i="1"/>
  <c r="CA342" i="1"/>
  <c r="CA264" i="1"/>
  <c r="CA134" i="1"/>
  <c r="CA208" i="1"/>
  <c r="CA140" i="1"/>
  <c r="CA209" i="1"/>
  <c r="CA43" i="1"/>
  <c r="CA126" i="1"/>
  <c r="CA356" i="1"/>
  <c r="CA171" i="1"/>
  <c r="CA388" i="1"/>
  <c r="CA392" i="1"/>
  <c r="CA383" i="1"/>
  <c r="CA350" i="1"/>
  <c r="CA324" i="1"/>
  <c r="CA320" i="1"/>
  <c r="CA257" i="1"/>
  <c r="CA172" i="1"/>
  <c r="CA185" i="1"/>
  <c r="CA157" i="1"/>
  <c r="CA49" i="1"/>
  <c r="CA100" i="1"/>
  <c r="CA81" i="1"/>
  <c r="CA37" i="1"/>
  <c r="CA7" i="1"/>
  <c r="BY2" i="1"/>
  <c r="CA88" i="1"/>
  <c r="CA53" i="1"/>
  <c r="CA22" i="1"/>
  <c r="CA163" i="1"/>
  <c r="CA232" i="1"/>
  <c r="CA196" i="1"/>
  <c r="CA103" i="1"/>
  <c r="CA143" i="1"/>
  <c r="CA333" i="1"/>
  <c r="CA58" i="1"/>
  <c r="CA359" i="1"/>
  <c r="CA261" i="1"/>
  <c r="CA322" i="1"/>
  <c r="CA210" i="1"/>
  <c r="CA244" i="1"/>
  <c r="CA14" i="1"/>
  <c r="CA83" i="1"/>
  <c r="CA199" i="1"/>
  <c r="CA55" i="1"/>
  <c r="CA84" i="1"/>
  <c r="CA246" i="1"/>
  <c r="CA95" i="1"/>
  <c r="CA133" i="1"/>
  <c r="CA127" i="1"/>
  <c r="CA259" i="1"/>
  <c r="CA223" i="1"/>
  <c r="CA248" i="1"/>
  <c r="CA226" i="1"/>
  <c r="CA166" i="1"/>
  <c r="CA289" i="1"/>
  <c r="CA92" i="1"/>
  <c r="CA9" i="1"/>
  <c r="CA190" i="1"/>
  <c r="CA231" i="1"/>
  <c r="CA279" i="1"/>
  <c r="CA384" i="1"/>
  <c r="CA391" i="1"/>
  <c r="CA372" i="1"/>
  <c r="CA346" i="1"/>
  <c r="CA318" i="1"/>
  <c r="CA293" i="1"/>
  <c r="CA214" i="1"/>
  <c r="CA238" i="1"/>
  <c r="CA200" i="1"/>
  <c r="CA102" i="1"/>
  <c r="CA122" i="1"/>
  <c r="CA85" i="1"/>
  <c r="CA75" i="1"/>
  <c r="CA26" i="1"/>
  <c r="CA2" i="1"/>
  <c r="CA269" i="1"/>
  <c r="CA111" i="1"/>
  <c r="CA343" i="1"/>
  <c r="CA298" i="1"/>
  <c r="CA21" i="1"/>
  <c r="CA34" i="1"/>
  <c r="CA70" i="1"/>
  <c r="CA332" i="1"/>
  <c r="CA326" i="1"/>
  <c r="CA90" i="1"/>
  <c r="CA334" i="1"/>
  <c r="CA260" i="1"/>
  <c r="CA319" i="1"/>
  <c r="CA36" i="1"/>
  <c r="CA308" i="1"/>
  <c r="CA40" i="1"/>
  <c r="CA303" i="1"/>
  <c r="CA218" i="1"/>
  <c r="CA193" i="1"/>
  <c r="CA45" i="1"/>
  <c r="CA272" i="1"/>
  <c r="CA331" i="1"/>
  <c r="CA294" i="1"/>
  <c r="CA299" i="1"/>
  <c r="CA23" i="1"/>
  <c r="CA361" i="1"/>
  <c r="CA233" i="1"/>
  <c r="CA365" i="1"/>
  <c r="CA181" i="1"/>
  <c r="CA128" i="1"/>
  <c r="CA282" i="1"/>
  <c r="CA80" i="1"/>
  <c r="CA57" i="1"/>
  <c r="CA10" i="1"/>
  <c r="CA397" i="1"/>
  <c r="CA369" i="1"/>
  <c r="CA247" i="1"/>
  <c r="CA176" i="1"/>
  <c r="CA169" i="1"/>
  <c r="CA204" i="1"/>
  <c r="CA161" i="1"/>
  <c r="CA117" i="1"/>
  <c r="CA398" i="1"/>
  <c r="CA51" i="1"/>
  <c r="CA28" i="1"/>
  <c r="CA8" i="1"/>
  <c r="CA263" i="1"/>
  <c r="CA121" i="1"/>
  <c r="CA291" i="1"/>
  <c r="CA183" i="1"/>
  <c r="CA366" i="1"/>
  <c r="CA385" i="1"/>
  <c r="CA262" i="1"/>
  <c r="CA61" i="1"/>
  <c r="CA351" i="1"/>
  <c r="CA353" i="1"/>
  <c r="CA396" i="1"/>
  <c r="CA242" i="1"/>
  <c r="CA241" i="1"/>
  <c r="CA256" i="1"/>
  <c r="CA149" i="1"/>
  <c r="CA35" i="1"/>
  <c r="CA50" i="1"/>
  <c r="CA393" i="1"/>
  <c r="CA141" i="1"/>
  <c r="CA364" i="1"/>
  <c r="CA377" i="1"/>
  <c r="CA265" i="1"/>
  <c r="CA39" i="1"/>
  <c r="CA44" i="1"/>
  <c r="CA18" i="1"/>
  <c r="CA206" i="1"/>
  <c r="CA213" i="1"/>
  <c r="CA216" i="1"/>
  <c r="CA297" i="1"/>
  <c r="CA310" i="1"/>
  <c r="CA42" i="1"/>
  <c r="CA167" i="1"/>
  <c r="CA266" i="1"/>
  <c r="CA275" i="1"/>
  <c r="CA177" i="1"/>
  <c r="CA390" i="1"/>
  <c r="CA367" i="1"/>
  <c r="CA335" i="1"/>
  <c r="CA313" i="1"/>
  <c r="CA277" i="1"/>
  <c r="CA237" i="1"/>
  <c r="CA207" i="1"/>
  <c r="CA174" i="1"/>
  <c r="CA168" i="1"/>
  <c r="CA124" i="1"/>
  <c r="CA64" i="1"/>
  <c r="CA65" i="1"/>
  <c r="CA25" i="1"/>
  <c r="CA148" i="1"/>
  <c r="CA245" i="1"/>
  <c r="CA360" i="1"/>
  <c r="CA229" i="1"/>
  <c r="CA151" i="1"/>
  <c r="CA280" i="1"/>
  <c r="CA270" i="1"/>
  <c r="CA4" i="1"/>
  <c r="CA321" i="1"/>
  <c r="CA146" i="1"/>
  <c r="CA89" i="1"/>
  <c r="CA106" i="1"/>
  <c r="CA13" i="1"/>
  <c r="CA268" i="1"/>
  <c r="CA156" i="1"/>
  <c r="CA46" i="1"/>
  <c r="CA378" i="1"/>
  <c r="CA368" i="1"/>
  <c r="CA375" i="1"/>
  <c r="CA159" i="1"/>
  <c r="CA198" i="1"/>
  <c r="CA182" i="1"/>
  <c r="CA306" i="1"/>
  <c r="CA355" i="1"/>
  <c r="CA329" i="1"/>
  <c r="CA288" i="1"/>
  <c r="CA3" i="1"/>
  <c r="CA187" i="1"/>
  <c r="CA317" i="1"/>
  <c r="CA305" i="1"/>
  <c r="CA96" i="1"/>
  <c r="CA130" i="1"/>
  <c r="CA341" i="1"/>
  <c r="CA30" i="1"/>
  <c r="CA225" i="1"/>
  <c r="CA325" i="1"/>
  <c r="CA380" i="1"/>
  <c r="CA371" i="1"/>
  <c r="CA330" i="1"/>
  <c r="CA300" i="1"/>
  <c r="CA301" i="1"/>
  <c r="CA258" i="1"/>
  <c r="CA186" i="1"/>
  <c r="CA195" i="1"/>
  <c r="CA136" i="1"/>
  <c r="CA93" i="1"/>
  <c r="CA87" i="1"/>
  <c r="CA59" i="1"/>
  <c r="CA16" i="1"/>
  <c r="CA99" i="1"/>
  <c r="CA29" i="1"/>
  <c r="CA153" i="1"/>
  <c r="CA184" i="1"/>
  <c r="CA108" i="1"/>
  <c r="CA352" i="1"/>
  <c r="CA253" i="1"/>
  <c r="CA240" i="1"/>
  <c r="CA164" i="1"/>
  <c r="CA60" i="1"/>
  <c r="CA217" i="1"/>
  <c r="CA155" i="1"/>
  <c r="CA363" i="1"/>
  <c r="CA189" i="1"/>
  <c r="CA74" i="1"/>
  <c r="CA227" i="1"/>
  <c r="CA287" i="1"/>
  <c r="CA47" i="1"/>
  <c r="CA104" i="1"/>
  <c r="CA71" i="1"/>
  <c r="CA152" i="1"/>
  <c r="CA197" i="1"/>
  <c r="CA254" i="1"/>
  <c r="CA370" i="1"/>
  <c r="CA304" i="1"/>
  <c r="CA105" i="1"/>
  <c r="CA113" i="1"/>
  <c r="CA154" i="1"/>
  <c r="CA358" i="1"/>
  <c r="CA101" i="1"/>
  <c r="CA387" i="1"/>
  <c r="CA188" i="1"/>
  <c r="CA131" i="1"/>
  <c r="CA344" i="1"/>
  <c r="CA205" i="1"/>
  <c r="CA123" i="1"/>
  <c r="CA386" i="1"/>
  <c r="CA284" i="1"/>
  <c r="CA278" i="1"/>
  <c r="CA215" i="1"/>
  <c r="CA191" i="1"/>
  <c r="CA173" i="1"/>
  <c r="CA115" i="1"/>
  <c r="CA97" i="1"/>
  <c r="CA82" i="1"/>
  <c r="CA52" i="1"/>
  <c r="CA19" i="1"/>
  <c r="CA296" i="1"/>
  <c r="CA243" i="1"/>
  <c r="CA110" i="1"/>
  <c r="CA32" i="1"/>
  <c r="CA234" i="1"/>
  <c r="CA15" i="1"/>
  <c r="CA11" i="1"/>
  <c r="CA267" i="1"/>
  <c r="CA132" i="1"/>
  <c r="CA276" i="1"/>
  <c r="CA273" i="1"/>
  <c r="CA220" i="1"/>
  <c r="CA224" i="1"/>
  <c r="CA285" i="1"/>
  <c r="CA54" i="1"/>
  <c r="CA91" i="1"/>
  <c r="CA109" i="1"/>
  <c r="CA230" i="1"/>
  <c r="CA252" i="1"/>
  <c r="CA118" i="1"/>
  <c r="CA381" i="1"/>
  <c r="CA312" i="1"/>
  <c r="CA228" i="1"/>
  <c r="CA315" i="1"/>
  <c r="CA78" i="1"/>
  <c r="CA114" i="1"/>
  <c r="CA165" i="1"/>
  <c r="CA235" i="1"/>
  <c r="CA135" i="1"/>
  <c r="CA222" i="1"/>
  <c r="CA395" i="1"/>
  <c r="CA145" i="1"/>
  <c r="CA120" i="1"/>
  <c r="CA68" i="1"/>
  <c r="CA382" i="1"/>
  <c r="CA139" i="1"/>
  <c r="CA203" i="1"/>
  <c r="CA373" i="1"/>
  <c r="CA349" i="1"/>
  <c r="CA327" i="1"/>
  <c r="CA302" i="1"/>
  <c r="CA274" i="1"/>
  <c r="CA221" i="1"/>
  <c r="CA211" i="1"/>
  <c r="CA179" i="1"/>
  <c r="CA129" i="1"/>
  <c r="CA94" i="1"/>
  <c r="CA79" i="1"/>
  <c r="CA41" i="1"/>
  <c r="CA17" i="1"/>
  <c r="CA5" i="1"/>
  <c r="CA347" i="1"/>
  <c r="CA175" i="1"/>
  <c r="CA98" i="1"/>
  <c r="CA271" i="1"/>
  <c r="CA158" i="1"/>
  <c r="CA73" i="1"/>
  <c r="CA283" i="1"/>
  <c r="CA337" i="1"/>
  <c r="CA340" i="1"/>
  <c r="CA328" i="1"/>
  <c r="CA339" i="1"/>
  <c r="CA295" i="1"/>
  <c r="CA20" i="1"/>
  <c r="CA116" i="1"/>
  <c r="CA31" i="1"/>
  <c r="CA48" i="1"/>
  <c r="CA107" i="1"/>
  <c r="CA33" i="1"/>
  <c r="CA251" i="1"/>
  <c r="CA72" i="1"/>
  <c r="CA239" i="1"/>
  <c r="CA125" i="1"/>
  <c r="CA286" i="1"/>
  <c r="CA201" i="1"/>
  <c r="CA338" i="1"/>
  <c r="CA219" i="1"/>
  <c r="CA194" i="1"/>
  <c r="CA56" i="1"/>
  <c r="CA66" i="1"/>
  <c r="CA137" i="1"/>
  <c r="CA24" i="1"/>
  <c r="CA27" i="1"/>
  <c r="CA249" i="1"/>
  <c r="CA147" i="1"/>
  <c r="CA307" i="1"/>
  <c r="CA178" i="1"/>
  <c r="CA376" i="1"/>
  <c r="CA354" i="1"/>
  <c r="CA336" i="1"/>
  <c r="CA290" i="1"/>
  <c r="CA250" i="1"/>
  <c r="CA255" i="1"/>
  <c r="CA138" i="1"/>
  <c r="CA170" i="1"/>
  <c r="CA119" i="1"/>
  <c r="CA77" i="1"/>
  <c r="CA63" i="1"/>
  <c r="CA38" i="1"/>
  <c r="CA6" i="1"/>
  <c r="P13" i="19" l="1"/>
  <c r="L12" i="19"/>
  <c r="I13" i="19"/>
  <c r="AD13" i="19"/>
  <c r="AB13" i="19"/>
  <c r="AP13" i="19"/>
  <c r="AN12" i="19"/>
  <c r="AT13" i="19"/>
  <c r="AR13" i="19"/>
  <c r="BC8" i="19"/>
  <c r="BC12" i="19" s="1"/>
  <c r="BB7" i="19"/>
  <c r="BC11" i="19" s="1"/>
  <c r="BC9" i="19"/>
  <c r="BB9" i="19"/>
  <c r="G7" i="11"/>
  <c r="BJ9" i="19"/>
  <c r="BK13" i="19" s="1"/>
  <c r="BK7" i="19"/>
  <c r="BJ7" i="19"/>
  <c r="BF8" i="19"/>
  <c r="BF9" i="19"/>
  <c r="BG13" i="19" s="1"/>
  <c r="BO7" i="19"/>
  <c r="BO11" i="19" s="1"/>
  <c r="AM11" i="19"/>
  <c r="AL12" i="19" s="1"/>
  <c r="BG8" i="19"/>
  <c r="BG7" i="19"/>
  <c r="BG11" i="19" s="1"/>
  <c r="BO9" i="19"/>
  <c r="BN9" i="19"/>
  <c r="BN8" i="19"/>
  <c r="BO12" i="19" s="1"/>
  <c r="BK8" i="19"/>
  <c r="BK12" i="19" s="1"/>
  <c r="AY12" i="19"/>
  <c r="AY11" i="19"/>
  <c r="AX13" i="19" s="1"/>
  <c r="AK11" i="19"/>
  <c r="AJ12" i="19" s="1"/>
  <c r="AQ12" i="19"/>
  <c r="AP12" i="19" s="1"/>
  <c r="AU12" i="19"/>
  <c r="AT12" i="19" s="1"/>
  <c r="AI11" i="19"/>
  <c r="AH13" i="19" s="1"/>
  <c r="AI12" i="19"/>
  <c r="AA11" i="19"/>
  <c r="Z13" i="19" s="1"/>
  <c r="AE12" i="19"/>
  <c r="AD12" i="19" s="1"/>
  <c r="W12" i="19"/>
  <c r="AW12" i="19"/>
  <c r="AO13" i="19"/>
  <c r="AN13" i="19" s="1"/>
  <c r="AC12" i="19"/>
  <c r="AB12" i="19" s="1"/>
  <c r="AG11" i="19"/>
  <c r="AF13" i="19" s="1"/>
  <c r="AG12" i="19"/>
  <c r="AS12" i="19"/>
  <c r="AR12" i="19" s="1"/>
  <c r="AW11" i="19"/>
  <c r="AV13" i="19" s="1"/>
  <c r="Y11" i="19"/>
  <c r="X13" i="19" s="1"/>
  <c r="Y12" i="19"/>
  <c r="S13" i="19"/>
  <c r="S11" i="19"/>
  <c r="U12" i="19"/>
  <c r="M13" i="19"/>
  <c r="U11" i="19"/>
  <c r="M12" i="19"/>
  <c r="Q12" i="19"/>
  <c r="Q11" i="19"/>
  <c r="I11" i="19"/>
  <c r="O12" i="19"/>
  <c r="K13" i="19"/>
  <c r="E13" i="19"/>
  <c r="G12" i="19"/>
  <c r="E12" i="19"/>
  <c r="AF12" i="19" l="1"/>
  <c r="X12" i="19"/>
  <c r="Z12" i="19"/>
  <c r="AH12" i="19"/>
  <c r="AL13" i="19"/>
  <c r="AJ13" i="19"/>
  <c r="AV12" i="19"/>
  <c r="AX12" i="19"/>
  <c r="BC13" i="19"/>
  <c r="BG12" i="19"/>
  <c r="BK11" i="19"/>
  <c r="BO13" i="19"/>
  <c r="L42" i="8"/>
  <c r="M42" i="8"/>
  <c r="L43" i="8"/>
  <c r="M43" i="8"/>
  <c r="L44" i="8"/>
  <c r="M44" i="8"/>
  <c r="L45" i="8"/>
  <c r="M45" i="8"/>
  <c r="L46" i="8"/>
  <c r="M46" i="8"/>
  <c r="L47" i="8"/>
  <c r="M47" i="8"/>
  <c r="L48" i="8"/>
  <c r="M48" i="8"/>
  <c r="L49" i="8"/>
  <c r="M49" i="8"/>
  <c r="L50" i="8"/>
  <c r="M50" i="8"/>
  <c r="L51" i="8"/>
  <c r="M51" i="8"/>
  <c r="L52" i="8"/>
  <c r="M52" i="8"/>
  <c r="L53" i="8"/>
  <c r="M53" i="8"/>
  <c r="L54" i="8"/>
  <c r="M54" i="8"/>
  <c r="L55" i="8"/>
  <c r="M55" i="8"/>
  <c r="L56" i="8"/>
  <c r="M56" i="8"/>
  <c r="L57" i="8"/>
  <c r="M57" i="8"/>
  <c r="L58" i="8"/>
  <c r="M58" i="8"/>
  <c r="L59" i="8"/>
  <c r="M59" i="8"/>
  <c r="L60" i="8"/>
  <c r="M60" i="8"/>
  <c r="L61" i="8"/>
  <c r="M61" i="8"/>
  <c r="L62" i="8"/>
  <c r="M62" i="8"/>
  <c r="L63" i="8"/>
  <c r="M63" i="8"/>
  <c r="L64" i="8"/>
  <c r="M64" i="8"/>
  <c r="L65" i="8"/>
  <c r="M65" i="8"/>
  <c r="L66" i="8"/>
  <c r="M66" i="8"/>
  <c r="L67" i="8"/>
  <c r="M67" i="8"/>
  <c r="L68" i="8"/>
  <c r="M68" i="8"/>
  <c r="L69" i="8"/>
  <c r="M69" i="8"/>
  <c r="L70" i="8"/>
  <c r="M70" i="8"/>
  <c r="L71" i="8"/>
  <c r="M71" i="8"/>
  <c r="L72" i="8"/>
  <c r="M72" i="8"/>
  <c r="L73" i="8"/>
  <c r="M73" i="8"/>
  <c r="L74" i="8"/>
  <c r="M74" i="8"/>
  <c r="L75" i="8"/>
  <c r="M75" i="8"/>
  <c r="L76" i="8"/>
  <c r="M76" i="8"/>
  <c r="L77" i="8"/>
  <c r="M77" i="8"/>
  <c r="L78" i="8"/>
  <c r="M78" i="8"/>
  <c r="L79" i="8"/>
  <c r="M79" i="8"/>
  <c r="L80" i="8"/>
  <c r="M80" i="8"/>
  <c r="L81" i="8"/>
  <c r="M81" i="8"/>
  <c r="L82" i="8"/>
  <c r="M82" i="8"/>
  <c r="L83" i="8"/>
  <c r="M83" i="8"/>
  <c r="L84" i="8"/>
  <c r="M84" i="8"/>
  <c r="L85" i="8"/>
  <c r="M85" i="8"/>
  <c r="L86" i="8"/>
  <c r="M86" i="8"/>
  <c r="L87" i="8"/>
  <c r="M87" i="8"/>
  <c r="L88" i="8"/>
  <c r="M88" i="8"/>
  <c r="L89" i="8"/>
  <c r="M89" i="8"/>
  <c r="L90" i="8"/>
  <c r="M90" i="8"/>
  <c r="L91" i="8"/>
  <c r="M91" i="8"/>
  <c r="L92" i="8"/>
  <c r="M92" i="8"/>
  <c r="L93" i="8"/>
  <c r="M93" i="8"/>
  <c r="L94" i="8"/>
  <c r="M94" i="8"/>
  <c r="L95" i="8"/>
  <c r="M95" i="8"/>
  <c r="L96" i="8"/>
  <c r="M96" i="8"/>
  <c r="L97" i="8"/>
  <c r="M97" i="8"/>
  <c r="L98" i="8"/>
  <c r="M98" i="8"/>
  <c r="L99" i="8"/>
  <c r="M99" i="8"/>
  <c r="L100" i="8"/>
  <c r="M100" i="8"/>
  <c r="L101" i="8"/>
  <c r="M101" i="8"/>
  <c r="L102" i="8"/>
  <c r="M102" i="8"/>
  <c r="L103" i="8"/>
  <c r="M103" i="8"/>
  <c r="L104" i="8"/>
  <c r="M104" i="8"/>
  <c r="L105" i="8"/>
  <c r="M105" i="8"/>
  <c r="L106" i="8"/>
  <c r="M106" i="8"/>
  <c r="L107" i="8"/>
  <c r="M107" i="8"/>
  <c r="L108" i="8"/>
  <c r="M108" i="8"/>
  <c r="N68" i="8" l="1"/>
  <c r="O68" i="8" s="1"/>
  <c r="N60" i="8"/>
  <c r="O60" i="8" s="1"/>
  <c r="N52" i="8"/>
  <c r="O52" i="8" s="1"/>
  <c r="N44" i="8"/>
  <c r="O44" i="8" s="1"/>
  <c r="N100" i="8"/>
  <c r="O100" i="8" s="1"/>
  <c r="N84" i="8"/>
  <c r="O84" i="8" s="1"/>
  <c r="N92" i="8"/>
  <c r="O92" i="8" s="1"/>
  <c r="N108" i="8"/>
  <c r="O108" i="8" s="1"/>
  <c r="N88" i="8"/>
  <c r="O88" i="8" s="1"/>
  <c r="N62" i="8"/>
  <c r="O62" i="8" s="1"/>
  <c r="N69" i="8"/>
  <c r="O69" i="8" s="1"/>
  <c r="N61" i="8"/>
  <c r="O61" i="8" s="1"/>
  <c r="N67" i="8"/>
  <c r="O67" i="8" s="1"/>
  <c r="N57" i="8"/>
  <c r="O57" i="8" s="1"/>
  <c r="N104" i="8"/>
  <c r="O104" i="8" s="1"/>
  <c r="N77" i="8"/>
  <c r="O77" i="8" s="1"/>
  <c r="N53" i="8"/>
  <c r="O53" i="8" s="1"/>
  <c r="N83" i="8"/>
  <c r="O83" i="8" s="1"/>
  <c r="N51" i="8"/>
  <c r="O51" i="8" s="1"/>
  <c r="N49" i="8"/>
  <c r="O49" i="8" s="1"/>
  <c r="N66" i="8"/>
  <c r="O66" i="8" s="1"/>
  <c r="N105" i="8"/>
  <c r="O105" i="8" s="1"/>
  <c r="N73" i="8"/>
  <c r="O73" i="8" s="1"/>
  <c r="N87" i="8"/>
  <c r="O87" i="8" s="1"/>
  <c r="N79" i="8"/>
  <c r="O79" i="8" s="1"/>
  <c r="N45" i="8"/>
  <c r="O45" i="8" s="1"/>
  <c r="N58" i="8"/>
  <c r="O58" i="8" s="1"/>
  <c r="N70" i="8"/>
  <c r="O70" i="8" s="1"/>
  <c r="N50" i="8"/>
  <c r="O50" i="8" s="1"/>
  <c r="N78" i="8"/>
  <c r="O78" i="8" s="1"/>
  <c r="N107" i="8"/>
  <c r="O107" i="8" s="1"/>
  <c r="N75" i="8"/>
  <c r="O75" i="8" s="1"/>
  <c r="N59" i="8"/>
  <c r="O59" i="8" s="1"/>
  <c r="N43" i="8"/>
  <c r="O43" i="8" s="1"/>
  <c r="N42" i="8"/>
  <c r="O42" i="8" s="1"/>
  <c r="N82" i="8"/>
  <c r="O82" i="8" s="1"/>
  <c r="N65" i="8"/>
  <c r="O65" i="8" s="1"/>
  <c r="N96" i="8"/>
  <c r="O96" i="8" s="1"/>
  <c r="N74" i="8"/>
  <c r="O74" i="8" s="1"/>
  <c r="N97" i="8"/>
  <c r="O97" i="8" s="1"/>
  <c r="N56" i="8"/>
  <c r="O56" i="8" s="1"/>
  <c r="N55" i="8"/>
  <c r="O55" i="8" s="1"/>
  <c r="N54" i="8"/>
  <c r="O54" i="8" s="1"/>
  <c r="N76" i="8"/>
  <c r="O76" i="8" s="1"/>
  <c r="N98" i="8"/>
  <c r="O98" i="8" s="1"/>
  <c r="N81" i="8"/>
  <c r="O81" i="8" s="1"/>
  <c r="N64" i="8"/>
  <c r="O64" i="8" s="1"/>
  <c r="N71" i="8"/>
  <c r="O71" i="8" s="1"/>
  <c r="N93" i="8"/>
  <c r="O93" i="8" s="1"/>
  <c r="N90" i="8"/>
  <c r="O90" i="8" s="1"/>
  <c r="N72" i="8"/>
  <c r="O72" i="8" s="1"/>
  <c r="N103" i="8"/>
  <c r="O103" i="8" s="1"/>
  <c r="N47" i="8"/>
  <c r="O47" i="8" s="1"/>
  <c r="N101" i="8"/>
  <c r="O101" i="8" s="1"/>
  <c r="N106" i="8"/>
  <c r="O106" i="8" s="1"/>
  <c r="N89" i="8"/>
  <c r="O89" i="8" s="1"/>
  <c r="N80" i="8"/>
  <c r="O80" i="8" s="1"/>
  <c r="N48" i="8"/>
  <c r="O48" i="8" s="1"/>
  <c r="N95" i="8"/>
  <c r="O95" i="8" s="1"/>
  <c r="N63" i="8"/>
  <c r="O63" i="8" s="1"/>
  <c r="N46" i="8"/>
  <c r="O46" i="8" s="1"/>
  <c r="N85" i="8"/>
  <c r="O85" i="8" s="1"/>
  <c r="N99" i="8"/>
  <c r="O99" i="8" s="1"/>
  <c r="N91" i="8"/>
  <c r="O91" i="8" s="1"/>
  <c r="N94" i="8"/>
  <c r="O94" i="8" s="1"/>
  <c r="N102" i="8"/>
  <c r="O102" i="8" s="1"/>
  <c r="N86" i="8"/>
  <c r="O86" i="8" s="1"/>
  <c r="M3" i="8"/>
  <c r="M5" i="8"/>
  <c r="M7" i="8"/>
  <c r="M9" i="8"/>
  <c r="M10" i="8"/>
  <c r="M12" i="8"/>
  <c r="M13" i="8"/>
  <c r="M14" i="8"/>
  <c r="M15" i="8"/>
  <c r="M17" i="8"/>
  <c r="M18" i="8"/>
  <c r="M20" i="8"/>
  <c r="M21" i="8"/>
  <c r="M22" i="8"/>
  <c r="M23" i="8"/>
  <c r="M25" i="8"/>
  <c r="M28" i="8"/>
  <c r="M29" i="8"/>
  <c r="M31" i="8"/>
  <c r="M32" i="8"/>
  <c r="M34" i="8"/>
  <c r="M35" i="8"/>
  <c r="M36" i="8"/>
  <c r="M38" i="8"/>
  <c r="M40" i="8"/>
  <c r="BV105" i="1"/>
  <c r="BW105" i="1" s="1"/>
  <c r="BV166" i="1"/>
  <c r="BW166" i="1" s="1"/>
  <c r="BV201" i="1"/>
  <c r="BW201" i="1" s="1"/>
  <c r="BV112" i="1"/>
  <c r="BW112" i="1" s="1"/>
  <c r="BV209" i="1"/>
  <c r="BW209" i="1" s="1"/>
  <c r="BV264" i="1"/>
  <c r="BW264" i="1" s="1"/>
  <c r="BV84" i="1"/>
  <c r="BW84" i="1" s="1"/>
  <c r="BV70" i="1"/>
  <c r="BW70" i="1" s="1"/>
  <c r="BV184" i="1"/>
  <c r="BW184" i="1" s="1"/>
  <c r="BV46" i="1"/>
  <c r="BW46" i="1" s="1"/>
  <c r="BV89" i="1"/>
  <c r="BW89" i="1" s="1"/>
  <c r="BV224" i="1"/>
  <c r="BW224" i="1" s="1"/>
  <c r="BV242" i="1"/>
  <c r="BW242" i="1" s="1"/>
  <c r="BV337" i="1"/>
  <c r="BW337" i="1" s="1"/>
  <c r="BV272" i="1"/>
  <c r="BW272" i="1" s="1"/>
  <c r="BV196" i="1"/>
  <c r="BW196" i="1" s="1"/>
  <c r="BV268" i="1"/>
  <c r="BW268" i="1" s="1"/>
  <c r="BV315" i="1"/>
  <c r="BW315" i="1" s="1"/>
  <c r="BV149" i="1"/>
  <c r="BW149" i="1" s="1"/>
  <c r="BV396" i="1"/>
  <c r="BW396" i="1" s="1"/>
  <c r="BV381" i="1"/>
  <c r="BW381" i="1" s="1"/>
  <c r="I2" i="8"/>
  <c r="I3" i="8"/>
  <c r="I4" i="8"/>
  <c r="I5" i="8"/>
  <c r="I6" i="8"/>
  <c r="I7" i="8"/>
  <c r="I8" i="8"/>
  <c r="I10" i="8"/>
  <c r="BR397" i="1"/>
  <c r="I11" i="8"/>
  <c r="I13" i="8"/>
  <c r="I15" i="8"/>
  <c r="I16" i="8"/>
  <c r="I17" i="8"/>
  <c r="I19" i="8"/>
  <c r="I21" i="8"/>
  <c r="I22" i="8"/>
  <c r="I23" i="8"/>
  <c r="I24" i="8"/>
  <c r="I25" i="8"/>
  <c r="I26" i="8"/>
  <c r="I27" i="8"/>
  <c r="I29" i="8"/>
  <c r="I30" i="8"/>
  <c r="I31" i="8"/>
  <c r="I32" i="8"/>
  <c r="I34" i="8"/>
  <c r="I36" i="8"/>
  <c r="I37" i="8"/>
  <c r="I38" i="8"/>
  <c r="I39" i="8"/>
  <c r="I40" i="8"/>
  <c r="H8" i="8"/>
  <c r="H24" i="8"/>
  <c r="L29" i="8"/>
  <c r="L13" i="8"/>
  <c r="H23" i="8"/>
  <c r="L21" i="8"/>
  <c r="H15" i="8"/>
  <c r="L3" i="8"/>
  <c r="L10" i="8"/>
  <c r="H38" i="8"/>
  <c r="BV361" i="1"/>
  <c r="BW361" i="1" s="1"/>
  <c r="BV359" i="1"/>
  <c r="BW359" i="1" s="1"/>
  <c r="BV155" i="1"/>
  <c r="BW155" i="1" s="1"/>
  <c r="BV215" i="1"/>
  <c r="BW215" i="1" s="1"/>
  <c r="BV294" i="1"/>
  <c r="BW294" i="1" s="1"/>
  <c r="BV310" i="1"/>
  <c r="BW310" i="1" s="1"/>
  <c r="BV131" i="1"/>
  <c r="BW131" i="1" s="1"/>
  <c r="BV6" i="1"/>
  <c r="BW6" i="1" s="1"/>
  <c r="BV344" i="1"/>
  <c r="BW344" i="1" s="1"/>
  <c r="BV369" i="1"/>
  <c r="BW369" i="1" s="1"/>
  <c r="BV371" i="1"/>
  <c r="BW371" i="1" s="1"/>
  <c r="BV81" i="1"/>
  <c r="BW81" i="1" s="1"/>
  <c r="BV243" i="1"/>
  <c r="BW243" i="1" s="1"/>
  <c r="BV109" i="1"/>
  <c r="BW109" i="1" s="1"/>
  <c r="BV260" i="1"/>
  <c r="BW260" i="1" s="1"/>
  <c r="BV388" i="1"/>
  <c r="BW388" i="1" s="1"/>
  <c r="BV241" i="1"/>
  <c r="BW241" i="1" s="1"/>
  <c r="BV12" i="1"/>
  <c r="BW12" i="1" s="1"/>
  <c r="BV354" i="1"/>
  <c r="BW354" i="1" s="1"/>
  <c r="BV147" i="1"/>
  <c r="BW147" i="1" s="1"/>
  <c r="BV36" i="1"/>
  <c r="BW36" i="1" s="1"/>
  <c r="BV289" i="1"/>
  <c r="BW289" i="1" s="1"/>
  <c r="BV326" i="1"/>
  <c r="BW326" i="1" s="1"/>
  <c r="BV11" i="1"/>
  <c r="BW11" i="1" s="1"/>
  <c r="BV175" i="1"/>
  <c r="BW175" i="1" s="1"/>
  <c r="BV357" i="1"/>
  <c r="BW357" i="1" s="1"/>
  <c r="BV47" i="1"/>
  <c r="BW47" i="1" s="1"/>
  <c r="BV335" i="1"/>
  <c r="BW335" i="1" s="1"/>
  <c r="BV316" i="1"/>
  <c r="BW316" i="1" s="1"/>
  <c r="BV50" i="1"/>
  <c r="BW50" i="1" s="1"/>
  <c r="BV190" i="1"/>
  <c r="BW190" i="1" s="1"/>
  <c r="BV158" i="1"/>
  <c r="BW158" i="1" s="1"/>
  <c r="BV282" i="1"/>
  <c r="BW282" i="1" s="1"/>
  <c r="BV373" i="1"/>
  <c r="BW373" i="1" s="1"/>
  <c r="BV345" i="1"/>
  <c r="BW345" i="1" s="1"/>
  <c r="BV98" i="1"/>
  <c r="BW98" i="1" s="1"/>
  <c r="BS397" i="1" l="1"/>
  <c r="BL3" i="19" a="1"/>
  <c r="BL3" i="19" s="1"/>
  <c r="BM3" i="19" s="1"/>
  <c r="BL4" i="19" a="1"/>
  <c r="BL4" i="19" s="1"/>
  <c r="BM4" i="19" s="1"/>
  <c r="BL2" i="19" a="1"/>
  <c r="BL2" i="19" s="1"/>
  <c r="BM2" i="19" s="1"/>
  <c r="C7" i="11"/>
  <c r="F7" i="11"/>
  <c r="J7" i="11"/>
  <c r="M7" i="11"/>
  <c r="BV257" i="1"/>
  <c r="BW257" i="1" s="1"/>
  <c r="BV7" i="1"/>
  <c r="BW7" i="1" s="1"/>
  <c r="BV247" i="1"/>
  <c r="BW247" i="1" s="1"/>
  <c r="BV2" i="1"/>
  <c r="BW2" i="1" s="1"/>
  <c r="BV293" i="1"/>
  <c r="BW293" i="1" s="1"/>
  <c r="H34" i="8"/>
  <c r="J34" i="8" s="1"/>
  <c r="K34" i="8" s="1"/>
  <c r="BV277" i="1"/>
  <c r="BW277" i="1" s="1"/>
  <c r="H31" i="8"/>
  <c r="J31" i="8" s="1"/>
  <c r="K31" i="8" s="1"/>
  <c r="H7" i="8"/>
  <c r="J7" i="8" s="1"/>
  <c r="K7" i="8" s="1"/>
  <c r="BV352" i="1"/>
  <c r="BW352" i="1" s="1"/>
  <c r="BV218" i="1"/>
  <c r="BW218" i="1" s="1"/>
  <c r="BV72" i="1"/>
  <c r="BW72" i="1" s="1"/>
  <c r="BV239" i="1"/>
  <c r="BW239" i="1" s="1"/>
  <c r="BV246" i="1"/>
  <c r="BW246" i="1" s="1"/>
  <c r="BV104" i="1"/>
  <c r="BW104" i="1" s="1"/>
  <c r="BV286" i="1"/>
  <c r="BW286" i="1" s="1"/>
  <c r="BV245" i="1"/>
  <c r="BW245" i="1" s="1"/>
  <c r="BV164" i="1"/>
  <c r="BW164" i="1" s="1"/>
  <c r="BV383" i="1"/>
  <c r="BW383" i="1" s="1"/>
  <c r="H30" i="8"/>
  <c r="J30" i="8" s="1"/>
  <c r="K30" i="8" s="1"/>
  <c r="BV351" i="1"/>
  <c r="BW351" i="1" s="1"/>
  <c r="BV238" i="1"/>
  <c r="BW238" i="1" s="1"/>
  <c r="H22" i="8"/>
  <c r="J22" i="8" s="1"/>
  <c r="K22" i="8" s="1"/>
  <c r="H14" i="8"/>
  <c r="BN397" i="1"/>
  <c r="H6" i="8"/>
  <c r="J6" i="8" s="1"/>
  <c r="K6" i="8" s="1"/>
  <c r="BV144" i="1"/>
  <c r="BW144" i="1" s="1"/>
  <c r="BV212" i="1"/>
  <c r="BW212" i="1" s="1"/>
  <c r="BV121" i="1"/>
  <c r="BW121" i="1" s="1"/>
  <c r="BV55" i="1"/>
  <c r="BW55" i="1" s="1"/>
  <c r="BV90" i="1"/>
  <c r="BW90" i="1" s="1"/>
  <c r="BV355" i="1"/>
  <c r="BV378" i="1"/>
  <c r="BW378" i="1" s="1"/>
  <c r="BV5" i="1"/>
  <c r="BW5" i="1" s="1"/>
  <c r="BV106" i="1"/>
  <c r="BW106" i="1" s="1"/>
  <c r="BV353" i="1"/>
  <c r="BW353" i="1" s="1"/>
  <c r="BV267" i="1"/>
  <c r="BW267" i="1" s="1"/>
  <c r="BV192" i="1"/>
  <c r="BW192" i="1" s="1"/>
  <c r="BV244" i="1"/>
  <c r="BW244" i="1" s="1"/>
  <c r="BV151" i="1"/>
  <c r="BW151" i="1" s="1"/>
  <c r="BV58" i="1"/>
  <c r="BW58" i="1" s="1"/>
  <c r="BV88" i="1"/>
  <c r="BW88" i="1" s="1"/>
  <c r="BV32" i="1"/>
  <c r="BW32" i="1" s="1"/>
  <c r="BV312" i="1"/>
  <c r="BW312" i="1" s="1"/>
  <c r="BV162" i="1"/>
  <c r="BW162" i="1" s="1"/>
  <c r="BV319" i="1"/>
  <c r="BW319" i="1" s="1"/>
  <c r="BV240" i="1"/>
  <c r="BW240" i="1" s="1"/>
  <c r="BV334" i="1"/>
  <c r="BW334" i="1" s="1"/>
  <c r="BV394" i="1"/>
  <c r="BW394" i="1" s="1"/>
  <c r="BV365" i="1"/>
  <c r="BW365" i="1" s="1"/>
  <c r="BV177" i="1"/>
  <c r="BW177" i="1" s="1"/>
  <c r="BV236" i="1"/>
  <c r="BW236" i="1" s="1"/>
  <c r="BV307" i="1"/>
  <c r="BW307" i="1" s="1"/>
  <c r="BV305" i="1"/>
  <c r="BW305" i="1" s="1"/>
  <c r="BV304" i="1"/>
  <c r="BW304" i="1" s="1"/>
  <c r="BV18" i="1"/>
  <c r="BW18" i="1" s="1"/>
  <c r="BV43" i="1"/>
  <c r="BW43" i="1" s="1"/>
  <c r="BV216" i="1"/>
  <c r="BW216" i="1" s="1"/>
  <c r="BV384" i="1"/>
  <c r="BW384" i="1" s="1"/>
  <c r="BV222" i="1"/>
  <c r="BW222" i="1" s="1"/>
  <c r="BV28" i="1"/>
  <c r="BW28" i="1" s="1"/>
  <c r="BV176" i="1"/>
  <c r="BW176" i="1" s="1"/>
  <c r="BV274" i="1"/>
  <c r="BW274" i="1" s="1"/>
  <c r="H35" i="8"/>
  <c r="BV141" i="1"/>
  <c r="BW141" i="1" s="1"/>
  <c r="BV321" i="1"/>
  <c r="BW321" i="1" s="1"/>
  <c r="BV15" i="1"/>
  <c r="BW15" i="1" s="1"/>
  <c r="BV71" i="1"/>
  <c r="BW71" i="1" s="1"/>
  <c r="BV333" i="1"/>
  <c r="BW333" i="1" s="1"/>
  <c r="BV393" i="1"/>
  <c r="BW393" i="1" s="1"/>
  <c r="BV251" i="1"/>
  <c r="BW251" i="1" s="1"/>
  <c r="BV368" i="1"/>
  <c r="BW368" i="1" s="1"/>
  <c r="BV183" i="1"/>
  <c r="BW183" i="1" s="1"/>
  <c r="BV76" i="1"/>
  <c r="BW76" i="1" s="1"/>
  <c r="BV143" i="1"/>
  <c r="BW143" i="1" s="1"/>
  <c r="BV160" i="1"/>
  <c r="BW160" i="1" s="1"/>
  <c r="BV331" i="1"/>
  <c r="BW331" i="1" s="1"/>
  <c r="BV283" i="1"/>
  <c r="BW283" i="1" s="1"/>
  <c r="BV266" i="1"/>
  <c r="BW266" i="1" s="1"/>
  <c r="BV137" i="1"/>
  <c r="BW137" i="1" s="1"/>
  <c r="BV206" i="1"/>
  <c r="BW206" i="1" s="1"/>
  <c r="BV382" i="1"/>
  <c r="BW382" i="1" s="1"/>
  <c r="BV24" i="1"/>
  <c r="BW24" i="1" s="1"/>
  <c r="BV249" i="1"/>
  <c r="BW249" i="1" s="1"/>
  <c r="BV66" i="1"/>
  <c r="BW66" i="1" s="1"/>
  <c r="BV231" i="1"/>
  <c r="BW231" i="1" s="1"/>
  <c r="BV248" i="1"/>
  <c r="BW248" i="1" s="1"/>
  <c r="BV82" i="1"/>
  <c r="BW82" i="1" s="1"/>
  <c r="BV301" i="1"/>
  <c r="BW301" i="1" s="1"/>
  <c r="BV207" i="1"/>
  <c r="BW207" i="1" s="1"/>
  <c r="BV211" i="1"/>
  <c r="BW211" i="1" s="1"/>
  <c r="BV174" i="1"/>
  <c r="BW174" i="1" s="1"/>
  <c r="BV97" i="1"/>
  <c r="BW97" i="1" s="1"/>
  <c r="BV26" i="1"/>
  <c r="BW26" i="1" s="1"/>
  <c r="BV17" i="1"/>
  <c r="BW17" i="1" s="1"/>
  <c r="H17" i="8"/>
  <c r="J17" i="8" s="1"/>
  <c r="K17" i="8" s="1"/>
  <c r="BV33" i="1"/>
  <c r="BW33" i="1" s="1"/>
  <c r="BV273" i="1"/>
  <c r="BW273" i="1" s="1"/>
  <c r="BV199" i="1"/>
  <c r="BW199" i="1" s="1"/>
  <c r="BV95" i="1"/>
  <c r="BW95" i="1" s="1"/>
  <c r="BV14" i="1"/>
  <c r="BW14" i="1" s="1"/>
  <c r="BV133" i="1"/>
  <c r="BW133" i="1" s="1"/>
  <c r="BV150" i="1"/>
  <c r="BW150" i="1" s="1"/>
  <c r="BV298" i="1"/>
  <c r="BW298" i="1" s="1"/>
  <c r="BV107" i="1"/>
  <c r="BW107" i="1" s="1"/>
  <c r="BV232" i="1"/>
  <c r="BW232" i="1" s="1"/>
  <c r="BV152" i="1"/>
  <c r="BV323" i="1"/>
  <c r="BW323" i="1" s="1"/>
  <c r="BV128" i="1"/>
  <c r="BW128" i="1" s="1"/>
  <c r="BV317" i="1"/>
  <c r="BW317" i="1" s="1"/>
  <c r="BV259" i="1"/>
  <c r="BW259" i="1" s="1"/>
  <c r="BV226" i="1"/>
  <c r="BW226" i="1" s="1"/>
  <c r="BV23" i="1"/>
  <c r="BW23" i="1" s="1"/>
  <c r="BV57" i="1"/>
  <c r="BW57" i="1" s="1"/>
  <c r="BV3" i="1"/>
  <c r="BW3" i="1" s="1"/>
  <c r="BV188" i="1"/>
  <c r="BW188" i="1" s="1"/>
  <c r="BV275" i="1"/>
  <c r="BW275" i="1" s="1"/>
  <c r="BV225" i="1"/>
  <c r="BW225" i="1" s="1"/>
  <c r="BV102" i="1"/>
  <c r="BW102" i="1" s="1"/>
  <c r="BV173" i="1"/>
  <c r="BW173" i="1" s="1"/>
  <c r="BV290" i="1"/>
  <c r="BW290" i="1" s="1"/>
  <c r="BV309" i="1"/>
  <c r="BW309" i="1" s="1"/>
  <c r="BV172" i="1"/>
  <c r="BW172" i="1" s="1"/>
  <c r="BV168" i="1"/>
  <c r="BW168" i="1" s="1"/>
  <c r="H16" i="8"/>
  <c r="J16" i="8" s="1"/>
  <c r="K16" i="8" s="1"/>
  <c r="H4" i="8"/>
  <c r="J4" i="8" s="1"/>
  <c r="K4" i="8" s="1"/>
  <c r="BV182" i="1"/>
  <c r="BW182" i="1" s="1"/>
  <c r="BV227" i="1"/>
  <c r="BW227" i="1" s="1"/>
  <c r="BV385" i="1"/>
  <c r="BW385" i="1" s="1"/>
  <c r="BV348" i="1"/>
  <c r="BW348" i="1" s="1"/>
  <c r="BV339" i="1"/>
  <c r="BW339" i="1" s="1"/>
  <c r="BV153" i="1"/>
  <c r="BW153" i="1" s="1"/>
  <c r="BV78" i="1"/>
  <c r="BW78" i="1" s="1"/>
  <c r="BV356" i="1"/>
  <c r="BW356" i="1" s="1"/>
  <c r="BV44" i="1"/>
  <c r="BW44" i="1" s="1"/>
  <c r="BV288" i="1"/>
  <c r="BW288" i="1" s="1"/>
  <c r="BV329" i="1"/>
  <c r="BW329" i="1" s="1"/>
  <c r="BV178" i="1"/>
  <c r="BV75" i="1"/>
  <c r="BW75" i="1" s="1"/>
  <c r="BV94" i="1"/>
  <c r="BW94" i="1" s="1"/>
  <c r="BV92" i="1"/>
  <c r="BW92" i="1" s="1"/>
  <c r="BV126" i="1"/>
  <c r="BW126" i="1" s="1"/>
  <c r="BV194" i="1"/>
  <c r="BW194" i="1" s="1"/>
  <c r="BV85" i="1"/>
  <c r="BW85" i="1" s="1"/>
  <c r="BV327" i="1"/>
  <c r="BW327" i="1" s="1"/>
  <c r="L32" i="8"/>
  <c r="N32" i="8" s="1"/>
  <c r="O32" i="8" s="1"/>
  <c r="N29" i="8"/>
  <c r="O29" i="8" s="1"/>
  <c r="J23" i="8"/>
  <c r="K23" i="8" s="1"/>
  <c r="BV142" i="1"/>
  <c r="BW142" i="1" s="1"/>
  <c r="BV34" i="1"/>
  <c r="BW34" i="1" s="1"/>
  <c r="BV53" i="1"/>
  <c r="BW53" i="1" s="1"/>
  <c r="BV391" i="1"/>
  <c r="BW391" i="1" s="1"/>
  <c r="BV19" i="1"/>
  <c r="BW19" i="1" s="1"/>
  <c r="BV258" i="1"/>
  <c r="BW258" i="1" s="1"/>
  <c r="BV367" i="1"/>
  <c r="BW367" i="1" s="1"/>
  <c r="BV376" i="1"/>
  <c r="BW376" i="1" s="1"/>
  <c r="M30" i="8"/>
  <c r="BV397" i="1"/>
  <c r="BW397" i="1" s="1"/>
  <c r="BV253" i="1"/>
  <c r="BW253" i="1" s="1"/>
  <c r="N10" i="8"/>
  <c r="O10" i="8" s="1"/>
  <c r="BV197" i="1"/>
  <c r="BW197" i="1" s="1"/>
  <c r="BV59" i="1"/>
  <c r="BW59" i="1" s="1"/>
  <c r="BV77" i="1"/>
  <c r="BW77" i="1" s="1"/>
  <c r="M2" i="8"/>
  <c r="L14" i="8"/>
  <c r="N14" i="8" s="1"/>
  <c r="O14" i="8" s="1"/>
  <c r="I14" i="8"/>
  <c r="BV63" i="1"/>
  <c r="BW63" i="1" s="1"/>
  <c r="M41" i="8"/>
  <c r="BV138" i="1"/>
  <c r="BW138" i="1" s="1"/>
  <c r="M33" i="8"/>
  <c r="BV161" i="1"/>
  <c r="BW161" i="1" s="1"/>
  <c r="M26" i="8"/>
  <c r="BV214" i="1"/>
  <c r="BW214" i="1" s="1"/>
  <c r="BV136" i="1"/>
  <c r="BW136" i="1" s="1"/>
  <c r="BV69" i="1"/>
  <c r="BW69" i="1" s="1"/>
  <c r="BV374" i="1"/>
  <c r="BW374" i="1" s="1"/>
  <c r="BV320" i="1"/>
  <c r="BW320" i="1" s="1"/>
  <c r="J8" i="8"/>
  <c r="K8" i="8" s="1"/>
  <c r="BV386" i="1"/>
  <c r="BW386" i="1" s="1"/>
  <c r="M27" i="8"/>
  <c r="BV237" i="1"/>
  <c r="BW237" i="1" s="1"/>
  <c r="L30" i="8"/>
  <c r="L36" i="8"/>
  <c r="N36" i="8" s="1"/>
  <c r="O36" i="8" s="1"/>
  <c r="L35" i="8"/>
  <c r="N35" i="8" s="1"/>
  <c r="O35" i="8" s="1"/>
  <c r="I35" i="8"/>
  <c r="L28" i="8"/>
  <c r="N28" i="8" s="1"/>
  <c r="O28" i="8" s="1"/>
  <c r="I28" i="8"/>
  <c r="L20" i="8"/>
  <c r="N20" i="8" s="1"/>
  <c r="O20" i="8" s="1"/>
  <c r="I20" i="8"/>
  <c r="L12" i="8"/>
  <c r="N12" i="8" s="1"/>
  <c r="O12" i="8" s="1"/>
  <c r="I12" i="8"/>
  <c r="BV255" i="1"/>
  <c r="BW255" i="1" s="1"/>
  <c r="M39" i="8"/>
  <c r="BV392" i="1"/>
  <c r="BV380" i="1"/>
  <c r="BW380" i="1" s="1"/>
  <c r="M24" i="8"/>
  <c r="BV186" i="1"/>
  <c r="BW186" i="1" s="1"/>
  <c r="M16" i="8"/>
  <c r="BV300" i="1"/>
  <c r="BW300" i="1" s="1"/>
  <c r="BV372" i="1"/>
  <c r="BW372" i="1" s="1"/>
  <c r="BV119" i="1"/>
  <c r="BW119" i="1" s="1"/>
  <c r="M8" i="8"/>
  <c r="BV115" i="1"/>
  <c r="BW115" i="1" s="1"/>
  <c r="BV250" i="1"/>
  <c r="BW250" i="1" s="1"/>
  <c r="M4" i="8"/>
  <c r="BV99" i="1"/>
  <c r="M37" i="8"/>
  <c r="BV210" i="1"/>
  <c r="BW210" i="1" s="1"/>
  <c r="BV9" i="1"/>
  <c r="BW9" i="1" s="1"/>
  <c r="N21" i="8"/>
  <c r="O21" i="8" s="1"/>
  <c r="N3" i="8"/>
  <c r="O3" i="8" s="1"/>
  <c r="J24" i="8"/>
  <c r="K24" i="8" s="1"/>
  <c r="J15" i="8"/>
  <c r="K15" i="8" s="1"/>
  <c r="L41" i="8"/>
  <c r="I41" i="8"/>
  <c r="L33" i="8"/>
  <c r="I33" i="8"/>
  <c r="L18" i="8"/>
  <c r="N18" i="8" s="1"/>
  <c r="O18" i="8" s="1"/>
  <c r="I18" i="8"/>
  <c r="L9" i="8"/>
  <c r="N9" i="8" s="1"/>
  <c r="O9" i="8" s="1"/>
  <c r="I9" i="8"/>
  <c r="BV25" i="1"/>
  <c r="BW25" i="1" s="1"/>
  <c r="M6" i="8"/>
  <c r="L17" i="8"/>
  <c r="N17" i="8" s="1"/>
  <c r="O17" i="8" s="1"/>
  <c r="N13" i="8"/>
  <c r="O13" i="8" s="1"/>
  <c r="BV179" i="1"/>
  <c r="BW179" i="1" s="1"/>
  <c r="M19" i="8"/>
  <c r="BV65" i="1"/>
  <c r="BW65" i="1" s="1"/>
  <c r="M11" i="8"/>
  <c r="J38" i="8"/>
  <c r="K38" i="8" s="1"/>
  <c r="BV204" i="1"/>
  <c r="BW204" i="1" s="1"/>
  <c r="BV366" i="1"/>
  <c r="BW366" i="1" s="1"/>
  <c r="BV146" i="1"/>
  <c r="BW146" i="1" s="1"/>
  <c r="BV83" i="1"/>
  <c r="BW83" i="1" s="1"/>
  <c r="BV139" i="1"/>
  <c r="BW139" i="1" s="1"/>
  <c r="BV279" i="1"/>
  <c r="BW279" i="1" s="1"/>
  <c r="BV38" i="1"/>
  <c r="BW38" i="1" s="1"/>
  <c r="BV299" i="1"/>
  <c r="BW299" i="1" s="1"/>
  <c r="L40" i="8"/>
  <c r="N40" i="8" s="1"/>
  <c r="O40" i="8" s="1"/>
  <c r="BV325" i="1"/>
  <c r="BW325" i="1" s="1"/>
  <c r="BV387" i="1"/>
  <c r="BW387" i="1" s="1"/>
  <c r="BV233" i="1"/>
  <c r="BW233" i="1" s="1"/>
  <c r="BV157" i="1"/>
  <c r="BW157" i="1" s="1"/>
  <c r="BV398" i="1"/>
  <c r="BW398" i="1" s="1"/>
  <c r="BV79" i="1"/>
  <c r="BW79" i="1" s="1"/>
  <c r="L19" i="8"/>
  <c r="BV29" i="1"/>
  <c r="BW29" i="1" s="1"/>
  <c r="BV111" i="1"/>
  <c r="BW111" i="1" s="1"/>
  <c r="BV271" i="1"/>
  <c r="BW271" i="1" s="1"/>
  <c r="BV67" i="1"/>
  <c r="BW67" i="1" s="1"/>
  <c r="BV295" i="1"/>
  <c r="BW295" i="1" s="1"/>
  <c r="BV130" i="1"/>
  <c r="BW130" i="1" s="1"/>
  <c r="BV235" i="1"/>
  <c r="BW235" i="1" s="1"/>
  <c r="BV96" i="1"/>
  <c r="BW96" i="1" s="1"/>
  <c r="BV302" i="1"/>
  <c r="BW302" i="1" s="1"/>
  <c r="BV93" i="1"/>
  <c r="BW93" i="1" s="1"/>
  <c r="BV52" i="1"/>
  <c r="BW52" i="1" s="1"/>
  <c r="BV390" i="1"/>
  <c r="BW390" i="1" s="1"/>
  <c r="BV100" i="1"/>
  <c r="BW100" i="1" s="1"/>
  <c r="BV117" i="1"/>
  <c r="BW117" i="1" s="1"/>
  <c r="H27" i="8"/>
  <c r="J27" i="8" s="1"/>
  <c r="K27" i="8" s="1"/>
  <c r="H19" i="8"/>
  <c r="J19" i="8" s="1"/>
  <c r="K19" i="8" s="1"/>
  <c r="H11" i="8"/>
  <c r="J11" i="8" s="1"/>
  <c r="K11" i="8" s="1"/>
  <c r="H2" i="8"/>
  <c r="J2" i="8" s="1"/>
  <c r="K2" i="8" s="1"/>
  <c r="L25" i="8"/>
  <c r="N25" i="8" s="1"/>
  <c r="O25" i="8" s="1"/>
  <c r="L5" i="8"/>
  <c r="N5" i="8" s="1"/>
  <c r="O5" i="8" s="1"/>
  <c r="BV308" i="1"/>
  <c r="BW308" i="1" s="1"/>
  <c r="BV292" i="1"/>
  <c r="BW292" i="1" s="1"/>
  <c r="BV132" i="1"/>
  <c r="BW132" i="1" s="1"/>
  <c r="BV256" i="1"/>
  <c r="BW256" i="1" s="1"/>
  <c r="BV328" i="1"/>
  <c r="BW328" i="1" s="1"/>
  <c r="BV281" i="1"/>
  <c r="BW281" i="1" s="1"/>
  <c r="BV377" i="1"/>
  <c r="BW377" i="1" s="1"/>
  <c r="BV118" i="1"/>
  <c r="BW118" i="1" s="1"/>
  <c r="BV332" i="1"/>
  <c r="BW332" i="1" s="1"/>
  <c r="BV252" i="1"/>
  <c r="BW252" i="1" s="1"/>
  <c r="BV229" i="1"/>
  <c r="BW229" i="1" s="1"/>
  <c r="BV363" i="1"/>
  <c r="BW363" i="1" s="1"/>
  <c r="BV340" i="1"/>
  <c r="BW340" i="1" s="1"/>
  <c r="BV125" i="1"/>
  <c r="BW125" i="1" s="1"/>
  <c r="BV127" i="1"/>
  <c r="BW127" i="1" s="1"/>
  <c r="BV180" i="1"/>
  <c r="BW180" i="1" s="1"/>
  <c r="BV375" i="1"/>
  <c r="BW375" i="1" s="1"/>
  <c r="BV8" i="1"/>
  <c r="BW8" i="1" s="1"/>
  <c r="BV21" i="1"/>
  <c r="BW21" i="1" s="1"/>
  <c r="BV342" i="1"/>
  <c r="BW342" i="1" s="1"/>
  <c r="BV123" i="1"/>
  <c r="BW123" i="1" s="1"/>
  <c r="BV80" i="1"/>
  <c r="BW80" i="1" s="1"/>
  <c r="BV171" i="1"/>
  <c r="BW171" i="1" s="1"/>
  <c r="BV30" i="1"/>
  <c r="BW30" i="1" s="1"/>
  <c r="BV167" i="1"/>
  <c r="BW167" i="1" s="1"/>
  <c r="BV318" i="1"/>
  <c r="BW318" i="1" s="1"/>
  <c r="BV313" i="1"/>
  <c r="BW313" i="1" s="1"/>
  <c r="BV37" i="1"/>
  <c r="BW37" i="1" s="1"/>
  <c r="BV336" i="1"/>
  <c r="BW336" i="1" s="1"/>
  <c r="BV51" i="1"/>
  <c r="BW51" i="1" s="1"/>
  <c r="BV49" i="1"/>
  <c r="BW49" i="1" s="1"/>
  <c r="BV45" i="1"/>
  <c r="BW45" i="1" s="1"/>
  <c r="BV265" i="1"/>
  <c r="BW265" i="1" s="1"/>
  <c r="BV140" i="1"/>
  <c r="BW140" i="1" s="1"/>
  <c r="H41" i="8"/>
  <c r="H26" i="8"/>
  <c r="J26" i="8" s="1"/>
  <c r="K26" i="8" s="1"/>
  <c r="BV163" i="1"/>
  <c r="BW163" i="1" s="1"/>
  <c r="BV110" i="1"/>
  <c r="BW110" i="1" s="1"/>
  <c r="BV73" i="1"/>
  <c r="BW73" i="1" s="1"/>
  <c r="BV74" i="1"/>
  <c r="BW74" i="1" s="1"/>
  <c r="BV4" i="1"/>
  <c r="BW4" i="1" s="1"/>
  <c r="BV364" i="1"/>
  <c r="BW364" i="1" s="1"/>
  <c r="BV287" i="1"/>
  <c r="BW287" i="1" s="1"/>
  <c r="BV395" i="1"/>
  <c r="BW395" i="1" s="1"/>
  <c r="BV165" i="1"/>
  <c r="BW165" i="1" s="1"/>
  <c r="BV181" i="1"/>
  <c r="BW181" i="1" s="1"/>
  <c r="BV113" i="1"/>
  <c r="BW113" i="1" s="1"/>
  <c r="BV41" i="1"/>
  <c r="BW41" i="1" s="1"/>
  <c r="BV64" i="1"/>
  <c r="BW64" i="1" s="1"/>
  <c r="BV170" i="1"/>
  <c r="BW170" i="1" s="1"/>
  <c r="L24" i="8"/>
  <c r="BV379" i="1"/>
  <c r="BW379" i="1" s="1"/>
  <c r="BV193" i="1"/>
  <c r="BW193" i="1" s="1"/>
  <c r="BV148" i="1"/>
  <c r="BW148" i="1" s="1"/>
  <c r="BV40" i="1"/>
  <c r="BW40" i="1" s="1"/>
  <c r="BV198" i="1"/>
  <c r="BW198" i="1" s="1"/>
  <c r="BV31" i="1"/>
  <c r="BW31" i="1" s="1"/>
  <c r="BV42" i="1"/>
  <c r="BW42" i="1" s="1"/>
  <c r="BV205" i="1"/>
  <c r="BW205" i="1" s="1"/>
  <c r="BV297" i="1"/>
  <c r="BW297" i="1" s="1"/>
  <c r="BV10" i="1"/>
  <c r="BV324" i="1"/>
  <c r="BW324" i="1" s="1"/>
  <c r="BV280" i="1"/>
  <c r="BW280" i="1" s="1"/>
  <c r="BV56" i="1"/>
  <c r="BW56" i="1" s="1"/>
  <c r="BV314" i="1"/>
  <c r="BW314" i="1" s="1"/>
  <c r="BJ397" i="1"/>
  <c r="H33" i="8"/>
  <c r="H9" i="8"/>
  <c r="L39" i="8"/>
  <c r="L16" i="8"/>
  <c r="L8" i="8"/>
  <c r="L4" i="8"/>
  <c r="BV22" i="1"/>
  <c r="BW22" i="1" s="1"/>
  <c r="BV360" i="1"/>
  <c r="BW360" i="1" s="1"/>
  <c r="BV234" i="1"/>
  <c r="BW234" i="1" s="1"/>
  <c r="BV362" i="1"/>
  <c r="BW362" i="1" s="1"/>
  <c r="BV389" i="1"/>
  <c r="BW389" i="1" s="1"/>
  <c r="BV156" i="1"/>
  <c r="BW156" i="1" s="1"/>
  <c r="BV20" i="1"/>
  <c r="BW20" i="1" s="1"/>
  <c r="BV262" i="1"/>
  <c r="BW262" i="1" s="1"/>
  <c r="BV86" i="1"/>
  <c r="BW86" i="1" s="1"/>
  <c r="BV120" i="1"/>
  <c r="BW120" i="1" s="1"/>
  <c r="BV213" i="1"/>
  <c r="BW213" i="1" s="1"/>
  <c r="BV68" i="1"/>
  <c r="BW68" i="1" s="1"/>
  <c r="BV219" i="1"/>
  <c r="BW219" i="1" s="1"/>
  <c r="BV87" i="1"/>
  <c r="BW87" i="1" s="1"/>
  <c r="BV284" i="1"/>
  <c r="BW284" i="1" s="1"/>
  <c r="BV129" i="1"/>
  <c r="BW129" i="1" s="1"/>
  <c r="BV330" i="1"/>
  <c r="BW330" i="1" s="1"/>
  <c r="BV349" i="1"/>
  <c r="BW349" i="1" s="1"/>
  <c r="BV122" i="1"/>
  <c r="BW122" i="1" s="1"/>
  <c r="BV311" i="1"/>
  <c r="BW311" i="1" s="1"/>
  <c r="H39" i="8"/>
  <c r="J39" i="8" s="1"/>
  <c r="K39" i="8" s="1"/>
  <c r="L22" i="8"/>
  <c r="N22" i="8" s="1"/>
  <c r="O22" i="8" s="1"/>
  <c r="L6" i="8"/>
  <c r="H36" i="8"/>
  <c r="J36" i="8" s="1"/>
  <c r="K36" i="8" s="1"/>
  <c r="BV159" i="1"/>
  <c r="BW159" i="1" s="1"/>
  <c r="H29" i="8"/>
  <c r="J29" i="8" s="1"/>
  <c r="K29" i="8" s="1"/>
  <c r="L27" i="8"/>
  <c r="BV62" i="1"/>
  <c r="BW62" i="1" s="1"/>
  <c r="BV296" i="1"/>
  <c r="BW296" i="1" s="1"/>
  <c r="BV91" i="1"/>
  <c r="BW91" i="1" s="1"/>
  <c r="BV343" i="1"/>
  <c r="BW343" i="1" s="1"/>
  <c r="BV145" i="1"/>
  <c r="BW145" i="1" s="1"/>
  <c r="BV101" i="1"/>
  <c r="BW101" i="1" s="1"/>
  <c r="BV208" i="1"/>
  <c r="BW208" i="1" s="1"/>
  <c r="BV200" i="1"/>
  <c r="BW200" i="1" s="1"/>
  <c r="BV221" i="1"/>
  <c r="BW221" i="1" s="1"/>
  <c r="H13" i="8"/>
  <c r="J13" i="8" s="1"/>
  <c r="K13" i="8" s="1"/>
  <c r="L34" i="8"/>
  <c r="N34" i="8" s="1"/>
  <c r="O34" i="8" s="1"/>
  <c r="BV103" i="1"/>
  <c r="BW103" i="1" s="1"/>
  <c r="BV228" i="1"/>
  <c r="BW228" i="1" s="1"/>
  <c r="BV370" i="1"/>
  <c r="BW370" i="1" s="1"/>
  <c r="BV358" i="1"/>
  <c r="BW358" i="1" s="1"/>
  <c r="BV341" i="1"/>
  <c r="BW341" i="1" s="1"/>
  <c r="BV154" i="1"/>
  <c r="BW154" i="1" s="1"/>
  <c r="BV114" i="1"/>
  <c r="BW114" i="1" s="1"/>
  <c r="BV185" i="1"/>
  <c r="BW185" i="1" s="1"/>
  <c r="BV195" i="1"/>
  <c r="BW195" i="1" s="1"/>
  <c r="BV191" i="1"/>
  <c r="BW191" i="1" s="1"/>
  <c r="BV346" i="1"/>
  <c r="BW346" i="1" s="1"/>
  <c r="H18" i="8"/>
  <c r="H40" i="8"/>
  <c r="J40" i="8" s="1"/>
  <c r="K40" i="8" s="1"/>
  <c r="H21" i="8"/>
  <c r="J21" i="8" s="1"/>
  <c r="K21" i="8" s="1"/>
  <c r="H3" i="8"/>
  <c r="J3" i="8" s="1"/>
  <c r="K3" i="8" s="1"/>
  <c r="L11" i="8"/>
  <c r="L2" i="8"/>
  <c r="BV39" i="1"/>
  <c r="BW39" i="1" s="1"/>
  <c r="BV254" i="1"/>
  <c r="BW254" i="1" s="1"/>
  <c r="BV60" i="1"/>
  <c r="BW60" i="1" s="1"/>
  <c r="BV13" i="1"/>
  <c r="BW13" i="1" s="1"/>
  <c r="BV187" i="1"/>
  <c r="BW187" i="1" s="1"/>
  <c r="BV16" i="1"/>
  <c r="BW16" i="1" s="1"/>
  <c r="BV48" i="1"/>
  <c r="BW48" i="1" s="1"/>
  <c r="BV217" i="1"/>
  <c r="BW217" i="1" s="1"/>
  <c r="BV116" i="1"/>
  <c r="BW116" i="1" s="1"/>
  <c r="BV202" i="1"/>
  <c r="BW202" i="1" s="1"/>
  <c r="BV135" i="1"/>
  <c r="BW135" i="1" s="1"/>
  <c r="BV350" i="1"/>
  <c r="BW350" i="1" s="1"/>
  <c r="H10" i="8"/>
  <c r="J10" i="8" s="1"/>
  <c r="K10" i="8" s="1"/>
  <c r="BV189" i="1"/>
  <c r="BW189" i="1" s="1"/>
  <c r="H32" i="8"/>
  <c r="J32" i="8" s="1"/>
  <c r="K32" i="8" s="1"/>
  <c r="H25" i="8"/>
  <c r="J25" i="8" s="1"/>
  <c r="K25" i="8" s="1"/>
  <c r="H5" i="8"/>
  <c r="J5" i="8" s="1"/>
  <c r="K5" i="8" s="1"/>
  <c r="L38" i="8"/>
  <c r="N38" i="8" s="1"/>
  <c r="O38" i="8" s="1"/>
  <c r="L31" i="8"/>
  <c r="N31" i="8" s="1"/>
  <c r="O31" i="8" s="1"/>
  <c r="L23" i="8"/>
  <c r="N23" i="8" s="1"/>
  <c r="O23" i="8" s="1"/>
  <c r="L15" i="8"/>
  <c r="N15" i="8" s="1"/>
  <c r="O15" i="8" s="1"/>
  <c r="L7" i="8"/>
  <c r="N7" i="8" s="1"/>
  <c r="O7" i="8" s="1"/>
  <c r="BV347" i="1"/>
  <c r="BW347" i="1" s="1"/>
  <c r="BV54" i="1"/>
  <c r="BW54" i="1" s="1"/>
  <c r="BV35" i="1"/>
  <c r="BW35" i="1" s="1"/>
  <c r="BV261" i="1"/>
  <c r="BW261" i="1" s="1"/>
  <c r="BV230" i="1"/>
  <c r="BW230" i="1" s="1"/>
  <c r="BV303" i="1"/>
  <c r="BW303" i="1" s="1"/>
  <c r="BV61" i="1"/>
  <c r="BW61" i="1" s="1"/>
  <c r="BV276" i="1"/>
  <c r="BW276" i="1" s="1"/>
  <c r="BV27" i="1"/>
  <c r="BW27" i="1" s="1"/>
  <c r="H28" i="8"/>
  <c r="H12" i="8"/>
  <c r="L26" i="8"/>
  <c r="BV291" i="1"/>
  <c r="BW291" i="1" s="1"/>
  <c r="BV220" i="1"/>
  <c r="BW220" i="1" s="1"/>
  <c r="BV285" i="1"/>
  <c r="BW285" i="1" s="1"/>
  <c r="BV306" i="1"/>
  <c r="BW306" i="1" s="1"/>
  <c r="BV270" i="1"/>
  <c r="BW270" i="1" s="1"/>
  <c r="BV108" i="1"/>
  <c r="BW108" i="1" s="1"/>
  <c r="BV203" i="1"/>
  <c r="BW203" i="1" s="1"/>
  <c r="BV223" i="1"/>
  <c r="BW223" i="1" s="1"/>
  <c r="BV124" i="1"/>
  <c r="BW124" i="1" s="1"/>
  <c r="BV278" i="1"/>
  <c r="BW278" i="1" s="1"/>
  <c r="H20" i="8"/>
  <c r="BV134" i="1"/>
  <c r="BW134" i="1" s="1"/>
  <c r="BV269" i="1"/>
  <c r="BW269" i="1" s="1"/>
  <c r="BV263" i="1"/>
  <c r="BW263" i="1" s="1"/>
  <c r="BV338" i="1"/>
  <c r="BW338" i="1" s="1"/>
  <c r="BV322" i="1"/>
  <c r="BW322" i="1" s="1"/>
  <c r="BV169" i="1"/>
  <c r="BW169" i="1" s="1"/>
  <c r="BD2" i="19" l="1" a="1"/>
  <c r="BD2" i="19" s="1"/>
  <c r="BD3" i="19" a="1"/>
  <c r="BD3" i="19" s="1"/>
  <c r="BD4" i="19" a="1"/>
  <c r="BD4" i="19" s="1"/>
  <c r="BE4" i="19" s="1"/>
  <c r="BL5" i="19"/>
  <c r="BL8" i="19" s="1"/>
  <c r="K6" i="11"/>
  <c r="L6" i="11" s="1"/>
  <c r="BK397" i="1"/>
  <c r="BW10" i="1"/>
  <c r="K5" i="11"/>
  <c r="L5" i="11" s="1"/>
  <c r="BW392" i="1"/>
  <c r="K4" i="11"/>
  <c r="BO397" i="1"/>
  <c r="BH2" i="19" a="1"/>
  <c r="BH2" i="19" s="1"/>
  <c r="BI2" i="19" s="1"/>
  <c r="BH4" i="19" a="1"/>
  <c r="BH4" i="19" s="1"/>
  <c r="BI4" i="19" s="1"/>
  <c r="BH3" i="19" a="1"/>
  <c r="BH3" i="19" s="1"/>
  <c r="BI3" i="19" s="1"/>
  <c r="BW152" i="1"/>
  <c r="BP4" i="19" a="1"/>
  <c r="BP4" i="19" s="1"/>
  <c r="BQ4" i="19" s="1"/>
  <c r="BP2" i="19" a="1"/>
  <c r="BP2" i="19" s="1"/>
  <c r="BQ2" i="19" s="1"/>
  <c r="BP3" i="19" a="1"/>
  <c r="BP3" i="19" s="1"/>
  <c r="BQ3" i="19" s="1"/>
  <c r="H5" i="11"/>
  <c r="H6" i="11"/>
  <c r="O5" i="11"/>
  <c r="E5" i="11"/>
  <c r="H37" i="8"/>
  <c r="J37" i="8" s="1"/>
  <c r="K37" i="8" s="1"/>
  <c r="BW178" i="1"/>
  <c r="E6" i="11"/>
  <c r="BW99" i="1"/>
  <c r="L37" i="8"/>
  <c r="N37" i="8" s="1"/>
  <c r="O37" i="8" s="1"/>
  <c r="BW355" i="1"/>
  <c r="O6" i="11"/>
  <c r="N16" i="8"/>
  <c r="O16" i="8" s="1"/>
  <c r="N30" i="8"/>
  <c r="O30" i="8" s="1"/>
  <c r="J14" i="8"/>
  <c r="K14" i="8" s="1"/>
  <c r="N2" i="8"/>
  <c r="O2" i="8" s="1"/>
  <c r="N24" i="8"/>
  <c r="O24" i="8" s="1"/>
  <c r="N6" i="8"/>
  <c r="O6" i="8" s="1"/>
  <c r="N11" i="8"/>
  <c r="O11" i="8" s="1"/>
  <c r="J9" i="8"/>
  <c r="K9" i="8" s="1"/>
  <c r="N39" i="8"/>
  <c r="O39" i="8" s="1"/>
  <c r="N19" i="8"/>
  <c r="O19" i="8" s="1"/>
  <c r="N26" i="8"/>
  <c r="O26" i="8" s="1"/>
  <c r="J18" i="8"/>
  <c r="K18" i="8" s="1"/>
  <c r="J12" i="8"/>
  <c r="K12" i="8" s="1"/>
  <c r="N33" i="8"/>
  <c r="O33" i="8" s="1"/>
  <c r="J33" i="8"/>
  <c r="K33" i="8" s="1"/>
  <c r="N4" i="8"/>
  <c r="O4" i="8" s="1"/>
  <c r="J20" i="8"/>
  <c r="K20" i="8" s="1"/>
  <c r="N27" i="8"/>
  <c r="O27" i="8" s="1"/>
  <c r="N41" i="8"/>
  <c r="O41" i="8" s="1"/>
  <c r="J41" i="8"/>
  <c r="K41" i="8" s="1"/>
  <c r="J28" i="8"/>
  <c r="K28" i="8" s="1"/>
  <c r="N8" i="8"/>
  <c r="O8" i="8" s="1"/>
  <c r="J35" i="8"/>
  <c r="K35" i="8" s="1"/>
  <c r="BE3" i="19" l="1"/>
  <c r="BE2" i="19"/>
  <c r="BD5" i="19"/>
  <c r="BD8" i="19" s="1"/>
  <c r="BL6" i="19"/>
  <c r="BM5" i="19"/>
  <c r="BM7" i="19" s="1"/>
  <c r="BL7" i="19"/>
  <c r="BL9" i="19"/>
  <c r="BH5" i="19"/>
  <c r="BP5" i="19"/>
  <c r="K7" i="11"/>
  <c r="L7" i="11" s="1"/>
  <c r="L4" i="11"/>
  <c r="N7" i="11"/>
  <c r="O7" i="11" s="1"/>
  <c r="O4" i="11"/>
  <c r="E4" i="11"/>
  <c r="D7" i="11"/>
  <c r="E7" i="11" s="1"/>
  <c r="H4" i="11"/>
  <c r="H7" i="11"/>
  <c r="BD7" i="19" l="1"/>
  <c r="BD9" i="19"/>
  <c r="BE5" i="19"/>
  <c r="BE9" i="19" s="1"/>
  <c r="BP9" i="19"/>
  <c r="BQ5" i="19"/>
  <c r="BQ7" i="19" s="1"/>
  <c r="BH9" i="19"/>
  <c r="BI5" i="19"/>
  <c r="BM11" i="19"/>
  <c r="BM9" i="19"/>
  <c r="BM13" i="19" s="1"/>
  <c r="BH8" i="19"/>
  <c r="BM8" i="19"/>
  <c r="BM12" i="19" s="1"/>
  <c r="BH7" i="19"/>
  <c r="BP7" i="19"/>
  <c r="BP8" i="19"/>
  <c r="BE7" i="19" l="1"/>
  <c r="BE11" i="19" s="1"/>
  <c r="BE13" i="19"/>
  <c r="BE8" i="19"/>
  <c r="BE12" i="19" s="1"/>
  <c r="BI8" i="19"/>
  <c r="BI12" i="19" s="1"/>
  <c r="BI7" i="19"/>
  <c r="BI11" i="19" s="1"/>
  <c r="BI9" i="19"/>
  <c r="BI13" i="19" s="1"/>
  <c r="BQ9" i="19"/>
  <c r="BQ13" i="19" s="1"/>
  <c r="BQ8" i="19"/>
  <c r="BQ12" i="19" s="1"/>
  <c r="BQ11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<sst xmlns="http://schemas.openxmlformats.org/spreadsheetml/2006/main" count="10299" uniqueCount="1091">
  <si>
    <t>CC NO</t>
  </si>
  <si>
    <t>OMC</t>
  </si>
  <si>
    <t>NAME OF THE RO</t>
  </si>
  <si>
    <t>LOCATION</t>
  </si>
  <si>
    <t>DISTT</t>
  </si>
  <si>
    <t>Trading Area for Dealers</t>
  </si>
  <si>
    <t>Trading Area</t>
  </si>
  <si>
    <t>MS-0425</t>
  </si>
  <si>
    <t>HSD-0424</t>
  </si>
  <si>
    <t>HSD-0425</t>
  </si>
  <si>
    <t>MS-0524</t>
  </si>
  <si>
    <t>MS-0525</t>
  </si>
  <si>
    <t>HSD-0524</t>
  </si>
  <si>
    <t>HSD-0525</t>
  </si>
  <si>
    <t>MS-0625</t>
  </si>
  <si>
    <t>MS-0624</t>
  </si>
  <si>
    <t>HSD-0624</t>
  </si>
  <si>
    <t>HSD-0625</t>
  </si>
  <si>
    <t>MS-0825</t>
  </si>
  <si>
    <t>MS-0824</t>
  </si>
  <si>
    <t>HSD-0825</t>
  </si>
  <si>
    <t>HSD-0824</t>
  </si>
  <si>
    <t>MS-0925</t>
  </si>
  <si>
    <t>MS-0924</t>
  </si>
  <si>
    <t>HSD-0925</t>
  </si>
  <si>
    <t>HSD-0924</t>
  </si>
  <si>
    <t>MS-1025</t>
  </si>
  <si>
    <t>MS-1024</t>
  </si>
  <si>
    <t>HSD-1025</t>
  </si>
  <si>
    <t>HSD-1024</t>
  </si>
  <si>
    <t>MS-1125</t>
  </si>
  <si>
    <t>MS-1124</t>
  </si>
  <si>
    <t>HSD-1125</t>
  </si>
  <si>
    <t>HSD-1124</t>
  </si>
  <si>
    <t>MS-1225</t>
  </si>
  <si>
    <t>MS-1224</t>
  </si>
  <si>
    <t>HSD-1225</t>
  </si>
  <si>
    <t>HSD-1224</t>
  </si>
  <si>
    <t>MS-0126</t>
  </si>
  <si>
    <t>MS-0125</t>
  </si>
  <si>
    <t>HSD-0126</t>
  </si>
  <si>
    <t>MS-0226</t>
  </si>
  <si>
    <t>MS-0225</t>
  </si>
  <si>
    <t>HSD-0226</t>
  </si>
  <si>
    <t>HSD-0225</t>
  </si>
  <si>
    <t>MS-0326</t>
  </si>
  <si>
    <t>MS-0325</t>
  </si>
  <si>
    <t>HSD-0326</t>
  </si>
  <si>
    <t>HSD-0325</t>
  </si>
  <si>
    <t>SO Name</t>
  </si>
  <si>
    <t>Lattitude</t>
  </si>
  <si>
    <t>Longitude</t>
  </si>
  <si>
    <t>MS TM TY</t>
  </si>
  <si>
    <t>MS TM LY</t>
  </si>
  <si>
    <t>Gain in KL MS TM</t>
  </si>
  <si>
    <t>%Gain MS TM</t>
  </si>
  <si>
    <t>HSD TMTY</t>
  </si>
  <si>
    <t>HSDTMLY</t>
  </si>
  <si>
    <t>Gain in KL HSD TM</t>
  </si>
  <si>
    <t>%Gain HSD TM</t>
  </si>
  <si>
    <t>MSTY</t>
  </si>
  <si>
    <t>MSLY</t>
  </si>
  <si>
    <t>Gain in KL MS TY</t>
  </si>
  <si>
    <t>%Gain MS TY</t>
  </si>
  <si>
    <t>HSDTY</t>
  </si>
  <si>
    <t>HSDLY</t>
  </si>
  <si>
    <t>Gain in KL HSD TY</t>
  </si>
  <si>
    <t>%Gain HSD TY</t>
  </si>
  <si>
    <t>Speed TM</t>
  </si>
  <si>
    <t>Speed Conversion % TM</t>
  </si>
  <si>
    <t>Speed TY</t>
  </si>
  <si>
    <t>Speed Conversion TY</t>
  </si>
  <si>
    <t>BPC</t>
  </si>
  <si>
    <t>VEEJAY SERVICE STATION ADHOC (Matta Auto)</t>
  </si>
  <si>
    <t>GHAZIPUR DELHI</t>
  </si>
  <si>
    <t>EAST DELHI</t>
  </si>
  <si>
    <t>MATTA</t>
  </si>
  <si>
    <t>Mayur Vihar -Anand Vihar -Preet Vihar</t>
  </si>
  <si>
    <t>Bhanu Pratap</t>
  </si>
  <si>
    <t>CONCORD SYNERGY INDIA PRIVATE LTD</t>
  </si>
  <si>
    <t>DDD</t>
  </si>
  <si>
    <t>SOUTH WEST DELHI</t>
  </si>
  <si>
    <t>FuelEnt</t>
  </si>
  <si>
    <t>Raj Doshi</t>
  </si>
  <si>
    <t>ASSURE FUEL PRIVATE LIMITED</t>
  </si>
  <si>
    <t>WEST DELHI</t>
  </si>
  <si>
    <t>Abhinav</t>
  </si>
  <si>
    <t xml:space="preserve">MAHADEV FILLING STATION (TRIYAMJIT ENERGIES (ADHOC- 192371) </t>
  </si>
  <si>
    <t>PUNJAB KHOR</t>
  </si>
  <si>
    <t>NORTH WEST DELHI</t>
  </si>
  <si>
    <t>PUNJABKHOR</t>
  </si>
  <si>
    <t>Narela- Bawana</t>
  </si>
  <si>
    <t>BUDH SINGH GULAB SINGH</t>
  </si>
  <si>
    <t>MEHRAULI ROAD DELHI</t>
  </si>
  <si>
    <t>SOUTH DELHI</t>
  </si>
  <si>
    <t>BSGS</t>
  </si>
  <si>
    <t>Hauj Khas-Saket-Vasant Kunj</t>
  </si>
  <si>
    <t>DEEPAK AUTOMOBILES ADHOC - NEW</t>
  </si>
  <si>
    <t xml:space="preserve">ALLIED MOTORS LTD. </t>
  </si>
  <si>
    <t>PREET VIHAR DELHI</t>
  </si>
  <si>
    <t>ALLIED_MASIH</t>
  </si>
  <si>
    <t>GYMKHANA SERVICE STATION</t>
  </si>
  <si>
    <t>CLUB ROAD DELHI</t>
  </si>
  <si>
    <t>NEW DELHI</t>
  </si>
  <si>
    <t>GYMKHANA</t>
  </si>
  <si>
    <t>Lutyens</t>
  </si>
  <si>
    <t>UNIQUE FILLING STATION</t>
  </si>
  <si>
    <t>MAYUR VIHAR DELHI</t>
  </si>
  <si>
    <t>UNIQUE</t>
  </si>
  <si>
    <t>OKHLA SERVICE CENTRE</t>
  </si>
  <si>
    <t xml:space="preserve">NEW FRIENDS COLONY </t>
  </si>
  <si>
    <t>SOUTH EAST DELHI</t>
  </si>
  <si>
    <t>AUTO REST_OKHLA</t>
  </si>
  <si>
    <t>Mathura Road</t>
  </si>
  <si>
    <t>CAR CARE CENTRE</t>
  </si>
  <si>
    <t>LODHI ROAD DELHI</t>
  </si>
  <si>
    <t>CAR CARE</t>
  </si>
  <si>
    <t>BP - VASANT VIHAR</t>
  </si>
  <si>
    <t>VASANT VIHAR DELHI</t>
  </si>
  <si>
    <t>BP VASANT VIHAR</t>
  </si>
  <si>
    <t>Outer Ring Road</t>
  </si>
  <si>
    <t>AUTO REST</t>
  </si>
  <si>
    <t>BADARPUR DELHI</t>
  </si>
  <si>
    <t>ANUP SERVICE STATION</t>
  </si>
  <si>
    <t>ALAKNANDA</t>
  </si>
  <si>
    <t>AIRPORT_SINGH_ANUP</t>
  </si>
  <si>
    <t>Greater Kailash I &amp;II</t>
  </si>
  <si>
    <t>PREM SERVICE STATION</t>
  </si>
  <si>
    <t>ANDREWS GANJ DELHI</t>
  </si>
  <si>
    <t>AUTO CENTRE_NAVYUG_PREM</t>
  </si>
  <si>
    <t>BP SHANTIPATH</t>
  </si>
  <si>
    <t>MOTI BAGH DELHI</t>
  </si>
  <si>
    <t>JAGLAN FILLING STATION</t>
  </si>
  <si>
    <t>DWARKA DELHI</t>
  </si>
  <si>
    <t>JAGLAN FS</t>
  </si>
  <si>
    <t>Dwarka</t>
  </si>
  <si>
    <t>NAVYUG SERVICE STATION</t>
  </si>
  <si>
    <t>GREATER KAILASH - 1</t>
  </si>
  <si>
    <t>JAIPUR GOLDEN TPT.CO.LTD.</t>
  </si>
  <si>
    <t xml:space="preserve">KAPASHERA BORDER </t>
  </si>
  <si>
    <t>JAIPURGOLDEN_MANGAL</t>
  </si>
  <si>
    <t>Nazafgarh-Kapashera</t>
  </si>
  <si>
    <t>JIWAN SERVICE STATION</t>
  </si>
  <si>
    <t>TAJ MANSINGH ROAD</t>
  </si>
  <si>
    <t>JIWAN</t>
  </si>
  <si>
    <t>PUSHPANJALI</t>
  </si>
  <si>
    <t>VASANT KUNJ DELHI</t>
  </si>
  <si>
    <t>RAM SERVICE STATION</t>
  </si>
  <si>
    <t>MATHURA ROAD PRAGATI MAIDAN</t>
  </si>
  <si>
    <t>RAM</t>
  </si>
  <si>
    <t>AUTO CENTRE</t>
  </si>
  <si>
    <t xml:space="preserve">DEFENCE COLONY </t>
  </si>
  <si>
    <t>B.S DWARKA</t>
  </si>
  <si>
    <t>SECTOR-11,DWARAKA</t>
  </si>
  <si>
    <t>BS DWARKA</t>
  </si>
  <si>
    <t>VASANT AUTO SERVICES</t>
  </si>
  <si>
    <t>AUTO GRIT</t>
  </si>
  <si>
    <t xml:space="preserve">BADARPUR, MEHRAULI </t>
  </si>
  <si>
    <t>Mehrauli Badarpur Road</t>
  </si>
  <si>
    <t>BP GREEN PARK</t>
  </si>
  <si>
    <t xml:space="preserve">AUROBINDO MARG </t>
  </si>
  <si>
    <t>BP GREENPARK</t>
  </si>
  <si>
    <t>SINGH MOTORS</t>
  </si>
  <si>
    <t>NEHRU PLACE DELHI</t>
  </si>
  <si>
    <t>SOAMI SERVICE CENTRE</t>
  </si>
  <si>
    <t>SOAMI NAGAR DELHI</t>
  </si>
  <si>
    <t>SAOMI SS</t>
  </si>
  <si>
    <t>MASIH AUTOMOBILES</t>
  </si>
  <si>
    <t>ANAND VIHAR,NEW DELHI</t>
  </si>
  <si>
    <t>SHAHDARA</t>
  </si>
  <si>
    <t>DEEPAK AUTOMOBILES</t>
  </si>
  <si>
    <t>SHAHDARA DELHI</t>
  </si>
  <si>
    <t>Old GT Road (NH1)</t>
  </si>
  <si>
    <t>AIRPORT SERVICE STATION</t>
  </si>
  <si>
    <t>KALKAJI,NEHRU PLACE</t>
  </si>
  <si>
    <t>BHARAT FILING STN (KANWAR &amp; CO. (ADHOC-192323)</t>
  </si>
  <si>
    <t>ROHTAK ROAD,JAKHIRA</t>
  </si>
  <si>
    <t>ZAKHIRA</t>
  </si>
  <si>
    <t>Rohtak Road</t>
  </si>
  <si>
    <t>ANAND FILLING STATION</t>
  </si>
  <si>
    <t xml:space="preserve">BABA KHADAK SINGH MARG </t>
  </si>
  <si>
    <t>ANAND FS</t>
  </si>
  <si>
    <t>SHOKEEN PETRO</t>
  </si>
  <si>
    <t>CHHAWLA, NEW DELHI</t>
  </si>
  <si>
    <t>SHOKEEN_JAI SHREEKRISHNA_SHANTI</t>
  </si>
  <si>
    <t>MOBILE CENTRE</t>
  </si>
  <si>
    <t>RAJINDRA MARKET  DELHI</t>
  </si>
  <si>
    <t>CENTRAL DELHI</t>
  </si>
  <si>
    <t>MOBILE</t>
  </si>
  <si>
    <t>Old Delhi</t>
  </si>
  <si>
    <t>GARG ROAD LINES</t>
  </si>
  <si>
    <t>VILL. MUNDKA, NH-10,</t>
  </si>
  <si>
    <t>GARG-VIJAY-NEW HARYANA</t>
  </si>
  <si>
    <t>SHIV SERVICE STATION</t>
  </si>
  <si>
    <t>DWARKA PURI DELHI</t>
  </si>
  <si>
    <t>SHIV SS</t>
  </si>
  <si>
    <t>SHANTI PETROMART</t>
  </si>
  <si>
    <t>VILL. MITRAON,</t>
  </si>
  <si>
    <t>DAWAR SERVICE STATION</t>
  </si>
  <si>
    <t>V &amp; PO BAWANA DELHI</t>
  </si>
  <si>
    <t>NORTH DELHI</t>
  </si>
  <si>
    <t>DAWAR</t>
  </si>
  <si>
    <t>M.L.SETHI SERVICE STATION</t>
  </si>
  <si>
    <t>SECTOR 5 ROHINI DELHI</t>
  </si>
  <si>
    <t>M.L.SETHI</t>
  </si>
  <si>
    <t>Rohini</t>
  </si>
  <si>
    <t>MODERN SERVICE STATION</t>
  </si>
  <si>
    <t>JANAPATH DELHI</t>
  </si>
  <si>
    <t>BCC_KAMLA_NATIONAL_MODERN_SONDHI</t>
  </si>
  <si>
    <t>ARAVALI SERVICE STATION</t>
  </si>
  <si>
    <t>GURGAON ROAD DELHI</t>
  </si>
  <si>
    <t>ARAVALI</t>
  </si>
  <si>
    <t>NEW HARYANA SERVICE STN</t>
  </si>
  <si>
    <t>ROHTAK ROAD DELHI</t>
  </si>
  <si>
    <t>KAMLA FULES &amp; MOTORS</t>
  </si>
  <si>
    <t>IBRAHIMPUR</t>
  </si>
  <si>
    <t>SAI</t>
  </si>
  <si>
    <t>Burari</t>
  </si>
  <si>
    <t>VIJ AUTO CENTRE</t>
  </si>
  <si>
    <t>MAYUR VIHAR PHASE III</t>
  </si>
  <si>
    <t>VASUNDHARA_VIJ</t>
  </si>
  <si>
    <t>KANWAR &amp; CO.</t>
  </si>
  <si>
    <t>G.T. KARNAL ROAD (NANAK PYAU)</t>
  </si>
  <si>
    <t>KANWAR</t>
  </si>
  <si>
    <t>VASUNDHARA SERVICE STN.</t>
  </si>
  <si>
    <t>DALLUPURA DELHI</t>
  </si>
  <si>
    <t>MUKUL DIESELS</t>
  </si>
  <si>
    <t>GOKULPUR DELHI</t>
  </si>
  <si>
    <t>NORTH EAST DELHI</t>
  </si>
  <si>
    <t>MUKUL</t>
  </si>
  <si>
    <t>Wazirabad-Loni</t>
  </si>
  <si>
    <t>HARI CHAND &amp; CO.</t>
  </si>
  <si>
    <t>HARICHAND</t>
  </si>
  <si>
    <t>JAI SHREE KRISHNA FILLING STATION</t>
  </si>
  <si>
    <t>VILL.DINDARPUR,</t>
  </si>
  <si>
    <t>GANPATI FILLING STATION</t>
  </si>
  <si>
    <t>MANGOL PURI DELHI</t>
  </si>
  <si>
    <t>GANPATI</t>
  </si>
  <si>
    <t>RAJDHANI SERVICE STN.(CC 112441)</t>
  </si>
  <si>
    <t>PAM FILLING STATION</t>
  </si>
  <si>
    <t>YAMUNA VIHAR DELHI</t>
  </si>
  <si>
    <t>PAMFS</t>
  </si>
  <si>
    <t>SIDHU SERVICE STATION</t>
  </si>
  <si>
    <t xml:space="preserve">G.T. KARNAL ROAD </t>
  </si>
  <si>
    <t>SIDHU</t>
  </si>
  <si>
    <t>RING ROAD SERVICE STATION</t>
  </si>
  <si>
    <t>SOUTH EX. RING ROAD</t>
  </si>
  <si>
    <t>RING ROAD</t>
  </si>
  <si>
    <t>Inner Ring Road</t>
  </si>
  <si>
    <t>RAVI FILLING STATION</t>
  </si>
  <si>
    <t>MADANGIR DELHI</t>
  </si>
  <si>
    <t>RAVI FS</t>
  </si>
  <si>
    <t>NATIONAL SERVICE STATION</t>
  </si>
  <si>
    <t>H BLOCK CONNAUGHT PLACE</t>
  </si>
  <si>
    <t>L.GOPINATH</t>
  </si>
  <si>
    <t>DELHI CANTT. DELHI</t>
  </si>
  <si>
    <t>GOPINATH</t>
  </si>
  <si>
    <t>Delhi Cantt</t>
  </si>
  <si>
    <t>PAUL S PETRO MART</t>
  </si>
  <si>
    <t>VILL.KHAMPUR NH-1 NARELA</t>
  </si>
  <si>
    <t>PAUL_AJANTA_JAIGANESH</t>
  </si>
  <si>
    <t>New GT Road (NH44)</t>
  </si>
  <si>
    <t>JAI SHREE GANESH FILLING STATION</t>
  </si>
  <si>
    <t>VIL ALIPUR, NH-1</t>
  </si>
  <si>
    <t>NEM CHAND TARA  CHAND</t>
  </si>
  <si>
    <t>N.C.T.C</t>
  </si>
  <si>
    <t>VISHWAS FLNG STN (BP- BAWANA -160705)</t>
  </si>
  <si>
    <t>BAWANA DELHI</t>
  </si>
  <si>
    <t>BPBAWANA_JAIMATA</t>
  </si>
  <si>
    <t>G.S.BHASIN &amp; SONS</t>
  </si>
  <si>
    <t>ASHRAM,MATHURA ROAD</t>
  </si>
  <si>
    <t>GS BHASIN</t>
  </si>
  <si>
    <t>JFJ MOTORS</t>
  </si>
  <si>
    <t>OKHLA</t>
  </si>
  <si>
    <t>JFJ</t>
  </si>
  <si>
    <t xml:space="preserve">Okhla </t>
  </si>
  <si>
    <t>AJANTA FILL N FLY</t>
  </si>
  <si>
    <t>VILL KHAMPUR, G T K</t>
  </si>
  <si>
    <t>MANGAL</t>
  </si>
  <si>
    <t>KAPASHERA</t>
  </si>
  <si>
    <t>MASAURHI S/STN( 205891) (BP Azadpur 112721)</t>
  </si>
  <si>
    <t>AZADPUR</t>
  </si>
  <si>
    <t>SONDHI MOTORS</t>
  </si>
  <si>
    <t xml:space="preserve">CONNAUGHT CIRCUS </t>
  </si>
  <si>
    <t>KAMLA BEHL &amp; C0.PVT.LTD.</t>
  </si>
  <si>
    <t xml:space="preserve">K.G.MARG CONNAUGHT PLACE </t>
  </si>
  <si>
    <t>SAI FILLING STATION</t>
  </si>
  <si>
    <t>BP BURARI</t>
  </si>
  <si>
    <t>BCC AUTO PVT.LTD.</t>
  </si>
  <si>
    <t>N.BLOCK CANNAUGHT PLACE</t>
  </si>
  <si>
    <t>JAI MATA SERVICE STATION</t>
  </si>
  <si>
    <t>VILL.BAWANA,TEH.NARELA</t>
  </si>
  <si>
    <t>TRIYAMJIT ENERGIES</t>
  </si>
  <si>
    <t>SULTANPUR DABAS</t>
  </si>
  <si>
    <t>BHAGWATI_GREENHRT_TRIYAMJIT</t>
  </si>
  <si>
    <t>YASHWANT PLACE SERVICE STATION</t>
  </si>
  <si>
    <t>CHANAKYA PURI DELHI</t>
  </si>
  <si>
    <t>YASHWANT</t>
  </si>
  <si>
    <t>MOOL CHAND SIRI PAL JAIN</t>
  </si>
  <si>
    <t xml:space="preserve">NH-1DELHI-SONIPAT BORDER, </t>
  </si>
  <si>
    <t>MOOLCHAND</t>
  </si>
  <si>
    <t>SAKSHAM MOTORS</t>
  </si>
  <si>
    <t>HARI NAGAR DELHI</t>
  </si>
  <si>
    <t>SAKSHAM</t>
  </si>
  <si>
    <t>Punjabi Bagh</t>
  </si>
  <si>
    <t>JALVAYU FILLING STATION</t>
  </si>
  <si>
    <t>LAWRENCE ROAD</t>
  </si>
  <si>
    <t>JALVAYU</t>
  </si>
  <si>
    <t>KIRTI NANAK FILLING STN.</t>
  </si>
  <si>
    <t>SHALIMAR BAGH DELHI</t>
  </si>
  <si>
    <t>KIRTINANAK</t>
  </si>
  <si>
    <t>VIJAY AGRO CENTRE</t>
  </si>
  <si>
    <t>TIKRIKALAN DELHI</t>
  </si>
  <si>
    <t>LINK ROAD PETROL F.STN.</t>
  </si>
  <si>
    <t>LINK ROAD,MANDIR SIDE</t>
  </si>
  <si>
    <t>LINK ROAD</t>
  </si>
  <si>
    <t>SAHAS FILLING STATION</t>
  </si>
  <si>
    <t>PASCHIM VIHAR, DON BOSCO</t>
  </si>
  <si>
    <t>SAHAS FS</t>
  </si>
  <si>
    <t>RAIZADA MOTORS</t>
  </si>
  <si>
    <t>ASAF ALI ROAD DELHI</t>
  </si>
  <si>
    <t>KRISHNA-RAIZADA</t>
  </si>
  <si>
    <t>LINK ROAD PETROL S.STN.</t>
  </si>
  <si>
    <t>LINK ROAD KAROL BAG</t>
  </si>
  <si>
    <t>LAXMI FILLING STATION</t>
  </si>
  <si>
    <t xml:space="preserve">VIKAS PURI(PVR) </t>
  </si>
  <si>
    <t>VAIBHAV-KARTIK-LAXMI</t>
  </si>
  <si>
    <t>VAIBHAV FILLING STATION</t>
  </si>
  <si>
    <t>VIKAS PURI DELHI</t>
  </si>
  <si>
    <t>BP GOLDEN PARK {Veejay (ADHOC)(188247)}</t>
  </si>
  <si>
    <t>ANIL FILLING STATION</t>
  </si>
  <si>
    <t>PASHCHIM PURI DELHI</t>
  </si>
  <si>
    <t>ANIL-SHANKAR</t>
  </si>
  <si>
    <t>KRISHNA FILLING STATION</t>
  </si>
  <si>
    <t>MINTO ROAD</t>
  </si>
  <si>
    <t>Syall Service Station ADHOC (WELCOME AUTOS CC112465)</t>
  </si>
  <si>
    <t>RAJOURI GARDEN DELHI</t>
  </si>
  <si>
    <t>AUTO CARE-WELCOME</t>
  </si>
  <si>
    <t>AUTO CARE</t>
  </si>
  <si>
    <t xml:space="preserve">NEAR RAJORI GARDEN </t>
  </si>
  <si>
    <t>SHAURYA BHUSHAN FILLING STATION</t>
  </si>
  <si>
    <t xml:space="preserve">RAM KRISHAN MARG  </t>
  </si>
  <si>
    <t>SHAURYABHUSHAN_JAGDISH</t>
  </si>
  <si>
    <t>SANJEEV FILLING STATION</t>
  </si>
  <si>
    <t>MANGLAM PLACE DELHI</t>
  </si>
  <si>
    <t>ROHINI_SANJEEV</t>
  </si>
  <si>
    <t>KARTIK AUTO CENTRE</t>
  </si>
  <si>
    <t>SHANKAR FILLING STATION</t>
  </si>
  <si>
    <t>MAIN PUNJABI BAGH CLUB ROAD</t>
  </si>
  <si>
    <t>JAGDISH FILLING STATION</t>
  </si>
  <si>
    <t xml:space="preserve">SECTOR 16 ROHINI </t>
  </si>
  <si>
    <t>ANAND SUPER SEVICE STN.</t>
  </si>
  <si>
    <t>MALKA GANJ DELHI</t>
  </si>
  <si>
    <t>ANAND SUPER</t>
  </si>
  <si>
    <t>R.S.BHOLA RAM &amp; SONS</t>
  </si>
  <si>
    <t>SHAMNATH MARG DELHI</t>
  </si>
  <si>
    <t>RAJINDER-RS BHOLA</t>
  </si>
  <si>
    <t>GREEN HEART FILLING STATION</t>
  </si>
  <si>
    <t>VILL.GHEVARA</t>
  </si>
  <si>
    <t>SYALL SERVICE STATION</t>
  </si>
  <si>
    <t>KIRTI NAGAR DELHI</t>
  </si>
  <si>
    <t>SYALL SS</t>
  </si>
  <si>
    <t>ROHINI FILLING STATION</t>
  </si>
  <si>
    <t>SECTOR 8 ROHINI DEL</t>
  </si>
  <si>
    <t>VEEJAY SERVICE STATION</t>
  </si>
  <si>
    <t>SHASTRI NAGAR DELHI</t>
  </si>
  <si>
    <t>FAST TRACK-VEEJAY</t>
  </si>
  <si>
    <t>Ashok Vihar</t>
  </si>
  <si>
    <t>MANN SERVICE STATION</t>
  </si>
  <si>
    <t>PUSA ROAD DELHI</t>
  </si>
  <si>
    <t>MANN SS</t>
  </si>
  <si>
    <t>R.N.MOTORS</t>
  </si>
  <si>
    <t>PEERAGARHI DELHI</t>
  </si>
  <si>
    <t>RN MOTORS</t>
  </si>
  <si>
    <t>RAJINDER SERVICE STATION</t>
  </si>
  <si>
    <t>2, ALIPUR ROAD DELHI</t>
  </si>
  <si>
    <t>FAST TRACK FILLING STATION</t>
  </si>
  <si>
    <t>GULABIBAGH DELHI</t>
  </si>
  <si>
    <t>BHAGWATI FILLING STATION</t>
  </si>
  <si>
    <t>VILL.GHEVRA,NEW DEL</t>
  </si>
  <si>
    <t>HPC</t>
  </si>
  <si>
    <t>SRI SAKTI FUELS</t>
  </si>
  <si>
    <t>KANGENHERI</t>
  </si>
  <si>
    <t>White Patch Nazfgarh</t>
  </si>
  <si>
    <t>ASSOCIATED SERVICE STATION</t>
  </si>
  <si>
    <t>SHAMNATH MARG</t>
  </si>
  <si>
    <t>MS/HSD//ROHTAK OIL COMPANY</t>
  </si>
  <si>
    <t>TIKRI KALAN</t>
  </si>
  <si>
    <t>KEELKAR SERVICE STATION</t>
  </si>
  <si>
    <t>ROHINI</t>
  </si>
  <si>
    <t>KITCHNER ROAD SERVICE STATION</t>
  </si>
  <si>
    <t>PITAMPURA</t>
  </si>
  <si>
    <t>White Patch-Pitampura</t>
  </si>
  <si>
    <t>SHREYANS AUTOMOBILES</t>
  </si>
  <si>
    <t>WAZIRABAD</t>
  </si>
  <si>
    <t>White Patch- Inner Ring Road</t>
  </si>
  <si>
    <t>MS/HSD//BANSAL SERVICE STATION</t>
  </si>
  <si>
    <t>NANGLOI</t>
  </si>
  <si>
    <t>AZADPUR SERVICE STATION</t>
  </si>
  <si>
    <t>GULABIBAGH</t>
  </si>
  <si>
    <t>SUPER SERVICE STATION</t>
  </si>
  <si>
    <t>PUSA ROAD SERVICE STATION</t>
  </si>
  <si>
    <t>PUSA ROAD</t>
  </si>
  <si>
    <t>BADRINATH &amp; SONS</t>
  </si>
  <si>
    <t>BOULEWARD ROAD</t>
  </si>
  <si>
    <t>S.B.FILLING STATION</t>
  </si>
  <si>
    <t>NARAYAN SERVICE STATION</t>
  </si>
  <si>
    <t>KHYBER PASS</t>
  </si>
  <si>
    <t>White Patch- Naraina</t>
  </si>
  <si>
    <t>CHADHA SERVICE STATION</t>
  </si>
  <si>
    <t>DELHI GATE</t>
  </si>
  <si>
    <t>AISHI RAM BATRA &amp; CO.</t>
  </si>
  <si>
    <t>VIVEK VIHAR</t>
  </si>
  <si>
    <t>AJAY AHUJA FILLING STATION</t>
  </si>
  <si>
    <t xml:space="preserve">White Patch_ Govind Puri to Okhla </t>
  </si>
  <si>
    <t>ANAND AUTO SERVICE</t>
  </si>
  <si>
    <t>G.T. KARNAL ROAD</t>
  </si>
  <si>
    <t>ANAND SERVICE STATION</t>
  </si>
  <si>
    <t>MAHIPALPUR</t>
  </si>
  <si>
    <t>AUTOCARE CENTRE-IGIA</t>
  </si>
  <si>
    <t>IGIA Terminal 2</t>
  </si>
  <si>
    <t>White Patch_IGI Airport</t>
  </si>
  <si>
    <t>AUTOMOTIVES</t>
  </si>
  <si>
    <t>LODHI ROAD</t>
  </si>
  <si>
    <t>BADARPUR SERVICE STATION</t>
  </si>
  <si>
    <t>GAZIPUR</t>
  </si>
  <si>
    <t>BANSIWAL SERVICE STATION</t>
  </si>
  <si>
    <t>SAN MARTIN MARG</t>
  </si>
  <si>
    <t>White Patch_Moti Bagh</t>
  </si>
  <si>
    <t>BATRA BROTHERS &amp; COMPANY</t>
  </si>
  <si>
    <t>NDSE-II</t>
  </si>
  <si>
    <t>BATRA CAR CARE CENTRE</t>
  </si>
  <si>
    <t>HUMAYUN ROAD</t>
  </si>
  <si>
    <t>BATRA OIL COMPANY</t>
  </si>
  <si>
    <t>SINGHU BORDER</t>
  </si>
  <si>
    <t>BEDI MOTORS</t>
  </si>
  <si>
    <t>RACE COURSE RD</t>
  </si>
  <si>
    <t>BEST FUEL STATION</t>
  </si>
  <si>
    <t>DHAULA KUAN</t>
  </si>
  <si>
    <t>White Patch_Dhaula Kuan_NH8</t>
  </si>
  <si>
    <t>BHAI OIL</t>
  </si>
  <si>
    <t>NIZAMUDDIN WEST</t>
  </si>
  <si>
    <t>BHARAT HP CENTRE</t>
  </si>
  <si>
    <t>DWARKA(COMM.ON31.03.09)</t>
  </si>
  <si>
    <t>INDRA FILLING STATION</t>
  </si>
  <si>
    <t>NARAINA</t>
  </si>
  <si>
    <t>CENTRAL SERVICE STATION</t>
  </si>
  <si>
    <t>RAJEEV CHOWK</t>
  </si>
  <si>
    <t>CHADHA OIL COMPANY</t>
  </si>
  <si>
    <t>SHIVAJI PARK</t>
  </si>
  <si>
    <t>DEVI PARSAD KAPOOR AND CO</t>
  </si>
  <si>
    <t>KAPASERA BORDER</t>
  </si>
  <si>
    <t>DHAULA KUAN SERVICE STATION</t>
  </si>
  <si>
    <t>DRIVE N FILL</t>
  </si>
  <si>
    <t>RANHOLLA</t>
  </si>
  <si>
    <t>White Patch_Ranhola</t>
  </si>
  <si>
    <t>ESSJAY FUELS</t>
  </si>
  <si>
    <t>SEC-22,DWARKA</t>
  </si>
  <si>
    <t>EVERGREEN SERVICE STATION</t>
  </si>
  <si>
    <t>GREEN PARK</t>
  </si>
  <si>
    <t>GOPI SERVICE STATION</t>
  </si>
  <si>
    <t>OLD WAZIRABAD ROAD</t>
  </si>
  <si>
    <t>White Patch_Wazirabad</t>
  </si>
  <si>
    <t>HP AUTO CARE CENTRE  (Old 41032604 DEEP FUEL CENTRE)</t>
  </si>
  <si>
    <t>KARKARDUMA</t>
  </si>
  <si>
    <t>HP AUTO CARE CENTRE, RANGPURI</t>
  </si>
  <si>
    <t>RANGPURI</t>
  </si>
  <si>
    <t>White Patch_IGI NH8</t>
  </si>
  <si>
    <t>Kamlesh HP Centre</t>
  </si>
  <si>
    <t>DWARKA</t>
  </si>
  <si>
    <t>White Patch_Dwarka Sector17</t>
  </si>
  <si>
    <t>KAPOOR SER STN</t>
  </si>
  <si>
    <t>GOKULPUR</t>
  </si>
  <si>
    <t>KAUSHALYA AUTO</t>
  </si>
  <si>
    <t>FRIENDS COLONY</t>
  </si>
  <si>
    <t>KAY SERVICE STATION</t>
  </si>
  <si>
    <t>SHAKTINAGAR</t>
  </si>
  <si>
    <t>KUNDANLAL FILLING STATION</t>
  </si>
  <si>
    <t>LONI ROAD</t>
  </si>
  <si>
    <t>KUNDANLAL SERVICE STATION</t>
  </si>
  <si>
    <t>SHASTRI PARK</t>
  </si>
  <si>
    <t>LUXMI SUPER SERVICES</t>
  </si>
  <si>
    <t>LAXMI BAI NAGAR</t>
  </si>
  <si>
    <t>White Patch_Aurbindo marg to Ring Rod South Ex</t>
  </si>
  <si>
    <t>M/S AUTOCARE CENTRE</t>
  </si>
  <si>
    <t>NITI MARG</t>
  </si>
  <si>
    <t>M/S DELHI PUNJAB FILLING STN</t>
  </si>
  <si>
    <t>M/S EXCHANGE STORES</t>
  </si>
  <si>
    <t>White Patch_Old GT Road</t>
  </si>
  <si>
    <t>M/S G.S. SERVICE STATION</t>
  </si>
  <si>
    <t>KHUREJI ROAD</t>
  </si>
  <si>
    <t>M/S SAVITRI FILLING STATION</t>
  </si>
  <si>
    <t>NIZAMUDIN EAST</t>
  </si>
  <si>
    <t>M/S SHRI KRISHNA HP CENTRE</t>
  </si>
  <si>
    <t>MAA DHANESHWARI HP CENTRE</t>
  </si>
  <si>
    <t>KHAIRA</t>
  </si>
  <si>
    <t>MARTIN MOTORS</t>
  </si>
  <si>
    <t>SEC-20,DWARKA</t>
  </si>
  <si>
    <t>White Patch_Dwarka_To_Bijwasan</t>
  </si>
  <si>
    <t>MS/HSD ANGRA HP CENTRE</t>
  </si>
  <si>
    <t>VINAY MARG</t>
  </si>
  <si>
    <t>MS/HSD//BALAJI FILLING STATION</t>
  </si>
  <si>
    <t>MS/HSD//CH. A.RAM BATRA &amp; SONS- MAY</t>
  </si>
  <si>
    <t>SANJAY LAKE</t>
  </si>
  <si>
    <t>MS/HSD//HEMKUNT S/ STN. PVT. LTD.-J</t>
  </si>
  <si>
    <t>NEAR LODHI HOTEL</t>
  </si>
  <si>
    <t>NATHU MAL AHUJA &amp; SONS</t>
  </si>
  <si>
    <t>BADARPUR</t>
  </si>
  <si>
    <t>OM SERVICE STATION</t>
  </si>
  <si>
    <t>PANCHSHILA SERVICE STATION</t>
  </si>
  <si>
    <t>ANDREWSGANJ</t>
  </si>
  <si>
    <t>White Patch_Hauz Khas_to_SouthExt</t>
  </si>
  <si>
    <t>PANDIT HP CENTRE</t>
  </si>
  <si>
    <t>MITRAON</t>
  </si>
  <si>
    <t>ADHOC TEJ SERVICE STATION</t>
  </si>
  <si>
    <t>BURARI</t>
  </si>
  <si>
    <t>PAWAN PORIA FILLING STN. SH-II (15.01.2020)</t>
  </si>
  <si>
    <t>SHAHDRA-II</t>
  </si>
  <si>
    <t>R D MOTORS</t>
  </si>
  <si>
    <t>JASOLA</t>
  </si>
  <si>
    <t>RAJEEV SERVICE STATION</t>
  </si>
  <si>
    <t>SUNDER NAGAR</t>
  </si>
  <si>
    <t>SAFDARJUNG SERVICE STATION</t>
  </si>
  <si>
    <t>SAFDARJANG RD</t>
  </si>
  <si>
    <t>SARAN MOTORS PVT LTD</t>
  </si>
  <si>
    <t>BHIKAJICAMA PLACE</t>
  </si>
  <si>
    <t>White Patch_Bhikaji Kama to South Ex RING Road</t>
  </si>
  <si>
    <t>SERVICIRCLE</t>
  </si>
  <si>
    <t>ASHRAM CHOWK</t>
  </si>
  <si>
    <t>White Patch_Mathura Road</t>
  </si>
  <si>
    <t>SHANTI SERVICE STATION</t>
  </si>
  <si>
    <t>MADANPUR KHADAR</t>
  </si>
  <si>
    <t>SHAURYA SERVICE STATION (JUNE'20),PURAN S/S-ADHOC(JAN'18)</t>
  </si>
  <si>
    <t>NEHRU PLACE</t>
  </si>
  <si>
    <t>SHYAM PRAKASH &amp; COMPANY</t>
  </si>
  <si>
    <t>MAHARAJPUR BORD</t>
  </si>
  <si>
    <t>TEJ SERVICE STATION</t>
  </si>
  <si>
    <t>CH ASHI RAM BATRA (UNIT-II)</t>
  </si>
  <si>
    <t>White Patch- Rohini</t>
  </si>
  <si>
    <t>UGRASAIN + SONS</t>
  </si>
  <si>
    <t>USHA SPEED WAYS</t>
  </si>
  <si>
    <t>MATHURA RD</t>
  </si>
  <si>
    <t>VICTORY S/S - ADHOC (JULY'18)</t>
  </si>
  <si>
    <t>SHAHDRA-I</t>
  </si>
  <si>
    <t>VICTORY SERVICE STATION</t>
  </si>
  <si>
    <t>GT RD,SHAHDARA</t>
  </si>
  <si>
    <t>WALIA SERVICE STATION</t>
  </si>
  <si>
    <t>YASH FILLING STATION</t>
  </si>
  <si>
    <t>NAZAFGARH</t>
  </si>
  <si>
    <t>SHAHEED ANUSUYA DHYANI SER STN</t>
  </si>
  <si>
    <t>HARI NAGAR</t>
  </si>
  <si>
    <t>NORTHERN SERVICE STATION</t>
  </si>
  <si>
    <t>SHAZADABAGH</t>
  </si>
  <si>
    <t>RAM LAL BANSIWAL AND SONS</t>
  </si>
  <si>
    <t xml:space="preserve">AUTO CARE CENTRE MOTI NAGAR </t>
  </si>
  <si>
    <t>MOTI NAGAR</t>
  </si>
  <si>
    <t>White Patch Lutyens</t>
  </si>
  <si>
    <t>HINDUSTAN SERVICE STATION</t>
  </si>
  <si>
    <t>BANSAL SER CENTRE</t>
  </si>
  <si>
    <t>LIBERTY CINEMA</t>
  </si>
  <si>
    <t>White Patch- Karol Bagh</t>
  </si>
  <si>
    <t>MOUNT KAILASH HP CENTRE</t>
  </si>
  <si>
    <t>NETAJI SUBHASH PLACE</t>
  </si>
  <si>
    <t>BALWAN SERVICE STATION</t>
  </si>
  <si>
    <t>MS//HSD AUTO CARE CENTRE-PITAM PURA</t>
  </si>
  <si>
    <t>HIMALAYA SERVICE STATION</t>
  </si>
  <si>
    <t>PASCHIM VIHAR</t>
  </si>
  <si>
    <t>PICK N DRIVE</t>
  </si>
  <si>
    <t>MEERA BAGH</t>
  </si>
  <si>
    <t>DEWAN SERVICE STATION</t>
  </si>
  <si>
    <t>AJAI ENCLAVE</t>
  </si>
  <si>
    <t>PURAN SERVICE STATION</t>
  </si>
  <si>
    <t>KIRTI NAGAR</t>
  </si>
  <si>
    <t>TIKRI SERVICE STATION</t>
  </si>
  <si>
    <t>SARAN MOTORS (P) LTD.</t>
  </si>
  <si>
    <t>MM ROAD</t>
  </si>
  <si>
    <t>PARAS AUTO SERVICE</t>
  </si>
  <si>
    <t>ASAF ALI ROAD</t>
  </si>
  <si>
    <t>BHARGAVI AUTO SERVICES</t>
  </si>
  <si>
    <t>JANAKPURI</t>
  </si>
  <si>
    <t>White Patch-Janakpuri</t>
  </si>
  <si>
    <t>IOC</t>
  </si>
  <si>
    <t>DALIP SERVICE STATION</t>
  </si>
  <si>
    <t>NH-8, RANGPURI</t>
  </si>
  <si>
    <t>KHAIRWAL PETROLEUM (Revived Jul18)</t>
  </si>
  <si>
    <t>PUNJABI BAGH TPT CENTRE</t>
  </si>
  <si>
    <t>COCO-BAWANA SEC-5 (27.08.20)</t>
  </si>
  <si>
    <t>White Patch DSIDC</t>
  </si>
  <si>
    <t>BHASIN SERVICE STATION</t>
  </si>
  <si>
    <t>DR.K.S.KRISHNAN ROAD</t>
  </si>
  <si>
    <t>SHREENATH FILLING STATION</t>
  </si>
  <si>
    <t>KANJHAWALA</t>
  </si>
  <si>
    <t>COCO-BAWANA SEC-3 (12.09.20)</t>
  </si>
  <si>
    <t>ASSOCIATED TRADING CO</t>
  </si>
  <si>
    <t>PATEL ROAD</t>
  </si>
  <si>
    <t>NANDAN SERVICE STATION</t>
  </si>
  <si>
    <t>RING ROAD PITAMPURA</t>
  </si>
  <si>
    <t>SHAHEED SUMEET ROY ENTERPRISES</t>
  </si>
  <si>
    <t>SECTOR-24, ROHINI</t>
  </si>
  <si>
    <t>SAI RAM SERVICE STATION</t>
  </si>
  <si>
    <t>DISTT. CENTRE-II, ROHINI</t>
  </si>
  <si>
    <t>RIDGE VIEW SERVICE STATION</t>
  </si>
  <si>
    <t>SHALIMAR BAGH OUTER R/RD</t>
  </si>
  <si>
    <t>White Patch- Outer Ring Road</t>
  </si>
  <si>
    <t>RAMESH SERVICE STATION</t>
  </si>
  <si>
    <t>MANSAROVER GARDEN</t>
  </si>
  <si>
    <t>KARUN FILLING STATION</t>
  </si>
  <si>
    <t>ROHINI, SECTOR-11</t>
  </si>
  <si>
    <t>SHIV DAYAL SOIN  and  SONS</t>
  </si>
  <si>
    <t>QUDSIA ROAD</t>
  </si>
  <si>
    <t>MANGAL PETRO</t>
  </si>
  <si>
    <t>ROAD NO. 43, PITAMPURA</t>
  </si>
  <si>
    <t>RISAL PETRO</t>
  </si>
  <si>
    <t>BURARI ROAD</t>
  </si>
  <si>
    <t>SHAHEED OM FUELS</t>
  </si>
  <si>
    <t>SEC-7, ROHINI</t>
  </si>
  <si>
    <t>SHRI RAM FUEL COMPANY</t>
  </si>
  <si>
    <t>PRASHANT VIHAR</t>
  </si>
  <si>
    <t>IOC COCO ROHTAK ROAD</t>
  </si>
  <si>
    <t>ROHTAK ROAD</t>
  </si>
  <si>
    <t>White Patch -Karol Bagh</t>
  </si>
  <si>
    <t>AZAD FUUEL POOINT</t>
  </si>
  <si>
    <t>PUNJABI BAGH</t>
  </si>
  <si>
    <t>TIKRI PETRO  and  GAS CO.</t>
  </si>
  <si>
    <t>CITY SERVICE CENTRE</t>
  </si>
  <si>
    <t>MANGOLPURI(CSC)</t>
  </si>
  <si>
    <t>JS FILLING STATION</t>
  </si>
  <si>
    <t>BAKHTAWAR PUR</t>
  </si>
  <si>
    <t>PAUL MOTORS</t>
  </si>
  <si>
    <t>MAYA PURI</t>
  </si>
  <si>
    <t>White Patch- Mayapuri</t>
  </si>
  <si>
    <t>SATYA SERVICE STATION</t>
  </si>
  <si>
    <t>BEDI SAXENA SERVICE STATION</t>
  </si>
  <si>
    <t>MAYAPURI</t>
  </si>
  <si>
    <t>AUTOFUEL</t>
  </si>
  <si>
    <t>BAKSHI ENTERPRISES</t>
  </si>
  <si>
    <t>VEER SERVICE STATION</t>
  </si>
  <si>
    <t>MAJNU-KA-TILA</t>
  </si>
  <si>
    <t>INDRAPRASTHA SERVICE STATION</t>
  </si>
  <si>
    <t>I.P.ESTATE, RING ROAD</t>
  </si>
  <si>
    <t>MEENAKSHI INDIAN OIL</t>
  </si>
  <si>
    <t>MANGAOLPURI(MSC)</t>
  </si>
  <si>
    <t>MAJNU-KA-TILA, MALL ROAD</t>
  </si>
  <si>
    <t>White Patch -MKT</t>
  </si>
  <si>
    <t>ABHISHEK MOTORS</t>
  </si>
  <si>
    <t>POOJA  FILLING STATION</t>
  </si>
  <si>
    <t>SETHI AUTO S/STN-MANGOLPURI</t>
  </si>
  <si>
    <t>MANGOLPURI ROHINI</t>
  </si>
  <si>
    <t>NATIONAL SERVICE STN</t>
  </si>
  <si>
    <t>WAZIRPUR INDL. AREA</t>
  </si>
  <si>
    <t>White Patch- Ashok Vihar</t>
  </si>
  <si>
    <t>GANPATI SERVICE CENTRE</t>
  </si>
  <si>
    <t>ROHINI, SECTOR-5</t>
  </si>
  <si>
    <t>PRAGATI</t>
  </si>
  <si>
    <t>SPEEDWAYS SERVICE CENTRE</t>
  </si>
  <si>
    <t>JAIL ROAD, HARI NAG.DEPOT</t>
  </si>
  <si>
    <t>KINGSWAY SERVICE STATION</t>
  </si>
  <si>
    <t>MALL ROAD</t>
  </si>
  <si>
    <t>(Old - 102072 RAJDHANI SS)</t>
  </si>
  <si>
    <t>CONNAUGHT PLACE</t>
  </si>
  <si>
    <t>AJAY  SERVICE  STATION</t>
  </si>
  <si>
    <t>SHAHDARA(ASS)</t>
  </si>
  <si>
    <t>AJIT MOTORS</t>
  </si>
  <si>
    <t>GOPINATH BAZAR D.CANTT</t>
  </si>
  <si>
    <t>AKASH AUTO CENTRE INDIAN OIL PUMP(Revived in Jul18)</t>
  </si>
  <si>
    <t>AMAN FILL POINT</t>
  </si>
  <si>
    <t>MAYUR VIHAR PH -2, NH-24</t>
  </si>
  <si>
    <t>White Patch_Merrut Expressway</t>
  </si>
  <si>
    <t>AMAR SHAHID SUDISH FILLING STATION</t>
  </si>
  <si>
    <t>DSIDC COMPLEX, NARELA</t>
  </si>
  <si>
    <t>ROYAL</t>
  </si>
  <si>
    <t>AMISH ENTERPRISES</t>
  </si>
  <si>
    <t>LIBASPUR</t>
  </si>
  <si>
    <t>SHER SERVICE STATION</t>
  </si>
  <si>
    <t>PANKHA ROAD</t>
  </si>
  <si>
    <t>ASHISH SERVICES</t>
  </si>
  <si>
    <t>SARAI KALE KHAN / RECITED AT GAZIPUR IN MAR`14</t>
  </si>
  <si>
    <t>ASHOKA SERVICE STATION</t>
  </si>
  <si>
    <t>KHEL GAON ROAD</t>
  </si>
  <si>
    <t>LEO FILLING STATION</t>
  </si>
  <si>
    <t>ROHINI, SECTOR-18</t>
  </si>
  <si>
    <t>AUTO ENGINEERS SERVICE CENTRE</t>
  </si>
  <si>
    <t>DEREWAL NAGAR MODEL TOWN</t>
  </si>
  <si>
    <t>White Patch_Model Town</t>
  </si>
  <si>
    <t>AUTO YARD</t>
  </si>
  <si>
    <t>MATHURA ROAD</t>
  </si>
  <si>
    <t>SENANI SERVICE STATION</t>
  </si>
  <si>
    <t>SECTOR-23, ROHINI</t>
  </si>
  <si>
    <t>FORTUNE SERVICE STATION - ROHINI</t>
  </si>
  <si>
    <t>SECTOR-19, ROHINI</t>
  </si>
  <si>
    <t>BABA FILLING STATION</t>
  </si>
  <si>
    <t>BADUS PETRO</t>
  </si>
  <si>
    <t>NH-8, DWARKA LINK ROAD</t>
  </si>
  <si>
    <t>White Patch_DwarkaExpressway_Bijwasan</t>
  </si>
  <si>
    <t>UNITED FUEL STATION</t>
  </si>
  <si>
    <t>BEE GEE MOTORS</t>
  </si>
  <si>
    <t>BHARAT SERVICE STATION</t>
  </si>
  <si>
    <t>KARNAL BORDER</t>
  </si>
  <si>
    <t>C N ENTERPRISES</t>
  </si>
  <si>
    <t>VASANT KUNJ</t>
  </si>
  <si>
    <t>AAUI</t>
  </si>
  <si>
    <t>Ring Road</t>
  </si>
  <si>
    <t>CAPITAL OIL AGENCY</t>
  </si>
  <si>
    <t>NAUROJI NAGAR</t>
  </si>
  <si>
    <t>SHARDA SUMAN ENTERPRISES</t>
  </si>
  <si>
    <t>SHALIMAR BAGH</t>
  </si>
  <si>
    <t>R K PURAM</t>
  </si>
  <si>
    <t>CENTRE HALF SERVICE STATION</t>
  </si>
  <si>
    <t>SADIQ NAGAR</t>
  </si>
  <si>
    <t>CHAUDHARY SERVICE STATION</t>
  </si>
  <si>
    <t>DHEERPUR</t>
  </si>
  <si>
    <t>CHITRA SERVICE STATION</t>
  </si>
  <si>
    <t>DWARKA, SECTOR-4</t>
  </si>
  <si>
    <t>CITI FUELS</t>
  </si>
  <si>
    <t>NARI NIKETAN, JANAKPURI</t>
  </si>
  <si>
    <t>R.K.AMAR SAHEED SERVICE STATION</t>
  </si>
  <si>
    <t>ROHINI, SECTOR-6</t>
  </si>
  <si>
    <t>COCO DWARKA SEC-19</t>
  </si>
  <si>
    <t>Sector-19,Dwarka</t>
  </si>
  <si>
    <t>White Patch_Dwarka Sector19</t>
  </si>
  <si>
    <t>COCO NITI MARG</t>
  </si>
  <si>
    <t>TULI MOTORS</t>
  </si>
  <si>
    <t>RAJA GARDEN CHOWK</t>
  </si>
  <si>
    <t>DADA MALDEV PETROLEUM</t>
  </si>
  <si>
    <t>DARIYAPUR KALAN</t>
  </si>
  <si>
    <t>DEEPAK MOTORS</t>
  </si>
  <si>
    <t>JHILMIL IND AREA</t>
  </si>
  <si>
    <t>DELHI AUTOMOBILES LTD</t>
  </si>
  <si>
    <t>SARITA VIHAR</t>
  </si>
  <si>
    <t>DELHI DIESELS</t>
  </si>
  <si>
    <t>DELHI TOURIST TRANSPORT S/St</t>
  </si>
  <si>
    <t>BRIG.HOSHIAR SINGH ROAD</t>
  </si>
  <si>
    <t>DEVSENA SERVICE STATION</t>
  </si>
  <si>
    <t>NEHRU NAGAR</t>
  </si>
  <si>
    <t>DHANSA FILLING STATION</t>
  </si>
  <si>
    <t>DHANSA BORDER, DHANSA</t>
  </si>
  <si>
    <t>White Patch_Dhansa</t>
  </si>
  <si>
    <t>DHINGRA SERVICE STATION</t>
  </si>
  <si>
    <t>CHIRAG DELHI</t>
  </si>
  <si>
    <t>DRIVEWELL SERVICE STATION</t>
  </si>
  <si>
    <t>GT ROAD, SHAHDARA</t>
  </si>
  <si>
    <t>ENGINEER SERVICE STATION</t>
  </si>
  <si>
    <t>SRI AUROBINDO MARG</t>
  </si>
  <si>
    <t>GANGA PETRO</t>
  </si>
  <si>
    <t>SEC-10, DWARKA</t>
  </si>
  <si>
    <t>GAY SERVICE STATION</t>
  </si>
  <si>
    <t>AZADPUR INDL.AREA</t>
  </si>
  <si>
    <t>GEE KAY SERVICES</t>
  </si>
  <si>
    <t>SEELAMPUR</t>
  </si>
  <si>
    <t>DELHI DIESEL-ADHOC(9.6.22)</t>
  </si>
  <si>
    <t>Elgin Road</t>
  </si>
  <si>
    <t>GLOBAL PETRO</t>
  </si>
  <si>
    <t>BHIKAJI CAMA PLACE</t>
  </si>
  <si>
    <t>YASHOKAMAL ENTERPRISES</t>
  </si>
  <si>
    <t>ROHTAK ROAD NR SSB</t>
  </si>
  <si>
    <t>GUPTA SERVICE STATION-MOTI BAGH</t>
  </si>
  <si>
    <t>MOTI BAGH SOUTH</t>
  </si>
  <si>
    <t>GURU SERVICE STATION</t>
  </si>
  <si>
    <t>SEC-12, DWARKA</t>
  </si>
  <si>
    <t>HAR SHREE NATH SERVICE STATION</t>
  </si>
  <si>
    <t>SECTOR A-7, NARELA</t>
  </si>
  <si>
    <t>HARE KRISHNA FUELS</t>
  </si>
  <si>
    <t>GHITORNI</t>
  </si>
  <si>
    <t>White Patch_Chhatarpur_to_Gurgaon</t>
  </si>
  <si>
    <t>HARSHITA SERVICE STATION</t>
  </si>
  <si>
    <t>NAND NAGARI</t>
  </si>
  <si>
    <t>HUNDRED PERCENT</t>
  </si>
  <si>
    <t>SECTOR-9, DWARKA</t>
  </si>
  <si>
    <t>IMAGE FILLING STATION</t>
  </si>
  <si>
    <t>MAYUR VIHAR, PHASE-I</t>
  </si>
  <si>
    <t xml:space="preserve">White Patch_Noida Link road to Greater Noida Expwy </t>
  </si>
  <si>
    <t>INTIMATE SERVICE STATION</t>
  </si>
  <si>
    <t>PANCHSHEEL PARK</t>
  </si>
  <si>
    <t>IOC COCO JUNGPURA</t>
  </si>
  <si>
    <t>LINK ROAD, JANGPURA</t>
  </si>
  <si>
    <t>IOC COCO MASJID MOTH(old 186872)</t>
  </si>
  <si>
    <t>MASJID MOTH</t>
  </si>
  <si>
    <t>28.548237914595752</t>
  </si>
  <si>
    <t>IRWIN ROAD SERVICE STATION</t>
  </si>
  <si>
    <t>BABA KHARAK SINGH MARG</t>
  </si>
  <si>
    <t>C.M.ENTERPRISES</t>
  </si>
  <si>
    <t>JAI SAI MOTORSOKHLA</t>
  </si>
  <si>
    <t>OKHLA INDUSTRIAL AREA</t>
  </si>
  <si>
    <t>JINDAL SERVICE STATION</t>
  </si>
  <si>
    <t>ISHWAR NAGAR MATHURA ROAD</t>
  </si>
  <si>
    <t>JAY GARUD GAS STATION</t>
  </si>
  <si>
    <t>KAILASH SERVICE STATION</t>
  </si>
  <si>
    <t>EAST OF KAILASH</t>
  </si>
  <si>
    <t>White Patch_GK East</t>
  </si>
  <si>
    <t>KANPUR DELHI GOODS CARRIER LTD</t>
  </si>
  <si>
    <t>LONI BORDER, LONI ROAD</t>
  </si>
  <si>
    <t>KAPUR AUTO SERVICE STATION</t>
  </si>
  <si>
    <t>PATPARGANJ</t>
  </si>
  <si>
    <t>KARGIL HEIGHT FILLING STATION</t>
  </si>
  <si>
    <t>CHILLA</t>
  </si>
  <si>
    <t>RAKESH FILLING STATION</t>
  </si>
  <si>
    <t>VARUN NIKETAN</t>
  </si>
  <si>
    <t>KHYBER SERVICE STATION</t>
  </si>
  <si>
    <t>RING ROAD, MOTI BAGH</t>
  </si>
  <si>
    <t>SHAHED MATBAR SINGH NEGI FLNG POINT</t>
  </si>
  <si>
    <t>ROHINI, SEC-2</t>
  </si>
  <si>
    <t>KISHORE  and  COMPANY</t>
  </si>
  <si>
    <t>MEHRAULI BADARPUR ROAD</t>
  </si>
  <si>
    <t>KOMAL  and  BROS. SERVICE STN.</t>
  </si>
  <si>
    <t>MANDAVALI, FAZALPUR</t>
  </si>
  <si>
    <t>Lamo Kargil Shaheed Filling Stn</t>
  </si>
  <si>
    <t>SECTOR-10, DWARKA</t>
  </si>
  <si>
    <t>GAUTAM FILLING STATION</t>
  </si>
  <si>
    <t>MAINWALI NAGAR RTK ROAD</t>
  </si>
  <si>
    <t>LIBRA FILLING STATION</t>
  </si>
  <si>
    <t>LOTUS AUTOMOBILES</t>
  </si>
  <si>
    <t>ANDHERIA MOR</t>
  </si>
  <si>
    <t>M.A. ENTERPRISES</t>
  </si>
  <si>
    <t>VILL. MAMURPUR, NARELA</t>
  </si>
  <si>
    <t>White Patch_Narela</t>
  </si>
  <si>
    <t>MAA ANAND MAI SERV.STN.</t>
  </si>
  <si>
    <t>PATPARGANJ COMM CENTRE</t>
  </si>
  <si>
    <t>MADHAV FUELS</t>
  </si>
  <si>
    <t>MITRAON,DHANSA ROAD,NAZAFGARH</t>
  </si>
  <si>
    <t>MAHENDRA</t>
  </si>
  <si>
    <t>CBD SHAHDARA-II</t>
  </si>
  <si>
    <t>MANSAA</t>
  </si>
  <si>
    <t>CBD, SHAHDARA</t>
  </si>
  <si>
    <t>GOLDEN GOAL SERVICE STN</t>
  </si>
  <si>
    <t>ROAD NO. 44, PITAMPURA</t>
  </si>
  <si>
    <t>MILLENNIUM PETROCARE</t>
  </si>
  <si>
    <t>SECTOR-9,DWARKA</t>
  </si>
  <si>
    <t>MODEL CO-OP GOODS TPT.SOCIETY</t>
  </si>
  <si>
    <t>MOOLCHAND MOTORS</t>
  </si>
  <si>
    <t>VASANT VIHAR</t>
  </si>
  <si>
    <t>MOTOR CENTRE</t>
  </si>
  <si>
    <t>NAMAN ENTERPRISES</t>
  </si>
  <si>
    <t>POOTHJHURD BAWANA ROAD</t>
  </si>
  <si>
    <t>GEO FILLING STATION</t>
  </si>
  <si>
    <t>RING ROAD, NARAINA</t>
  </si>
  <si>
    <t>ANURADHA SERVICE STATION</t>
  </si>
  <si>
    <t>LAWRENCE ROAD INDL.AREA</t>
  </si>
  <si>
    <t>NINETEENTH HOLE SERVICE STATIO</t>
  </si>
  <si>
    <t>DR.ZAKIR HUSSAIN ROAD</t>
  </si>
  <si>
    <t xml:space="preserve">White Patch_ CP to Mathura Road </t>
  </si>
  <si>
    <t>PARAS AUTOMOBILES</t>
  </si>
  <si>
    <t>BIJWASAN</t>
  </si>
  <si>
    <t>PEAREY LAL  and  SONS</t>
  </si>
  <si>
    <t>JANPATH</t>
  </si>
  <si>
    <t>PREM OIL CORPORATION</t>
  </si>
  <si>
    <t>CHURCH RD.</t>
  </si>
  <si>
    <t>CITY AUTO</t>
  </si>
  <si>
    <t>SEC 10 ROHINI</t>
  </si>
  <si>
    <t>QUEENS ROAD SERVICE STATION</t>
  </si>
  <si>
    <t>QUTAB SERVICE STATION</t>
  </si>
  <si>
    <t>MEHRAULI ROAD</t>
  </si>
  <si>
    <t>R K SERVICE STATION</t>
  </si>
  <si>
    <t>R.N. PETRO CARE</t>
  </si>
  <si>
    <t xml:space="preserve">POOTH KHURD, DELHI </t>
  </si>
  <si>
    <t>RAJ   AUTOMOBILES</t>
  </si>
  <si>
    <t>S.G.T.NAGAR - I</t>
  </si>
  <si>
    <t>White Patch_SGTNagar</t>
  </si>
  <si>
    <t>RAJ SUPER SERVICE STATION</t>
  </si>
  <si>
    <t>MOTI BAGH</t>
  </si>
  <si>
    <t>RAJASTHAN HIGHWAY SERVICE STATION</t>
  </si>
  <si>
    <t>RAJASTHAN RAJPATH FILLING STATION</t>
  </si>
  <si>
    <t>SMALKHA VILLAGE</t>
  </si>
  <si>
    <t>RAJKUMAR SERVICE STATION</t>
  </si>
  <si>
    <t>RAJPATH MOTORS</t>
  </si>
  <si>
    <t>GEETA COLONY, SITE I</t>
  </si>
  <si>
    <t>White Patch_Geeta Colony</t>
  </si>
  <si>
    <t>RAM MURTEE FUELS</t>
  </si>
  <si>
    <t>RAMA SERVICE STATION</t>
  </si>
  <si>
    <t>OPP ANANAD VIHAR ISBT</t>
  </si>
  <si>
    <t>RASHMI AUTO</t>
  </si>
  <si>
    <t>KALKAJI</t>
  </si>
  <si>
    <t>ROHIT SERVICE STATION</t>
  </si>
  <si>
    <t xml:space="preserve"> New GT Road (NH44)</t>
  </si>
  <si>
    <t>ROOP F/STN. -ADHOC (MAHESHWARI)-27.8.20</t>
  </si>
  <si>
    <t>GEETA COLONY, SITE II</t>
  </si>
  <si>
    <t>ROOP FILLING STATION</t>
  </si>
  <si>
    <t>ROYAL SERVICE STATION</t>
  </si>
  <si>
    <t>DALLUPURA</t>
  </si>
  <si>
    <t>RUCHIKA SERVICE STATION</t>
  </si>
  <si>
    <t>KUNDLI GHAROLI</t>
  </si>
  <si>
    <t>S VIDYA SERVICE STATION</t>
  </si>
  <si>
    <t>SEC-3, DWARKA</t>
  </si>
  <si>
    <t>SABARWAL SERVICE STATION</t>
  </si>
  <si>
    <t>R.K.PURAM</t>
  </si>
  <si>
    <t>White Patch_RKPuram</t>
  </si>
  <si>
    <t>VIJAY SERVICE STATION</t>
  </si>
  <si>
    <t>TIKRI(VIJAY)</t>
  </si>
  <si>
    <t>SANJEEV INDIAN OIL</t>
  </si>
  <si>
    <t>DELHI PALAM ROAD</t>
  </si>
  <si>
    <t>SANT SERVICE STATION</t>
  </si>
  <si>
    <t>OUTER RING ROAD</t>
  </si>
  <si>
    <t>White Patch_OuterRingRoad_IITDelhi</t>
  </si>
  <si>
    <t>SARITA SERVICE STATION</t>
  </si>
  <si>
    <t>SATBIR FILLING STATION</t>
  </si>
  <si>
    <t>IGI MOR</t>
  </si>
  <si>
    <t>White Patch_IGI_NH8</t>
  </si>
  <si>
    <t>PRIYANKA SERVICE STATION</t>
  </si>
  <si>
    <t>SAVITA FILLING STATION</t>
  </si>
  <si>
    <t>BEHLOLPUR</t>
  </si>
  <si>
    <t>White Patch_I.P Estate Road</t>
  </si>
  <si>
    <t>SCORPIO PETRO</t>
  </si>
  <si>
    <t>SECTOR-18A, DWARKA</t>
  </si>
  <si>
    <t>SETHI AUTO S/STN</t>
  </si>
  <si>
    <t>NH-8, MAHIPALPUR</t>
  </si>
  <si>
    <t>CHANAKYAPURI SERVICE STATION</t>
  </si>
  <si>
    <t>ARORA S/STATION-PITAMPURA</t>
  </si>
  <si>
    <t>White Patch- Pitampura</t>
  </si>
  <si>
    <t>SHANKAR AUTOMOBILES</t>
  </si>
  <si>
    <t>BHAI VEER SINGH MARG</t>
  </si>
  <si>
    <t>NEELAM FILLING STATION</t>
  </si>
  <si>
    <t>SHRI SAI FILLING STATION</t>
  </si>
  <si>
    <t>PUNJAB KHOD, DELHI</t>
  </si>
  <si>
    <t>SHIVALIK SERVICE CENTRE</t>
  </si>
  <si>
    <t>SECTOR-2, DWARKA</t>
  </si>
  <si>
    <t>SHIVAN AUTO CENTRE</t>
  </si>
  <si>
    <t>SHIVESH SERVICE STATION</t>
  </si>
  <si>
    <t>SOAMI NAGAR</t>
  </si>
  <si>
    <t>SHRADDHA FUELS</t>
  </si>
  <si>
    <t>BHATI MINES</t>
  </si>
  <si>
    <t>White Patch_BhatiMines</t>
  </si>
  <si>
    <t>Bhati Mines</t>
  </si>
  <si>
    <t>SHREE HARI KRISHNA MOTORS</t>
  </si>
  <si>
    <t>SANOTH</t>
  </si>
  <si>
    <t>JAI BANGLAMUKHI ECO FUEL STN.</t>
  </si>
  <si>
    <t>MOTOR ADES</t>
  </si>
  <si>
    <t>CAPT AMIT SERVICE STATION</t>
  </si>
  <si>
    <t>SINGH MOTOR CENTRE</t>
  </si>
  <si>
    <t>S.G.T.NAGAR -II</t>
  </si>
  <si>
    <t>SINGH SERVICE CENTRE</t>
  </si>
  <si>
    <t>SINGH SERVICE STATION</t>
  </si>
  <si>
    <t>RANA PARTAP BAGH</t>
  </si>
  <si>
    <t>SRI BALAJI PETRO RETAILING</t>
  </si>
  <si>
    <t>DICHAUN KALAN</t>
  </si>
  <si>
    <t>White Patch_DichaonKalan</t>
  </si>
  <si>
    <t>SUPER AUTO CENTRE</t>
  </si>
  <si>
    <t>SRINIWASPURI</t>
  </si>
  <si>
    <t>SUSHANTI FILLING STATION</t>
  </si>
  <si>
    <t>LSC, SECTOR-6, DWARKA</t>
  </si>
  <si>
    <t>TANEJA SERVICE STATION</t>
  </si>
  <si>
    <t>GHAZIPUR NH-24</t>
  </si>
  <si>
    <t>THE METROPOLE  SERVICE STATION</t>
  </si>
  <si>
    <t>RAMASHRAM S/STN COMMU CENTRE</t>
  </si>
  <si>
    <t>MANGOLPURI</t>
  </si>
  <si>
    <t>UNITED ENGINEERS SERVICE STATI</t>
  </si>
  <si>
    <t>VAISH FILLING STATION</t>
  </si>
  <si>
    <t>NANGLOI ROAD, NAJAFGARH</t>
  </si>
  <si>
    <t>White Patch_Nangloi_Najafgarh</t>
  </si>
  <si>
    <t>TYAGI PETROLEUM</t>
  </si>
  <si>
    <t>ROHTAK ROAD, GHEVRA MORE</t>
  </si>
  <si>
    <t>SALOCHNA FILLING STATION</t>
  </si>
  <si>
    <t>GHEVRA MODE</t>
  </si>
  <si>
    <t>WELCOME MOTORS</t>
  </si>
  <si>
    <t>SAKET</t>
  </si>
  <si>
    <t>White Patch_Saket</t>
  </si>
  <si>
    <t>NEW AMRIT FILLING STATION</t>
  </si>
  <si>
    <t>TIKRIKALAN</t>
  </si>
  <si>
    <t>Visit</t>
  </si>
  <si>
    <t>DSW</t>
  </si>
  <si>
    <t>2W %</t>
  </si>
  <si>
    <t>4W%</t>
  </si>
  <si>
    <t>Jucntion Boxes</t>
  </si>
  <si>
    <t>Pedestal Guard</t>
  </si>
  <si>
    <t>Yellow Strip Around Pedestal</t>
  </si>
  <si>
    <t>Yes</t>
  </si>
  <si>
    <t>No</t>
  </si>
  <si>
    <t>NO</t>
  </si>
  <si>
    <t>MS</t>
  </si>
  <si>
    <t>HSD</t>
  </si>
  <si>
    <t/>
  </si>
  <si>
    <t>Cumulative This Year</t>
  </si>
  <si>
    <t>This Month</t>
  </si>
  <si>
    <t>Total Volume</t>
  </si>
  <si>
    <t xml:space="preserve">Volume from Negative RO </t>
  </si>
  <si>
    <t>% Volume fronNegative RO</t>
  </si>
  <si>
    <t>Total</t>
  </si>
  <si>
    <t>\</t>
  </si>
  <si>
    <t>RO Size</t>
  </si>
  <si>
    <t>Road</t>
  </si>
  <si>
    <t>CNG Cluttering</t>
  </si>
  <si>
    <t>Site Security</t>
  </si>
  <si>
    <t>Large Size</t>
  </si>
  <si>
    <t>Main Road</t>
  </si>
  <si>
    <t>DD&amp;A</t>
  </si>
  <si>
    <t>Private Land Third Party</t>
  </si>
  <si>
    <t>DC Site</t>
  </si>
  <si>
    <t>Colony Road</t>
  </si>
  <si>
    <t>DUSIB</t>
  </si>
  <si>
    <t>Medium Size</t>
  </si>
  <si>
    <t>Small Size</t>
  </si>
  <si>
    <t>Private Land- Dealer cum LL</t>
  </si>
  <si>
    <t>L&amp;DO</t>
  </si>
  <si>
    <t>MCD</t>
  </si>
  <si>
    <t>Rural Road</t>
  </si>
  <si>
    <t xml:space="preserve"> </t>
  </si>
  <si>
    <t>DTTDC</t>
  </si>
  <si>
    <t>Private Land, Land Lord Not tracebale, Lease not Valid</t>
  </si>
  <si>
    <t>Plot Size</t>
  </si>
  <si>
    <t>Numebr of ROs</t>
  </si>
  <si>
    <t>Grand Total</t>
  </si>
  <si>
    <t>Types of Road</t>
  </si>
  <si>
    <t>Land Ownership Type</t>
  </si>
  <si>
    <t>Number of ROs</t>
  </si>
  <si>
    <t>MS0424</t>
  </si>
  <si>
    <t>CC</t>
  </si>
  <si>
    <t>Punjabkhor</t>
  </si>
  <si>
    <t xml:space="preserve">MAHADEV FILLING STATION </t>
  </si>
  <si>
    <t xml:space="preserve">BHARAT FILING STN </t>
  </si>
  <si>
    <t>Pitampura</t>
  </si>
  <si>
    <t>HSD-0125</t>
  </si>
  <si>
    <t>Bigger Trading Area</t>
  </si>
  <si>
    <t>Small tradign Are</t>
  </si>
  <si>
    <t>Bigger Trrading Area</t>
  </si>
  <si>
    <t>MS MS TMTY</t>
  </si>
  <si>
    <t>MS MS TMLY</t>
  </si>
  <si>
    <t>HSD MS TMTY</t>
  </si>
  <si>
    <t>HSD MS TMLY</t>
  </si>
  <si>
    <t>Change in Market Share HSD TM</t>
  </si>
  <si>
    <t>Change in Market Share MS</t>
  </si>
  <si>
    <t>MS MS TY</t>
  </si>
  <si>
    <t>MS MS LY</t>
  </si>
  <si>
    <t>Change in Market Share MS TY</t>
  </si>
  <si>
    <t>HSD MS TY</t>
  </si>
  <si>
    <t>HSD MS LY</t>
  </si>
  <si>
    <t>Change in Market Share HSD TY</t>
  </si>
  <si>
    <t>Effectivity MS Ty</t>
  </si>
  <si>
    <t>Effectivity HSD TY</t>
  </si>
  <si>
    <t xml:space="preserve">          </t>
  </si>
  <si>
    <t>OMC Name</t>
  </si>
  <si>
    <t>MS-0725</t>
  </si>
  <si>
    <t>MS-0724</t>
  </si>
  <si>
    <t>HSD-0725</t>
  </si>
  <si>
    <t>HSD-0724</t>
  </si>
  <si>
    <t>Volumes</t>
  </si>
  <si>
    <t>Market Share</t>
  </si>
  <si>
    <t>Market Share Change</t>
  </si>
  <si>
    <t>Column1</t>
  </si>
  <si>
    <t>Upgrade Details</t>
  </si>
  <si>
    <t>UIP</t>
  </si>
  <si>
    <t>Speed Addition</t>
  </si>
  <si>
    <t>Approved</t>
  </si>
  <si>
    <t>Target Completion</t>
  </si>
  <si>
    <t>Speed</t>
  </si>
  <si>
    <t>Dealer room., Toiilet, Approach, ARB and Lube Counters</t>
  </si>
  <si>
    <t>With EO</t>
  </si>
  <si>
    <t xml:space="preserve">Canopy work </t>
  </si>
  <si>
    <t>NA</t>
  </si>
  <si>
    <t>NIL</t>
  </si>
  <si>
    <t>CNG Offline to online</t>
  </si>
  <si>
    <t>EFP Additon, Speed 100, MPD replacement</t>
  </si>
  <si>
    <t>EFP Change and additon, Approach</t>
  </si>
  <si>
    <t>Approach, Light, Porta Cabin</t>
  </si>
  <si>
    <t>to be put</t>
  </si>
  <si>
    <t>NSP</t>
  </si>
  <si>
    <t>EFP addition</t>
  </si>
  <si>
    <t>CNG Du to be shifted</t>
  </si>
  <si>
    <t>CNG 600 t0 1200</t>
  </si>
  <si>
    <t>Tank and Pipeline replacment, Speed 100</t>
  </si>
  <si>
    <t>with EO</t>
  </si>
  <si>
    <t>Speed 100 Additon</t>
  </si>
  <si>
    <t xml:space="preserve">EFP Additon, </t>
  </si>
  <si>
    <t>Paver Canopy, CNG</t>
  </si>
  <si>
    <t>Upgradation</t>
  </si>
  <si>
    <t>MPD additon</t>
  </si>
  <si>
    <t>Speed tank addition</t>
  </si>
  <si>
    <t>Speed additon</t>
  </si>
  <si>
    <t>WIP</t>
  </si>
  <si>
    <t xml:space="preserve">Lighting </t>
  </si>
  <si>
    <t>CNG</t>
  </si>
  <si>
    <t>Fuel UIP approved, CNg Uip to be approved</t>
  </si>
  <si>
    <t>Approach , Paver, NEW CNG</t>
  </si>
  <si>
    <t>UIP to be raised</t>
  </si>
  <si>
    <t>ARB to be discussed with TC, Take numbers of 4-5 guyz</t>
  </si>
  <si>
    <t>UIP for Canopy, Lights, RVM</t>
  </si>
  <si>
    <t>to be put for EV and Fuel</t>
  </si>
  <si>
    <t>From Ganpati Lights</t>
  </si>
  <si>
    <t>Do Windshield</t>
  </si>
  <si>
    <t>Nitorgen</t>
  </si>
  <si>
    <t>ARB</t>
  </si>
  <si>
    <t>Windshield</t>
  </si>
  <si>
    <t>ZIP</t>
  </si>
  <si>
    <t>Icecream Vendor</t>
  </si>
  <si>
    <t>Vending Machine</t>
  </si>
  <si>
    <t>Becafe</t>
  </si>
  <si>
    <t>Growth Feb Vs March</t>
  </si>
  <si>
    <t>reasons</t>
  </si>
  <si>
    <t>Restrictions on Credit</t>
  </si>
  <si>
    <t>COCO RO, Only nozzle Sales cut</t>
  </si>
  <si>
    <t>RO was dry and was reported, because of funds</t>
  </si>
  <si>
    <t>Downtrend is mainly due to lack of inventory</t>
  </si>
  <si>
    <t>White Patch Motinagar</t>
  </si>
  <si>
    <t>RO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</si>
</sst>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;\(0.00\)\ "/>
    <numFmt numFmtId="165" formatCode="0_ ;\(0\)\ "/>
    <numFmt numFmtId="166" formatCode="0.000"/>
  </numFmts>
  <fonts count="15" x14ac:knownFonts="1"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9"/>
      <name val="Aptos"/>
      <family val="2"/>
    </font>
    <font>
      <sz val="9"/>
      <color theme="1"/>
      <name val="Aptos"/>
      <family val="2"/>
    </font>
    <font>
      <sz val="9"/>
      <name val="Aptos"/>
      <family val="2"/>
    </font>
    <font>
      <sz val="9"/>
      <color rgb="FFFF0000"/>
      <name val="Aptos"/>
      <family val="2"/>
    </font>
    <font>
      <b/>
      <sz val="9"/>
      <color theme="1"/>
      <name val="Aptos"/>
      <family val="2"/>
    </font>
    <font>
      <sz val="8"/>
      <name val="Arial Narrow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9"/>
      <color theme="0"/>
      <name val="Aptos"/>
      <family val="2"/>
    </font>
    <font>
      <b/>
      <sz val="12"/>
      <color theme="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5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/>
    </xf>
    <xf numFmtId="16" fontId="3" fillId="3" borderId="1" xfId="0" applyNumberFormat="1" applyFont="1" applyFill="1" applyBorder="1"/>
    <xf numFmtId="0" fontId="3" fillId="4" borderId="1" xfId="0" applyFont="1" applyFill="1" applyBorder="1" applyAlignment="1">
      <alignment horizontal="left"/>
    </xf>
    <xf numFmtId="16" fontId="3" fillId="4" borderId="1" xfId="0" applyNumberFormat="1" applyFont="1" applyFill="1" applyBorder="1"/>
    <xf numFmtId="1" fontId="3" fillId="4" borderId="1" xfId="0" applyNumberFormat="1" applyFont="1" applyFill="1" applyBorder="1" applyAlignment="1">
      <alignment horizontal="left"/>
    </xf>
    <xf numFmtId="16" fontId="3" fillId="4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/>
    <xf numFmtId="0" fontId="5" fillId="5" borderId="1" xfId="0" applyFont="1" applyFill="1" applyBorder="1" applyAlignment="1">
      <alignment horizontal="left"/>
    </xf>
    <xf numFmtId="16" fontId="3" fillId="3" borderId="1" xfId="0" applyNumberFormat="1" applyFont="1" applyFill="1" applyBorder="1" applyAlignment="1">
      <alignment wrapText="1"/>
    </xf>
    <xf numFmtId="16" fontId="3" fillId="4" borderId="1" xfId="0" applyNumberFormat="1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 applyProtection="1">
      <alignment wrapText="1"/>
      <protection locked="0"/>
    </xf>
    <xf numFmtId="0" fontId="0" fillId="0" borderId="0" xfId="0" applyAlignment="1">
      <alignment wrapText="1"/>
    </xf>
    <xf numFmtId="0" fontId="2" fillId="6" borderId="1" xfId="0" applyFont="1" applyFill="1" applyBorder="1" applyAlignment="1">
      <alignment horizontal="center" vertical="top" wrapText="1"/>
    </xf>
    <xf numFmtId="1" fontId="4" fillId="3" borderId="2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 applyProtection="1">
      <alignment horizontal="left" vertical="top" wrapText="1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0" fontId="4" fillId="4" borderId="1" xfId="0" applyFont="1" applyFill="1" applyBorder="1" applyAlignment="1" applyProtection="1">
      <alignment horizontal="left"/>
      <protection locked="0"/>
    </xf>
    <xf numFmtId="0" fontId="4" fillId="5" borderId="1" xfId="0" applyFont="1" applyFill="1" applyBorder="1" applyAlignment="1" applyProtection="1">
      <alignment horizontal="left"/>
      <protection locked="0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 applyAlignment="1">
      <alignment wrapText="1"/>
    </xf>
    <xf numFmtId="0" fontId="0" fillId="11" borderId="1" xfId="0" applyFill="1" applyBorder="1"/>
    <xf numFmtId="0" fontId="0" fillId="0" borderId="1" xfId="0" applyBorder="1"/>
    <xf numFmtId="1" fontId="0" fillId="9" borderId="1" xfId="0" applyNumberFormat="1" applyFill="1" applyBorder="1"/>
    <xf numFmtId="0" fontId="1" fillId="8" borderId="1" xfId="0" applyFon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" fontId="0" fillId="10" borderId="1" xfId="0" applyNumberFormat="1" applyFill="1" applyBorder="1"/>
    <xf numFmtId="164" fontId="0" fillId="0" borderId="1" xfId="0" applyNumberFormat="1" applyBorder="1"/>
    <xf numFmtId="1" fontId="0" fillId="11" borderId="1" xfId="0" applyNumberFormat="1" applyFill="1" applyBorder="1" applyAlignment="1">
      <alignment wrapText="1"/>
    </xf>
    <xf numFmtId="1" fontId="0" fillId="11" borderId="1" xfId="0" applyNumberFormat="1" applyFill="1" applyBorder="1"/>
    <xf numFmtId="16" fontId="3" fillId="3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16" fontId="4" fillId="3" borderId="1" xfId="0" applyNumberFormat="1" applyFont="1" applyFill="1" applyBorder="1" applyAlignment="1">
      <alignment horizontal="left" wrapText="1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left" wrapText="1"/>
    </xf>
    <xf numFmtId="1" fontId="4" fillId="5" borderId="1" xfId="0" applyNumberFormat="1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 wrapText="1"/>
    </xf>
    <xf numFmtId="1" fontId="5" fillId="5" borderId="1" xfId="0" applyNumberFormat="1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vertical="top" wrapText="1"/>
    </xf>
    <xf numFmtId="16" fontId="3" fillId="3" borderId="2" xfId="0" applyNumberFormat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9" fillId="8" borderId="0" xfId="0" quotePrefix="1" applyFont="1" applyFill="1"/>
    <xf numFmtId="0" fontId="9" fillId="8" borderId="14" xfId="0" applyFont="1" applyFill="1" applyBorder="1"/>
    <xf numFmtId="0" fontId="9" fillId="11" borderId="5" xfId="0" applyFont="1" applyFill="1" applyBorder="1" applyAlignment="1">
      <alignment wrapText="1"/>
    </xf>
    <xf numFmtId="0" fontId="9" fillId="11" borderId="6" xfId="0" applyFont="1" applyFill="1" applyBorder="1" applyAlignment="1">
      <alignment wrapText="1"/>
    </xf>
    <xf numFmtId="0" fontId="9" fillId="11" borderId="7" xfId="0" applyFont="1" applyFill="1" applyBorder="1" applyAlignment="1">
      <alignment wrapText="1"/>
    </xf>
    <xf numFmtId="0" fontId="9" fillId="10" borderId="17" xfId="0" applyFont="1" applyFill="1" applyBorder="1" applyAlignment="1">
      <alignment wrapText="1"/>
    </xf>
    <xf numFmtId="0" fontId="9" fillId="10" borderId="6" xfId="0" applyFont="1" applyFill="1" applyBorder="1" applyAlignment="1">
      <alignment wrapText="1"/>
    </xf>
    <xf numFmtId="0" fontId="9" fillId="10" borderId="7" xfId="0" applyFont="1" applyFill="1" applyBorder="1" applyAlignment="1">
      <alignment wrapText="1"/>
    </xf>
    <xf numFmtId="0" fontId="9" fillId="8" borderId="15" xfId="0" applyFont="1" applyFill="1" applyBorder="1"/>
    <xf numFmtId="0" fontId="9" fillId="11" borderId="8" xfId="0" applyFont="1" applyFill="1" applyBorder="1"/>
    <xf numFmtId="0" fontId="9" fillId="11" borderId="9" xfId="0" applyFont="1" applyFill="1" applyBorder="1"/>
    <xf numFmtId="10" fontId="9" fillId="11" borderId="10" xfId="0" applyNumberFormat="1" applyFont="1" applyFill="1" applyBorder="1"/>
    <xf numFmtId="1" fontId="9" fillId="10" borderId="18" xfId="0" applyNumberFormat="1" applyFont="1" applyFill="1" applyBorder="1"/>
    <xf numFmtId="1" fontId="9" fillId="10" borderId="9" xfId="0" applyNumberFormat="1" applyFont="1" applyFill="1" applyBorder="1"/>
    <xf numFmtId="10" fontId="9" fillId="10" borderId="10" xfId="0" applyNumberFormat="1" applyFont="1" applyFill="1" applyBorder="1"/>
    <xf numFmtId="0" fontId="9" fillId="8" borderId="16" xfId="0" applyFont="1" applyFill="1" applyBorder="1"/>
    <xf numFmtId="0" fontId="9" fillId="11" borderId="11" xfId="0" applyFont="1" applyFill="1" applyBorder="1"/>
    <xf numFmtId="0" fontId="9" fillId="11" borderId="12" xfId="0" applyFont="1" applyFill="1" applyBorder="1"/>
    <xf numFmtId="10" fontId="9" fillId="11" borderId="13" xfId="0" applyNumberFormat="1" applyFont="1" applyFill="1" applyBorder="1"/>
    <xf numFmtId="1" fontId="9" fillId="10" borderId="19" xfId="0" applyNumberFormat="1" applyFont="1" applyFill="1" applyBorder="1"/>
    <xf numFmtId="1" fontId="9" fillId="10" borderId="12" xfId="0" applyNumberFormat="1" applyFont="1" applyFill="1" applyBorder="1"/>
    <xf numFmtId="10" fontId="9" fillId="10" borderId="13" xfId="0" applyNumberFormat="1" applyFont="1" applyFill="1" applyBorder="1"/>
    <xf numFmtId="0" fontId="8" fillId="8" borderId="14" xfId="0" applyFont="1" applyFill="1" applyBorder="1"/>
    <xf numFmtId="0" fontId="8" fillId="8" borderId="15" xfId="0" applyFont="1" applyFill="1" applyBorder="1"/>
    <xf numFmtId="0" fontId="8" fillId="8" borderId="16" xfId="0" applyFont="1" applyFill="1" applyBorder="1"/>
    <xf numFmtId="0" fontId="8" fillId="8" borderId="0" xfId="0" quotePrefix="1" applyFont="1" applyFill="1"/>
    <xf numFmtId="0" fontId="1" fillId="8" borderId="3" xfId="0" applyFont="1" applyFill="1" applyBorder="1" applyAlignment="1">
      <alignment wrapText="1"/>
    </xf>
    <xf numFmtId="10" fontId="0" fillId="0" borderId="0" xfId="0" applyNumberFormat="1"/>
    <xf numFmtId="1" fontId="3" fillId="3" borderId="2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1" fontId="4" fillId="3" borderId="1" xfId="0" applyNumberFormat="1" applyFont="1" applyFill="1" applyBorder="1" applyAlignment="1">
      <alignment horizontal="center"/>
    </xf>
    <xf numFmtId="0" fontId="1" fillId="8" borderId="20" xfId="0" applyFont="1" applyFill="1" applyBorder="1" applyAlignment="1">
      <alignment wrapText="1"/>
    </xf>
    <xf numFmtId="0" fontId="11" fillId="12" borderId="1" xfId="0" applyFont="1" applyFill="1" applyBorder="1" applyAlignment="1">
      <alignment wrapText="1"/>
    </xf>
    <xf numFmtId="0" fontId="11" fillId="12" borderId="3" xfId="0" applyFont="1" applyFill="1" applyBorder="1" applyAlignment="1">
      <alignment wrapText="1"/>
    </xf>
    <xf numFmtId="2" fontId="0" fillId="0" borderId="0" xfId="0" applyNumberFormat="1"/>
    <xf numFmtId="10" fontId="12" fillId="12" borderId="1" xfId="1" applyNumberFormat="1" applyFont="1" applyFill="1" applyBorder="1"/>
    <xf numFmtId="10" fontId="0" fillId="11" borderId="1" xfId="1" applyNumberFormat="1" applyFont="1" applyFill="1" applyBorder="1"/>
    <xf numFmtId="10" fontId="0" fillId="11" borderId="1" xfId="0" applyNumberFormat="1" applyFill="1" applyBorder="1"/>
    <xf numFmtId="10" fontId="12" fillId="12" borderId="1" xfId="0" applyNumberFormat="1" applyFont="1" applyFill="1" applyBorder="1"/>
    <xf numFmtId="1" fontId="4" fillId="5" borderId="2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0" fillId="0" borderId="0" xfId="0" applyAlignment="1">
      <alignment horizontal="center" wrapText="1"/>
    </xf>
    <xf numFmtId="0" fontId="3" fillId="3" borderId="21" xfId="0" applyFont="1" applyFill="1" applyBorder="1" applyAlignment="1">
      <alignment horizontal="left"/>
    </xf>
    <xf numFmtId="0" fontId="2" fillId="11" borderId="22" xfId="0" applyFont="1" applyFill="1" applyBorder="1" applyAlignment="1">
      <alignment horizontal="center" vertical="top" wrapText="1"/>
    </xf>
    <xf numFmtId="0" fontId="2" fillId="11" borderId="23" xfId="0" applyFont="1" applyFill="1" applyBorder="1" applyAlignment="1">
      <alignment horizontal="center" vertical="top" wrapText="1"/>
    </xf>
    <xf numFmtId="0" fontId="13" fillId="13" borderId="23" xfId="0" applyFont="1" applyFill="1" applyBorder="1" applyAlignment="1">
      <alignment horizontal="center" vertical="top" wrapText="1"/>
    </xf>
    <xf numFmtId="0" fontId="13" fillId="13" borderId="24" xfId="0" applyFont="1" applyFill="1" applyBorder="1" applyAlignment="1">
      <alignment horizontal="center" vertical="top" wrapText="1"/>
    </xf>
    <xf numFmtId="1" fontId="0" fillId="11" borderId="25" xfId="0" applyNumberFormat="1" applyFill="1" applyBorder="1"/>
    <xf numFmtId="1" fontId="0" fillId="11" borderId="0" xfId="0" applyNumberFormat="1" applyFill="1"/>
    <xf numFmtId="1" fontId="0" fillId="13" borderId="0" xfId="0" applyNumberFormat="1" applyFill="1"/>
    <xf numFmtId="1" fontId="0" fillId="13" borderId="26" xfId="0" applyNumberFormat="1" applyFill="1" applyBorder="1"/>
    <xf numFmtId="0" fontId="0" fillId="0" borderId="25" xfId="0" applyBorder="1"/>
    <xf numFmtId="0" fontId="0" fillId="0" borderId="26" xfId="0" applyBorder="1"/>
    <xf numFmtId="10" fontId="0" fillId="11" borderId="25" xfId="1" applyNumberFormat="1" applyFont="1" applyFill="1" applyBorder="1"/>
    <xf numFmtId="10" fontId="0" fillId="11" borderId="0" xfId="1" applyNumberFormat="1" applyFont="1" applyFill="1" applyBorder="1"/>
    <xf numFmtId="10" fontId="0" fillId="13" borderId="0" xfId="1" applyNumberFormat="1" applyFont="1" applyFill="1" applyBorder="1"/>
    <xf numFmtId="10" fontId="0" fillId="13" borderId="26" xfId="1" applyNumberFormat="1" applyFont="1" applyFill="1" applyBorder="1"/>
    <xf numFmtId="10" fontId="0" fillId="11" borderId="0" xfId="0" applyNumberFormat="1" applyFill="1"/>
    <xf numFmtId="10" fontId="0" fillId="13" borderId="26" xfId="0" applyNumberFormat="1" applyFill="1" applyBorder="1"/>
    <xf numFmtId="0" fontId="0" fillId="0" borderId="27" xfId="0" applyBorder="1"/>
    <xf numFmtId="10" fontId="0" fillId="11" borderId="28" xfId="0" applyNumberFormat="1" applyFill="1" applyBorder="1"/>
    <xf numFmtId="0" fontId="0" fillId="0" borderId="28" xfId="0" applyBorder="1"/>
    <xf numFmtId="10" fontId="0" fillId="13" borderId="29" xfId="0" applyNumberFormat="1" applyFill="1" applyBorder="1"/>
    <xf numFmtId="0" fontId="14" fillId="11" borderId="1" xfId="0" applyFont="1" applyFill="1" applyBorder="1" applyAlignment="1">
      <alignment wrapText="1"/>
    </xf>
    <xf numFmtId="0" fontId="11" fillId="12" borderId="30" xfId="0" applyFont="1" applyFill="1" applyBorder="1" applyAlignment="1">
      <alignment wrapText="1"/>
    </xf>
    <xf numFmtId="164" fontId="0" fillId="0" borderId="31" xfId="0" applyNumberFormat="1" applyBorder="1"/>
    <xf numFmtId="164" fontId="0" fillId="0" borderId="4" xfId="0" applyNumberFormat="1" applyBorder="1"/>
    <xf numFmtId="164" fontId="0" fillId="0" borderId="1" xfId="0" applyNumberFormat="1" applyBorder="1" applyAlignment="1">
      <alignment wrapText="1"/>
    </xf>
    <xf numFmtId="165" fontId="0" fillId="0" borderId="1" xfId="0" applyNumberFormat="1" applyBorder="1"/>
    <xf numFmtId="165" fontId="0" fillId="0" borderId="1" xfId="0" applyNumberFormat="1" applyBorder="1" applyAlignment="1">
      <alignment horizontal="center" vertical="center"/>
    </xf>
    <xf numFmtId="164" fontId="0" fillId="14" borderId="1" xfId="0" applyNumberFormat="1" applyFill="1" applyBorder="1"/>
    <xf numFmtId="164" fontId="0" fillId="14" borderId="1" xfId="0" applyNumberFormat="1" applyFill="1" applyBorder="1" applyAlignment="1">
      <alignment wrapText="1"/>
    </xf>
    <xf numFmtId="14" fontId="0" fillId="0" borderId="1" xfId="0" applyNumberFormat="1" applyBorder="1"/>
    <xf numFmtId="1" fontId="4" fillId="3" borderId="3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 applyProtection="1">
      <alignment horizontal="left"/>
      <protection locked="0"/>
    </xf>
    <xf numFmtId="1" fontId="0" fillId="0" borderId="0" xfId="0" applyNumberFormat="1"/>
    <xf numFmtId="0" fontId="3" fillId="3" borderId="0" xfId="0" applyFont="1" applyFill="1" applyAlignment="1">
      <alignment horizontal="left"/>
    </xf>
    <xf numFmtId="1" fontId="1" fillId="11" borderId="25" xfId="0" applyNumberFormat="1" applyFont="1" applyFill="1" applyBorder="1"/>
    <xf numFmtId="0" fontId="11" fillId="9" borderId="1" xfId="0" applyFont="1" applyFill="1" applyBorder="1" applyAlignment="1">
      <alignment wrapText="1"/>
    </xf>
    <xf numFmtId="0" fontId="11" fillId="8" borderId="1" xfId="0" applyFont="1" applyFill="1" applyBorder="1" applyAlignment="1">
      <alignment wrapText="1"/>
    </xf>
    <xf numFmtId="0" fontId="11" fillId="10" borderId="1" xfId="0" applyFont="1" applyFill="1" applyBorder="1" applyAlignment="1">
      <alignment wrapText="1"/>
    </xf>
    <xf numFmtId="0" fontId="11" fillId="11" borderId="1" xfId="0" applyFont="1" applyFill="1" applyBorder="1" applyAlignment="1">
      <alignment wrapText="1"/>
    </xf>
    <xf numFmtId="10" fontId="0" fillId="0" borderId="25" xfId="0" applyNumberFormat="1" applyBorder="1"/>
    <xf numFmtId="10" fontId="0" fillId="0" borderId="27" xfId="0" applyNumberFormat="1" applyBorder="1"/>
    <xf numFmtId="0" fontId="0" fillId="0" borderId="0" xfId="0" applyAlignment="1">
      <alignment horizontal="center" wrapText="1"/>
    </xf>
    <xf numFmtId="0" fontId="9" fillId="11" borderId="4" xfId="0" applyFont="1" applyFill="1" applyBorder="1" applyAlignment="1">
      <alignment horizontal="center" wrapText="1"/>
    </xf>
    <xf numFmtId="17" fontId="9" fillId="10" borderId="4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5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21" formatCode="dd/mmm"/>
      <fill>
        <patternFill patternType="solid">
          <fgColor indexed="64"/>
          <bgColor rgb="FFFFFFCC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21" formatCode="dd/mmm"/>
      <fill>
        <patternFill patternType="solid">
          <fgColor indexed="64"/>
          <bgColor rgb="FFFFFFCC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21" formatCode="dd/mmm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21" formatCode="dd/mmm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21" formatCode="dd/mmm"/>
      <fill>
        <patternFill patternType="solid">
          <fgColor indexed="64"/>
          <bgColor rgb="FFFFFFCC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solid">
          <fgColor indexed="64"/>
          <bgColor rgb="FFFFFFCC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4" formatCode="0.00%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4" formatCode="0.00%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4" formatCode="0.00%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4" formatCode="0.00%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4" formatCode="0.00%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4" formatCode="0.00%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numFmt numFmtId="14" formatCode="0.00%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numFmt numFmtId="14" formatCode="0.00%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numFmt numFmtId="14" formatCode="0.00%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numFmt numFmtId="14" formatCode="0.00%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numFmt numFmtId="14" formatCode="0.00%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</dxf>
    <dxf>
      <numFmt numFmtId="14" formatCode="0.00%"/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 ;\(0.00\)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21" formatCode="dd/mmm"/>
      <fill>
        <patternFill patternType="solid">
          <fgColor indexed="64"/>
          <bgColor rgb="FFFFFFCC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21" formatCode="dd/mmm"/>
      <fill>
        <patternFill patternType="solid">
          <fgColor indexed="64"/>
          <bgColor rgb="FFFFFFCC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21" formatCode="dd/mmm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21" formatCode="dd/mmm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21" formatCode="dd/mmm"/>
      <fill>
        <patternFill patternType="solid">
          <fgColor indexed="64"/>
          <bgColor rgb="FFFFFFCC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solid">
          <fgColor indexed="64"/>
          <bgColor rgb="FFFFFFCC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[Delhi Master.xlsx]Segment Dealer!PivotTable6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'Segment Dealer'!$B$55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E56-4C98-A629-D93016A597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E56-4C98-A629-D93016A597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E56-4C98-A629-D93016A597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'Segment Dealer'!$A$56:$A$59</c:f>
              <c:strCache>
                <c:ptCount val="3"/>
                <c:pt idx="0">
                  <c:v>Colony Road</c:v>
                </c:pt>
                <c:pt idx="1">
                  <c:v>Main Road</c:v>
                </c:pt>
                <c:pt idx="2">
                  <c:v>Rural Road</c:v>
                </c:pt>
              </c:strCache>
            </c:strRef>
          </c:cat>
          <c:val>
            <c:numRef>
              <c:f>'Segment Dealer'!$B$56:$B$59</c:f>
              <c:numCache>
                <c:formatCode>General</c:formatCode>
                <c:ptCount val="3"/>
                <c:pt idx="0">
                  <c:v>19</c:v>
                </c:pt>
                <c:pt idx="1">
                  <c:v>18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6-4C98-A629-D93016A597E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[Delhi Master.xlsx]Segment Dealer!PivotTable3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'Segment Dealer'!$B$48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1DA-4D34-B666-9E4B08E1D0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1DA-4D34-B666-9E4B08E1D0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1DA-4D34-B666-9E4B08E1D0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'Segment Dealer'!$A$49:$A$52</c:f>
              <c:strCache>
                <c:ptCount val="3"/>
                <c:pt idx="0">
                  <c:v>Large Size</c:v>
                </c:pt>
                <c:pt idx="1">
                  <c:v>Medium Size</c:v>
                </c:pt>
                <c:pt idx="2">
                  <c:v>Small Size</c:v>
                </c:pt>
              </c:strCache>
            </c:strRef>
          </c:cat>
          <c:val>
            <c:numRef>
              <c:f>'Segment Dealer'!$B$49:$B$52</c:f>
              <c:numCache>
                <c:formatCode>General</c:formatCode>
                <c:ptCount val="3"/>
                <c:pt idx="0">
                  <c:v>28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A-4D34-B666-9E4B08E1D0D3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3086100</xdr:colOff>
      <xdr:row>43</xdr:row>
      <xdr:rowOff>53340</xdr:rowOff>
    </xdr:from>
    <xdr:to>
      <xdr:col>6</xdr:col>
      <xdr:colOff>868680</xdr:colOff>
      <xdr:row>58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771D86-DB13-3C30-CE2B-B0E13F22A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68580</xdr:colOff>
      <xdr:row>42</xdr:row>
      <xdr:rowOff>91440</xdr:rowOff>
    </xdr:from>
    <xdr:to>
      <xdr:col>6</xdr:col>
      <xdr:colOff>1531620</xdr:colOff>
      <xdr:row>56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8CB77-587C-C3AA-47B7-87AF7298B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nav sahu (अभिनव साहू)" refreshedDate="45919.033575925925" createdVersion="8" refreshedVersion="8" minRefreshableVersion="3" recordCount="40" xr:uid="{7BFA3630-9382-4EAF-BF1A-48CE10BD8C46}">
  <cacheSource type="worksheet">
    <worksheetSource ref="A1:D41" sheet="Segment Dealer"/>
  </cacheSource>
  <cacheFields count="4">
    <cacheField name="CC NO" numFmtId="0">
      <sharedItems containsSemiMixedTypes="0" containsString="0" containsNumber="1" containsInteger="1" minValue="112385" maxValue="244458"/>
    </cacheField>
    <cacheField name="OMC" numFmtId="0">
      <sharedItems/>
    </cacheField>
    <cacheField name="NAME OF THE RO" numFmtId="0">
      <sharedItems/>
    </cacheField>
    <cacheField name="RO Size" numFmtId="0">
      <sharedItems count="3">
        <s v="Large Size"/>
        <s v="Medium Size"/>
        <s v="Small Siz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nav sahu (अभिनव साहू)" refreshedDate="45919.037254861112" createdVersion="8" refreshedVersion="8" minRefreshableVersion="3" recordCount="40" xr:uid="{61A25424-3FC3-481F-AA0E-DDDC1288033B}">
  <cacheSource type="worksheet">
    <worksheetSource ref="A1:F41" sheet="Segment Dealer"/>
  </cacheSource>
  <cacheFields count="6">
    <cacheField name="CC NO" numFmtId="0">
      <sharedItems containsSemiMixedTypes="0" containsString="0" containsNumber="1" containsInteger="1" minValue="112385" maxValue="244458"/>
    </cacheField>
    <cacheField name="OMC" numFmtId="0">
      <sharedItems/>
    </cacheField>
    <cacheField name="NAME OF THE RO" numFmtId="0">
      <sharedItems/>
    </cacheField>
    <cacheField name="RO Size" numFmtId="0">
      <sharedItems/>
    </cacheField>
    <cacheField name="Road" numFmtId="0">
      <sharedItems count="3">
        <s v="Main Road"/>
        <s v="Colony Road"/>
        <s v="Rural Road"/>
      </sharedItems>
    </cacheField>
    <cacheField name="CNG Clutter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nav sahu (अभिनव साहू)" refreshedDate="45919.054076388886" createdVersion="8" refreshedVersion="8" minRefreshableVersion="3" recordCount="40" xr:uid="{03583F57-C546-40C7-9306-E05E44253FEE}">
  <cacheSource type="worksheet">
    <worksheetSource ref="A1:G41" sheet="Segment Dealer"/>
  </cacheSource>
  <cacheFields count="7">
    <cacheField name="CC NO" numFmtId="0">
      <sharedItems containsSemiMixedTypes="0" containsString="0" containsNumber="1" containsInteger="1" minValue="112385" maxValue="244458"/>
    </cacheField>
    <cacheField name="OMC" numFmtId="0">
      <sharedItems/>
    </cacheField>
    <cacheField name="NAME OF THE RO" numFmtId="0">
      <sharedItems/>
    </cacheField>
    <cacheField name="RO Size" numFmtId="0">
      <sharedItems/>
    </cacheField>
    <cacheField name="Road" numFmtId="0">
      <sharedItems/>
    </cacheField>
    <cacheField name="CNG Cluttering" numFmtId="0">
      <sharedItems/>
    </cacheField>
    <cacheField name="Site Security" numFmtId="0">
      <sharedItems count="15">
        <s v="DD&amp;A"/>
        <s v="Private Land Third Party"/>
        <s v="DC Site"/>
        <s v="DUSIB"/>
        <s v="Private Land- Dealer cum LL"/>
        <s v="L&amp;DO"/>
        <s v="MCD"/>
        <s v="DTTDC"/>
        <s v="Private Land, Land Lord Not tracebale, Lease not Valid"/>
        <s v="Private Land till 2034- Third Party" u="1"/>
        <s v="Private Land -Dealer cum LL, Court case for eviction going on in trial court" u="1"/>
        <s v="Private Land- Third Party" u="1"/>
        <s v="Private Land, Dealer Cum LL" u="1"/>
        <s v="Private Land , Dealer Cum LL" u="1"/>
        <s v="Private Lan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12420"/>
    <s v="BPC"/>
    <s v="M.L.SETHI SERVICE STATION"/>
    <x v="0"/>
  </r>
  <r>
    <n v="163708"/>
    <s v="BPC"/>
    <s v="SAI FILLING STATION"/>
    <x v="0"/>
  </r>
  <r>
    <n v="244458"/>
    <s v="BPC"/>
    <s v="KAMLA FULES &amp; MOTORS"/>
    <x v="0"/>
  </r>
  <r>
    <n v="112458"/>
    <s v="BPC"/>
    <s v="VAIBHAV FILLING STATION"/>
    <x v="0"/>
  </r>
  <r>
    <n v="112390"/>
    <s v="BPC"/>
    <s v="AUTO CARE"/>
    <x v="0"/>
  </r>
  <r>
    <n v="112386"/>
    <s v="BPC"/>
    <s v="ANIL FILLING STATION"/>
    <x v="0"/>
  </r>
  <r>
    <n v="112419"/>
    <s v="BPC"/>
    <s v="LINK ROAD PETROL S.STN."/>
    <x v="0"/>
  </r>
  <r>
    <n v="112402"/>
    <s v="BPC"/>
    <s v="GANPATI FILLING STATION"/>
    <x v="0"/>
  </r>
  <r>
    <n v="112414"/>
    <s v="BPC"/>
    <s v="KARTIK AUTO CENTRE"/>
    <x v="0"/>
  </r>
  <r>
    <n v="112450"/>
    <s v="BPC"/>
    <s v="SHANKAR FILLING STATION"/>
    <x v="0"/>
  </r>
  <r>
    <n v="148413"/>
    <s v="BPC"/>
    <s v="JALVAYU FILLING STATION"/>
    <x v="1"/>
  </r>
  <r>
    <n v="147286"/>
    <s v="BPC"/>
    <s v="FAST TRACK FILLING STATION"/>
    <x v="1"/>
  </r>
  <r>
    <n v="112415"/>
    <s v="BPC"/>
    <s v="KIRTI NANAK FILLING STN."/>
    <x v="2"/>
  </r>
  <r>
    <n v="200922"/>
    <s v="BPC"/>
    <s v="BP GOLDEN PARK {Veejay (ADHOC)(188247)}"/>
    <x v="0"/>
  </r>
  <r>
    <n v="112418"/>
    <s v="BPC"/>
    <s v="LINK ROAD PETROL F.STN."/>
    <x v="0"/>
  </r>
  <r>
    <n v="144329"/>
    <s v="BPC"/>
    <s v="GARG ROAD LINES"/>
    <x v="0"/>
  </r>
  <r>
    <n v="112440"/>
    <s v="BPC"/>
    <s v="RAIZADA MOTORS"/>
    <x v="0"/>
  </r>
  <r>
    <n v="136152"/>
    <s v="BPC"/>
    <s v="SANJEEV FILLING STATION"/>
    <x v="1"/>
  </r>
  <r>
    <n v="112422"/>
    <s v="BPC"/>
    <s v="MANN SERVICE STATION"/>
    <x v="0"/>
  </r>
  <r>
    <n v="112424"/>
    <s v="BPC"/>
    <s v="MOBILE CENTRE"/>
    <x v="2"/>
  </r>
  <r>
    <n v="112385"/>
    <s v="BPC"/>
    <s v="ANAND SUPER SEVICE STN."/>
    <x v="0"/>
  </r>
  <r>
    <n v="112438"/>
    <s v="BPC"/>
    <s v="R.N.MOTORS"/>
    <x v="0"/>
  </r>
  <r>
    <n v="112431"/>
    <s v="BPC"/>
    <s v="NEW HARYANA SERVICE STN"/>
    <x v="0"/>
  </r>
  <r>
    <n v="198868"/>
    <s v="BPC"/>
    <s v="BHARAT FILING STN (KANWAR &amp; CO. (ADHOC-192323)"/>
    <x v="2"/>
  </r>
  <r>
    <n v="112456"/>
    <s v="BPC"/>
    <s v="SYALL SERVICE STATION"/>
    <x v="0"/>
  </r>
  <r>
    <n v="198751"/>
    <s v="BPC"/>
    <s v="MAHADEV FILLING STATION (TRIYAMJIT ENERGIES (ADHOC- 192371) "/>
    <x v="0"/>
  </r>
  <r>
    <n v="112417"/>
    <s v="BPC"/>
    <s v="LAXMI FILLING STATION"/>
    <x v="2"/>
  </r>
  <r>
    <n v="112407"/>
    <s v="BPC"/>
    <s v="JAGDISH FILLING STATION"/>
    <x v="2"/>
  </r>
  <r>
    <n v="168006"/>
    <s v="BPC"/>
    <s v="GREEN HEART FILLING STATION"/>
    <x v="0"/>
  </r>
  <r>
    <n v="112439"/>
    <s v="BPC"/>
    <s v="R.S.BHOLA RAM &amp; SONS"/>
    <x v="1"/>
  </r>
  <r>
    <n v="112448"/>
    <s v="BPC"/>
    <s v="SAKSHAM MOTORS"/>
    <x v="0"/>
  </r>
  <r>
    <n v="128472"/>
    <s v="BPC"/>
    <s v="SHAURYA BHUSHAN FILLING STATION"/>
    <x v="1"/>
  </r>
  <r>
    <n v="151186"/>
    <s v="BPC"/>
    <s v="BHAGWATI FILLING STATION"/>
    <x v="0"/>
  </r>
  <r>
    <n v="112446"/>
    <s v="BPC"/>
    <s v="ROHINI FILLING STATION"/>
    <x v="2"/>
  </r>
  <r>
    <n v="131712"/>
    <s v="BPC"/>
    <s v="VIJAY AGRO CENTRE"/>
    <x v="0"/>
  </r>
  <r>
    <n v="244099"/>
    <s v="BPC"/>
    <s v="Syall Service Station ADHOC (WELCOME AUTOS CC112465)"/>
    <x v="2"/>
  </r>
  <r>
    <n v="112461"/>
    <s v="BPC"/>
    <s v="VEEJAY SERVICE STATION"/>
    <x v="0"/>
  </r>
  <r>
    <n v="112442"/>
    <s v="BPC"/>
    <s v="RAJINDER SERVICE STATION"/>
    <x v="0"/>
  </r>
  <r>
    <n v="167171"/>
    <s v="BPC"/>
    <s v="KRISHNA FILLING STATION"/>
    <x v="0"/>
  </r>
  <r>
    <n v="127090"/>
    <s v="BPC"/>
    <s v="SAHAS FILLING STATION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12420"/>
    <s v="BPC"/>
    <s v="M.L.SETHI SERVICE STATION"/>
    <s v="Large Size"/>
    <x v="0"/>
    <s v="Yes"/>
  </r>
  <r>
    <n v="163708"/>
    <s v="BPC"/>
    <s v="SAI FILLING STATION"/>
    <s v="Large Size"/>
    <x v="0"/>
    <s v="NO"/>
  </r>
  <r>
    <n v="244458"/>
    <s v="BPC"/>
    <s v="KAMLA FULES &amp; MOTORS"/>
    <s v="Large Size"/>
    <x v="0"/>
    <s v="NO"/>
  </r>
  <r>
    <n v="112458"/>
    <s v="BPC"/>
    <s v="VAIBHAV FILLING STATION"/>
    <s v="Large Size"/>
    <x v="1"/>
    <s v="Yes"/>
  </r>
  <r>
    <n v="112390"/>
    <s v="BPC"/>
    <s v="AUTO CARE"/>
    <s v="Large Size"/>
    <x v="1"/>
    <s v="Yes"/>
  </r>
  <r>
    <n v="112386"/>
    <s v="BPC"/>
    <s v="ANIL FILLING STATION"/>
    <s v="Large Size"/>
    <x v="1"/>
    <s v="Yes"/>
  </r>
  <r>
    <n v="112419"/>
    <s v="BPC"/>
    <s v="LINK ROAD PETROL S.STN."/>
    <s v="Large Size"/>
    <x v="0"/>
    <m/>
  </r>
  <r>
    <n v="112402"/>
    <s v="BPC"/>
    <s v="GANPATI FILLING STATION"/>
    <s v="Large Size"/>
    <x v="1"/>
    <s v="Yes"/>
  </r>
  <r>
    <n v="112414"/>
    <s v="BPC"/>
    <s v="KARTIK AUTO CENTRE"/>
    <s v="Large Size"/>
    <x v="0"/>
    <s v="Yes"/>
  </r>
  <r>
    <n v="112450"/>
    <s v="BPC"/>
    <s v="SHANKAR FILLING STATION"/>
    <s v="Large Size"/>
    <x v="1"/>
    <s v="NO"/>
  </r>
  <r>
    <n v="148413"/>
    <s v="BPC"/>
    <s v="JALVAYU FILLING STATION"/>
    <s v="Medium Size"/>
    <x v="1"/>
    <s v="NO"/>
  </r>
  <r>
    <n v="147286"/>
    <s v="BPC"/>
    <s v="FAST TRACK FILLING STATION"/>
    <s v="Medium Size"/>
    <x v="1"/>
    <s v="NO"/>
  </r>
  <r>
    <n v="112415"/>
    <s v="BPC"/>
    <s v="KIRTI NANAK FILLING STN."/>
    <s v="Small Size"/>
    <x v="1"/>
    <s v="NO"/>
  </r>
  <r>
    <n v="200922"/>
    <s v="BPC"/>
    <s v="BP GOLDEN PARK {Veejay (ADHOC)(188247)}"/>
    <s v="Large Size"/>
    <x v="0"/>
    <s v="Yes"/>
  </r>
  <r>
    <n v="112418"/>
    <s v="BPC"/>
    <s v="LINK ROAD PETROL F.STN."/>
    <s v="Large Size"/>
    <x v="0"/>
    <s v="NO"/>
  </r>
  <r>
    <n v="144329"/>
    <s v="BPC"/>
    <s v="GARG ROAD LINES"/>
    <s v="Large Size"/>
    <x v="0"/>
    <s v="NO"/>
  </r>
  <r>
    <n v="112440"/>
    <s v="BPC"/>
    <s v="RAIZADA MOTORS"/>
    <s v="Large Size"/>
    <x v="1"/>
    <s v="Yes"/>
  </r>
  <r>
    <n v="136152"/>
    <s v="BPC"/>
    <s v="SANJEEV FILLING STATION"/>
    <s v="Medium Size"/>
    <x v="1"/>
    <s v="NO"/>
  </r>
  <r>
    <n v="112422"/>
    <s v="BPC"/>
    <s v="MANN SERVICE STATION"/>
    <s v="Large Size"/>
    <x v="0"/>
    <s v="Yes"/>
  </r>
  <r>
    <n v="112424"/>
    <s v="BPC"/>
    <s v="MOBILE CENTRE"/>
    <s v="Small Size"/>
    <x v="1"/>
    <s v="NO"/>
  </r>
  <r>
    <n v="112385"/>
    <s v="BPC"/>
    <s v="ANAND SUPER SEVICE STN."/>
    <s v="Large Size"/>
    <x v="1"/>
    <s v="NO"/>
  </r>
  <r>
    <n v="112438"/>
    <s v="BPC"/>
    <s v="R.N.MOTORS"/>
    <s v="Large Size"/>
    <x v="0"/>
    <s v="Yes"/>
  </r>
  <r>
    <n v="112431"/>
    <s v="BPC"/>
    <s v="NEW HARYANA SERVICE STN"/>
    <s v="Large Size"/>
    <x v="0"/>
    <s v="NO"/>
  </r>
  <r>
    <n v="198868"/>
    <s v="BPC"/>
    <s v="BHARAT FILING STN (KANWAR &amp; CO. (ADHOC-192323)"/>
    <s v="Small Size"/>
    <x v="0"/>
    <s v="NO"/>
  </r>
  <r>
    <n v="112456"/>
    <s v="BPC"/>
    <s v="SYALL SERVICE STATION"/>
    <s v="Large Size"/>
    <x v="0"/>
    <s v="Yes"/>
  </r>
  <r>
    <n v="198751"/>
    <s v="BPC"/>
    <s v="MAHADEV FILLING STATION (TRIYAMJIT ENERGIES (ADHOC- 192371) "/>
    <s v="Large Size"/>
    <x v="2"/>
    <s v="NO"/>
  </r>
  <r>
    <n v="112417"/>
    <s v="BPC"/>
    <s v="LAXMI FILLING STATION"/>
    <s v="Small Size"/>
    <x v="1"/>
    <s v="NO"/>
  </r>
  <r>
    <n v="112407"/>
    <s v="BPC"/>
    <s v="JAGDISH FILLING STATION"/>
    <s v="Small Size"/>
    <x v="1"/>
    <s v="NO"/>
  </r>
  <r>
    <n v="168006"/>
    <s v="BPC"/>
    <s v="GREEN HEART FILLING STATION"/>
    <s v="Large Size"/>
    <x v="2"/>
    <s v="NO"/>
  </r>
  <r>
    <n v="112439"/>
    <s v="BPC"/>
    <s v="R.S.BHOLA RAM &amp; SONS"/>
    <s v="Medium Size"/>
    <x v="0"/>
    <s v="NO"/>
  </r>
  <r>
    <n v="112448"/>
    <s v="BPC"/>
    <s v="SAKSHAM MOTORS"/>
    <s v="Large Size"/>
    <x v="1"/>
    <s v="NO"/>
  </r>
  <r>
    <n v="128472"/>
    <s v="BPC"/>
    <s v="SHAURYA BHUSHAN FILLING STATION"/>
    <s v="Medium Size"/>
    <x v="1"/>
    <s v="Yes"/>
  </r>
  <r>
    <n v="151186"/>
    <s v="BPC"/>
    <s v="BHAGWATI FILLING STATION"/>
    <s v="Large Size"/>
    <x v="2"/>
    <s v="NO"/>
  </r>
  <r>
    <n v="112446"/>
    <s v="BPC"/>
    <s v="ROHINI FILLING STATION"/>
    <s v="Small Size"/>
    <x v="1"/>
    <s v="NO"/>
  </r>
  <r>
    <n v="131712"/>
    <s v="BPC"/>
    <s v="VIJAY AGRO CENTRE"/>
    <s v="Large Size"/>
    <x v="0"/>
    <s v="NO"/>
  </r>
  <r>
    <n v="244099"/>
    <s v="BPC"/>
    <s v="Syall Service Station ADHOC (WELCOME AUTOS CC112465)"/>
    <s v="Small Size"/>
    <x v="1"/>
    <s v="NO"/>
  </r>
  <r>
    <n v="112461"/>
    <s v="BPC"/>
    <s v="VEEJAY SERVICE STATION"/>
    <s v="Large Size"/>
    <x v="0"/>
    <s v="NO"/>
  </r>
  <r>
    <n v="112442"/>
    <s v="BPC"/>
    <s v="RAJINDER SERVICE STATION"/>
    <s v="Large Size"/>
    <x v="0"/>
    <s v="Yes"/>
  </r>
  <r>
    <n v="167171"/>
    <s v="BPC"/>
    <s v="KRISHNA FILLING STATION"/>
    <s v="Large Size"/>
    <x v="0"/>
    <s v="Yes"/>
  </r>
  <r>
    <n v="127090"/>
    <s v="BPC"/>
    <s v="SAHAS FILLING STATION"/>
    <s v="Large Size"/>
    <x v="1"/>
    <s v="N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12420"/>
    <s v="BPC"/>
    <s v="M.L.SETHI SERVICE STATION"/>
    <s v="Large Size"/>
    <s v="Main Road"/>
    <s v="Yes"/>
    <x v="0"/>
  </r>
  <r>
    <n v="163708"/>
    <s v="BPC"/>
    <s v="SAI FILLING STATION"/>
    <s v="Large Size"/>
    <s v="Main Road"/>
    <s v="NO"/>
    <x v="1"/>
  </r>
  <r>
    <n v="244458"/>
    <s v="BPC"/>
    <s v="KAMLA FULES &amp; MOTORS"/>
    <s v="Large Size"/>
    <s v="Main Road"/>
    <s v="NO"/>
    <x v="2"/>
  </r>
  <r>
    <n v="112458"/>
    <s v="BPC"/>
    <s v="VAIBHAV FILLING STATION"/>
    <s v="Large Size"/>
    <s v="Colony Road"/>
    <s v="Yes"/>
    <x v="0"/>
  </r>
  <r>
    <n v="112390"/>
    <s v="BPC"/>
    <s v="AUTO CARE"/>
    <s v="Large Size"/>
    <s v="Colony Road"/>
    <s v="Yes"/>
    <x v="3"/>
  </r>
  <r>
    <n v="112386"/>
    <s v="BPC"/>
    <s v="ANIL FILLING STATION"/>
    <s v="Large Size"/>
    <s v="Colony Road"/>
    <s v="Yes"/>
    <x v="0"/>
  </r>
  <r>
    <n v="112419"/>
    <s v="BPC"/>
    <s v="LINK ROAD PETROL S.STN."/>
    <s v="Large Size"/>
    <s v="Main Road"/>
    <s v="NO"/>
    <x v="0"/>
  </r>
  <r>
    <n v="112402"/>
    <s v="BPC"/>
    <s v="GANPATI FILLING STATION"/>
    <s v="Large Size"/>
    <s v="Colony Road"/>
    <s v="Yes"/>
    <x v="0"/>
  </r>
  <r>
    <n v="112414"/>
    <s v="BPC"/>
    <s v="KARTIK AUTO CENTRE"/>
    <s v="Large Size"/>
    <s v="Main Road"/>
    <s v="Yes"/>
    <x v="0"/>
  </r>
  <r>
    <n v="112450"/>
    <s v="BPC"/>
    <s v="SHANKAR FILLING STATION"/>
    <s v="Large Size"/>
    <s v="Colony Road"/>
    <s v="NO"/>
    <x v="0"/>
  </r>
  <r>
    <n v="148413"/>
    <s v="BPC"/>
    <s v="JALVAYU FILLING STATION"/>
    <s v="Medium Size"/>
    <s v="Colony Road"/>
    <s v="NO"/>
    <x v="0"/>
  </r>
  <r>
    <n v="147286"/>
    <s v="BPC"/>
    <s v="FAST TRACK FILLING STATION"/>
    <s v="Medium Size"/>
    <s v="Colony Road"/>
    <s v="NO"/>
    <x v="0"/>
  </r>
  <r>
    <n v="112415"/>
    <s v="BPC"/>
    <s v="KIRTI NANAK FILLING STN."/>
    <s v="Small Size"/>
    <s v="Colony Road"/>
    <s v="NO"/>
    <x v="0"/>
  </r>
  <r>
    <n v="200922"/>
    <s v="BPC"/>
    <s v="BP GOLDEN PARK {Veejay (ADHOC)(188247)}"/>
    <s v="Large Size"/>
    <s v="Main Road"/>
    <s v="Yes"/>
    <x v="0"/>
  </r>
  <r>
    <n v="112418"/>
    <s v="BPC"/>
    <s v="LINK ROAD PETROL F.STN."/>
    <s v="Large Size"/>
    <s v="Main Road"/>
    <s v="NO"/>
    <x v="0"/>
  </r>
  <r>
    <n v="144329"/>
    <s v="BPC"/>
    <s v="GARG ROAD LINES"/>
    <s v="Large Size"/>
    <s v="Main Road"/>
    <s v="NO"/>
    <x v="4"/>
  </r>
  <r>
    <n v="112440"/>
    <s v="BPC"/>
    <s v="RAIZADA MOTORS"/>
    <s v="Large Size"/>
    <s v="Colony Road"/>
    <s v="Yes"/>
    <x v="0"/>
  </r>
  <r>
    <n v="136152"/>
    <s v="BPC"/>
    <s v="SANJEEV FILLING STATION"/>
    <s v="Medium Size"/>
    <s v="Colony Road"/>
    <s v="NO"/>
    <x v="0"/>
  </r>
  <r>
    <n v="112422"/>
    <s v="BPC"/>
    <s v="MANN SERVICE STATION"/>
    <s v="Large Size"/>
    <s v="Main Road"/>
    <s v="Yes"/>
    <x v="0"/>
  </r>
  <r>
    <n v="112424"/>
    <s v="BPC"/>
    <s v="MOBILE CENTRE"/>
    <s v="Small Size"/>
    <s v="Colony Road"/>
    <s v="NO"/>
    <x v="5"/>
  </r>
  <r>
    <n v="112385"/>
    <s v="BPC"/>
    <s v="ANAND SUPER SEVICE STN."/>
    <s v="Large Size"/>
    <s v="Colony Road"/>
    <s v="NO"/>
    <x v="5"/>
  </r>
  <r>
    <n v="112438"/>
    <s v="BPC"/>
    <s v="R.N.MOTORS"/>
    <s v="Large Size"/>
    <s v="Main Road"/>
    <s v="Yes"/>
    <x v="0"/>
  </r>
  <r>
    <n v="112431"/>
    <s v="BPC"/>
    <s v="NEW HARYANA SERVICE STN"/>
    <s v="Large Size"/>
    <s v="Main Road"/>
    <s v="NO"/>
    <x v="4"/>
  </r>
  <r>
    <n v="198868"/>
    <s v="BPC"/>
    <s v="BHARAT FILING STN (KANWAR &amp; CO. (ADHOC-192323)"/>
    <s v="Small Size"/>
    <s v="Main Road"/>
    <s v="NO"/>
    <x v="6"/>
  </r>
  <r>
    <n v="112456"/>
    <s v="BPC"/>
    <s v="SYALL SERVICE STATION"/>
    <s v="Large Size"/>
    <s v="Main Road"/>
    <s v="Yes"/>
    <x v="0"/>
  </r>
  <r>
    <n v="198751"/>
    <s v="BPC"/>
    <s v="MAHADEV FILLING STATION (TRIYAMJIT ENERGIES (ADHOC- 192371) "/>
    <s v="Large Size"/>
    <s v="Rural Road"/>
    <s v="NO"/>
    <x v="1"/>
  </r>
  <r>
    <n v="112417"/>
    <s v="BPC"/>
    <s v="LAXMI FILLING STATION"/>
    <s v="Small Size"/>
    <s v="Colony Road"/>
    <s v="NO"/>
    <x v="0"/>
  </r>
  <r>
    <n v="112407"/>
    <s v="BPC"/>
    <s v="JAGDISH FILLING STATION"/>
    <s v="Small Size"/>
    <s v="Colony Road"/>
    <s v="NO"/>
    <x v="0"/>
  </r>
  <r>
    <n v="168006"/>
    <s v="BPC"/>
    <s v="GREEN HEART FILLING STATION"/>
    <s v="Large Size"/>
    <s v="Rural Road"/>
    <s v="NO"/>
    <x v="4"/>
  </r>
  <r>
    <n v="112439"/>
    <s v="BPC"/>
    <s v="R.S.BHOLA RAM &amp; SONS"/>
    <s v="Medium Size"/>
    <s v="Main Road"/>
    <s v="NO"/>
    <x v="5"/>
  </r>
  <r>
    <n v="112448"/>
    <s v="BPC"/>
    <s v="SAKSHAM MOTORS"/>
    <s v="Large Size"/>
    <s v="Colony Road"/>
    <s v=" "/>
    <x v="0"/>
  </r>
  <r>
    <n v="128472"/>
    <s v="BPC"/>
    <s v="SHAURYA BHUSHAN FILLING STATION"/>
    <s v="Medium Size"/>
    <s v="Colony Road"/>
    <s v="Yes"/>
    <x v="0"/>
  </r>
  <r>
    <n v="151186"/>
    <s v="BPC"/>
    <s v="BHAGWATI FILLING STATION"/>
    <s v="Large Size"/>
    <s v="Rural Road"/>
    <s v="NO"/>
    <x v="4"/>
  </r>
  <r>
    <n v="112446"/>
    <s v="BPC"/>
    <s v="ROHINI FILLING STATION"/>
    <s v="Small Size"/>
    <s v="Colony Road"/>
    <s v="NO"/>
    <x v="0"/>
  </r>
  <r>
    <n v="131712"/>
    <s v="BPC"/>
    <s v="VIJAY AGRO CENTRE"/>
    <s v="Large Size"/>
    <s v="Main Road"/>
    <s v="NO"/>
    <x v="7"/>
  </r>
  <r>
    <n v="244099"/>
    <s v="BPC"/>
    <s v="Syall Service Station ADHOC (WELCOME AUTOS CC112465)"/>
    <s v="Small Size"/>
    <s v="Colony Road"/>
    <s v="NO"/>
    <x v="0"/>
  </r>
  <r>
    <n v="112461"/>
    <s v="BPC"/>
    <s v="VEEJAY SERVICE STATION"/>
    <s v="Large Size"/>
    <s v="Main Road"/>
    <s v="NO"/>
    <x v="8"/>
  </r>
  <r>
    <n v="112442"/>
    <s v="BPC"/>
    <s v="RAJINDER SERVICE STATION"/>
    <s v="Large Size"/>
    <s v="Main Road"/>
    <s v="Yes"/>
    <x v="1"/>
  </r>
  <r>
    <n v="167171"/>
    <s v="BPC"/>
    <s v="KRISHNA FILLING STATION"/>
    <s v="Large Size"/>
    <s v="Main Road"/>
    <s v="Yes"/>
    <x v="5"/>
  </r>
  <r>
    <n v="127090"/>
    <s v="BPC"/>
    <s v="SAHAS FILLING STATION"/>
    <s v="Large Size"/>
    <s v="Colony Road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7ADE7-DC5E-4E16-8E98-C93F1273C40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Plot Size">
  <location ref="A48:B52" firstHeaderRow="1" firstDataRow="1" firstDataCol="1"/>
  <pivotFields count="4"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ebr of ROs" fld="2" subtotal="count" baseField="3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F6CF6-0228-48DA-A921-96231CDBE63A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nd Ownership Type">
  <location ref="A62:B72" firstHeaderRow="1" firstDataRow="1" firstDataCol="1"/>
  <pivotFields count="7">
    <pivotField showAll="0"/>
    <pivotField showAll="0"/>
    <pivotField dataField="1" showAll="0"/>
    <pivotField showAll="0"/>
    <pivotField showAll="0"/>
    <pivotField showAll="0"/>
    <pivotField axis="axisRow" showAll="0">
      <items count="16">
        <item x="2"/>
        <item x="0"/>
        <item x="7"/>
        <item x="3"/>
        <item x="5"/>
        <item x="6"/>
        <item m="1" x="14"/>
        <item m="1" x="13"/>
        <item x="4"/>
        <item m="1" x="10"/>
        <item m="1" x="11"/>
        <item m="1" x="9"/>
        <item m="1" x="12"/>
        <item x="8"/>
        <item x="1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8"/>
    </i>
    <i>
      <x v="13"/>
    </i>
    <i>
      <x v="14"/>
    </i>
    <i t="grand">
      <x/>
    </i>
  </rowItems>
  <colItems count="1">
    <i/>
  </colItems>
  <dataFields count="1">
    <dataField name="Number of ROs" fld="2" subtotal="count" baseField="6" baseItem="0"/>
  </dataFields>
  <formats count="12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6" type="button" dataOnly="0" labelOnly="1" outline="0" axis="axisRow" fieldPosition="0"/>
    </format>
    <format dxfId="58">
      <pivotArea dataOnly="0" labelOnly="1" fieldPosition="0">
        <references count="1">
          <reference field="6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6" type="button" dataOnly="0" labelOnly="1" outline="0" axis="axisRow" fieldPosition="0"/>
    </format>
    <format dxfId="52">
      <pivotArea dataOnly="0" labelOnly="1" fieldPosition="0">
        <references count="1">
          <reference field="6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E6DBC-7F7B-4C39-AF52-109971C3F9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Types of Road">
  <location ref="A55:B59" firstHeaderRow="1" firstDataRow="1" firstDataCol="1"/>
  <pivotFields count="6">
    <pivotField showAll="0"/>
    <pivotField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ebr of ROs" fld="2" subtotal="count" baseField="4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25E55-7A0D-4462-B3A1-11CF02743DED}" name="Table1" displayName="Table1" ref="A1:CQ398" totalsRowShown="0" headerRowDxfId="154" tableBorderDxfId="153">
  <autoFilter ref="A1:CQ398" xr:uid="{F38D7513-5BC9-4130-BEEA-6C46D0F3712C}"/>
  <tableColumns count="95">
    <tableColumn id="1" xr3:uid="{4A2E85DD-5719-4D88-A1E0-8CF851A26FDB}" name="CC NO" dataDxfId="152"/>
    <tableColumn id="2" xr3:uid="{5DA8B092-FEA0-4222-BF3A-DBF9203C1020}" name="OMC" dataDxfId="151"/>
    <tableColumn id="3" xr3:uid="{2F94DA0F-5124-4140-A8C1-A33563ACA590}" name="NAME OF THE RO" dataDxfId="150"/>
    <tableColumn id="4" xr3:uid="{8866A80C-99E7-4585-B302-C5C63C7829BB}" name="LOCATION" dataDxfId="149"/>
    <tableColumn id="5" xr3:uid="{C808098A-E1C9-4D80-80DC-D4BD703A923D}" name="DISTT" dataDxfId="148"/>
    <tableColumn id="6" xr3:uid="{1FA6CEBE-1419-4218-A68B-7E19E506BFFD}" name="Trading Area for Dealers" dataDxfId="147"/>
    <tableColumn id="7" xr3:uid="{2AFE801A-E2D4-4CCE-8163-412E4C7FE001}" name="Trading Area" dataDxfId="146"/>
    <tableColumn id="8" xr3:uid="{5CD26ACD-0C86-4BDB-A14F-D3F3FC0827F9}" name="Bigger Trading Area" dataDxfId="145"/>
    <tableColumn id="9" xr3:uid="{BF367DDB-50FD-4613-8690-82309A5206FA}" name="SO Name" dataDxfId="144"/>
    <tableColumn id="10" xr3:uid="{F79C62B1-98EA-413B-9E5C-7616C302FF07}" name="MS0424" dataDxfId="143"/>
    <tableColumn id="11" xr3:uid="{FDF00F6A-6FE9-4EFE-9711-48448A2AEA01}" name="MS-0425" dataDxfId="142"/>
    <tableColumn id="12" xr3:uid="{B52809F3-9013-450D-98AD-BC18B687B772}" name="HSD-0424" dataDxfId="141"/>
    <tableColumn id="13" xr3:uid="{CF3C4DDC-1F12-41F2-A157-7038903C9177}" name="HSD-0425" dataDxfId="140"/>
    <tableColumn id="14" xr3:uid="{E843D51D-1F05-4F6C-BFF7-AA671A887BBE}" name="MS-0524" dataDxfId="139"/>
    <tableColumn id="15" xr3:uid="{10D65378-59E8-4E5B-9820-2905B34065FF}" name="MS-0525" dataDxfId="138"/>
    <tableColumn id="16" xr3:uid="{6A379933-5720-45D3-B75D-5BA1F4CEA829}" name="HSD-0524" dataDxfId="137"/>
    <tableColumn id="17" xr3:uid="{6DE4AA3E-F670-40DD-9762-C5CC7E6303D9}" name="HSD-0525" dataDxfId="136"/>
    <tableColumn id="18" xr3:uid="{B9E256DD-7394-45D8-89DC-6B3207EA2132}" name="MS-0625" dataDxfId="135"/>
    <tableColumn id="19" xr3:uid="{5BB0FFB1-031E-4425-A915-26CA53B2E01D}" name="MS-0624" dataDxfId="134"/>
    <tableColumn id="20" xr3:uid="{86830EC4-BE9D-4F48-8B26-FEFF645E3FD8}" name="HSD-0624" dataDxfId="133"/>
    <tableColumn id="21" xr3:uid="{691BD93E-72C1-42E6-BCD6-176E34A51E04}" name="HSD-0625" dataDxfId="132"/>
    <tableColumn id="22" xr3:uid="{E202DE52-37F3-4D6D-B16A-3D0B1B156813}" name="MS-0725" dataDxfId="131"/>
    <tableColumn id="23" xr3:uid="{F545EBB5-9AA0-49EF-BF51-2FCDBCFB671B}" name="MS-0724" dataDxfId="130"/>
    <tableColumn id="24" xr3:uid="{5CA3D2AA-15B3-4702-9F17-BCB9B635CDB4}" name="HSD-0725" dataDxfId="129"/>
    <tableColumn id="25" xr3:uid="{F429D5F0-A355-4F50-9153-23B7E98E10BC}" name="HSD-0724" dataDxfId="128"/>
    <tableColumn id="26" xr3:uid="{1C86757C-F11B-46C4-801F-7351B43141B8}" name="MS-0825" dataDxfId="127"/>
    <tableColumn id="27" xr3:uid="{F72208E0-38BC-4C43-AA9A-3B642FBB9672}" name="MS-0824" dataDxfId="126"/>
    <tableColumn id="28" xr3:uid="{A7A823A3-7CC7-4700-AB71-4D380164E579}" name="HSD-0825" dataDxfId="125"/>
    <tableColumn id="29" xr3:uid="{4395C6C7-1712-4FF3-BA1E-19E2103F61A1}" name="HSD-0824" dataDxfId="124"/>
    <tableColumn id="30" xr3:uid="{614BA382-8FF4-4C67-8428-3E331D727569}" name="MS-0925" dataDxfId="123"/>
    <tableColumn id="31" xr3:uid="{5AC188F3-9499-4DC2-8760-2B1C52336CDF}" name="MS-0924" dataDxfId="122"/>
    <tableColumn id="32" xr3:uid="{F1ADCE5B-EA83-42C8-87C5-EF874178EA16}" name="HSD-0925" dataDxfId="121"/>
    <tableColumn id="33" xr3:uid="{AA2FD022-4C68-4B58-AFD7-2ADD9D050417}" name="HSD-0924" dataDxfId="120"/>
    <tableColumn id="34" xr3:uid="{0510F276-68C2-402D-A786-87763A6AA2DB}" name="MS-1025" dataDxfId="119"/>
    <tableColumn id="35" xr3:uid="{D714E582-47F4-4AC9-8A15-9A3A2CFAD19D}" name="MS-1024" dataDxfId="118"/>
    <tableColumn id="36" xr3:uid="{D3FAB137-854E-4319-B5B5-6815C6794F42}" name="HSD-1025" dataDxfId="117"/>
    <tableColumn id="37" xr3:uid="{71A9CC01-BE17-4D8B-A4BA-D7700248BB6F}" name="HSD-1024" dataDxfId="116"/>
    <tableColumn id="38" xr3:uid="{68775846-866F-4F3B-BDF8-7EA73ED1D159}" name="MS-1125" dataDxfId="115"/>
    <tableColumn id="39" xr3:uid="{FB5D3734-45B2-487E-9DAC-C74D9657581A}" name="MS-1124" dataDxfId="114"/>
    <tableColumn id="40" xr3:uid="{12FFC6EC-81C5-4D16-9408-3C88970A7C89}" name="HSD-1125" dataDxfId="113"/>
    <tableColumn id="41" xr3:uid="{F853EA3A-74F9-47D9-B069-34DC66D30EE1}" name="HSD-1124" dataDxfId="112"/>
    <tableColumn id="42" xr3:uid="{B79F7D88-8A17-4810-8AD8-61B93AA75F8F}" name="MS-1225" dataDxfId="111"/>
    <tableColumn id="43" xr3:uid="{DBBF2663-FA54-44CA-BEAA-CEA7334BD357}" name="MS-1224" dataDxfId="110"/>
    <tableColumn id="44" xr3:uid="{76244888-3E52-4B18-AA8C-0B999CB102F3}" name="HSD-1225" dataDxfId="109"/>
    <tableColumn id="45" xr3:uid="{80B9A0A6-5484-4E69-A2E4-957CA91639A5}" name="HSD-1224" dataDxfId="108"/>
    <tableColumn id="46" xr3:uid="{3D97E68C-8AC5-4300-A04C-406914850171}" name="MS-0126" dataDxfId="107"/>
    <tableColumn id="47" xr3:uid="{6245CB8E-0E0D-4EA8-9744-FD3885FA0A86}" name="MS-0125" dataDxfId="106"/>
    <tableColumn id="48" xr3:uid="{25E54B33-0526-42FF-9005-728968D84572}" name="HSD-0126" dataDxfId="105"/>
    <tableColumn id="49" xr3:uid="{BFEFA0E3-A34D-4381-9D7B-1BEBAB919A82}" name="HSD-0125" dataDxfId="104"/>
    <tableColumn id="50" xr3:uid="{D5B6A4CD-30CB-4C4B-BE37-AD99B0FA369F}" name="MS-0226" dataDxfId="103"/>
    <tableColumn id="51" xr3:uid="{67882216-78B1-414B-9DBB-62E5D21F9F18}" name="MS-0225" dataDxfId="102"/>
    <tableColumn id="52" xr3:uid="{F2681DAB-F6C8-4BCA-B0DD-8D29D5A4B77B}" name="HSD-0226" dataDxfId="101"/>
    <tableColumn id="53" xr3:uid="{DA5AA763-00A4-4468-9A28-D84862ABD74D}" name="HSD-0225" dataDxfId="100"/>
    <tableColumn id="54" xr3:uid="{F4DB3351-B6F6-4801-9FA5-E5CA82205EB1}" name="MS-0326" dataDxfId="99"/>
    <tableColumn id="55" xr3:uid="{42CAB30D-0E9D-4AAD-8780-B11A2A95FBA6}" name="MS-0325" dataDxfId="98"/>
    <tableColumn id="56" xr3:uid="{05D174D3-170B-485A-B586-C1C86F1F7F21}" name="HSD-0326" dataDxfId="97"/>
    <tableColumn id="57" xr3:uid="{C1F1E443-16E4-4E9D-84CA-6CF645A6BCC9}" name="HSD-0325" dataDxfId="96"/>
    <tableColumn id="59" xr3:uid="{B6519200-A1F2-4265-A307-82057E04D65A}" name="Lattitude" dataDxfId="95"/>
    <tableColumn id="60" xr3:uid="{E8BAC417-279B-42FF-96AB-91E8F0340312}" name="Longitude" dataDxfId="94"/>
    <tableColumn id="61" xr3:uid="{D8C6CD48-5382-4A39-9221-F98BB9504A2F}" name="MS TM TY" dataDxfId="93">
      <calculatedColumnFormula>BB2</calculatedColumnFormula>
    </tableColumn>
    <tableColumn id="62" xr3:uid="{49E0C750-01CF-4AE3-AE0A-5979454E6691}" name="MS TM LY" dataDxfId="92">
      <calculatedColumnFormula>BC2</calculatedColumnFormula>
    </tableColumn>
    <tableColumn id="63" xr3:uid="{3DFB2D60-8C0C-4E92-93C9-04547AC4A323}" name="Gain in KL MS TM" dataDxfId="91">
      <calculatedColumnFormula>(BH2-BI2)</calculatedColumnFormula>
    </tableColumn>
    <tableColumn id="64" xr3:uid="{36713E0F-E20F-4AC5-8977-392224F0266B}" name="%Gain MS TM" dataDxfId="90">
      <calculatedColumnFormula>(BJ2)/BI2*100</calculatedColumnFormula>
    </tableColumn>
    <tableColumn id="65" xr3:uid="{2D69FD64-C480-400A-AF66-11F45AD85E2F}" name="HSD TMTY" dataDxfId="89">
      <calculatedColumnFormula>BD2</calculatedColumnFormula>
    </tableColumn>
    <tableColumn id="66" xr3:uid="{CFA72C47-3918-46C2-B1C2-59CA43C47255}" name="HSDTMLY" dataDxfId="88">
      <calculatedColumnFormula>BE2</calculatedColumnFormula>
    </tableColumn>
    <tableColumn id="67" xr3:uid="{895B8AD8-CDA2-40A1-A367-26EF47CD705B}" name="Gain in KL HSD TM" dataDxfId="87">
      <calculatedColumnFormula>(BL2-BM2)</calculatedColumnFormula>
    </tableColumn>
    <tableColumn id="68" xr3:uid="{4D02C3AD-B1A4-4F8E-9354-33D3B113A4F1}" name="%Gain HSD TM" dataDxfId="86">
      <calculatedColumnFormula>(BN2)/BM2*100</calculatedColumnFormula>
    </tableColumn>
    <tableColumn id="69" xr3:uid="{D71B0FAB-6BFC-4699-A206-28BF01AAACE7}" name="MSTY" dataDxfId="85">
      <calculatedColumnFormula>K2+O2+R2+V2+Z2+AD2+AH2+AL2+AP2+AT2+AX2+BB2</calculatedColumnFormula>
    </tableColumn>
    <tableColumn id="70" xr3:uid="{AA284323-694A-4C21-B020-F225560ADAD1}" name="MSLY" dataDxfId="84">
      <calculatedColumnFormula>J2+N2+S2+W2+AA2+AE2+AI2+AM2+AQ2+AU2+Table1[[#This Row],[MS-0225]]+Table1[[#This Row],[MS-0325]]</calculatedColumnFormula>
    </tableColumn>
    <tableColumn id="71" xr3:uid="{D9628FB0-0EB4-4EBC-9986-A6A4F219BD11}" name="Gain in KL MS TY" dataDxfId="83">
      <calculatedColumnFormula>(BP2-BQ2)</calculatedColumnFormula>
    </tableColumn>
    <tableColumn id="72" xr3:uid="{5275B4E6-0577-4D36-922D-A3B141097C4B}" name="%Gain MS TY" dataDxfId="82">
      <calculatedColumnFormula>(BR2)/BQ2*100</calculatedColumnFormula>
    </tableColumn>
    <tableColumn id="73" xr3:uid="{C7B1EE16-41FC-4753-88D6-D6B9F753AF3C}" name="HSDTY" dataDxfId="81">
      <calculatedColumnFormula>M2+Q2+T2+X2+AB2+AF2+AJ2+AN2+AR2+AV2+AZ2+BD2</calculatedColumnFormula>
    </tableColumn>
    <tableColumn id="74" xr3:uid="{292D2479-AFE4-49C0-B20A-B91D8ADE414A}" name="HSDLY" dataDxfId="80">
      <calculatedColumnFormula>L2+P2+U2+Y2+AC2+AG2+AK2+AO2+AS2+AW2+BA2+BE2</calculatedColumnFormula>
    </tableColumn>
    <tableColumn id="75" xr3:uid="{ABECD47C-A438-43B5-8697-F1DACC515F13}" name="Gain in KL HSD TY" dataDxfId="79">
      <calculatedColumnFormula>(BT2-BU2)</calculatedColumnFormula>
    </tableColumn>
    <tableColumn id="76" xr3:uid="{FE262B7F-6BD4-42D4-984F-9445B1CADAA9}" name="%Gain HSD TY" dataDxfId="78">
      <calculatedColumnFormula>(BV2)/BU2*100</calculatedColumnFormula>
    </tableColumn>
    <tableColumn id="77" xr3:uid="{E561E805-58BD-429A-8C47-3656A81B5D07}" name="Speed TM"/>
    <tableColumn id="78" xr3:uid="{43E3B0BE-37C5-4028-84BF-D640B57ED28F}" name="Speed Conversion % TM" dataDxfId="77">
      <calculatedColumnFormula>BX2/BH2</calculatedColumnFormula>
    </tableColumn>
    <tableColumn id="79" xr3:uid="{B86B2395-7F94-4303-889A-A94162A600C6}" name="Speed TY"/>
    <tableColumn id="80" xr3:uid="{CFE2CB02-3964-42B9-9FB3-BEA17AFD805E}" name="Speed Conversion TY" dataDxfId="76">
      <calculatedColumnFormula>BZ2/BP2</calculatedColumnFormula>
    </tableColumn>
    <tableColumn id="81" xr3:uid="{9E5DC57D-DD71-4DED-B1B1-36E43BFD7EC0}" name="MS MS TMTY" dataDxfId="75" dataCellStyle="Percent">
      <calculatedColumnFormula>BH2/SUMIFS(BH$2:BH$398,G$2:G$398,G2)</calculatedColumnFormula>
    </tableColumn>
    <tableColumn id="82" xr3:uid="{2BCA6284-9D99-4DC0-BEEA-0B9CE26CE06A}" name="MS MS TMLY" dataDxfId="74" dataCellStyle="Percent">
      <calculatedColumnFormula>BI2/SUMIFS(BI$2:BI$398,G$2:G$398,G2)</calculatedColumnFormula>
    </tableColumn>
    <tableColumn id="83" xr3:uid="{10A9C03A-CEC4-4697-91F2-63C9E0113ED4}" name="Change in Market Share MS" dataDxfId="73">
      <calculatedColumnFormula>CB2-CC2</calculatedColumnFormula>
    </tableColumn>
    <tableColumn id="84" xr3:uid="{FEAA85FA-A70B-4686-8082-A45B9D4610B8}" name="HSD MS TMTY" dataDxfId="72" dataCellStyle="Percent">
      <calculatedColumnFormula>BL2/SUMIFS(BL$2:BL$398,G$2:G$398,G2)</calculatedColumnFormula>
    </tableColumn>
    <tableColumn id="85" xr3:uid="{C8625C5A-AB31-4BD5-B4A4-993AB6FCB8C3}" name="HSD MS TMLY" dataDxfId="71" dataCellStyle="Percent">
      <calculatedColumnFormula>BM2/SUMIFS(BM$2:BM$398,G$2:G$398,G2)</calculatedColumnFormula>
    </tableColumn>
    <tableColumn id="86" xr3:uid="{3471866A-32B7-49B6-8E86-3CB1BEB6981D}" name="Change in Market Share HSD TM" dataDxfId="70" dataCellStyle="Percent">
      <calculatedColumnFormula>CE2-CF2</calculatedColumnFormula>
    </tableColumn>
    <tableColumn id="87" xr3:uid="{959D8A95-670F-49F0-AB95-BD2B2F452116}" name="MS MS TY" dataDxfId="69" dataCellStyle="Percent">
      <calculatedColumnFormula>BP2/SUMIFS(BP$2:BP$398,G$2:G$398,G2)</calculatedColumnFormula>
    </tableColumn>
    <tableColumn id="88" xr3:uid="{8ED626AA-1625-453D-A2DD-88C21560058E}" name="MS MS LY" dataDxfId="68" dataCellStyle="Percent">
      <calculatedColumnFormula>BQ2/SUMIFS(BQ$2:BQ$398,G$2:G$398,G2)</calculatedColumnFormula>
    </tableColumn>
    <tableColumn id="89" xr3:uid="{3A96A936-E9E5-425B-A4C0-DF13DE745DC4}" name="Change in Market Share MS TY" dataDxfId="67">
      <calculatedColumnFormula>CH2-CI2</calculatedColumnFormula>
    </tableColumn>
    <tableColumn id="90" xr3:uid="{BFA53345-30DD-4AC5-8D7F-66A5C593B843}" name="HSD MS TY" dataDxfId="66" dataCellStyle="Percent">
      <calculatedColumnFormula>BT2/SUMIFS(BT$2:BT$398,G$2:G$398,G2)</calculatedColumnFormula>
    </tableColumn>
    <tableColumn id="91" xr3:uid="{911ECD3E-85A3-44A8-BCE2-A4A3F0255AB2}" name="HSD MS LY" dataDxfId="65" dataCellStyle="Percent">
      <calculatedColumnFormula>BU2/SUMIFS(BU$2:BU$398,G$2:G$398,G2)</calculatedColumnFormula>
    </tableColumn>
    <tableColumn id="92" xr3:uid="{213F49D2-4F62-4C74-88CD-78F873D80C99}" name="Change in Market Share HSD TY" dataDxfId="64">
      <calculatedColumnFormula>CK2-CL2</calculatedColumnFormula>
    </tableColumn>
    <tableColumn id="93" xr3:uid="{A0FBA4CD-F86A-468A-9798-AF5D21FF5E0D}" name="Effectivity MS Ty" dataDxfId="63">
      <calculatedColumnFormula>COUNTIFS(G$2:G$398,G2)*CH2</calculatedColumnFormula>
    </tableColumn>
    <tableColumn id="94" xr3:uid="{5BD4A923-CED7-4D02-AC2A-4A04A659EB62}" name="Effectivity HSD TY" dataDxfId="62">
      <calculatedColumnFormula>COUNTIFS(G$2:G$398,G2)*CK2</calculatedColumnFormula>
    </tableColumn>
    <tableColumn id="58" xr3:uid="{8C76A44D-DB2E-4683-B3F5-2F4501E2932B}" name="Growth Feb Vs March"/>
    <tableColumn id="95" xr3:uid="{AFA89FA8-E7B5-4C97-997B-FEE0DB923D2B}" name="reas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7224F7-2109-4F72-A33D-57C07CD9D362}" name="Table13" displayName="Table13" ref="A1:AA398" totalsRowShown="0" headerRowDxfId="49" tableBorderDxfId="48">
  <autoFilter ref="A1:AA398" xr:uid="{F38D7513-5BC9-4130-BEEA-6C46D0F3712C}">
    <filterColumn colId="7">
      <filters>
        <filter val="Ashok Vihar"/>
        <filter val="Burari"/>
        <filter val="Inner Ring Road"/>
        <filter val="Lutyens"/>
        <filter val="Narela- Bawana"/>
        <filter val="Old Delhi"/>
        <filter val="Outer Ring Road"/>
        <filter val="Pitampura"/>
        <filter val="Punjabi Bagh"/>
        <filter val="Punjabkhor"/>
        <filter val="Rohini"/>
        <filter val="Rohtak Road"/>
      </filters>
    </filterColumn>
    <filterColumn colId="8">
      <filters>
        <filter val="Abhinav"/>
      </filters>
    </filterColumn>
    <filterColumn colId="25">
      <customFilters>
        <customFilter operator="notEqual" val=" "/>
      </customFilters>
    </filterColumn>
  </autoFilter>
  <sortState xmlns:xlrd2="http://schemas.microsoft.com/office/spreadsheetml/2017/richdata2" ref="A5:X94">
    <sortCondition ref="C1:C398"/>
  </sortState>
  <tableColumns count="27">
    <tableColumn id="1" xr3:uid="{64ED2CFA-B2C6-415E-9AAD-A93D22CD1601}" name="CC NO" dataDxfId="47"/>
    <tableColumn id="2" xr3:uid="{FBBF0407-A988-4A8B-B219-EDE28FE8EE4B}" name="OMC" dataDxfId="46"/>
    <tableColumn id="3" xr3:uid="{22D177E7-811C-481B-835A-C1361948B2EF}" name="NAME OF THE RO" dataDxfId="45"/>
    <tableColumn id="4" xr3:uid="{DFA3F709-7141-416C-B0A8-E196B0EF8902}" name="LOCATION" dataDxfId="44"/>
    <tableColumn id="5" xr3:uid="{00E86A08-42E8-4337-A526-0089A2714087}" name="DISTT" dataDxfId="43"/>
    <tableColumn id="6" xr3:uid="{4EFAAFAF-E8BF-4447-A71A-9660B1952F70}" name="Trading Area for Dealers" dataDxfId="42"/>
    <tableColumn id="7" xr3:uid="{EA1DFDAC-1D1C-4F31-827F-5FE7A8DAE40C}" name="Trading Area" dataDxfId="41"/>
    <tableColumn id="8" xr3:uid="{E2DB29FD-FE65-4563-9804-0B407F811BE6}" name="Bigger Trading Area" dataDxfId="40"/>
    <tableColumn id="9" xr3:uid="{6C898187-789A-4B79-9BE7-B28D17B811D1}" name="SO Name" dataDxfId="39"/>
    <tableColumn id="69" xr3:uid="{76F8A9AB-3E9F-4FCD-ABAB-AEDBC198C85B}" name="MSTY" dataDxfId="38"/>
    <tableColumn id="70" xr3:uid="{3C4806A2-EB45-4254-8D09-6F8BB3413C25}" name="MSLY" dataDxfId="37"/>
    <tableColumn id="71" xr3:uid="{A0046DE9-61EC-44C2-892F-00BEF35C355C}" name="Gain in KL MS TY" dataDxfId="36">
      <calculatedColumnFormula>(J2-K2)</calculatedColumnFormula>
    </tableColumn>
    <tableColumn id="72" xr3:uid="{13021D66-BCDD-4743-A3B0-D80DAC073610}" name="%Gain MS TY" dataDxfId="35">
      <calculatedColumnFormula>(L2)/K2*100</calculatedColumnFormula>
    </tableColumn>
    <tableColumn id="73" xr3:uid="{976028BD-B5CE-4AB0-B5F0-D36098112618}" name="HSDTY" dataDxfId="34"/>
    <tableColumn id="74" xr3:uid="{0E1EA8B1-5C9E-4BE1-A832-8560F0BFAFD0}" name="HSDLY" dataDxfId="33"/>
    <tableColumn id="75" xr3:uid="{EC3D6C03-89BB-4511-AC85-A362F8172821}" name="Gain in KL HSD TY" dataDxfId="32">
      <calculatedColumnFormula>(N2-O2)</calculatedColumnFormula>
    </tableColumn>
    <tableColumn id="76" xr3:uid="{863947AA-F74B-4DBD-92E2-379AF63DE2C8}" name="%Gain HSD TY" dataDxfId="31">
      <calculatedColumnFormula>(P2)/O2*100</calculatedColumnFormula>
    </tableColumn>
    <tableColumn id="10" xr3:uid="{17C3B080-7AD4-47E2-B9FF-573B2C12B798}" name="Upgrade Details" dataDxfId="30"/>
    <tableColumn id="11" xr3:uid="{640FDD1E-8AA1-422D-8ADC-170F44A8A30B}" name="UIP" dataDxfId="29"/>
    <tableColumn id="12" xr3:uid="{041DC697-AE90-461A-ADC7-5C6BE6AA2935}" name="Target Completion" dataDxfId="28"/>
    <tableColumn id="13" xr3:uid="{A5395752-2714-4ED9-8A79-A5AE48411255}" name="MS" dataDxfId="27"/>
    <tableColumn id="14" xr3:uid="{47AC15DF-2DEE-4250-8DD9-28EDD2C6D1A0}" name="Speed" dataDxfId="26"/>
    <tableColumn id="15" xr3:uid="{CF99C324-B628-45A0-A085-F8899A17A874}" name="HSD" dataDxfId="25"/>
    <tableColumn id="16" xr3:uid="{8B2B29B4-0C10-44FE-8E6E-20DEDF88326A}" name="CNG" dataDxfId="24"/>
    <tableColumn id="17" xr3:uid="{E1B181FE-B154-42F3-8618-CBFBDF7D0DD1}" name="Column1" dataDxfId="23"/>
    <tableColumn id="18" xr3:uid="{78B166E3-E761-462A-8093-1E7DA90AE62E}" name="Nitorgen" dataDxfId="22"/>
    <tableColumn id="19" xr3:uid="{12177AB4-7E4C-43F8-9B0E-72BCFDCFB483}" name="ARB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169ADD-CEC5-4688-9799-F9BBE3FE430E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7513-5BC9-4130-BEEA-6C46D0F3712C}">
  <sheetPr codeName="Sheet4">
    <pageSetUpPr fitToPage="1"/>
  </sheetPr>
  <dimension ref="A1:CQ398"/>
  <sheetViews>
    <sheetView tabSelected="1" workbookViewId="0">
      <pane xSplit="6" ySplit="1" topLeftCell="BQ2" activePane="bottomRight" state="frozen"/>
      <selection pane="topRight" activeCell="G1" sqref="G1"/>
      <selection pane="bottomLeft" activeCell="A2" sqref="A2"/>
      <selection pane="bottomRight" activeCell="BW1" sqref="BW1"/>
    </sheetView>
  </sheetViews>
  <sheetFormatPr defaultRowHeight="15.5" x14ac:dyDescent="0.35"/>
  <cols>
    <col min="3" max="3" width="22.26953125" style="16" customWidth="1"/>
    <col min="4" max="4" width="13.08984375" style="16" customWidth="1"/>
    <col min="5" max="6" width="13.08984375" customWidth="1"/>
    <col min="7" max="7" width="13.6328125" style="16" customWidth="1"/>
    <col min="8" max="8" width="17.1796875" style="16" customWidth="1"/>
    <col min="9" max="9" width="9.81640625" customWidth="1"/>
    <col min="10" max="10" width="8.81640625" customWidth="1"/>
    <col min="11" max="11" width="9.36328125" customWidth="1"/>
    <col min="12" max="13" width="10.36328125" customWidth="1"/>
    <col min="14" max="15" width="9.36328125" customWidth="1"/>
    <col min="16" max="17" width="10.36328125" customWidth="1"/>
    <col min="18" max="19" width="9.36328125" customWidth="1"/>
    <col min="20" max="21" width="10.36328125" customWidth="1"/>
    <col min="22" max="23" width="9.36328125" customWidth="1"/>
    <col min="24" max="25" width="10.36328125" customWidth="1"/>
    <col min="26" max="27" width="9.36328125" customWidth="1"/>
    <col min="28" max="29" width="10.36328125" customWidth="1"/>
    <col min="30" max="31" width="9.36328125" customWidth="1"/>
    <col min="32" max="33" width="10.36328125" customWidth="1"/>
    <col min="34" max="35" width="9.36328125" customWidth="1"/>
    <col min="36" max="37" width="10.36328125" customWidth="1"/>
    <col min="38" max="39" width="9.36328125" customWidth="1"/>
    <col min="40" max="41" width="10.36328125" customWidth="1"/>
    <col min="42" max="43" width="9.36328125" customWidth="1"/>
    <col min="44" max="45" width="10.36328125" customWidth="1"/>
    <col min="46" max="47" width="9.36328125" customWidth="1"/>
    <col min="48" max="49" width="10.36328125" customWidth="1"/>
    <col min="50" max="51" width="9.36328125" customWidth="1"/>
    <col min="52" max="53" width="10.36328125" customWidth="1"/>
    <col min="54" max="55" width="9.36328125" customWidth="1"/>
    <col min="56" max="57" width="10.36328125" customWidth="1"/>
    <col min="58" max="59" width="10.1796875" customWidth="1"/>
    <col min="60" max="61" width="7.90625" style="26" customWidth="1"/>
    <col min="62" max="63" width="7.90625" style="30" customWidth="1"/>
    <col min="64" max="65" width="7.1796875" style="27" customWidth="1"/>
    <col min="66" max="66" width="10.08984375" style="30" customWidth="1"/>
    <col min="67" max="67" width="7.1796875" style="30" customWidth="1"/>
    <col min="68" max="68" width="8.90625" style="28" customWidth="1"/>
    <col min="69" max="69" width="8.90625" style="29" customWidth="1"/>
    <col min="70" max="70" width="10.54296875" style="30" customWidth="1"/>
    <col min="71" max="71" width="14.1796875" style="30" customWidth="1"/>
    <col min="72" max="73" width="8.90625" style="27" customWidth="1"/>
    <col min="74" max="74" width="18.453125" style="30" customWidth="1"/>
    <col min="75" max="75" width="15.26953125" style="30" customWidth="1"/>
    <col min="76" max="79" width="8.7265625" customWidth="1"/>
    <col min="80" max="81" width="13.81640625" customWidth="1"/>
    <col min="82" max="82" width="9.7265625" customWidth="1"/>
    <col min="83" max="84" width="14.90625" customWidth="1"/>
    <col min="85" max="85" width="11" customWidth="1"/>
    <col min="86" max="87" width="11.26953125" customWidth="1"/>
    <col min="88" max="88" width="10.453125" customWidth="1"/>
    <col min="89" max="90" width="12.36328125" customWidth="1"/>
    <col min="91" max="91" width="10.54296875" customWidth="1"/>
    <col min="92" max="93" width="9.7265625" customWidth="1"/>
    <col min="95" max="95" width="38.90625" customWidth="1"/>
  </cols>
  <sheetData>
    <row r="1" spans="1:95" ht="44.5" customHeight="1" x14ac:dyDescent="0.35">
      <c r="A1" s="10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1009</v>
      </c>
      <c r="I1" s="22" t="s">
        <v>49</v>
      </c>
      <c r="J1" s="17" t="s">
        <v>1002</v>
      </c>
      <c r="K1" s="17" t="s">
        <v>7</v>
      </c>
      <c r="L1" s="21" t="s">
        <v>8</v>
      </c>
      <c r="M1" s="21" t="s">
        <v>9</v>
      </c>
      <c r="N1" s="17" t="s">
        <v>10</v>
      </c>
      <c r="O1" s="17" t="s">
        <v>11</v>
      </c>
      <c r="P1" s="21" t="s">
        <v>12</v>
      </c>
      <c r="Q1" s="21" t="s">
        <v>13</v>
      </c>
      <c r="R1" s="17" t="s">
        <v>14</v>
      </c>
      <c r="S1" s="17" t="s">
        <v>15</v>
      </c>
      <c r="T1" s="21" t="s">
        <v>16</v>
      </c>
      <c r="U1" s="21" t="s">
        <v>17</v>
      </c>
      <c r="V1" s="17" t="s">
        <v>1028</v>
      </c>
      <c r="W1" s="17" t="s">
        <v>1029</v>
      </c>
      <c r="X1" s="21" t="s">
        <v>1030</v>
      </c>
      <c r="Y1" s="21" t="s">
        <v>1031</v>
      </c>
      <c r="Z1" s="17" t="s">
        <v>18</v>
      </c>
      <c r="AA1" s="17" t="s">
        <v>19</v>
      </c>
      <c r="AB1" s="21" t="s">
        <v>20</v>
      </c>
      <c r="AC1" s="21" t="s">
        <v>21</v>
      </c>
      <c r="AD1" s="17" t="s">
        <v>22</v>
      </c>
      <c r="AE1" s="17" t="s">
        <v>23</v>
      </c>
      <c r="AF1" s="21" t="s">
        <v>24</v>
      </c>
      <c r="AG1" s="21" t="s">
        <v>25</v>
      </c>
      <c r="AH1" s="17" t="s">
        <v>26</v>
      </c>
      <c r="AI1" s="17" t="s">
        <v>27</v>
      </c>
      <c r="AJ1" s="21" t="s">
        <v>28</v>
      </c>
      <c r="AK1" s="21" t="s">
        <v>29</v>
      </c>
      <c r="AL1" s="17" t="s">
        <v>30</v>
      </c>
      <c r="AM1" s="17" t="s">
        <v>31</v>
      </c>
      <c r="AN1" s="21" t="s">
        <v>32</v>
      </c>
      <c r="AO1" s="21" t="s">
        <v>33</v>
      </c>
      <c r="AP1" s="17" t="s">
        <v>34</v>
      </c>
      <c r="AQ1" s="17" t="s">
        <v>35</v>
      </c>
      <c r="AR1" s="21" t="s">
        <v>36</v>
      </c>
      <c r="AS1" s="21" t="s">
        <v>37</v>
      </c>
      <c r="AT1" s="17" t="s">
        <v>38</v>
      </c>
      <c r="AU1" s="17" t="s">
        <v>39</v>
      </c>
      <c r="AV1" s="21" t="s">
        <v>40</v>
      </c>
      <c r="AW1" s="21" t="s">
        <v>1008</v>
      </c>
      <c r="AX1" s="17" t="s">
        <v>41</v>
      </c>
      <c r="AY1" s="17" t="s">
        <v>42</v>
      </c>
      <c r="AZ1" s="21" t="s">
        <v>43</v>
      </c>
      <c r="BA1" s="21" t="s">
        <v>44</v>
      </c>
      <c r="BB1" s="17" t="s">
        <v>45</v>
      </c>
      <c r="BC1" s="17" t="s">
        <v>46</v>
      </c>
      <c r="BD1" s="21" t="s">
        <v>47</v>
      </c>
      <c r="BE1" s="21" t="s">
        <v>48</v>
      </c>
      <c r="BF1" s="22" t="s">
        <v>50</v>
      </c>
      <c r="BG1" s="22" t="s">
        <v>51</v>
      </c>
      <c r="BH1" s="34" t="s">
        <v>52</v>
      </c>
      <c r="BI1" s="34" t="s">
        <v>53</v>
      </c>
      <c r="BJ1" s="32" t="s">
        <v>54</v>
      </c>
      <c r="BK1" s="32" t="s">
        <v>55</v>
      </c>
      <c r="BL1" s="35" t="s">
        <v>56</v>
      </c>
      <c r="BM1" s="35" t="s">
        <v>57</v>
      </c>
      <c r="BN1" s="32" t="s">
        <v>58</v>
      </c>
      <c r="BO1" s="32" t="s">
        <v>59</v>
      </c>
      <c r="BP1" s="33" t="s">
        <v>60</v>
      </c>
      <c r="BQ1" s="33" t="s">
        <v>61</v>
      </c>
      <c r="BR1" s="32" t="s">
        <v>62</v>
      </c>
      <c r="BS1" s="32" t="s">
        <v>63</v>
      </c>
      <c r="BT1" s="35" t="s">
        <v>64</v>
      </c>
      <c r="BU1" s="35" t="s">
        <v>65</v>
      </c>
      <c r="BV1" s="32" t="s">
        <v>66</v>
      </c>
      <c r="BW1" s="32" t="s">
        <v>67</v>
      </c>
      <c r="BX1" s="82" t="s">
        <v>68</v>
      </c>
      <c r="BY1" s="82" t="s">
        <v>69</v>
      </c>
      <c r="BZ1" s="82" t="s">
        <v>70</v>
      </c>
      <c r="CA1" s="91" t="s">
        <v>71</v>
      </c>
      <c r="CB1" s="33" t="s">
        <v>1012</v>
      </c>
      <c r="CC1" s="33" t="s">
        <v>1013</v>
      </c>
      <c r="CD1" s="33" t="s">
        <v>1017</v>
      </c>
      <c r="CE1" s="33" t="s">
        <v>1014</v>
      </c>
      <c r="CF1" s="33" t="s">
        <v>1015</v>
      </c>
      <c r="CG1" s="33" t="s">
        <v>1016</v>
      </c>
      <c r="CH1" s="92" t="s">
        <v>1018</v>
      </c>
      <c r="CI1" s="92" t="s">
        <v>1019</v>
      </c>
      <c r="CJ1" s="92" t="s">
        <v>1020</v>
      </c>
      <c r="CK1" s="92" t="s">
        <v>1021</v>
      </c>
      <c r="CL1" s="92" t="s">
        <v>1022</v>
      </c>
      <c r="CM1" s="92" t="s">
        <v>1023</v>
      </c>
      <c r="CN1" s="93" t="s">
        <v>1024</v>
      </c>
      <c r="CO1" s="93" t="s">
        <v>1025</v>
      </c>
      <c r="CP1" s="93" t="s">
        <v>1083</v>
      </c>
      <c r="CQ1" s="93" t="s">
        <v>1084</v>
      </c>
    </row>
    <row r="2" spans="1:95" ht="24.5" x14ac:dyDescent="0.35">
      <c r="A2" s="102">
        <v>129151</v>
      </c>
      <c r="B2" s="3" t="s">
        <v>72</v>
      </c>
      <c r="C2" s="40" t="s">
        <v>98</v>
      </c>
      <c r="D2" s="12" t="s">
        <v>99</v>
      </c>
      <c r="E2" s="4" t="s">
        <v>75</v>
      </c>
      <c r="F2" s="4" t="s">
        <v>100</v>
      </c>
      <c r="G2" s="12" t="s">
        <v>100</v>
      </c>
      <c r="H2" s="51" t="s">
        <v>77</v>
      </c>
      <c r="I2" s="23" t="s">
        <v>78</v>
      </c>
      <c r="J2" s="18">
        <v>1004.0000230000001</v>
      </c>
      <c r="K2" s="18">
        <v>1096</v>
      </c>
      <c r="L2" s="18">
        <v>186</v>
      </c>
      <c r="M2" s="18">
        <v>172</v>
      </c>
      <c r="N2" s="18">
        <v>1057.5000250000001</v>
      </c>
      <c r="O2" s="18">
        <v>1175</v>
      </c>
      <c r="P2" s="18">
        <v>208.5</v>
      </c>
      <c r="Q2" s="18">
        <v>175</v>
      </c>
      <c r="R2" s="18">
        <v>1088</v>
      </c>
      <c r="S2" s="18">
        <v>1042.0000199999999</v>
      </c>
      <c r="T2" s="18">
        <v>190</v>
      </c>
      <c r="U2" s="18">
        <v>186</v>
      </c>
      <c r="V2" s="18">
        <v>1203</v>
      </c>
      <c r="W2" s="18">
        <v>1042.000008</v>
      </c>
      <c r="X2" s="18">
        <v>169</v>
      </c>
      <c r="Y2" s="18">
        <v>200</v>
      </c>
      <c r="Z2" s="18">
        <v>1200</v>
      </c>
      <c r="AA2" s="18">
        <v>1042.5</v>
      </c>
      <c r="AB2" s="18">
        <v>180</v>
      </c>
      <c r="AC2" s="18">
        <v>201.5</v>
      </c>
      <c r="AD2" s="18">
        <v>1157</v>
      </c>
      <c r="AE2" s="18">
        <v>1092</v>
      </c>
      <c r="AF2" s="18">
        <v>165</v>
      </c>
      <c r="AG2" s="18">
        <v>180</v>
      </c>
      <c r="AH2" s="18">
        <v>1196</v>
      </c>
      <c r="AI2" s="18">
        <v>1012.5</v>
      </c>
      <c r="AJ2" s="18">
        <v>168</v>
      </c>
      <c r="AK2" s="18">
        <v>175.5</v>
      </c>
      <c r="AL2" s="18">
        <v>1142</v>
      </c>
      <c r="AM2" s="18">
        <v>1020.500001</v>
      </c>
      <c r="AN2" s="18">
        <v>150</v>
      </c>
      <c r="AO2" s="18">
        <v>161.5</v>
      </c>
      <c r="AP2" s="18">
        <v>1100</v>
      </c>
      <c r="AQ2" s="18">
        <v>990</v>
      </c>
      <c r="AR2" s="18">
        <v>140</v>
      </c>
      <c r="AS2" s="18">
        <v>140</v>
      </c>
      <c r="AT2" s="18">
        <v>1072</v>
      </c>
      <c r="AU2" s="18">
        <v>963.5</v>
      </c>
      <c r="AV2" s="18">
        <v>140</v>
      </c>
      <c r="AW2" s="18">
        <v>164.5</v>
      </c>
      <c r="AX2" s="18">
        <v>1028</v>
      </c>
      <c r="AY2" s="18">
        <v>931</v>
      </c>
      <c r="AZ2" s="18">
        <v>150</v>
      </c>
      <c r="BA2" s="18">
        <v>163</v>
      </c>
      <c r="BB2" s="18">
        <v>1197</v>
      </c>
      <c r="BC2" s="18">
        <v>1008</v>
      </c>
      <c r="BD2" s="18">
        <v>175</v>
      </c>
      <c r="BE2" s="18">
        <v>172</v>
      </c>
      <c r="BF2" s="23">
        <v>28.639710000000001</v>
      </c>
      <c r="BG2" s="23">
        <v>77.293530000000004</v>
      </c>
      <c r="BH2" s="31">
        <f t="shared" ref="BH2:BH7" si="0">BB2</f>
        <v>1197</v>
      </c>
      <c r="BI2" s="31">
        <f t="shared" ref="BI2:BI7" si="1">BC2</f>
        <v>1008</v>
      </c>
      <c r="BJ2" s="37">
        <f t="shared" ref="BJ2:BJ7" si="2">(BH2-BI2)</f>
        <v>189</v>
      </c>
      <c r="BK2" s="37">
        <f t="shared" ref="BK2:BK7" si="3">(BJ2)/BI2*100</f>
        <v>18.75</v>
      </c>
      <c r="BL2" s="36">
        <f t="shared" ref="BL2:BL7" si="4">BD2</f>
        <v>175</v>
      </c>
      <c r="BM2" s="36">
        <f t="shared" ref="BM2:BM7" si="5">BE2</f>
        <v>172</v>
      </c>
      <c r="BN2" s="37">
        <f t="shared" ref="BN2:BN7" si="6">(BL2-BM2)</f>
        <v>3</v>
      </c>
      <c r="BO2" s="37">
        <f t="shared" ref="BO2:BO7" si="7">(BN2)/BM2*100</f>
        <v>1.7441860465116279</v>
      </c>
      <c r="BP2" s="38">
        <f t="shared" ref="BP2:BP7" si="8">K2+O2+R2+V2+Z2+AD2+AH2+AL2+AP2+AT2+AX2+BB2</f>
        <v>13654</v>
      </c>
      <c r="BQ2" s="39">
        <f>J2+N2+S2+W2+AA2+AE2+AI2+AM2+AQ2+AU2+Table1[[#This Row],[MS-0225]]+Table1[[#This Row],[MS-0325]]</f>
        <v>12205.500077000001</v>
      </c>
      <c r="BR2" s="37">
        <f t="shared" ref="BR2:BR7" si="9">(BP2-BQ2)</f>
        <v>1448.4999229999994</v>
      </c>
      <c r="BS2" s="37">
        <f t="shared" ref="BS2:BS7" si="10">(BR2)/BQ2*100</f>
        <v>11.867599966096821</v>
      </c>
      <c r="BT2" s="36">
        <f t="shared" ref="BT2:BT7" si="11">M2+Q2+T2+X2+AB2+AF2+AJ2+AN2+AR2+AV2+AZ2+BD2</f>
        <v>1974</v>
      </c>
      <c r="BU2" s="36">
        <f t="shared" ref="BU2:BU7" si="12">L2+P2+U2+Y2+AC2+AG2+AK2+AO2+AS2+AW2+BA2+BE2</f>
        <v>2138.5</v>
      </c>
      <c r="BV2" s="37">
        <f t="shared" ref="BV2:BV7" si="13">(BT2-BU2)</f>
        <v>-164.5</v>
      </c>
      <c r="BW2" s="37">
        <f t="shared" ref="BW2:BW7" si="14">(BV2)/BU2*100</f>
        <v>-7.6923076923076925</v>
      </c>
      <c r="BX2">
        <v>180</v>
      </c>
      <c r="BY2" s="83">
        <f t="shared" ref="BY2:BY7" si="15">BX2/BH2</f>
        <v>0.15037593984962405</v>
      </c>
      <c r="BZ2">
        <v>1197</v>
      </c>
      <c r="CA2" s="83">
        <f t="shared" ref="CA2:CA7" si="16">BZ2/BP2</f>
        <v>8.7666617840925734E-2</v>
      </c>
      <c r="CB2" s="96">
        <f t="shared" ref="CB2:CB7" si="17">BH2/SUMIFS(BH$2:BH$398,G$2:G$398,G2)</f>
        <v>0.28986560116236831</v>
      </c>
      <c r="CC2" s="96">
        <f t="shared" ref="CC2:CC7" si="18">BI2/SUMIFS(BI$2:BI$398,G$2:G$398,G2)</f>
        <v>0.26561264822134389</v>
      </c>
      <c r="CD2" s="97">
        <f t="shared" ref="CD2:CD7" si="19">CB2-CC2</f>
        <v>2.4252952941024419E-2</v>
      </c>
      <c r="CE2" s="96">
        <f t="shared" ref="CE2:CE7" si="20">BL2/SUMIFS(BL$2:BL$398,G$2:G$398,G2)</f>
        <v>0.27450980392156865</v>
      </c>
      <c r="CF2" s="96">
        <f t="shared" ref="CF2:CF7" si="21">BM2/SUMIFS(BM$2:BM$398,G$2:G$398,G2)</f>
        <v>0.25671641791044775</v>
      </c>
      <c r="CG2" s="96">
        <f t="shared" ref="CG2:CG7" si="22">CE2-CF2</f>
        <v>1.7793386011120904E-2</v>
      </c>
      <c r="CH2" s="95">
        <f t="shared" ref="CH2:CH7" si="23">BP2/SUMIFS(BP$2:BP$398,G$2:G$398,G2)</f>
        <v>0.27816037074638628</v>
      </c>
      <c r="CI2" s="95">
        <f t="shared" ref="CI2:CI7" si="24">BQ2/SUMIFS(BQ$2:BQ$398,G$2:G$398,G2)</f>
        <v>0.26668487585437728</v>
      </c>
      <c r="CJ2" s="98">
        <f t="shared" ref="CJ2:CJ7" si="25">CH2-CI2</f>
        <v>1.1475494892008997E-2</v>
      </c>
      <c r="CK2" s="95">
        <f t="shared" ref="CK2:CK7" si="26">BT2/SUMIFS(BT$2:BT$398,G$2:G$398,G2)</f>
        <v>0.25436676214105314</v>
      </c>
      <c r="CL2" s="95">
        <f t="shared" ref="CL2:CL7" si="27">BU2/SUMIFS(BU$2:BU$398,G$2:G$398,G2)</f>
        <v>0.25288538858142945</v>
      </c>
      <c r="CM2" s="98">
        <f t="shared" ref="CM2:CM7" si="28">CK2-CL2</f>
        <v>1.4813735596236888E-3</v>
      </c>
      <c r="CN2" s="94">
        <f t="shared" ref="CN2:CN7" si="29">COUNTIFS(G$2:G$398,G2)*CH2</f>
        <v>2.2252829659710902</v>
      </c>
      <c r="CO2" s="94">
        <f t="shared" ref="CO2:CO7" si="30">COUNTIFS(G$2:G$398,G2)*CK2</f>
        <v>2.0349340971284251</v>
      </c>
    </row>
    <row r="3" spans="1:95" ht="24.5" x14ac:dyDescent="0.35">
      <c r="A3" s="103">
        <v>41030786</v>
      </c>
      <c r="B3" s="9" t="s">
        <v>380</v>
      </c>
      <c r="C3" s="48" t="s">
        <v>518</v>
      </c>
      <c r="D3" s="14" t="s">
        <v>519</v>
      </c>
      <c r="E3" s="10" t="s">
        <v>111</v>
      </c>
      <c r="F3" s="10" t="s">
        <v>112</v>
      </c>
      <c r="G3" s="12" t="s">
        <v>112</v>
      </c>
      <c r="H3" s="51" t="s">
        <v>275</v>
      </c>
      <c r="I3" s="25" t="s">
        <v>78</v>
      </c>
      <c r="J3" s="99">
        <v>950</v>
      </c>
      <c r="K3" s="99">
        <v>974</v>
      </c>
      <c r="L3" s="99">
        <v>335</v>
      </c>
      <c r="M3" s="99">
        <v>302</v>
      </c>
      <c r="N3" s="18">
        <v>1008.5</v>
      </c>
      <c r="O3" s="18">
        <v>1050.5</v>
      </c>
      <c r="P3" s="18">
        <v>359.5</v>
      </c>
      <c r="Q3" s="18">
        <v>329.5</v>
      </c>
      <c r="R3" s="99">
        <v>1032</v>
      </c>
      <c r="S3" s="99">
        <v>1007.5</v>
      </c>
      <c r="T3" s="99">
        <v>307</v>
      </c>
      <c r="U3" s="99">
        <v>363.5</v>
      </c>
      <c r="V3" s="99">
        <v>1059.5</v>
      </c>
      <c r="W3" s="99">
        <v>1027.5</v>
      </c>
      <c r="X3" s="99">
        <v>309.5</v>
      </c>
      <c r="Y3" s="99">
        <v>343.5</v>
      </c>
      <c r="Z3" s="99">
        <v>1082.5</v>
      </c>
      <c r="AA3" s="99">
        <v>1052</v>
      </c>
      <c r="AB3" s="99">
        <v>282.5</v>
      </c>
      <c r="AC3" s="99">
        <v>377</v>
      </c>
      <c r="AD3" s="99">
        <v>996</v>
      </c>
      <c r="AE3" s="99">
        <v>1024</v>
      </c>
      <c r="AF3" s="99">
        <v>283</v>
      </c>
      <c r="AG3" s="99">
        <v>344</v>
      </c>
      <c r="AH3" s="99">
        <v>1025</v>
      </c>
      <c r="AI3" s="99">
        <v>1050</v>
      </c>
      <c r="AJ3" s="99">
        <v>305</v>
      </c>
      <c r="AK3" s="99">
        <v>380</v>
      </c>
      <c r="AL3" s="99">
        <v>1033</v>
      </c>
      <c r="AM3" s="99">
        <v>937</v>
      </c>
      <c r="AN3" s="99">
        <v>300</v>
      </c>
      <c r="AO3" s="99">
        <v>293</v>
      </c>
      <c r="AP3" s="99">
        <v>969</v>
      </c>
      <c r="AQ3" s="99">
        <v>932.5</v>
      </c>
      <c r="AR3" s="99">
        <v>283</v>
      </c>
      <c r="AS3" s="99">
        <v>288.5</v>
      </c>
      <c r="AT3" s="99">
        <v>932</v>
      </c>
      <c r="AU3" s="99">
        <v>885</v>
      </c>
      <c r="AV3" s="99">
        <v>307</v>
      </c>
      <c r="AW3" s="99">
        <v>330</v>
      </c>
      <c r="AX3" s="99">
        <v>969.5</v>
      </c>
      <c r="AY3" s="99">
        <v>925.5</v>
      </c>
      <c r="AZ3" s="99">
        <v>303.5</v>
      </c>
      <c r="BA3" s="99">
        <v>329.5</v>
      </c>
      <c r="BB3" s="99">
        <v>1091</v>
      </c>
      <c r="BC3" s="99">
        <v>973</v>
      </c>
      <c r="BD3" s="99">
        <v>314</v>
      </c>
      <c r="BE3" s="99">
        <v>315</v>
      </c>
      <c r="BF3" s="23">
        <v>28.538709999999998</v>
      </c>
      <c r="BG3" s="23">
        <v>77.291569999999993</v>
      </c>
      <c r="BH3" s="31">
        <f t="shared" si="0"/>
        <v>1091</v>
      </c>
      <c r="BI3" s="31">
        <f t="shared" si="1"/>
        <v>973</v>
      </c>
      <c r="BJ3" s="37">
        <f t="shared" si="2"/>
        <v>118</v>
      </c>
      <c r="BK3" s="37">
        <f t="shared" si="3"/>
        <v>12.127440904419322</v>
      </c>
      <c r="BL3" s="36">
        <f t="shared" si="4"/>
        <v>314</v>
      </c>
      <c r="BM3" s="36">
        <f t="shared" si="5"/>
        <v>315</v>
      </c>
      <c r="BN3" s="37">
        <f t="shared" si="6"/>
        <v>-1</v>
      </c>
      <c r="BO3" s="37">
        <f t="shared" si="7"/>
        <v>-0.31746031746031744</v>
      </c>
      <c r="BP3" s="38">
        <f t="shared" si="8"/>
        <v>12214</v>
      </c>
      <c r="BQ3" s="39">
        <f>J3+N3+S3+W3+AA3+AE3+AI3+AM3+AQ3+AU3+Table1[[#This Row],[MS-0225]]+Table1[[#This Row],[MS-0325]]</f>
        <v>11772.5</v>
      </c>
      <c r="BR3" s="37">
        <f t="shared" si="9"/>
        <v>441.5</v>
      </c>
      <c r="BS3" s="37">
        <f t="shared" si="10"/>
        <v>3.7502654491399445</v>
      </c>
      <c r="BT3" s="36">
        <f t="shared" si="11"/>
        <v>3626</v>
      </c>
      <c r="BU3" s="36">
        <f t="shared" si="12"/>
        <v>4058.5</v>
      </c>
      <c r="BV3" s="37">
        <f t="shared" si="13"/>
        <v>-432.5</v>
      </c>
      <c r="BW3" s="37">
        <f t="shared" si="14"/>
        <v>-10.656646544289762</v>
      </c>
      <c r="BX3">
        <v>0</v>
      </c>
      <c r="BY3" s="83">
        <f t="shared" si="15"/>
        <v>0</v>
      </c>
      <c r="BZ3">
        <v>0</v>
      </c>
      <c r="CA3" s="83">
        <f t="shared" si="16"/>
        <v>0</v>
      </c>
      <c r="CB3" s="96">
        <f t="shared" si="17"/>
        <v>0.19818346957311536</v>
      </c>
      <c r="CC3" s="96">
        <f t="shared" si="18"/>
        <v>0.18636276575368704</v>
      </c>
      <c r="CD3" s="97">
        <f t="shared" si="19"/>
        <v>1.1820703819428319E-2</v>
      </c>
      <c r="CE3" s="96">
        <f t="shared" si="20"/>
        <v>0.21820708825573315</v>
      </c>
      <c r="CF3" s="96">
        <f t="shared" si="21"/>
        <v>0.20257234726688103</v>
      </c>
      <c r="CG3" s="96">
        <f t="shared" si="22"/>
        <v>1.5634740988852119E-2</v>
      </c>
      <c r="CH3" s="95">
        <f t="shared" si="23"/>
        <v>0.1901929335554898</v>
      </c>
      <c r="CI3" s="95">
        <f t="shared" si="24"/>
        <v>0.18457257073337779</v>
      </c>
      <c r="CJ3" s="98">
        <f t="shared" si="25"/>
        <v>5.6203628221120072E-3</v>
      </c>
      <c r="CK3" s="95">
        <f t="shared" si="26"/>
        <v>0.2019830659536542</v>
      </c>
      <c r="CL3" s="95">
        <f t="shared" si="27"/>
        <v>0.19418660287081341</v>
      </c>
      <c r="CM3" s="98">
        <f t="shared" si="28"/>
        <v>7.7964630828407933E-3</v>
      </c>
      <c r="CN3" s="94">
        <f t="shared" si="29"/>
        <v>2.092122269110388</v>
      </c>
      <c r="CO3" s="94">
        <f t="shared" si="30"/>
        <v>2.2218137254901964</v>
      </c>
    </row>
    <row r="4" spans="1:95" ht="36.5" x14ac:dyDescent="0.35">
      <c r="A4" s="104">
        <v>106330</v>
      </c>
      <c r="B4" s="5" t="s">
        <v>581</v>
      </c>
      <c r="C4" s="46" t="s">
        <v>863</v>
      </c>
      <c r="D4" s="13" t="s">
        <v>864</v>
      </c>
      <c r="E4" s="6" t="s">
        <v>75</v>
      </c>
      <c r="F4" s="6" t="s">
        <v>865</v>
      </c>
      <c r="G4" s="12" t="s">
        <v>865</v>
      </c>
      <c r="H4" s="51" t="s">
        <v>77</v>
      </c>
      <c r="I4" s="24" t="s">
        <v>78</v>
      </c>
      <c r="J4" s="100">
        <v>711</v>
      </c>
      <c r="K4" s="100">
        <v>695.5</v>
      </c>
      <c r="L4" s="100">
        <v>135</v>
      </c>
      <c r="M4" s="100">
        <v>120.5</v>
      </c>
      <c r="N4" s="18">
        <v>728</v>
      </c>
      <c r="O4" s="18">
        <v>710.5</v>
      </c>
      <c r="P4" s="18">
        <v>140</v>
      </c>
      <c r="Q4" s="18">
        <v>103.5</v>
      </c>
      <c r="R4" s="100">
        <v>646</v>
      </c>
      <c r="S4" s="100">
        <v>738</v>
      </c>
      <c r="T4" s="100">
        <v>102</v>
      </c>
      <c r="U4" s="100">
        <v>126</v>
      </c>
      <c r="V4" s="100">
        <v>677.5</v>
      </c>
      <c r="W4" s="100">
        <v>738</v>
      </c>
      <c r="X4" s="100">
        <v>98.5</v>
      </c>
      <c r="Y4" s="100">
        <v>126</v>
      </c>
      <c r="Z4" s="100">
        <v>648</v>
      </c>
      <c r="AA4" s="100">
        <v>787.5</v>
      </c>
      <c r="AB4" s="100">
        <v>116</v>
      </c>
      <c r="AC4" s="100">
        <v>130.5</v>
      </c>
      <c r="AD4" s="100">
        <v>646</v>
      </c>
      <c r="AE4" s="100">
        <v>720</v>
      </c>
      <c r="AF4" s="100">
        <v>92</v>
      </c>
      <c r="AG4" s="100">
        <v>126</v>
      </c>
      <c r="AH4" s="100">
        <v>736</v>
      </c>
      <c r="AI4" s="100">
        <v>821</v>
      </c>
      <c r="AJ4" s="100">
        <v>98</v>
      </c>
      <c r="AK4" s="100">
        <v>117</v>
      </c>
      <c r="AL4" s="100">
        <v>727</v>
      </c>
      <c r="AM4" s="100">
        <v>717.5</v>
      </c>
      <c r="AN4" s="100">
        <v>97</v>
      </c>
      <c r="AO4" s="100">
        <v>112.5</v>
      </c>
      <c r="AP4" s="100">
        <v>734.5</v>
      </c>
      <c r="AQ4" s="100">
        <v>688.5</v>
      </c>
      <c r="AR4" s="100">
        <v>111.5</v>
      </c>
      <c r="AS4" s="100">
        <v>103.5</v>
      </c>
      <c r="AT4" s="100">
        <v>788</v>
      </c>
      <c r="AU4" s="100">
        <v>680</v>
      </c>
      <c r="AV4" s="100">
        <v>110</v>
      </c>
      <c r="AW4" s="100">
        <v>118</v>
      </c>
      <c r="AX4" s="100">
        <v>797.5</v>
      </c>
      <c r="AY4" s="100">
        <v>638</v>
      </c>
      <c r="AZ4" s="100">
        <v>128.5</v>
      </c>
      <c r="BA4" s="100">
        <v>142</v>
      </c>
      <c r="BB4" s="100">
        <v>959</v>
      </c>
      <c r="BC4" s="100">
        <v>675</v>
      </c>
      <c r="BD4" s="100">
        <v>157</v>
      </c>
      <c r="BE4" s="100">
        <v>99</v>
      </c>
      <c r="BF4" s="23">
        <v>28.651800000000001</v>
      </c>
      <c r="BG4" s="23">
        <v>77.268299999999996</v>
      </c>
      <c r="BH4" s="31">
        <f t="shared" si="0"/>
        <v>959</v>
      </c>
      <c r="BI4" s="31">
        <f t="shared" si="1"/>
        <v>675</v>
      </c>
      <c r="BJ4" s="37">
        <f t="shared" si="2"/>
        <v>284</v>
      </c>
      <c r="BK4" s="37">
        <f t="shared" si="3"/>
        <v>42.074074074074076</v>
      </c>
      <c r="BL4" s="36">
        <f t="shared" si="4"/>
        <v>157</v>
      </c>
      <c r="BM4" s="36">
        <f t="shared" si="5"/>
        <v>99</v>
      </c>
      <c r="BN4" s="37">
        <f t="shared" si="6"/>
        <v>58</v>
      </c>
      <c r="BO4" s="37">
        <f t="shared" si="7"/>
        <v>58.585858585858588</v>
      </c>
      <c r="BP4" s="38">
        <f t="shared" si="8"/>
        <v>8765.5</v>
      </c>
      <c r="BQ4" s="39">
        <f>J4+N4+S4+W4+AA4+AE4+AI4+AM4+AQ4+AU4+Table1[[#This Row],[MS-0225]]+Table1[[#This Row],[MS-0325]]</f>
        <v>8642.5</v>
      </c>
      <c r="BR4" s="37">
        <f t="shared" si="9"/>
        <v>123</v>
      </c>
      <c r="BS4" s="37">
        <f t="shared" si="10"/>
        <v>1.4231993057564361</v>
      </c>
      <c r="BT4" s="36">
        <f t="shared" si="11"/>
        <v>1334.5</v>
      </c>
      <c r="BU4" s="36">
        <f t="shared" si="12"/>
        <v>1475.5</v>
      </c>
      <c r="BV4" s="37">
        <f t="shared" si="13"/>
        <v>-141</v>
      </c>
      <c r="BW4" s="37">
        <f t="shared" si="14"/>
        <v>-9.5560826838359887</v>
      </c>
      <c r="BX4">
        <v>0</v>
      </c>
      <c r="BY4" s="83">
        <f t="shared" si="15"/>
        <v>0</v>
      </c>
      <c r="BZ4">
        <v>0</v>
      </c>
      <c r="CA4" s="83">
        <f t="shared" si="16"/>
        <v>0</v>
      </c>
      <c r="CB4" s="96">
        <f t="shared" si="17"/>
        <v>0.65649004414707335</v>
      </c>
      <c r="CC4" s="96">
        <f t="shared" si="18"/>
        <v>0.58039552880481515</v>
      </c>
      <c r="CD4" s="97">
        <f t="shared" si="19"/>
        <v>7.6094515342258195E-2</v>
      </c>
      <c r="CE4" s="96">
        <f t="shared" si="20"/>
        <v>0.71984337675318544</v>
      </c>
      <c r="CF4" s="96">
        <f t="shared" si="21"/>
        <v>0.6470588235294118</v>
      </c>
      <c r="CG4" s="96">
        <f t="shared" si="22"/>
        <v>7.278455322377364E-2</v>
      </c>
      <c r="CH4" s="95">
        <f t="shared" si="23"/>
        <v>0.58934363436934012</v>
      </c>
      <c r="CI4" s="95">
        <f t="shared" si="24"/>
        <v>0.60451706623198798</v>
      </c>
      <c r="CJ4" s="98">
        <f t="shared" si="25"/>
        <v>-1.5173431862647857E-2</v>
      </c>
      <c r="CK4" s="95">
        <f t="shared" si="26"/>
        <v>0.68991188049454466</v>
      </c>
      <c r="CL4" s="95">
        <f t="shared" si="27"/>
        <v>0.7170958468705122</v>
      </c>
      <c r="CM4" s="98">
        <f t="shared" si="28"/>
        <v>-2.7183966375967539E-2</v>
      </c>
      <c r="CN4" s="94">
        <f t="shared" si="29"/>
        <v>1.1786872687386802</v>
      </c>
      <c r="CO4" s="94">
        <f t="shared" si="30"/>
        <v>1.3798237609890893</v>
      </c>
    </row>
    <row r="5" spans="1:95" ht="24.5" x14ac:dyDescent="0.35">
      <c r="A5" s="104">
        <v>186841</v>
      </c>
      <c r="B5" s="5" t="s">
        <v>581</v>
      </c>
      <c r="C5" s="46" t="s">
        <v>951</v>
      </c>
      <c r="D5" s="13" t="s">
        <v>952</v>
      </c>
      <c r="E5" s="6" t="s">
        <v>94</v>
      </c>
      <c r="F5" s="6" t="s">
        <v>953</v>
      </c>
      <c r="G5" s="12" t="s">
        <v>953</v>
      </c>
      <c r="H5" s="51" t="s">
        <v>96</v>
      </c>
      <c r="I5" s="24" t="s">
        <v>83</v>
      </c>
      <c r="J5" s="100">
        <v>877.5</v>
      </c>
      <c r="K5" s="100">
        <v>886.5</v>
      </c>
      <c r="L5" s="100">
        <v>166.5</v>
      </c>
      <c r="M5" s="100">
        <v>157.5</v>
      </c>
      <c r="N5" s="18">
        <v>962.5</v>
      </c>
      <c r="O5" s="18">
        <v>954</v>
      </c>
      <c r="P5" s="18">
        <v>193.5</v>
      </c>
      <c r="Q5" s="18">
        <v>162</v>
      </c>
      <c r="R5" s="100">
        <v>874.5</v>
      </c>
      <c r="S5" s="100">
        <v>953.5</v>
      </c>
      <c r="T5" s="100">
        <v>139.5</v>
      </c>
      <c r="U5" s="100">
        <v>184.5</v>
      </c>
      <c r="V5" s="100">
        <v>958.5</v>
      </c>
      <c r="W5" s="100">
        <v>1014.5</v>
      </c>
      <c r="X5" s="100">
        <v>157.5</v>
      </c>
      <c r="Y5" s="100">
        <v>191.5</v>
      </c>
      <c r="Z5" s="100">
        <v>962.5</v>
      </c>
      <c r="AA5" s="100">
        <v>1059.5</v>
      </c>
      <c r="AB5" s="100">
        <v>161.5</v>
      </c>
      <c r="AC5" s="100">
        <v>208.5</v>
      </c>
      <c r="AD5" s="100">
        <v>899.5</v>
      </c>
      <c r="AE5" s="100">
        <v>889.5</v>
      </c>
      <c r="AF5" s="100">
        <v>148.5</v>
      </c>
      <c r="AG5" s="100">
        <v>174.5</v>
      </c>
      <c r="AH5" s="100">
        <v>908.5</v>
      </c>
      <c r="AI5" s="100">
        <v>902.5</v>
      </c>
      <c r="AJ5" s="100">
        <v>139.5</v>
      </c>
      <c r="AK5" s="100">
        <v>161.5</v>
      </c>
      <c r="AL5" s="100">
        <v>872.5</v>
      </c>
      <c r="AM5" s="100">
        <v>822.5</v>
      </c>
      <c r="AN5" s="100">
        <v>121.5</v>
      </c>
      <c r="AO5" s="100">
        <v>139.5</v>
      </c>
      <c r="AP5" s="100">
        <v>847.5</v>
      </c>
      <c r="AQ5" s="100">
        <v>827</v>
      </c>
      <c r="AR5" s="100">
        <v>130.5</v>
      </c>
      <c r="AS5" s="100">
        <v>135</v>
      </c>
      <c r="AT5" s="100">
        <v>827.5</v>
      </c>
      <c r="AU5" s="100">
        <v>769</v>
      </c>
      <c r="AV5" s="100">
        <v>130.5</v>
      </c>
      <c r="AW5" s="100">
        <v>135</v>
      </c>
      <c r="AX5" s="100">
        <v>783</v>
      </c>
      <c r="AY5" s="100">
        <v>743.5</v>
      </c>
      <c r="AZ5" s="100">
        <v>135</v>
      </c>
      <c r="BA5" s="100">
        <v>130.5</v>
      </c>
      <c r="BB5" s="100">
        <v>904</v>
      </c>
      <c r="BC5" s="100">
        <v>810</v>
      </c>
      <c r="BD5" s="100">
        <v>126</v>
      </c>
      <c r="BE5" s="100">
        <v>144</v>
      </c>
      <c r="BF5" s="23">
        <v>28.527799999999999</v>
      </c>
      <c r="BG5" s="23">
        <v>77.215599999999995</v>
      </c>
      <c r="BH5" s="31">
        <f t="shared" si="0"/>
        <v>904</v>
      </c>
      <c r="BI5" s="31">
        <f t="shared" si="1"/>
        <v>810</v>
      </c>
      <c r="BJ5" s="37">
        <f t="shared" si="2"/>
        <v>94</v>
      </c>
      <c r="BK5" s="37">
        <f t="shared" si="3"/>
        <v>11.604938271604938</v>
      </c>
      <c r="BL5" s="36">
        <f t="shared" si="4"/>
        <v>126</v>
      </c>
      <c r="BM5" s="36">
        <f t="shared" si="5"/>
        <v>144</v>
      </c>
      <c r="BN5" s="37">
        <f t="shared" si="6"/>
        <v>-18</v>
      </c>
      <c r="BO5" s="37">
        <f t="shared" si="7"/>
        <v>-12.5</v>
      </c>
      <c r="BP5" s="38">
        <f t="shared" si="8"/>
        <v>10678.5</v>
      </c>
      <c r="BQ5" s="39">
        <f>J5+N5+S5+W5+AA5+AE5+AI5+AM5+AQ5+AU5+Table1[[#This Row],[MS-0225]]+Table1[[#This Row],[MS-0325]]</f>
        <v>10631.5</v>
      </c>
      <c r="BR5" s="37">
        <f t="shared" si="9"/>
        <v>47</v>
      </c>
      <c r="BS5" s="37">
        <f t="shared" si="10"/>
        <v>0.44208249071156469</v>
      </c>
      <c r="BT5" s="36">
        <f t="shared" si="11"/>
        <v>1709.5</v>
      </c>
      <c r="BU5" s="36">
        <f t="shared" si="12"/>
        <v>1964.5</v>
      </c>
      <c r="BV5" s="37">
        <f t="shared" si="13"/>
        <v>-255</v>
      </c>
      <c r="BW5" s="37">
        <f t="shared" si="14"/>
        <v>-12.980402137948587</v>
      </c>
      <c r="BX5">
        <v>0</v>
      </c>
      <c r="BY5" s="83">
        <f t="shared" si="15"/>
        <v>0</v>
      </c>
      <c r="BZ5">
        <v>0</v>
      </c>
      <c r="CA5" s="83">
        <f t="shared" si="16"/>
        <v>0</v>
      </c>
      <c r="CB5" s="96">
        <f t="shared" si="17"/>
        <v>1</v>
      </c>
      <c r="CC5" s="96">
        <f t="shared" si="18"/>
        <v>1</v>
      </c>
      <c r="CD5" s="97">
        <f t="shared" si="19"/>
        <v>0</v>
      </c>
      <c r="CE5" s="96">
        <f t="shared" si="20"/>
        <v>1</v>
      </c>
      <c r="CF5" s="96">
        <f t="shared" si="21"/>
        <v>1</v>
      </c>
      <c r="CG5" s="96">
        <f t="shared" si="22"/>
        <v>0</v>
      </c>
      <c r="CH5" s="95">
        <f t="shared" si="23"/>
        <v>1</v>
      </c>
      <c r="CI5" s="95">
        <f t="shared" si="24"/>
        <v>1</v>
      </c>
      <c r="CJ5" s="98">
        <f t="shared" si="25"/>
        <v>0</v>
      </c>
      <c r="CK5" s="95">
        <f t="shared" si="26"/>
        <v>1</v>
      </c>
      <c r="CL5" s="95">
        <f t="shared" si="27"/>
        <v>1</v>
      </c>
      <c r="CM5" s="98">
        <f t="shared" si="28"/>
        <v>0</v>
      </c>
      <c r="CN5" s="94">
        <f t="shared" si="29"/>
        <v>1</v>
      </c>
      <c r="CO5" s="94">
        <f t="shared" si="30"/>
        <v>1</v>
      </c>
    </row>
    <row r="6" spans="1:95" ht="24.5" x14ac:dyDescent="0.35">
      <c r="A6" s="102">
        <v>112458</v>
      </c>
      <c r="B6" s="3" t="s">
        <v>72</v>
      </c>
      <c r="C6" s="43" t="s">
        <v>327</v>
      </c>
      <c r="D6" s="12" t="s">
        <v>328</v>
      </c>
      <c r="E6" s="4" t="s">
        <v>85</v>
      </c>
      <c r="F6" s="4" t="s">
        <v>326</v>
      </c>
      <c r="G6" s="12" t="s">
        <v>326</v>
      </c>
      <c r="H6" s="51" t="s">
        <v>304</v>
      </c>
      <c r="I6" s="23" t="s">
        <v>86</v>
      </c>
      <c r="J6" s="18">
        <v>800</v>
      </c>
      <c r="K6" s="18">
        <v>840</v>
      </c>
      <c r="L6" s="18">
        <v>100</v>
      </c>
      <c r="M6" s="18">
        <v>100</v>
      </c>
      <c r="N6" s="18">
        <v>860</v>
      </c>
      <c r="O6" s="18">
        <v>855</v>
      </c>
      <c r="P6" s="18">
        <v>140</v>
      </c>
      <c r="Q6" s="18">
        <v>105</v>
      </c>
      <c r="R6" s="18">
        <v>825</v>
      </c>
      <c r="S6" s="18">
        <v>835</v>
      </c>
      <c r="T6" s="18">
        <v>115</v>
      </c>
      <c r="U6" s="18">
        <v>145</v>
      </c>
      <c r="V6" s="18">
        <v>890</v>
      </c>
      <c r="W6" s="18">
        <v>845</v>
      </c>
      <c r="X6" s="18">
        <v>110</v>
      </c>
      <c r="Y6" s="18">
        <v>115</v>
      </c>
      <c r="Z6" s="18">
        <v>925</v>
      </c>
      <c r="AA6" s="18">
        <v>880</v>
      </c>
      <c r="AB6" s="18">
        <v>95</v>
      </c>
      <c r="AC6" s="18">
        <v>120</v>
      </c>
      <c r="AD6" s="18">
        <v>858</v>
      </c>
      <c r="AE6" s="18">
        <v>820</v>
      </c>
      <c r="AF6" s="18">
        <v>100</v>
      </c>
      <c r="AG6" s="18">
        <v>100</v>
      </c>
      <c r="AH6" s="18">
        <v>935</v>
      </c>
      <c r="AI6" s="18">
        <v>910</v>
      </c>
      <c r="AJ6" s="18">
        <v>105</v>
      </c>
      <c r="AK6" s="18">
        <v>130</v>
      </c>
      <c r="AL6" s="18">
        <v>820</v>
      </c>
      <c r="AM6" s="18">
        <v>790</v>
      </c>
      <c r="AN6" s="18">
        <v>100</v>
      </c>
      <c r="AO6" s="18">
        <v>90</v>
      </c>
      <c r="AP6" s="18">
        <v>840</v>
      </c>
      <c r="AQ6" s="18">
        <v>800</v>
      </c>
      <c r="AR6" s="18">
        <v>80</v>
      </c>
      <c r="AS6" s="18">
        <v>80</v>
      </c>
      <c r="AT6" s="18">
        <v>775</v>
      </c>
      <c r="AU6" s="18">
        <v>795</v>
      </c>
      <c r="AV6" s="18">
        <v>85</v>
      </c>
      <c r="AW6" s="18">
        <v>105</v>
      </c>
      <c r="AX6" s="18">
        <v>805</v>
      </c>
      <c r="AY6" s="18">
        <v>729</v>
      </c>
      <c r="AZ6" s="18">
        <v>95</v>
      </c>
      <c r="BA6" s="18">
        <v>85</v>
      </c>
      <c r="BB6" s="18">
        <v>860</v>
      </c>
      <c r="BC6" s="18">
        <v>820</v>
      </c>
      <c r="BD6" s="18">
        <v>100</v>
      </c>
      <c r="BE6" s="18">
        <v>100</v>
      </c>
      <c r="BF6" s="23">
        <v>28.630420000000001</v>
      </c>
      <c r="BG6" s="23">
        <v>77.068259999999995</v>
      </c>
      <c r="BH6" s="31">
        <f t="shared" si="0"/>
        <v>860</v>
      </c>
      <c r="BI6" s="31">
        <f t="shared" si="1"/>
        <v>820</v>
      </c>
      <c r="BJ6" s="37">
        <f t="shared" si="2"/>
        <v>40</v>
      </c>
      <c r="BK6" s="37">
        <f t="shared" si="3"/>
        <v>4.8780487804878048</v>
      </c>
      <c r="BL6" s="36">
        <f t="shared" si="4"/>
        <v>100</v>
      </c>
      <c r="BM6" s="36">
        <f t="shared" si="5"/>
        <v>100</v>
      </c>
      <c r="BN6" s="37">
        <f t="shared" si="6"/>
        <v>0</v>
      </c>
      <c r="BO6" s="37">
        <f t="shared" si="7"/>
        <v>0</v>
      </c>
      <c r="BP6" s="38">
        <f t="shared" si="8"/>
        <v>10228</v>
      </c>
      <c r="BQ6" s="39">
        <f>J6+N6+S6+W6+AA6+AE6+AI6+AM6+AQ6+AU6+Table1[[#This Row],[MS-0225]]+Table1[[#This Row],[MS-0325]]</f>
        <v>9884</v>
      </c>
      <c r="BR6" s="37">
        <f t="shared" si="9"/>
        <v>344</v>
      </c>
      <c r="BS6" s="37">
        <f t="shared" si="10"/>
        <v>3.480372318899231</v>
      </c>
      <c r="BT6" s="36">
        <f t="shared" si="11"/>
        <v>1190</v>
      </c>
      <c r="BU6" s="36">
        <f t="shared" si="12"/>
        <v>1310</v>
      </c>
      <c r="BV6" s="37">
        <f t="shared" si="13"/>
        <v>-120</v>
      </c>
      <c r="BW6" s="37">
        <f t="shared" si="14"/>
        <v>-9.1603053435114496</v>
      </c>
      <c r="BX6">
        <v>45</v>
      </c>
      <c r="BY6" s="83">
        <f t="shared" si="15"/>
        <v>5.232558139534884E-2</v>
      </c>
      <c r="BZ6">
        <v>245</v>
      </c>
      <c r="CA6" s="83">
        <f t="shared" si="16"/>
        <v>2.3953852170512321E-2</v>
      </c>
      <c r="CB6" s="96">
        <f t="shared" si="17"/>
        <v>0.34916768168899714</v>
      </c>
      <c r="CC6" s="96">
        <f t="shared" si="18"/>
        <v>0.34775233248515691</v>
      </c>
      <c r="CD6" s="97">
        <f t="shared" si="19"/>
        <v>1.4153492038402327E-3</v>
      </c>
      <c r="CE6" s="96">
        <f t="shared" si="20"/>
        <v>0.38834951456310679</v>
      </c>
      <c r="CF6" s="96">
        <f t="shared" si="21"/>
        <v>0.3125</v>
      </c>
      <c r="CG6" s="96">
        <f t="shared" si="22"/>
        <v>7.584951456310679E-2</v>
      </c>
      <c r="CH6" s="95">
        <f t="shared" si="23"/>
        <v>0.34648283338132418</v>
      </c>
      <c r="CI6" s="95">
        <f t="shared" si="24"/>
        <v>0.34626635509436926</v>
      </c>
      <c r="CJ6" s="98">
        <f t="shared" si="25"/>
        <v>2.1647828695492422E-4</v>
      </c>
      <c r="CK6" s="95">
        <f t="shared" si="26"/>
        <v>0.34293948126801155</v>
      </c>
      <c r="CL6" s="95">
        <f t="shared" si="27"/>
        <v>0.32639840538183629</v>
      </c>
      <c r="CM6" s="98">
        <f t="shared" si="28"/>
        <v>1.654107588617526E-2</v>
      </c>
      <c r="CN6" s="94">
        <f t="shared" si="29"/>
        <v>1.3859313335252967</v>
      </c>
      <c r="CO6" s="94">
        <f t="shared" si="30"/>
        <v>1.3717579250720462</v>
      </c>
    </row>
    <row r="7" spans="1:95" ht="24.5" x14ac:dyDescent="0.35">
      <c r="A7" s="102">
        <v>112451</v>
      </c>
      <c r="B7" s="3" t="s">
        <v>72</v>
      </c>
      <c r="C7" s="43" t="s">
        <v>193</v>
      </c>
      <c r="D7" s="12" t="s">
        <v>194</v>
      </c>
      <c r="E7" s="4" t="s">
        <v>81</v>
      </c>
      <c r="F7" s="4" t="s">
        <v>195</v>
      </c>
      <c r="G7" s="12" t="s">
        <v>195</v>
      </c>
      <c r="H7" s="51" t="s">
        <v>135</v>
      </c>
      <c r="I7" s="23" t="s">
        <v>83</v>
      </c>
      <c r="J7" s="18">
        <v>922.50000599999998</v>
      </c>
      <c r="K7" s="18">
        <v>1015.5</v>
      </c>
      <c r="L7" s="18">
        <v>121.5</v>
      </c>
      <c r="M7" s="18">
        <v>130.5</v>
      </c>
      <c r="N7" s="18">
        <v>1063.000006</v>
      </c>
      <c r="O7" s="18">
        <v>1008.5</v>
      </c>
      <c r="P7" s="18">
        <v>171</v>
      </c>
      <c r="Q7" s="18">
        <v>125.5</v>
      </c>
      <c r="R7" s="18">
        <v>937</v>
      </c>
      <c r="S7" s="18">
        <v>931.50000799999998</v>
      </c>
      <c r="T7" s="18">
        <v>123</v>
      </c>
      <c r="U7" s="18">
        <v>148.5</v>
      </c>
      <c r="V7" s="18">
        <v>1008</v>
      </c>
      <c r="W7" s="18">
        <v>1011.000001</v>
      </c>
      <c r="X7" s="18">
        <v>110</v>
      </c>
      <c r="Y7" s="18">
        <v>135</v>
      </c>
      <c r="Z7" s="18">
        <v>1014</v>
      </c>
      <c r="AA7" s="18">
        <v>918.000001</v>
      </c>
      <c r="AB7" s="18">
        <v>122</v>
      </c>
      <c r="AC7" s="18">
        <v>144</v>
      </c>
      <c r="AD7" s="18">
        <v>994</v>
      </c>
      <c r="AE7" s="18">
        <v>984.5</v>
      </c>
      <c r="AF7" s="18">
        <v>110</v>
      </c>
      <c r="AG7" s="18">
        <v>121.5</v>
      </c>
      <c r="AH7" s="18">
        <v>974</v>
      </c>
      <c r="AI7" s="18">
        <v>957.5</v>
      </c>
      <c r="AJ7" s="18">
        <v>114</v>
      </c>
      <c r="AK7" s="18">
        <v>148.5</v>
      </c>
      <c r="AL7" s="18">
        <v>974</v>
      </c>
      <c r="AM7" s="18">
        <v>966.00000599999998</v>
      </c>
      <c r="AN7" s="18">
        <v>106</v>
      </c>
      <c r="AO7" s="18">
        <v>108</v>
      </c>
      <c r="AP7" s="18">
        <v>960</v>
      </c>
      <c r="AQ7" s="18">
        <v>951</v>
      </c>
      <c r="AR7" s="18">
        <v>94</v>
      </c>
      <c r="AS7" s="18">
        <v>105</v>
      </c>
      <c r="AT7" s="18">
        <v>906</v>
      </c>
      <c r="AU7" s="18">
        <v>913</v>
      </c>
      <c r="AV7" s="18">
        <v>100</v>
      </c>
      <c r="AW7" s="18">
        <v>109</v>
      </c>
      <c r="AX7" s="18">
        <v>834</v>
      </c>
      <c r="AY7" s="18">
        <v>915.5</v>
      </c>
      <c r="AZ7" s="18">
        <v>102</v>
      </c>
      <c r="BA7" s="18">
        <v>126.5</v>
      </c>
      <c r="BB7" s="18">
        <v>853</v>
      </c>
      <c r="BC7" s="18">
        <v>928</v>
      </c>
      <c r="BD7" s="18">
        <v>87</v>
      </c>
      <c r="BE7" s="18">
        <v>126</v>
      </c>
      <c r="BF7" s="23">
        <v>28.593859999999999</v>
      </c>
      <c r="BG7" s="23">
        <v>77.077849999999998</v>
      </c>
      <c r="BH7" s="31">
        <f t="shared" si="0"/>
        <v>853</v>
      </c>
      <c r="BI7" s="31">
        <f t="shared" si="1"/>
        <v>928</v>
      </c>
      <c r="BJ7" s="37">
        <f t="shared" si="2"/>
        <v>-75</v>
      </c>
      <c r="BK7" s="37">
        <f t="shared" si="3"/>
        <v>-8.0818965517241388</v>
      </c>
      <c r="BL7" s="36">
        <f t="shared" si="4"/>
        <v>87</v>
      </c>
      <c r="BM7" s="36">
        <f t="shared" si="5"/>
        <v>126</v>
      </c>
      <c r="BN7" s="37">
        <f t="shared" si="6"/>
        <v>-39</v>
      </c>
      <c r="BO7" s="37">
        <f t="shared" si="7"/>
        <v>-30.952380952380953</v>
      </c>
      <c r="BP7" s="38">
        <f t="shared" si="8"/>
        <v>11478</v>
      </c>
      <c r="BQ7" s="39">
        <f>J7+N7+S7+W7+AA7+AE7+AI7+AM7+AQ7+AU7+Table1[[#This Row],[MS-0225]]+Table1[[#This Row],[MS-0325]]</f>
        <v>11461.500028</v>
      </c>
      <c r="BR7" s="37">
        <f t="shared" si="9"/>
        <v>16.499971999999616</v>
      </c>
      <c r="BS7" s="37">
        <f t="shared" si="10"/>
        <v>0.14395996998377894</v>
      </c>
      <c r="BT7" s="36">
        <f t="shared" si="11"/>
        <v>1324</v>
      </c>
      <c r="BU7" s="36">
        <f t="shared" si="12"/>
        <v>1564.5</v>
      </c>
      <c r="BV7" s="37">
        <f t="shared" si="13"/>
        <v>-240.5</v>
      </c>
      <c r="BW7" s="37">
        <f t="shared" si="14"/>
        <v>-15.372323426014701</v>
      </c>
      <c r="BX7">
        <v>60</v>
      </c>
      <c r="BY7" s="83">
        <f t="shared" si="15"/>
        <v>7.0339976553341149E-2</v>
      </c>
      <c r="BZ7">
        <v>279</v>
      </c>
      <c r="CA7" s="83">
        <f t="shared" si="16"/>
        <v>2.4307370622059593E-2</v>
      </c>
      <c r="CB7" s="96">
        <f t="shared" si="17"/>
        <v>0.22335689971196648</v>
      </c>
      <c r="CC7" s="96">
        <f t="shared" si="18"/>
        <v>0.25621203754831584</v>
      </c>
      <c r="CD7" s="97">
        <f t="shared" si="19"/>
        <v>-3.2855137836349357E-2</v>
      </c>
      <c r="CE7" s="96">
        <f t="shared" si="20"/>
        <v>0.16201117318435754</v>
      </c>
      <c r="CF7" s="96">
        <f t="shared" si="21"/>
        <v>0.22105263157894736</v>
      </c>
      <c r="CG7" s="96">
        <f t="shared" si="22"/>
        <v>-5.9041458394589824E-2</v>
      </c>
      <c r="CH7" s="95">
        <f t="shared" si="23"/>
        <v>0.25405608800548929</v>
      </c>
      <c r="CI7" s="95">
        <f t="shared" si="24"/>
        <v>0.26239697849480048</v>
      </c>
      <c r="CJ7" s="98">
        <f t="shared" si="25"/>
        <v>-8.3408904893111924E-3</v>
      </c>
      <c r="CK7" s="95">
        <f t="shared" si="26"/>
        <v>0.20652004367493371</v>
      </c>
      <c r="CL7" s="95">
        <f t="shared" si="27"/>
        <v>0.2213497453310696</v>
      </c>
      <c r="CM7" s="98">
        <f t="shared" si="28"/>
        <v>-1.4829701656135896E-2</v>
      </c>
      <c r="CN7" s="94">
        <f t="shared" si="29"/>
        <v>1.7783926160384249</v>
      </c>
      <c r="CO7" s="94">
        <f t="shared" si="30"/>
        <v>1.4456403057245359</v>
      </c>
    </row>
    <row r="8" spans="1:95" ht="24.5" x14ac:dyDescent="0.35">
      <c r="A8" s="104">
        <v>231764</v>
      </c>
      <c r="B8" s="5" t="s">
        <v>581</v>
      </c>
      <c r="C8" s="46" t="s">
        <v>694</v>
      </c>
      <c r="D8" s="13" t="s">
        <v>391</v>
      </c>
      <c r="E8" s="6" t="s">
        <v>89</v>
      </c>
      <c r="F8" s="6" t="s">
        <v>395</v>
      </c>
      <c r="G8" s="12" t="s">
        <v>395</v>
      </c>
      <c r="H8" s="51" t="s">
        <v>248</v>
      </c>
      <c r="I8" s="24" t="s">
        <v>86</v>
      </c>
      <c r="J8" s="100">
        <v>164</v>
      </c>
      <c r="K8" s="100">
        <v>216</v>
      </c>
      <c r="L8" s="100">
        <v>196</v>
      </c>
      <c r="M8" s="100">
        <v>108</v>
      </c>
      <c r="N8" s="18">
        <v>189</v>
      </c>
      <c r="O8" s="18">
        <v>220</v>
      </c>
      <c r="P8" s="18">
        <v>201</v>
      </c>
      <c r="Q8" s="18">
        <v>128</v>
      </c>
      <c r="R8" s="100">
        <v>216</v>
      </c>
      <c r="S8" s="100">
        <v>204</v>
      </c>
      <c r="T8" s="100">
        <v>132</v>
      </c>
      <c r="U8" s="100">
        <v>180</v>
      </c>
      <c r="V8" s="100">
        <v>227</v>
      </c>
      <c r="W8" s="100">
        <v>201</v>
      </c>
      <c r="X8" s="100">
        <v>195</v>
      </c>
      <c r="Y8" s="100">
        <v>153</v>
      </c>
      <c r="Z8" s="100">
        <v>224</v>
      </c>
      <c r="AA8" s="100">
        <v>200</v>
      </c>
      <c r="AB8" s="100">
        <v>226</v>
      </c>
      <c r="AC8" s="100">
        <v>124</v>
      </c>
      <c r="AD8" s="100">
        <v>198.5</v>
      </c>
      <c r="AE8" s="100">
        <v>176</v>
      </c>
      <c r="AF8" s="100">
        <v>191.5</v>
      </c>
      <c r="AG8" s="100">
        <v>112</v>
      </c>
      <c r="AH8" s="100">
        <v>212</v>
      </c>
      <c r="AI8" s="100">
        <v>179</v>
      </c>
      <c r="AJ8" s="100">
        <v>212</v>
      </c>
      <c r="AK8" s="100">
        <v>151</v>
      </c>
      <c r="AL8" s="100">
        <v>197</v>
      </c>
      <c r="AM8" s="100">
        <v>192</v>
      </c>
      <c r="AN8" s="100">
        <v>195</v>
      </c>
      <c r="AO8" s="100">
        <v>96</v>
      </c>
      <c r="AP8" s="100">
        <v>194</v>
      </c>
      <c r="AQ8" s="100">
        <v>204</v>
      </c>
      <c r="AR8" s="100">
        <v>198</v>
      </c>
      <c r="AS8" s="100">
        <v>84</v>
      </c>
      <c r="AT8" s="100">
        <v>195</v>
      </c>
      <c r="AU8" s="100">
        <v>194</v>
      </c>
      <c r="AV8" s="100">
        <v>169</v>
      </c>
      <c r="AW8" s="100">
        <v>110</v>
      </c>
      <c r="AX8" s="100">
        <v>182</v>
      </c>
      <c r="AY8" s="100">
        <v>178</v>
      </c>
      <c r="AZ8" s="100">
        <v>182</v>
      </c>
      <c r="BA8" s="100">
        <v>118</v>
      </c>
      <c r="BB8" s="100">
        <v>188</v>
      </c>
      <c r="BC8" s="100">
        <v>204</v>
      </c>
      <c r="BD8" s="100">
        <v>218</v>
      </c>
      <c r="BE8" s="100">
        <v>120</v>
      </c>
      <c r="BF8" s="23">
        <v>28.6966</v>
      </c>
      <c r="BG8" s="23">
        <v>77.1554</v>
      </c>
      <c r="BH8" s="31">
        <f t="shared" ref="BH8:BH71" si="31">BB8</f>
        <v>188</v>
      </c>
      <c r="BI8" s="31">
        <f t="shared" ref="BI8:BI71" si="32">BC8</f>
        <v>204</v>
      </c>
      <c r="BJ8" s="37">
        <f t="shared" ref="BJ8:BJ71" si="33">(BH8-BI8)</f>
        <v>-16</v>
      </c>
      <c r="BK8" s="37">
        <f t="shared" ref="BK8:BK71" si="34">(BJ8)/BI8*100</f>
        <v>-7.8431372549019605</v>
      </c>
      <c r="BL8" s="36">
        <f t="shared" ref="BL8:BL71" si="35">BD8</f>
        <v>218</v>
      </c>
      <c r="BM8" s="36">
        <f t="shared" ref="BM8:BM71" si="36">BE8</f>
        <v>120</v>
      </c>
      <c r="BN8" s="37">
        <f t="shared" ref="BN8:BN71" si="37">(BL8-BM8)</f>
        <v>98</v>
      </c>
      <c r="BO8" s="37">
        <f t="shared" ref="BO8:BO71" si="38">(BN8)/BM8*100</f>
        <v>81.666666666666671</v>
      </c>
      <c r="BP8" s="38">
        <f t="shared" ref="BP8:BP71" si="39">K8+O8+R8+V8+Z8+AD8+AH8+AL8+AP8+AT8+AX8+BB8</f>
        <v>2469.5</v>
      </c>
      <c r="BQ8" s="39">
        <f>J8+N8+S8+W8+AA8+AE8+AI8+AM8+AQ8+AU8+Table1[[#This Row],[MS-0225]]+Table1[[#This Row],[MS-0325]]</f>
        <v>2285</v>
      </c>
      <c r="BR8" s="37">
        <f t="shared" ref="BR8:BR71" si="40">(BP8-BQ8)</f>
        <v>184.5</v>
      </c>
      <c r="BS8" s="37">
        <f t="shared" ref="BS8:BS71" si="41">(BR8)/BQ8*100</f>
        <v>8.0743982494529529</v>
      </c>
      <c r="BT8" s="36">
        <f t="shared" ref="BT8:BT71" si="42">M8+Q8+T8+X8+AB8+AF8+AJ8+AN8+AR8+AV8+AZ8+BD8</f>
        <v>2154.5</v>
      </c>
      <c r="BU8" s="36">
        <f t="shared" ref="BU8:BU71" si="43">L8+P8+U8+Y8+AC8+AG8+AK8+AO8+AS8+AW8+BA8+BE8</f>
        <v>1645</v>
      </c>
      <c r="BV8" s="37">
        <f t="shared" ref="BV8:BV71" si="44">(BT8-BU8)</f>
        <v>509.5</v>
      </c>
      <c r="BW8" s="37">
        <f t="shared" ref="BW8:BW71" si="45">(BV8)/BU8*100</f>
        <v>30.972644376899694</v>
      </c>
      <c r="BX8">
        <v>0</v>
      </c>
      <c r="BY8" s="83">
        <f t="shared" ref="BY8:BY71" si="46">BX8/BH8</f>
        <v>0</v>
      </c>
      <c r="BZ8">
        <v>0</v>
      </c>
      <c r="CA8" s="83">
        <f t="shared" ref="CA8:CA71" si="47">BZ8/BP8</f>
        <v>0</v>
      </c>
      <c r="CB8" s="96">
        <f t="shared" ref="CB8:CB71" si="48">BH8/SUMIFS(BH$2:BH$398,G$2:G$398,G8)</f>
        <v>7.7589764754436644E-2</v>
      </c>
      <c r="CC8" s="96">
        <f t="shared" ref="CC8:CC71" si="49">BI8/SUMIFS(BI$2:BI$398,G$2:G$398,G8)</f>
        <v>8.4384694932781792E-2</v>
      </c>
      <c r="CD8" s="97">
        <f t="shared" ref="CD8:CD71" si="50">CB8-CC8</f>
        <v>-6.7949301783451488E-3</v>
      </c>
      <c r="CE8" s="96">
        <f t="shared" ref="CE8:CE71" si="51">BL8/SUMIFS(BL$2:BL$398,G$2:G$398,G8)</f>
        <v>0.22497420020639836</v>
      </c>
      <c r="CF8" s="96">
        <f t="shared" ref="CF8:CF71" si="52">BM8/SUMIFS(BM$2:BM$398,G$2:G$398,G8)</f>
        <v>0.11412268188302425</v>
      </c>
      <c r="CG8" s="96">
        <f t="shared" ref="CG8:CG71" si="53">CE8-CF8</f>
        <v>0.1108515183233741</v>
      </c>
      <c r="CH8" s="95">
        <f t="shared" ref="CH8:CH71" si="54">BP8/SUMIFS(BP$2:BP$398,G$2:G$398,G8)</f>
        <v>8.2125041569670765E-2</v>
      </c>
      <c r="CI8" s="95">
        <f t="shared" ref="CI8:CI71" si="55">BQ8/SUMIFS(BQ$2:BQ$398,G$2:G$398,G8)</f>
        <v>8.0480417018878564E-2</v>
      </c>
      <c r="CJ8" s="98">
        <f t="shared" ref="CJ8:CJ71" si="56">CH8-CI8</f>
        <v>1.6446245507922008E-3</v>
      </c>
      <c r="CK8" s="95">
        <f t="shared" ref="CK8:CK71" si="57">BT8/SUMIFS(BT$2:BT$398,G$2:G$398,G8)</f>
        <v>0.17182390940266368</v>
      </c>
      <c r="CL8" s="95">
        <f t="shared" ref="CL8:CL71" si="58">BU8/SUMIFS(BU$2:BU$398,G$2:G$398,G8)</f>
        <v>0.12989576753000631</v>
      </c>
      <c r="CM8" s="98">
        <f t="shared" ref="CM8:CM71" si="59">CK8-CL8</f>
        <v>4.1928141872657365E-2</v>
      </c>
      <c r="CN8" s="94">
        <f t="shared" ref="CN8:CN71" si="60">COUNTIFS(G$2:G$398,G8)*CH8</f>
        <v>0.49275024941802459</v>
      </c>
      <c r="CO8" s="94">
        <f t="shared" ref="CO8:CO71" si="61">COUNTIFS(G$2:G$398,G8)*CK8</f>
        <v>1.0309434564159821</v>
      </c>
    </row>
    <row r="9" spans="1:95" ht="24.5" x14ac:dyDescent="0.35">
      <c r="A9" s="103">
        <v>41056502</v>
      </c>
      <c r="B9" s="9" t="s">
        <v>380</v>
      </c>
      <c r="C9" s="47" t="s">
        <v>444</v>
      </c>
      <c r="D9" s="14" t="s">
        <v>445</v>
      </c>
      <c r="E9" s="10" t="s">
        <v>103</v>
      </c>
      <c r="F9" s="10" t="s">
        <v>361</v>
      </c>
      <c r="G9" s="12" t="s">
        <v>408</v>
      </c>
      <c r="H9" s="51" t="s">
        <v>304</v>
      </c>
      <c r="I9" s="25" t="s">
        <v>86</v>
      </c>
      <c r="J9" s="99">
        <v>265</v>
      </c>
      <c r="K9" s="99">
        <v>284</v>
      </c>
      <c r="L9" s="99">
        <v>289</v>
      </c>
      <c r="M9" s="99">
        <v>574</v>
      </c>
      <c r="N9" s="18">
        <v>324</v>
      </c>
      <c r="O9" s="18">
        <v>317</v>
      </c>
      <c r="P9" s="18">
        <v>441</v>
      </c>
      <c r="Q9" s="18">
        <v>665</v>
      </c>
      <c r="R9" s="99">
        <v>314.5</v>
      </c>
      <c r="S9" s="99">
        <v>278</v>
      </c>
      <c r="T9" s="99">
        <v>643.5</v>
      </c>
      <c r="U9" s="99">
        <v>369</v>
      </c>
      <c r="V9" s="99">
        <v>321.5</v>
      </c>
      <c r="W9" s="99">
        <v>294.5</v>
      </c>
      <c r="X9" s="99">
        <v>569.5</v>
      </c>
      <c r="Y9" s="99">
        <v>516.5</v>
      </c>
      <c r="Z9" s="99">
        <v>326.5</v>
      </c>
      <c r="AA9" s="99">
        <v>317.5</v>
      </c>
      <c r="AB9" s="99">
        <v>570.5</v>
      </c>
      <c r="AC9" s="99">
        <v>567.5</v>
      </c>
      <c r="AD9" s="99">
        <v>331.5</v>
      </c>
      <c r="AE9" s="99">
        <v>315</v>
      </c>
      <c r="AF9" s="99">
        <v>703.5</v>
      </c>
      <c r="AG9" s="99">
        <v>592</v>
      </c>
      <c r="AH9" s="99">
        <v>313</v>
      </c>
      <c r="AI9" s="99">
        <v>322</v>
      </c>
      <c r="AJ9" s="99">
        <v>645</v>
      </c>
      <c r="AK9" s="99">
        <v>597</v>
      </c>
      <c r="AL9" s="99">
        <v>312.5</v>
      </c>
      <c r="AM9" s="99">
        <v>287</v>
      </c>
      <c r="AN9" s="99">
        <v>614.5</v>
      </c>
      <c r="AO9" s="99">
        <v>488</v>
      </c>
      <c r="AP9" s="99">
        <v>298</v>
      </c>
      <c r="AQ9" s="99">
        <v>291</v>
      </c>
      <c r="AR9" s="99">
        <v>787</v>
      </c>
      <c r="AS9" s="99">
        <v>521</v>
      </c>
      <c r="AT9" s="99">
        <v>304.5</v>
      </c>
      <c r="AU9" s="99">
        <v>295</v>
      </c>
      <c r="AV9" s="99">
        <v>613.5</v>
      </c>
      <c r="AW9" s="99">
        <v>594</v>
      </c>
      <c r="AX9" s="99">
        <v>281</v>
      </c>
      <c r="AY9" s="99">
        <v>255</v>
      </c>
      <c r="AZ9" s="99">
        <v>386</v>
      </c>
      <c r="BA9" s="99">
        <v>587</v>
      </c>
      <c r="BB9" s="99">
        <v>302.5</v>
      </c>
      <c r="BC9" s="99">
        <v>304</v>
      </c>
      <c r="BD9" s="99">
        <v>610.5</v>
      </c>
      <c r="BE9" s="99">
        <v>579</v>
      </c>
      <c r="BF9" s="23">
        <v>28.641909999999999</v>
      </c>
      <c r="BG9" s="23">
        <v>77.145349999999993</v>
      </c>
      <c r="BH9" s="31">
        <f t="shared" si="31"/>
        <v>302.5</v>
      </c>
      <c r="BI9" s="31">
        <f t="shared" si="32"/>
        <v>304</v>
      </c>
      <c r="BJ9" s="37">
        <f t="shared" si="33"/>
        <v>-1.5</v>
      </c>
      <c r="BK9" s="37">
        <f t="shared" si="34"/>
        <v>-0.49342105263157893</v>
      </c>
      <c r="BL9" s="36">
        <f t="shared" si="35"/>
        <v>610.5</v>
      </c>
      <c r="BM9" s="36">
        <f t="shared" si="36"/>
        <v>579</v>
      </c>
      <c r="BN9" s="37">
        <f t="shared" si="37"/>
        <v>31.5</v>
      </c>
      <c r="BO9" s="37">
        <f t="shared" si="38"/>
        <v>5.4404145077720205</v>
      </c>
      <c r="BP9" s="38">
        <f t="shared" si="39"/>
        <v>3706.5</v>
      </c>
      <c r="BQ9" s="39">
        <f>J9+N9+S9+W9+AA9+AE9+AI9+AM9+AQ9+AU9+Table1[[#This Row],[MS-0225]]+Table1[[#This Row],[MS-0325]]</f>
        <v>3548</v>
      </c>
      <c r="BR9" s="37">
        <f t="shared" si="40"/>
        <v>158.5</v>
      </c>
      <c r="BS9" s="37">
        <f t="shared" si="41"/>
        <v>4.4673055242390074</v>
      </c>
      <c r="BT9" s="36">
        <f t="shared" si="42"/>
        <v>7382.5</v>
      </c>
      <c r="BU9" s="36">
        <f t="shared" si="43"/>
        <v>6141</v>
      </c>
      <c r="BV9" s="37">
        <f t="shared" si="44"/>
        <v>1241.5</v>
      </c>
      <c r="BW9" s="37">
        <f t="shared" si="45"/>
        <v>20.216577104706072</v>
      </c>
      <c r="BX9">
        <v>0</v>
      </c>
      <c r="BY9" s="83">
        <f t="shared" si="46"/>
        <v>0</v>
      </c>
      <c r="BZ9">
        <v>0</v>
      </c>
      <c r="CA9" s="83">
        <f t="shared" si="47"/>
        <v>0</v>
      </c>
      <c r="CB9" s="96">
        <f t="shared" si="48"/>
        <v>0.43872371283538797</v>
      </c>
      <c r="CC9" s="96">
        <f t="shared" si="49"/>
        <v>0.39895013123359579</v>
      </c>
      <c r="CD9" s="97">
        <f t="shared" si="50"/>
        <v>3.9773581601792174E-2</v>
      </c>
      <c r="CE9" s="96">
        <f t="shared" si="51"/>
        <v>0.7061885482938115</v>
      </c>
      <c r="CF9" s="96">
        <f t="shared" si="52"/>
        <v>0.66475315729047069</v>
      </c>
      <c r="CG9" s="96">
        <f t="shared" si="53"/>
        <v>4.1435391003340816E-2</v>
      </c>
      <c r="CH9" s="95">
        <f t="shared" si="54"/>
        <v>0.4056583123563533</v>
      </c>
      <c r="CI9" s="95">
        <f t="shared" si="55"/>
        <v>0.40993645291738878</v>
      </c>
      <c r="CJ9" s="98">
        <f t="shared" si="56"/>
        <v>-4.2781405610354817E-3</v>
      </c>
      <c r="CK9" s="95">
        <f t="shared" si="57"/>
        <v>0.73210035700119003</v>
      </c>
      <c r="CL9" s="95">
        <f t="shared" si="58"/>
        <v>0.64270015698587124</v>
      </c>
      <c r="CM9" s="98">
        <f t="shared" si="59"/>
        <v>8.9400200015318787E-2</v>
      </c>
      <c r="CN9" s="94">
        <f t="shared" si="60"/>
        <v>0.8113166247127066</v>
      </c>
      <c r="CO9" s="94">
        <f t="shared" si="61"/>
        <v>1.4642007140023801</v>
      </c>
      <c r="CP9" s="141">
        <f>BD9-AZ9</f>
        <v>224.5</v>
      </c>
    </row>
    <row r="10" spans="1:95" ht="24.5" x14ac:dyDescent="0.35">
      <c r="A10" s="103">
        <v>41056524</v>
      </c>
      <c r="B10" s="9" t="s">
        <v>380</v>
      </c>
      <c r="C10" s="48" t="s">
        <v>384</v>
      </c>
      <c r="D10" s="14" t="s">
        <v>385</v>
      </c>
      <c r="E10" s="10" t="s">
        <v>187</v>
      </c>
      <c r="F10" s="12" t="s">
        <v>356</v>
      </c>
      <c r="G10" s="12" t="s">
        <v>356</v>
      </c>
      <c r="H10" s="51" t="s">
        <v>189</v>
      </c>
      <c r="I10" s="25" t="s">
        <v>86</v>
      </c>
      <c r="J10" s="99">
        <v>144.5</v>
      </c>
      <c r="K10" s="99">
        <v>187</v>
      </c>
      <c r="L10" s="99">
        <v>438.5</v>
      </c>
      <c r="M10" s="99">
        <v>441</v>
      </c>
      <c r="N10" s="18">
        <v>172</v>
      </c>
      <c r="O10" s="18">
        <v>195</v>
      </c>
      <c r="P10" s="18">
        <v>512</v>
      </c>
      <c r="Q10" s="18">
        <v>513</v>
      </c>
      <c r="R10" s="99">
        <v>179.5</v>
      </c>
      <c r="S10" s="99">
        <v>117</v>
      </c>
      <c r="T10" s="99">
        <v>470.5</v>
      </c>
      <c r="U10" s="99">
        <v>483</v>
      </c>
      <c r="V10" s="99">
        <v>199</v>
      </c>
      <c r="W10" s="99">
        <v>148.5</v>
      </c>
      <c r="X10" s="99">
        <v>333</v>
      </c>
      <c r="Y10" s="99">
        <v>394.5</v>
      </c>
      <c r="Z10" s="99">
        <v>197</v>
      </c>
      <c r="AA10" s="99">
        <v>137.5</v>
      </c>
      <c r="AB10" s="99">
        <v>342</v>
      </c>
      <c r="AC10" s="99">
        <v>379.5</v>
      </c>
      <c r="AD10" s="99">
        <v>179</v>
      </c>
      <c r="AE10" s="99">
        <v>134</v>
      </c>
      <c r="AF10" s="99">
        <v>245</v>
      </c>
      <c r="AG10" s="99">
        <v>314</v>
      </c>
      <c r="AH10" s="99">
        <v>180</v>
      </c>
      <c r="AI10" s="99">
        <v>73</v>
      </c>
      <c r="AJ10" s="99">
        <v>289</v>
      </c>
      <c r="AK10" s="99">
        <v>339</v>
      </c>
      <c r="AL10" s="99">
        <v>182</v>
      </c>
      <c r="AM10" s="99">
        <v>109.5</v>
      </c>
      <c r="AN10" s="99">
        <v>301</v>
      </c>
      <c r="AO10" s="99">
        <v>317.5</v>
      </c>
      <c r="AP10" s="99">
        <v>179</v>
      </c>
      <c r="AQ10" s="99">
        <v>128</v>
      </c>
      <c r="AR10" s="99">
        <v>281</v>
      </c>
      <c r="AS10" s="99">
        <v>345</v>
      </c>
      <c r="AT10" s="99">
        <v>168</v>
      </c>
      <c r="AU10" s="99">
        <v>150</v>
      </c>
      <c r="AV10" s="99">
        <v>300</v>
      </c>
      <c r="AW10" s="99">
        <v>359</v>
      </c>
      <c r="AX10" s="99">
        <v>174</v>
      </c>
      <c r="AY10" s="99">
        <v>134</v>
      </c>
      <c r="AZ10" s="99">
        <v>328</v>
      </c>
      <c r="BA10" s="99">
        <v>449</v>
      </c>
      <c r="BB10" s="99">
        <v>185.5</v>
      </c>
      <c r="BC10" s="99">
        <v>169.5</v>
      </c>
      <c r="BD10" s="99">
        <v>379.5</v>
      </c>
      <c r="BE10" s="99">
        <v>445.5</v>
      </c>
      <c r="BF10" s="23">
        <v>28.670079999999999</v>
      </c>
      <c r="BG10" s="23">
        <v>77.22636</v>
      </c>
      <c r="BH10" s="31">
        <f t="shared" si="31"/>
        <v>185.5</v>
      </c>
      <c r="BI10" s="31">
        <f t="shared" si="32"/>
        <v>169.5</v>
      </c>
      <c r="BJ10" s="37">
        <f t="shared" si="33"/>
        <v>16</v>
      </c>
      <c r="BK10" s="37">
        <f t="shared" si="34"/>
        <v>9.4395280235988199</v>
      </c>
      <c r="BL10" s="36">
        <f t="shared" si="35"/>
        <v>379.5</v>
      </c>
      <c r="BM10" s="36">
        <f t="shared" si="36"/>
        <v>445.5</v>
      </c>
      <c r="BN10" s="37">
        <f t="shared" si="37"/>
        <v>-66</v>
      </c>
      <c r="BO10" s="37">
        <f t="shared" si="38"/>
        <v>-14.814814814814813</v>
      </c>
      <c r="BP10" s="38">
        <f t="shared" si="39"/>
        <v>2205</v>
      </c>
      <c r="BQ10" s="39">
        <f>J10+N10+S10+W10+AA10+AE10+AI10+AM10+AQ10+AU10+Table1[[#This Row],[MS-0225]]+Table1[[#This Row],[MS-0325]]</f>
        <v>1617.5</v>
      </c>
      <c r="BR10" s="37">
        <f t="shared" si="40"/>
        <v>587.5</v>
      </c>
      <c r="BS10" s="37">
        <f t="shared" si="41"/>
        <v>36.321483771251934</v>
      </c>
      <c r="BT10" s="36">
        <f t="shared" si="42"/>
        <v>4223</v>
      </c>
      <c r="BU10" s="36">
        <f t="shared" si="43"/>
        <v>4776.5</v>
      </c>
      <c r="BV10" s="37">
        <f t="shared" si="44"/>
        <v>-553.5</v>
      </c>
      <c r="BW10" s="37">
        <f t="shared" si="45"/>
        <v>-11.587982832618025</v>
      </c>
      <c r="BX10">
        <v>0</v>
      </c>
      <c r="BY10" s="83">
        <f t="shared" si="46"/>
        <v>0</v>
      </c>
      <c r="BZ10">
        <v>0</v>
      </c>
      <c r="CA10" s="83">
        <f t="shared" si="47"/>
        <v>0</v>
      </c>
      <c r="CB10" s="96">
        <f t="shared" si="48"/>
        <v>0.26016830294530152</v>
      </c>
      <c r="CC10" s="96">
        <f t="shared" si="49"/>
        <v>0.23722883135059483</v>
      </c>
      <c r="CD10" s="97">
        <f t="shared" si="50"/>
        <v>2.293947159470669E-2</v>
      </c>
      <c r="CE10" s="96">
        <f t="shared" si="51"/>
        <v>0.22833935018050541</v>
      </c>
      <c r="CF10" s="96">
        <f t="shared" si="52"/>
        <v>0.28330683624801273</v>
      </c>
      <c r="CG10" s="96">
        <f t="shared" si="53"/>
        <v>-5.4967486067507315E-2</v>
      </c>
      <c r="CH10" s="95">
        <f t="shared" si="54"/>
        <v>0.24405091311566132</v>
      </c>
      <c r="CI10" s="95">
        <f t="shared" si="55"/>
        <v>0.1849628357370266</v>
      </c>
      <c r="CJ10" s="98">
        <f t="shared" si="56"/>
        <v>5.9088077378634724E-2</v>
      </c>
      <c r="CK10" s="95">
        <f t="shared" si="57"/>
        <v>0.25549035029342371</v>
      </c>
      <c r="CL10" s="95">
        <f t="shared" si="58"/>
        <v>0.27651383582262362</v>
      </c>
      <c r="CM10" s="98">
        <f t="shared" si="59"/>
        <v>-2.1023485529199915E-2</v>
      </c>
      <c r="CN10" s="94">
        <f t="shared" si="60"/>
        <v>0.73215273934698399</v>
      </c>
      <c r="CO10" s="94">
        <f t="shared" si="61"/>
        <v>0.76647105088027112</v>
      </c>
      <c r="CP10" s="141">
        <f>BD10-AZ10</f>
        <v>51.5</v>
      </c>
    </row>
    <row r="11" spans="1:95" x14ac:dyDescent="0.35">
      <c r="A11" s="104">
        <v>106336</v>
      </c>
      <c r="B11" s="5" t="s">
        <v>581</v>
      </c>
      <c r="C11" s="46" t="s">
        <v>880</v>
      </c>
      <c r="D11" s="13" t="s">
        <v>881</v>
      </c>
      <c r="E11" s="6" t="s">
        <v>81</v>
      </c>
      <c r="F11" s="6" t="s">
        <v>195</v>
      </c>
      <c r="G11" s="12" t="s">
        <v>195</v>
      </c>
      <c r="H11" s="51" t="s">
        <v>135</v>
      </c>
      <c r="I11" s="24" t="s">
        <v>83</v>
      </c>
      <c r="J11" s="100">
        <v>789.5</v>
      </c>
      <c r="K11" s="100">
        <v>800</v>
      </c>
      <c r="L11" s="100">
        <v>112.5</v>
      </c>
      <c r="M11" s="100">
        <v>100</v>
      </c>
      <c r="N11" s="18">
        <v>824.5</v>
      </c>
      <c r="O11" s="18">
        <v>825</v>
      </c>
      <c r="P11" s="18">
        <v>131.5</v>
      </c>
      <c r="Q11" s="18">
        <v>115</v>
      </c>
      <c r="R11" s="100">
        <v>780</v>
      </c>
      <c r="S11" s="100">
        <v>789</v>
      </c>
      <c r="T11" s="100">
        <v>114</v>
      </c>
      <c r="U11" s="100">
        <v>113</v>
      </c>
      <c r="V11" s="100">
        <v>805</v>
      </c>
      <c r="W11" s="100">
        <v>845</v>
      </c>
      <c r="X11" s="100">
        <v>115</v>
      </c>
      <c r="Y11" s="100">
        <v>115</v>
      </c>
      <c r="Z11" s="100">
        <v>830</v>
      </c>
      <c r="AA11" s="100">
        <v>850</v>
      </c>
      <c r="AB11" s="100">
        <v>90</v>
      </c>
      <c r="AC11" s="100">
        <v>110</v>
      </c>
      <c r="AD11" s="100">
        <v>800</v>
      </c>
      <c r="AE11" s="100">
        <v>805</v>
      </c>
      <c r="AF11" s="100">
        <v>100</v>
      </c>
      <c r="AG11" s="100">
        <v>113</v>
      </c>
      <c r="AH11" s="100">
        <v>854</v>
      </c>
      <c r="AI11" s="100">
        <v>870</v>
      </c>
      <c r="AJ11" s="100">
        <v>100</v>
      </c>
      <c r="AK11" s="100">
        <v>110</v>
      </c>
      <c r="AL11" s="100">
        <v>800</v>
      </c>
      <c r="AM11" s="100">
        <v>780</v>
      </c>
      <c r="AN11" s="100">
        <v>100</v>
      </c>
      <c r="AO11" s="100">
        <v>94</v>
      </c>
      <c r="AP11" s="100">
        <v>770</v>
      </c>
      <c r="AQ11" s="100">
        <v>765</v>
      </c>
      <c r="AR11" s="100">
        <v>70</v>
      </c>
      <c r="AS11" s="100">
        <v>95</v>
      </c>
      <c r="AT11" s="100">
        <v>745</v>
      </c>
      <c r="AU11" s="100">
        <v>758</v>
      </c>
      <c r="AV11" s="100">
        <v>95</v>
      </c>
      <c r="AW11" s="100">
        <v>100</v>
      </c>
      <c r="AX11" s="100">
        <v>740</v>
      </c>
      <c r="AY11" s="100">
        <v>699</v>
      </c>
      <c r="AZ11" s="100">
        <v>94</v>
      </c>
      <c r="BA11" s="100">
        <v>95</v>
      </c>
      <c r="BB11" s="100">
        <v>823</v>
      </c>
      <c r="BC11" s="100">
        <v>775</v>
      </c>
      <c r="BD11" s="100">
        <v>109</v>
      </c>
      <c r="BE11" s="100">
        <v>105</v>
      </c>
      <c r="BF11" s="23">
        <v>28.604800000000001</v>
      </c>
      <c r="BG11" s="23">
        <v>77.054100000000005</v>
      </c>
      <c r="BH11" s="31">
        <f t="shared" si="31"/>
        <v>823</v>
      </c>
      <c r="BI11" s="31">
        <f t="shared" si="32"/>
        <v>775</v>
      </c>
      <c r="BJ11" s="37">
        <f t="shared" si="33"/>
        <v>48</v>
      </c>
      <c r="BK11" s="37">
        <f t="shared" si="34"/>
        <v>6.193548387096774</v>
      </c>
      <c r="BL11" s="36">
        <f t="shared" si="35"/>
        <v>109</v>
      </c>
      <c r="BM11" s="36">
        <f t="shared" si="36"/>
        <v>105</v>
      </c>
      <c r="BN11" s="37">
        <f t="shared" si="37"/>
        <v>4</v>
      </c>
      <c r="BO11" s="37">
        <f t="shared" si="38"/>
        <v>3.8095238095238098</v>
      </c>
      <c r="BP11" s="38">
        <f t="shared" si="39"/>
        <v>9572</v>
      </c>
      <c r="BQ11" s="39">
        <f>J11+N11+S11+W11+AA11+AE11+AI11+AM11+AQ11+AU11+Table1[[#This Row],[MS-0225]]+Table1[[#This Row],[MS-0325]]</f>
        <v>9550</v>
      </c>
      <c r="BR11" s="37">
        <f t="shared" si="40"/>
        <v>22</v>
      </c>
      <c r="BS11" s="37">
        <f t="shared" si="41"/>
        <v>0.23036649214659685</v>
      </c>
      <c r="BT11" s="36">
        <f t="shared" si="42"/>
        <v>1202</v>
      </c>
      <c r="BU11" s="36">
        <f t="shared" si="43"/>
        <v>1294</v>
      </c>
      <c r="BV11" s="37">
        <f t="shared" si="44"/>
        <v>-92</v>
      </c>
      <c r="BW11" s="37">
        <f t="shared" si="45"/>
        <v>-7.1097372488408039</v>
      </c>
      <c r="BX11">
        <v>0</v>
      </c>
      <c r="BY11" s="83">
        <f t="shared" si="46"/>
        <v>0</v>
      </c>
      <c r="BZ11">
        <v>0</v>
      </c>
      <c r="CA11" s="83">
        <f t="shared" si="47"/>
        <v>0</v>
      </c>
      <c r="CB11" s="96">
        <f t="shared" si="48"/>
        <v>0.21550144016758313</v>
      </c>
      <c r="CC11" s="96">
        <f t="shared" si="49"/>
        <v>0.21397018221976807</v>
      </c>
      <c r="CD11" s="97">
        <f t="shared" si="50"/>
        <v>1.5312579478150568E-3</v>
      </c>
      <c r="CE11" s="96">
        <f t="shared" si="51"/>
        <v>0.20297951582867785</v>
      </c>
      <c r="CF11" s="96">
        <f t="shared" si="52"/>
        <v>0.18421052631578946</v>
      </c>
      <c r="CG11" s="96">
        <f t="shared" si="53"/>
        <v>1.8768989512888384E-2</v>
      </c>
      <c r="CH11" s="95">
        <f t="shared" si="54"/>
        <v>0.21186834591292414</v>
      </c>
      <c r="CI11" s="95">
        <f t="shared" si="55"/>
        <v>0.21863553099538013</v>
      </c>
      <c r="CJ11" s="98">
        <f t="shared" si="56"/>
        <v>-6.7671850824559954E-3</v>
      </c>
      <c r="CK11" s="95">
        <f t="shared" si="57"/>
        <v>0.18749025113086881</v>
      </c>
      <c r="CL11" s="95">
        <f t="shared" si="58"/>
        <v>0.18307866440294285</v>
      </c>
      <c r="CM11" s="98">
        <f t="shared" si="59"/>
        <v>4.4115867279259646E-3</v>
      </c>
      <c r="CN11" s="94">
        <f t="shared" si="60"/>
        <v>1.4830784213904691</v>
      </c>
      <c r="CO11" s="94">
        <f t="shared" si="61"/>
        <v>1.3124317579160816</v>
      </c>
    </row>
    <row r="12" spans="1:95" ht="36.5" x14ac:dyDescent="0.35">
      <c r="A12" s="104">
        <v>186866</v>
      </c>
      <c r="B12" s="5" t="s">
        <v>581</v>
      </c>
      <c r="C12" s="46" t="s">
        <v>810</v>
      </c>
      <c r="D12" s="13" t="s">
        <v>811</v>
      </c>
      <c r="E12" s="6" t="s">
        <v>94</v>
      </c>
      <c r="F12" s="6" t="s">
        <v>763</v>
      </c>
      <c r="G12" s="12" t="s">
        <v>763</v>
      </c>
      <c r="H12" s="51" t="s">
        <v>96</v>
      </c>
      <c r="I12" s="24" t="s">
        <v>83</v>
      </c>
      <c r="J12" s="100">
        <v>658.5</v>
      </c>
      <c r="K12" s="100">
        <v>729</v>
      </c>
      <c r="L12" s="100">
        <v>235.5</v>
      </c>
      <c r="M12" s="100">
        <v>219</v>
      </c>
      <c r="N12" s="18">
        <v>719.5</v>
      </c>
      <c r="O12" s="18">
        <v>842.5</v>
      </c>
      <c r="P12" s="18">
        <v>256.5</v>
      </c>
      <c r="Q12" s="18">
        <v>275.5</v>
      </c>
      <c r="R12" s="100">
        <v>772.5</v>
      </c>
      <c r="S12" s="100">
        <v>688.5</v>
      </c>
      <c r="T12" s="100">
        <v>241.5</v>
      </c>
      <c r="U12" s="100">
        <v>277.5</v>
      </c>
      <c r="V12" s="100">
        <v>892</v>
      </c>
      <c r="W12" s="100">
        <v>719.5</v>
      </c>
      <c r="X12" s="100">
        <v>252</v>
      </c>
      <c r="Y12" s="100">
        <v>234.5</v>
      </c>
      <c r="Z12" s="100">
        <v>816.5</v>
      </c>
      <c r="AA12" s="100">
        <v>732.5</v>
      </c>
      <c r="AB12" s="100">
        <v>239.5</v>
      </c>
      <c r="AC12" s="100">
        <v>249.5</v>
      </c>
      <c r="AD12" s="100">
        <v>756.5</v>
      </c>
      <c r="AE12" s="100">
        <v>693</v>
      </c>
      <c r="AF12" s="100">
        <v>207.5</v>
      </c>
      <c r="AG12" s="100">
        <v>217</v>
      </c>
      <c r="AH12" s="100">
        <v>790.5</v>
      </c>
      <c r="AI12" s="100">
        <v>744</v>
      </c>
      <c r="AJ12" s="100">
        <v>217.5</v>
      </c>
      <c r="AK12" s="100">
        <v>222</v>
      </c>
      <c r="AL12" s="100">
        <v>741</v>
      </c>
      <c r="AM12" s="100">
        <v>646</v>
      </c>
      <c r="AN12" s="100">
        <v>187</v>
      </c>
      <c r="AO12" s="100">
        <v>186</v>
      </c>
      <c r="AP12" s="100">
        <v>746.5</v>
      </c>
      <c r="AQ12" s="100">
        <v>648</v>
      </c>
      <c r="AR12" s="100">
        <v>165.5</v>
      </c>
      <c r="AS12" s="100">
        <v>178</v>
      </c>
      <c r="AT12" s="100">
        <v>705.5</v>
      </c>
      <c r="AU12" s="100">
        <v>667</v>
      </c>
      <c r="AV12" s="100">
        <v>174.5</v>
      </c>
      <c r="AW12" s="100">
        <v>193</v>
      </c>
      <c r="AX12" s="100">
        <v>725</v>
      </c>
      <c r="AY12" s="100">
        <v>641</v>
      </c>
      <c r="AZ12" s="100">
        <v>173</v>
      </c>
      <c r="BA12" s="100">
        <v>181</v>
      </c>
      <c r="BB12" s="100">
        <v>809</v>
      </c>
      <c r="BC12" s="100">
        <v>680</v>
      </c>
      <c r="BD12" s="100">
        <v>221</v>
      </c>
      <c r="BE12" s="100">
        <v>190</v>
      </c>
      <c r="BF12" s="23">
        <v>28.504300000000001</v>
      </c>
      <c r="BG12" s="23">
        <v>77.1721</v>
      </c>
      <c r="BH12" s="31">
        <f t="shared" si="31"/>
        <v>809</v>
      </c>
      <c r="BI12" s="31">
        <f t="shared" si="32"/>
        <v>680</v>
      </c>
      <c r="BJ12" s="37">
        <f t="shared" si="33"/>
        <v>129</v>
      </c>
      <c r="BK12" s="37">
        <f t="shared" si="34"/>
        <v>18.970588235294116</v>
      </c>
      <c r="BL12" s="36">
        <f t="shared" si="35"/>
        <v>221</v>
      </c>
      <c r="BM12" s="36">
        <f t="shared" si="36"/>
        <v>190</v>
      </c>
      <c r="BN12" s="37">
        <f t="shared" si="37"/>
        <v>31</v>
      </c>
      <c r="BO12" s="37">
        <f t="shared" si="38"/>
        <v>16.315789473684212</v>
      </c>
      <c r="BP12" s="38">
        <f t="shared" si="39"/>
        <v>9326.5</v>
      </c>
      <c r="BQ12" s="39">
        <f>J12+N12+S12+W12+AA12+AE12+AI12+AM12+AQ12+AU12+Table1[[#This Row],[MS-0225]]+Table1[[#This Row],[MS-0325]]</f>
        <v>8237.5</v>
      </c>
      <c r="BR12" s="37">
        <f t="shared" si="40"/>
        <v>1089</v>
      </c>
      <c r="BS12" s="37">
        <f t="shared" si="41"/>
        <v>13.220030349013657</v>
      </c>
      <c r="BT12" s="36">
        <f t="shared" si="42"/>
        <v>2573.5</v>
      </c>
      <c r="BU12" s="36">
        <f t="shared" si="43"/>
        <v>2620.5</v>
      </c>
      <c r="BV12" s="37">
        <f t="shared" si="44"/>
        <v>-47</v>
      </c>
      <c r="BW12" s="37">
        <f t="shared" si="45"/>
        <v>-1.7935508490746039</v>
      </c>
      <c r="BX12">
        <v>0</v>
      </c>
      <c r="BY12" s="83">
        <f t="shared" si="46"/>
        <v>0</v>
      </c>
      <c r="BZ12">
        <v>0</v>
      </c>
      <c r="CA12" s="83">
        <f t="shared" si="47"/>
        <v>0</v>
      </c>
      <c r="CB12" s="96">
        <f t="shared" si="48"/>
        <v>0.57723867285051733</v>
      </c>
      <c r="CC12" s="96">
        <f t="shared" si="49"/>
        <v>0.55578259092766658</v>
      </c>
      <c r="CD12" s="97">
        <f t="shared" si="50"/>
        <v>2.1456081922850756E-2</v>
      </c>
      <c r="CE12" s="96">
        <f t="shared" si="51"/>
        <v>0.57477243172951886</v>
      </c>
      <c r="CF12" s="96">
        <f t="shared" si="52"/>
        <v>0.49414824447334199</v>
      </c>
      <c r="CG12" s="96">
        <f t="shared" si="53"/>
        <v>8.0624187256176871E-2</v>
      </c>
      <c r="CH12" s="95">
        <f t="shared" si="54"/>
        <v>0.589221973023344</v>
      </c>
      <c r="CI12" s="95">
        <f t="shared" si="55"/>
        <v>0.55339088374592726</v>
      </c>
      <c r="CJ12" s="98">
        <f t="shared" si="56"/>
        <v>3.5831089277416739E-2</v>
      </c>
      <c r="CK12" s="95">
        <f t="shared" si="57"/>
        <v>0.5252576793550362</v>
      </c>
      <c r="CL12" s="95">
        <f t="shared" si="58"/>
        <v>0.50834141610087291</v>
      </c>
      <c r="CM12" s="98">
        <f t="shared" si="59"/>
        <v>1.6916263254163288E-2</v>
      </c>
      <c r="CN12" s="94">
        <f t="shared" si="60"/>
        <v>1.178443946046688</v>
      </c>
      <c r="CO12" s="94">
        <f t="shared" si="61"/>
        <v>1.0505153587100724</v>
      </c>
    </row>
    <row r="13" spans="1:95" ht="36.5" x14ac:dyDescent="0.35">
      <c r="A13" s="104">
        <v>106289</v>
      </c>
      <c r="B13" s="5" t="s">
        <v>581</v>
      </c>
      <c r="C13" s="46" t="s">
        <v>803</v>
      </c>
      <c r="D13" s="13" t="s">
        <v>804</v>
      </c>
      <c r="E13" s="6" t="s">
        <v>75</v>
      </c>
      <c r="F13" s="6" t="s">
        <v>667</v>
      </c>
      <c r="G13" s="12" t="s">
        <v>667</v>
      </c>
      <c r="H13" s="51" t="s">
        <v>77</v>
      </c>
      <c r="I13" s="24" t="s">
        <v>78</v>
      </c>
      <c r="J13" s="100">
        <v>688.5</v>
      </c>
      <c r="K13" s="100">
        <v>717.5</v>
      </c>
      <c r="L13" s="100">
        <v>185.5</v>
      </c>
      <c r="M13" s="100">
        <v>166.5</v>
      </c>
      <c r="N13" s="18">
        <v>721.5</v>
      </c>
      <c r="O13" s="18">
        <v>748</v>
      </c>
      <c r="P13" s="18">
        <v>196.5</v>
      </c>
      <c r="Q13" s="18">
        <v>158</v>
      </c>
      <c r="R13" s="100">
        <v>758.5</v>
      </c>
      <c r="S13" s="100">
        <v>724</v>
      </c>
      <c r="T13" s="100">
        <v>145.5</v>
      </c>
      <c r="U13" s="100">
        <v>186</v>
      </c>
      <c r="V13" s="100">
        <v>759.5</v>
      </c>
      <c r="W13" s="100">
        <v>728</v>
      </c>
      <c r="X13" s="100">
        <v>150.5</v>
      </c>
      <c r="Y13" s="100">
        <v>196</v>
      </c>
      <c r="Z13" s="100">
        <v>759</v>
      </c>
      <c r="AA13" s="100">
        <v>714</v>
      </c>
      <c r="AB13" s="100">
        <v>147</v>
      </c>
      <c r="AC13" s="100">
        <v>186</v>
      </c>
      <c r="AD13" s="100">
        <v>710.5</v>
      </c>
      <c r="AE13" s="100">
        <v>675</v>
      </c>
      <c r="AF13" s="100">
        <v>157.5</v>
      </c>
      <c r="AG13" s="100">
        <v>157</v>
      </c>
      <c r="AH13" s="100">
        <v>774</v>
      </c>
      <c r="AI13" s="100">
        <v>714.5</v>
      </c>
      <c r="AJ13" s="100">
        <v>150</v>
      </c>
      <c r="AK13" s="100">
        <v>173.5</v>
      </c>
      <c r="AL13" s="100">
        <v>738</v>
      </c>
      <c r="AM13" s="100">
        <v>701.5</v>
      </c>
      <c r="AN13" s="100">
        <v>140</v>
      </c>
      <c r="AO13" s="100">
        <v>158.5</v>
      </c>
      <c r="AP13" s="100">
        <v>718</v>
      </c>
      <c r="AQ13" s="100">
        <v>700.5</v>
      </c>
      <c r="AR13" s="100">
        <v>132</v>
      </c>
      <c r="AS13" s="100">
        <v>135.5</v>
      </c>
      <c r="AT13" s="100">
        <v>685</v>
      </c>
      <c r="AU13" s="100">
        <v>692.5</v>
      </c>
      <c r="AV13" s="100">
        <v>145</v>
      </c>
      <c r="AW13" s="100">
        <v>153.5</v>
      </c>
      <c r="AX13" s="100">
        <v>693</v>
      </c>
      <c r="AY13" s="100">
        <v>665</v>
      </c>
      <c r="AZ13" s="100">
        <v>131</v>
      </c>
      <c r="BA13" s="100">
        <v>163</v>
      </c>
      <c r="BB13" s="100">
        <v>787</v>
      </c>
      <c r="BC13" s="100">
        <v>723.5</v>
      </c>
      <c r="BD13" s="100">
        <v>151</v>
      </c>
      <c r="BE13" s="100">
        <v>166.5</v>
      </c>
      <c r="BF13" s="23">
        <v>28.629200000000001</v>
      </c>
      <c r="BG13" s="23">
        <v>77.312200000000004</v>
      </c>
      <c r="BH13" s="31">
        <f t="shared" si="31"/>
        <v>787</v>
      </c>
      <c r="BI13" s="31">
        <f t="shared" si="32"/>
        <v>723.5</v>
      </c>
      <c r="BJ13" s="37">
        <f t="shared" si="33"/>
        <v>63.5</v>
      </c>
      <c r="BK13" s="37">
        <f t="shared" si="34"/>
        <v>8.7767795438838974</v>
      </c>
      <c r="BL13" s="36">
        <f t="shared" si="35"/>
        <v>151</v>
      </c>
      <c r="BM13" s="36">
        <f t="shared" si="36"/>
        <v>166.5</v>
      </c>
      <c r="BN13" s="37">
        <f t="shared" si="37"/>
        <v>-15.5</v>
      </c>
      <c r="BO13" s="37">
        <f t="shared" si="38"/>
        <v>-9.3093093093093096</v>
      </c>
      <c r="BP13" s="38">
        <f t="shared" si="39"/>
        <v>8848</v>
      </c>
      <c r="BQ13" s="39">
        <f>J13+N13+S13+W13+AA13+AE13+AI13+AM13+AQ13+AU13+Table1[[#This Row],[MS-0225]]+Table1[[#This Row],[MS-0325]]</f>
        <v>8448.5</v>
      </c>
      <c r="BR13" s="37">
        <f t="shared" si="40"/>
        <v>399.5</v>
      </c>
      <c r="BS13" s="37">
        <f t="shared" si="41"/>
        <v>4.7286500562229978</v>
      </c>
      <c r="BT13" s="36">
        <f t="shared" si="42"/>
        <v>1774</v>
      </c>
      <c r="BU13" s="36">
        <f t="shared" si="43"/>
        <v>2057.5</v>
      </c>
      <c r="BV13" s="37">
        <f t="shared" si="44"/>
        <v>-283.5</v>
      </c>
      <c r="BW13" s="37">
        <f t="shared" si="45"/>
        <v>-13.778857837181043</v>
      </c>
      <c r="BX13">
        <v>0</v>
      </c>
      <c r="BY13" s="83">
        <f t="shared" si="46"/>
        <v>0</v>
      </c>
      <c r="BZ13">
        <v>0</v>
      </c>
      <c r="CA13" s="83">
        <f t="shared" si="47"/>
        <v>0</v>
      </c>
      <c r="CB13" s="96">
        <f t="shared" si="48"/>
        <v>0.42993717563507239</v>
      </c>
      <c r="CC13" s="96">
        <f t="shared" si="49"/>
        <v>0.43323353293413175</v>
      </c>
      <c r="CD13" s="97">
        <f t="shared" si="50"/>
        <v>-3.2963572990593604E-3</v>
      </c>
      <c r="CE13" s="96">
        <f t="shared" si="51"/>
        <v>0.39169909208819714</v>
      </c>
      <c r="CF13" s="96">
        <f t="shared" si="52"/>
        <v>0.40609756097560978</v>
      </c>
      <c r="CG13" s="96">
        <f t="shared" si="53"/>
        <v>-1.4398468887412641E-2</v>
      </c>
      <c r="CH13" s="95">
        <f t="shared" si="54"/>
        <v>0.42185563078096688</v>
      </c>
      <c r="CI13" s="95">
        <f t="shared" si="55"/>
        <v>0.42498553786564047</v>
      </c>
      <c r="CJ13" s="98">
        <f t="shared" si="56"/>
        <v>-3.1299070846735888E-3</v>
      </c>
      <c r="CK13" s="95">
        <f t="shared" si="57"/>
        <v>0.37857447716602644</v>
      </c>
      <c r="CL13" s="95">
        <f t="shared" si="58"/>
        <v>0.40466122529255583</v>
      </c>
      <c r="CM13" s="98">
        <f t="shared" si="59"/>
        <v>-2.6086748126529391E-2</v>
      </c>
      <c r="CN13" s="94">
        <f t="shared" si="60"/>
        <v>2.1092781539048344</v>
      </c>
      <c r="CO13" s="94">
        <f t="shared" si="61"/>
        <v>1.8928723858301322</v>
      </c>
    </row>
    <row r="14" spans="1:95" ht="48.5" x14ac:dyDescent="0.35">
      <c r="A14" s="104">
        <v>106270</v>
      </c>
      <c r="B14" s="5" t="s">
        <v>581</v>
      </c>
      <c r="C14" s="46" t="s">
        <v>768</v>
      </c>
      <c r="D14" s="13" t="s">
        <v>769</v>
      </c>
      <c r="E14" s="6" t="s">
        <v>75</v>
      </c>
      <c r="F14" s="6" t="s">
        <v>770</v>
      </c>
      <c r="G14" s="12" t="s">
        <v>770</v>
      </c>
      <c r="H14" s="51" t="s">
        <v>77</v>
      </c>
      <c r="I14" s="24" t="s">
        <v>78</v>
      </c>
      <c r="J14" s="100">
        <v>707.5</v>
      </c>
      <c r="K14" s="100">
        <v>761</v>
      </c>
      <c r="L14" s="100">
        <v>194.5</v>
      </c>
      <c r="M14" s="100">
        <v>173</v>
      </c>
      <c r="N14" s="18">
        <v>755.5</v>
      </c>
      <c r="O14" s="18">
        <v>803</v>
      </c>
      <c r="P14" s="18">
        <v>208.5</v>
      </c>
      <c r="Q14" s="18">
        <v>173</v>
      </c>
      <c r="R14" s="100">
        <v>757</v>
      </c>
      <c r="S14" s="100">
        <v>735.5</v>
      </c>
      <c r="T14" s="100">
        <v>159</v>
      </c>
      <c r="U14" s="100">
        <v>192.5</v>
      </c>
      <c r="V14" s="100">
        <v>791.5</v>
      </c>
      <c r="W14" s="100">
        <v>765.5</v>
      </c>
      <c r="X14" s="100">
        <v>154.5</v>
      </c>
      <c r="Y14" s="100">
        <v>184.5</v>
      </c>
      <c r="Z14" s="100">
        <v>790</v>
      </c>
      <c r="AA14" s="100">
        <v>781.5</v>
      </c>
      <c r="AB14" s="100">
        <v>162</v>
      </c>
      <c r="AC14" s="100">
        <v>202.5</v>
      </c>
      <c r="AD14" s="100">
        <v>755</v>
      </c>
      <c r="AE14" s="100">
        <v>735.5</v>
      </c>
      <c r="AF14" s="100">
        <v>185</v>
      </c>
      <c r="AG14" s="100">
        <v>184.5</v>
      </c>
      <c r="AH14" s="100">
        <v>782.5</v>
      </c>
      <c r="AI14" s="100">
        <v>779.5</v>
      </c>
      <c r="AJ14" s="100">
        <v>233.5</v>
      </c>
      <c r="AK14" s="100">
        <v>196.5</v>
      </c>
      <c r="AL14" s="100">
        <v>723.5</v>
      </c>
      <c r="AM14" s="100">
        <v>710.5</v>
      </c>
      <c r="AN14" s="100">
        <v>168.5</v>
      </c>
      <c r="AO14" s="100">
        <v>155.5</v>
      </c>
      <c r="AP14" s="100">
        <v>708</v>
      </c>
      <c r="AQ14" s="100">
        <v>721.5</v>
      </c>
      <c r="AR14" s="100">
        <v>148</v>
      </c>
      <c r="AS14" s="100">
        <v>152.5</v>
      </c>
      <c r="AT14" s="100">
        <v>690</v>
      </c>
      <c r="AU14" s="100">
        <v>696</v>
      </c>
      <c r="AV14" s="100">
        <v>130</v>
      </c>
      <c r="AW14" s="100">
        <v>160</v>
      </c>
      <c r="AX14" s="100">
        <v>678</v>
      </c>
      <c r="AY14" s="100">
        <v>655</v>
      </c>
      <c r="AZ14" s="100">
        <v>138</v>
      </c>
      <c r="BA14" s="100">
        <v>179</v>
      </c>
      <c r="BB14" s="100">
        <v>770</v>
      </c>
      <c r="BC14" s="100">
        <v>745.5</v>
      </c>
      <c r="BD14" s="100">
        <v>150</v>
      </c>
      <c r="BE14" s="100">
        <v>166.5</v>
      </c>
      <c r="BF14" s="23">
        <v>28.593699999999998</v>
      </c>
      <c r="BG14" s="23">
        <v>77.296800000000005</v>
      </c>
      <c r="BH14" s="31">
        <f t="shared" si="31"/>
        <v>770</v>
      </c>
      <c r="BI14" s="31">
        <f t="shared" si="32"/>
        <v>745.5</v>
      </c>
      <c r="BJ14" s="37">
        <f t="shared" si="33"/>
        <v>24.5</v>
      </c>
      <c r="BK14" s="37">
        <f t="shared" si="34"/>
        <v>3.286384976525822</v>
      </c>
      <c r="BL14" s="36">
        <f t="shared" si="35"/>
        <v>150</v>
      </c>
      <c r="BM14" s="36">
        <f t="shared" si="36"/>
        <v>166.5</v>
      </c>
      <c r="BN14" s="37">
        <f t="shared" si="37"/>
        <v>-16.5</v>
      </c>
      <c r="BO14" s="37">
        <f t="shared" si="38"/>
        <v>-9.9099099099099099</v>
      </c>
      <c r="BP14" s="38">
        <f t="shared" si="39"/>
        <v>9009.5</v>
      </c>
      <c r="BQ14" s="39">
        <f>J14+N14+S14+W14+AA14+AE14+AI14+AM14+AQ14+AU14+Table1[[#This Row],[MS-0225]]+Table1[[#This Row],[MS-0325]]</f>
        <v>8789</v>
      </c>
      <c r="BR14" s="37">
        <f t="shared" si="40"/>
        <v>220.5</v>
      </c>
      <c r="BS14" s="37">
        <f t="shared" si="41"/>
        <v>2.5088178404824211</v>
      </c>
      <c r="BT14" s="36">
        <f t="shared" si="42"/>
        <v>1974.5</v>
      </c>
      <c r="BU14" s="36">
        <f t="shared" si="43"/>
        <v>2177</v>
      </c>
      <c r="BV14" s="37">
        <f t="shared" si="44"/>
        <v>-202.5</v>
      </c>
      <c r="BW14" s="37">
        <f t="shared" si="45"/>
        <v>-9.3017914561322925</v>
      </c>
      <c r="BX14">
        <v>0</v>
      </c>
      <c r="BY14" s="83">
        <f t="shared" si="46"/>
        <v>0</v>
      </c>
      <c r="BZ14">
        <v>0</v>
      </c>
      <c r="CA14" s="83">
        <f t="shared" si="47"/>
        <v>0</v>
      </c>
      <c r="CB14" s="96">
        <f t="shared" si="48"/>
        <v>1</v>
      </c>
      <c r="CC14" s="96">
        <f t="shared" si="49"/>
        <v>1</v>
      </c>
      <c r="CD14" s="97">
        <f t="shared" si="50"/>
        <v>0</v>
      </c>
      <c r="CE14" s="96">
        <f t="shared" si="51"/>
        <v>1</v>
      </c>
      <c r="CF14" s="96">
        <f t="shared" si="52"/>
        <v>1</v>
      </c>
      <c r="CG14" s="96">
        <f t="shared" si="53"/>
        <v>0</v>
      </c>
      <c r="CH14" s="95">
        <f t="shared" si="54"/>
        <v>1</v>
      </c>
      <c r="CI14" s="95">
        <f t="shared" si="55"/>
        <v>1</v>
      </c>
      <c r="CJ14" s="98">
        <f t="shared" si="56"/>
        <v>0</v>
      </c>
      <c r="CK14" s="95">
        <f t="shared" si="57"/>
        <v>1</v>
      </c>
      <c r="CL14" s="95">
        <f t="shared" si="58"/>
        <v>1</v>
      </c>
      <c r="CM14" s="98">
        <f t="shared" si="59"/>
        <v>0</v>
      </c>
      <c r="CN14" s="94">
        <f t="shared" si="60"/>
        <v>1</v>
      </c>
      <c r="CO14" s="94">
        <f t="shared" si="61"/>
        <v>1</v>
      </c>
    </row>
    <row r="15" spans="1:95" ht="24.5" x14ac:dyDescent="0.35">
      <c r="A15" s="104">
        <v>186860</v>
      </c>
      <c r="B15" s="5" t="s">
        <v>581</v>
      </c>
      <c r="C15" s="46" t="s">
        <v>893</v>
      </c>
      <c r="D15" s="13" t="s">
        <v>894</v>
      </c>
      <c r="E15" s="6" t="s">
        <v>103</v>
      </c>
      <c r="F15" s="6" t="s">
        <v>895</v>
      </c>
      <c r="G15" s="12" t="s">
        <v>895</v>
      </c>
      <c r="H15" s="51" t="s">
        <v>135</v>
      </c>
      <c r="I15" s="24" t="s">
        <v>83</v>
      </c>
      <c r="J15" s="100">
        <v>729</v>
      </c>
      <c r="K15" s="100">
        <v>765</v>
      </c>
      <c r="L15" s="100">
        <v>279</v>
      </c>
      <c r="M15" s="100">
        <v>255</v>
      </c>
      <c r="N15" s="18">
        <v>791</v>
      </c>
      <c r="O15" s="18">
        <v>800</v>
      </c>
      <c r="P15" s="18">
        <v>301</v>
      </c>
      <c r="Q15" s="18">
        <v>260</v>
      </c>
      <c r="R15" s="100">
        <v>755</v>
      </c>
      <c r="S15" s="100">
        <v>787.5</v>
      </c>
      <c r="T15" s="100">
        <v>245</v>
      </c>
      <c r="U15" s="100">
        <v>310.5</v>
      </c>
      <c r="V15" s="100">
        <v>835</v>
      </c>
      <c r="W15" s="100">
        <v>765</v>
      </c>
      <c r="X15" s="100">
        <v>265</v>
      </c>
      <c r="Y15" s="100">
        <v>297</v>
      </c>
      <c r="Z15" s="100">
        <v>795</v>
      </c>
      <c r="AA15" s="100">
        <v>805.5</v>
      </c>
      <c r="AB15" s="100">
        <v>245</v>
      </c>
      <c r="AC15" s="100">
        <v>292.5</v>
      </c>
      <c r="AD15" s="100">
        <v>755</v>
      </c>
      <c r="AE15" s="100">
        <v>706.5</v>
      </c>
      <c r="AF15" s="100">
        <v>245</v>
      </c>
      <c r="AG15" s="100">
        <v>265.5</v>
      </c>
      <c r="AH15" s="100">
        <v>795</v>
      </c>
      <c r="AI15" s="100">
        <v>711</v>
      </c>
      <c r="AJ15" s="100">
        <v>245</v>
      </c>
      <c r="AK15" s="100">
        <v>261</v>
      </c>
      <c r="AL15" s="100">
        <v>750</v>
      </c>
      <c r="AM15" s="100">
        <v>630</v>
      </c>
      <c r="AN15" s="100">
        <v>210</v>
      </c>
      <c r="AO15" s="100">
        <v>216</v>
      </c>
      <c r="AP15" s="100">
        <v>740</v>
      </c>
      <c r="AQ15" s="100">
        <v>679.5</v>
      </c>
      <c r="AR15" s="100">
        <v>180</v>
      </c>
      <c r="AS15" s="100">
        <v>202.5</v>
      </c>
      <c r="AT15" s="100">
        <v>720</v>
      </c>
      <c r="AU15" s="100">
        <v>666</v>
      </c>
      <c r="AV15" s="100">
        <v>200</v>
      </c>
      <c r="AW15" s="100">
        <v>216</v>
      </c>
      <c r="AX15" s="100">
        <v>705</v>
      </c>
      <c r="AY15" s="100">
        <v>630</v>
      </c>
      <c r="AZ15" s="100">
        <v>215</v>
      </c>
      <c r="BA15" s="100">
        <v>216</v>
      </c>
      <c r="BB15" s="100">
        <v>770</v>
      </c>
      <c r="BC15" s="100">
        <v>733</v>
      </c>
      <c r="BD15" s="100">
        <v>210</v>
      </c>
      <c r="BE15" s="100">
        <v>233</v>
      </c>
      <c r="BF15" s="23">
        <v>28.5336</v>
      </c>
      <c r="BG15" s="23">
        <v>77.106899999999996</v>
      </c>
      <c r="BH15" s="31">
        <f t="shared" si="31"/>
        <v>770</v>
      </c>
      <c r="BI15" s="31">
        <f t="shared" si="32"/>
        <v>733</v>
      </c>
      <c r="BJ15" s="37">
        <f t="shared" si="33"/>
        <v>37</v>
      </c>
      <c r="BK15" s="37">
        <f t="shared" si="34"/>
        <v>5.0477489768076405</v>
      </c>
      <c r="BL15" s="36">
        <f t="shared" si="35"/>
        <v>210</v>
      </c>
      <c r="BM15" s="36">
        <f t="shared" si="36"/>
        <v>233</v>
      </c>
      <c r="BN15" s="37">
        <f t="shared" si="37"/>
        <v>-23</v>
      </c>
      <c r="BO15" s="37">
        <f t="shared" si="38"/>
        <v>-9.8712446351931327</v>
      </c>
      <c r="BP15" s="38">
        <f t="shared" si="39"/>
        <v>9185</v>
      </c>
      <c r="BQ15" s="39">
        <f>J15+N15+S15+W15+AA15+AE15+AI15+AM15+AQ15+AU15+Table1[[#This Row],[MS-0225]]+Table1[[#This Row],[MS-0325]]</f>
        <v>8634</v>
      </c>
      <c r="BR15" s="37">
        <f t="shared" si="40"/>
        <v>551</v>
      </c>
      <c r="BS15" s="37">
        <f t="shared" si="41"/>
        <v>6.3817465832754232</v>
      </c>
      <c r="BT15" s="36">
        <f t="shared" si="42"/>
        <v>2775</v>
      </c>
      <c r="BU15" s="36">
        <f t="shared" si="43"/>
        <v>3090</v>
      </c>
      <c r="BV15" s="37">
        <f t="shared" si="44"/>
        <v>-315</v>
      </c>
      <c r="BW15" s="37">
        <f t="shared" si="45"/>
        <v>-10.194174757281553</v>
      </c>
      <c r="BX15">
        <v>0</v>
      </c>
      <c r="BY15" s="83">
        <f t="shared" si="46"/>
        <v>0</v>
      </c>
      <c r="BZ15">
        <v>0</v>
      </c>
      <c r="CA15" s="83">
        <f t="shared" si="47"/>
        <v>0</v>
      </c>
      <c r="CB15" s="96">
        <f t="shared" si="48"/>
        <v>1</v>
      </c>
      <c r="CC15" s="96">
        <f t="shared" si="49"/>
        <v>1</v>
      </c>
      <c r="CD15" s="97">
        <f t="shared" si="50"/>
        <v>0</v>
      </c>
      <c r="CE15" s="96">
        <f t="shared" si="51"/>
        <v>1</v>
      </c>
      <c r="CF15" s="96">
        <f t="shared" si="52"/>
        <v>1</v>
      </c>
      <c r="CG15" s="96">
        <f t="shared" si="53"/>
        <v>0</v>
      </c>
      <c r="CH15" s="95">
        <f t="shared" si="54"/>
        <v>1</v>
      </c>
      <c r="CI15" s="95">
        <f t="shared" si="55"/>
        <v>1</v>
      </c>
      <c r="CJ15" s="98">
        <f t="shared" si="56"/>
        <v>0</v>
      </c>
      <c r="CK15" s="95">
        <f t="shared" si="57"/>
        <v>1</v>
      </c>
      <c r="CL15" s="95">
        <f t="shared" si="58"/>
        <v>1</v>
      </c>
      <c r="CM15" s="98">
        <f t="shared" si="59"/>
        <v>0</v>
      </c>
      <c r="CN15" s="94">
        <f t="shared" si="60"/>
        <v>1</v>
      </c>
      <c r="CO15" s="94">
        <f t="shared" si="61"/>
        <v>1</v>
      </c>
    </row>
    <row r="16" spans="1:95" ht="24.5" x14ac:dyDescent="0.35">
      <c r="A16" s="102">
        <v>112397</v>
      </c>
      <c r="B16" s="3" t="s">
        <v>72</v>
      </c>
      <c r="C16" s="42" t="s">
        <v>92</v>
      </c>
      <c r="D16" s="12" t="s">
        <v>93</v>
      </c>
      <c r="E16" s="4" t="s">
        <v>94</v>
      </c>
      <c r="F16" s="4" t="s">
        <v>95</v>
      </c>
      <c r="G16" s="12" t="s">
        <v>95</v>
      </c>
      <c r="H16" s="51" t="s">
        <v>96</v>
      </c>
      <c r="I16" s="23" t="s">
        <v>83</v>
      </c>
      <c r="J16" s="18">
        <v>634.500001</v>
      </c>
      <c r="K16" s="18">
        <v>642</v>
      </c>
      <c r="L16" s="18">
        <v>193.5</v>
      </c>
      <c r="M16" s="18">
        <v>180</v>
      </c>
      <c r="N16" s="18">
        <v>684.000001</v>
      </c>
      <c r="O16" s="18">
        <v>693</v>
      </c>
      <c r="P16" s="18">
        <v>252</v>
      </c>
      <c r="Q16" s="18">
        <v>225</v>
      </c>
      <c r="R16" s="18">
        <v>652.5</v>
      </c>
      <c r="S16" s="18">
        <v>639.00000199999999</v>
      </c>
      <c r="T16" s="18">
        <v>175.5</v>
      </c>
      <c r="U16" s="18">
        <v>207</v>
      </c>
      <c r="V16" s="18">
        <v>729</v>
      </c>
      <c r="W16" s="18">
        <v>711</v>
      </c>
      <c r="X16" s="18">
        <v>189</v>
      </c>
      <c r="Y16" s="18">
        <v>225</v>
      </c>
      <c r="Z16" s="18">
        <v>715.5</v>
      </c>
      <c r="AA16" s="18">
        <v>679.5</v>
      </c>
      <c r="AB16" s="18">
        <v>184.5</v>
      </c>
      <c r="AC16" s="18">
        <v>238.5</v>
      </c>
      <c r="AD16" s="18">
        <v>724.5</v>
      </c>
      <c r="AE16" s="18">
        <v>688.5</v>
      </c>
      <c r="AF16" s="18">
        <v>211.5</v>
      </c>
      <c r="AG16" s="18">
        <v>193.5</v>
      </c>
      <c r="AH16" s="18">
        <v>717</v>
      </c>
      <c r="AI16" s="18">
        <v>697.5</v>
      </c>
      <c r="AJ16" s="18">
        <v>195</v>
      </c>
      <c r="AK16" s="18">
        <v>220.5</v>
      </c>
      <c r="AL16" s="18">
        <v>675</v>
      </c>
      <c r="AM16" s="18">
        <v>616.50000199999999</v>
      </c>
      <c r="AN16" s="18">
        <v>165</v>
      </c>
      <c r="AO16" s="18">
        <v>193.5</v>
      </c>
      <c r="AP16" s="18">
        <v>685</v>
      </c>
      <c r="AQ16" s="18">
        <v>607.5</v>
      </c>
      <c r="AR16" s="18">
        <v>135</v>
      </c>
      <c r="AS16" s="18">
        <v>166.5</v>
      </c>
      <c r="AT16" s="18">
        <v>625</v>
      </c>
      <c r="AU16" s="18">
        <v>621</v>
      </c>
      <c r="AV16" s="18">
        <v>175</v>
      </c>
      <c r="AW16" s="18">
        <v>171</v>
      </c>
      <c r="AX16" s="18">
        <v>650</v>
      </c>
      <c r="AY16" s="18">
        <v>578</v>
      </c>
      <c r="AZ16" s="18">
        <v>170</v>
      </c>
      <c r="BA16" s="18">
        <v>180</v>
      </c>
      <c r="BB16" s="18">
        <v>760</v>
      </c>
      <c r="BC16" s="18">
        <v>639</v>
      </c>
      <c r="BD16" s="18">
        <v>220</v>
      </c>
      <c r="BE16" s="18">
        <v>207</v>
      </c>
      <c r="BF16" s="23">
        <v>28.527989999999999</v>
      </c>
      <c r="BG16" s="23">
        <v>77.189809999999994</v>
      </c>
      <c r="BH16" s="31">
        <f t="shared" si="31"/>
        <v>760</v>
      </c>
      <c r="BI16" s="31">
        <f t="shared" si="32"/>
        <v>639</v>
      </c>
      <c r="BJ16" s="37">
        <f t="shared" si="33"/>
        <v>121</v>
      </c>
      <c r="BK16" s="37">
        <f t="shared" si="34"/>
        <v>18.935837245696401</v>
      </c>
      <c r="BL16" s="36">
        <f t="shared" si="35"/>
        <v>220</v>
      </c>
      <c r="BM16" s="36">
        <f t="shared" si="36"/>
        <v>207</v>
      </c>
      <c r="BN16" s="37">
        <f t="shared" si="37"/>
        <v>13</v>
      </c>
      <c r="BO16" s="37">
        <f t="shared" si="38"/>
        <v>6.2801932367149762</v>
      </c>
      <c r="BP16" s="38">
        <f t="shared" si="39"/>
        <v>8268.5</v>
      </c>
      <c r="BQ16" s="39">
        <f>J16+N16+S16+W16+AA16+AE16+AI16+AM16+AQ16+AU16+Table1[[#This Row],[MS-0225]]+Table1[[#This Row],[MS-0325]]</f>
        <v>7796.0000059999993</v>
      </c>
      <c r="BR16" s="37">
        <f t="shared" si="40"/>
        <v>472.4999940000007</v>
      </c>
      <c r="BS16" s="37">
        <f t="shared" si="41"/>
        <v>6.0608003288398242</v>
      </c>
      <c r="BT16" s="36">
        <f t="shared" si="42"/>
        <v>2225.5</v>
      </c>
      <c r="BU16" s="36">
        <f t="shared" si="43"/>
        <v>2448</v>
      </c>
      <c r="BV16" s="37">
        <f t="shared" si="44"/>
        <v>-222.5</v>
      </c>
      <c r="BW16" s="37">
        <f t="shared" si="45"/>
        <v>-9.0890522875816995</v>
      </c>
      <c r="BX16">
        <v>143.5</v>
      </c>
      <c r="BY16" s="83">
        <f t="shared" si="46"/>
        <v>0.18881578947368421</v>
      </c>
      <c r="BZ16">
        <v>809.5</v>
      </c>
      <c r="CA16" s="83">
        <f t="shared" si="47"/>
        <v>9.7901675031746987E-2</v>
      </c>
      <c r="CB16" s="96">
        <f t="shared" si="48"/>
        <v>0.46270928462709282</v>
      </c>
      <c r="CC16" s="96">
        <f t="shared" si="49"/>
        <v>0.42150395778364114</v>
      </c>
      <c r="CD16" s="97">
        <f t="shared" si="50"/>
        <v>4.1205326843451684E-2</v>
      </c>
      <c r="CE16" s="96">
        <f t="shared" si="51"/>
        <v>0.53987730061349692</v>
      </c>
      <c r="CF16" s="96">
        <f t="shared" si="52"/>
        <v>0.45796460176991149</v>
      </c>
      <c r="CG16" s="96">
        <f t="shared" si="53"/>
        <v>8.191269884358543E-2</v>
      </c>
      <c r="CH16" s="95">
        <f t="shared" si="54"/>
        <v>0.42974454925807543</v>
      </c>
      <c r="CI16" s="95">
        <f t="shared" si="55"/>
        <v>0.42520930505051918</v>
      </c>
      <c r="CJ16" s="98">
        <f t="shared" si="56"/>
        <v>4.5352442075562438E-3</v>
      </c>
      <c r="CK16" s="95">
        <f t="shared" si="57"/>
        <v>0.48238864202882842</v>
      </c>
      <c r="CL16" s="95">
        <f t="shared" si="58"/>
        <v>0.45552660960178637</v>
      </c>
      <c r="CM16" s="98">
        <f t="shared" si="59"/>
        <v>2.6862032427042049E-2</v>
      </c>
      <c r="CN16" s="94">
        <f t="shared" si="60"/>
        <v>1.2892336477742263</v>
      </c>
      <c r="CO16" s="94">
        <f t="shared" si="61"/>
        <v>1.4471659260864853</v>
      </c>
    </row>
    <row r="17" spans="1:93" ht="36.5" x14ac:dyDescent="0.35">
      <c r="A17" s="102">
        <v>112720</v>
      </c>
      <c r="B17" s="3" t="s">
        <v>72</v>
      </c>
      <c r="C17" s="40" t="s">
        <v>167</v>
      </c>
      <c r="D17" s="12" t="s">
        <v>168</v>
      </c>
      <c r="E17" s="4" t="s">
        <v>169</v>
      </c>
      <c r="F17" s="4" t="s">
        <v>100</v>
      </c>
      <c r="G17" s="12" t="s">
        <v>100</v>
      </c>
      <c r="H17" s="51" t="s">
        <v>77</v>
      </c>
      <c r="I17" s="23" t="s">
        <v>78</v>
      </c>
      <c r="J17" s="18">
        <v>697</v>
      </c>
      <c r="K17" s="18">
        <v>770.5</v>
      </c>
      <c r="L17" s="18">
        <v>203</v>
      </c>
      <c r="M17" s="18">
        <v>183.5</v>
      </c>
      <c r="N17" s="18">
        <v>769</v>
      </c>
      <c r="O17" s="18">
        <v>772</v>
      </c>
      <c r="P17" s="18">
        <v>221</v>
      </c>
      <c r="Q17" s="18">
        <v>204</v>
      </c>
      <c r="R17" s="18">
        <v>707</v>
      </c>
      <c r="S17" s="18">
        <v>707.500001</v>
      </c>
      <c r="T17" s="18">
        <v>175</v>
      </c>
      <c r="U17" s="18">
        <v>228.5</v>
      </c>
      <c r="V17" s="18">
        <v>834</v>
      </c>
      <c r="W17" s="18">
        <v>809.000001</v>
      </c>
      <c r="X17" s="18">
        <v>200</v>
      </c>
      <c r="Y17" s="18">
        <v>217</v>
      </c>
      <c r="Z17" s="18">
        <v>781</v>
      </c>
      <c r="AA17" s="18">
        <v>772.5</v>
      </c>
      <c r="AB17" s="18">
        <v>187</v>
      </c>
      <c r="AC17" s="18">
        <v>217.5</v>
      </c>
      <c r="AD17" s="18">
        <v>737</v>
      </c>
      <c r="AE17" s="18">
        <v>732.5</v>
      </c>
      <c r="AF17" s="18">
        <v>165</v>
      </c>
      <c r="AG17" s="18">
        <v>203.5</v>
      </c>
      <c r="AH17" s="18">
        <v>768</v>
      </c>
      <c r="AI17" s="18">
        <v>755</v>
      </c>
      <c r="AJ17" s="18">
        <v>178</v>
      </c>
      <c r="AK17" s="18">
        <v>199</v>
      </c>
      <c r="AL17" s="18">
        <v>693</v>
      </c>
      <c r="AM17" s="18">
        <v>686.000001</v>
      </c>
      <c r="AN17" s="18">
        <v>165</v>
      </c>
      <c r="AO17" s="18">
        <v>160</v>
      </c>
      <c r="AP17" s="18">
        <v>703</v>
      </c>
      <c r="AQ17" s="18">
        <v>694</v>
      </c>
      <c r="AR17" s="18">
        <v>155</v>
      </c>
      <c r="AS17" s="18">
        <v>152</v>
      </c>
      <c r="AT17" s="18">
        <v>659</v>
      </c>
      <c r="AU17" s="18">
        <v>622.5</v>
      </c>
      <c r="AV17" s="18">
        <v>155</v>
      </c>
      <c r="AW17" s="18">
        <v>169.5</v>
      </c>
      <c r="AX17" s="18">
        <v>644</v>
      </c>
      <c r="AY17" s="18">
        <v>639</v>
      </c>
      <c r="AZ17" s="18">
        <v>148</v>
      </c>
      <c r="BA17" s="18">
        <v>153</v>
      </c>
      <c r="BB17" s="18">
        <v>754</v>
      </c>
      <c r="BC17" s="18">
        <v>706</v>
      </c>
      <c r="BD17" s="18">
        <v>170</v>
      </c>
      <c r="BE17" s="18">
        <v>176</v>
      </c>
      <c r="BF17" s="23">
        <v>28.658080000000002</v>
      </c>
      <c r="BG17" s="23">
        <v>77.310860000000005</v>
      </c>
      <c r="BH17" s="31">
        <f t="shared" si="31"/>
        <v>754</v>
      </c>
      <c r="BI17" s="31">
        <f t="shared" si="32"/>
        <v>706</v>
      </c>
      <c r="BJ17" s="37">
        <f t="shared" si="33"/>
        <v>48</v>
      </c>
      <c r="BK17" s="37">
        <f t="shared" si="34"/>
        <v>6.7988668555240803</v>
      </c>
      <c r="BL17" s="36">
        <f t="shared" si="35"/>
        <v>170</v>
      </c>
      <c r="BM17" s="36">
        <f t="shared" si="36"/>
        <v>176</v>
      </c>
      <c r="BN17" s="37">
        <f t="shared" si="37"/>
        <v>-6</v>
      </c>
      <c r="BO17" s="37">
        <f t="shared" si="38"/>
        <v>-3.4090909090909087</v>
      </c>
      <c r="BP17" s="38">
        <f t="shared" si="39"/>
        <v>8822.5</v>
      </c>
      <c r="BQ17" s="39">
        <f>J17+N17+S17+W17+AA17+AE17+AI17+AM17+AQ17+AU17+Table1[[#This Row],[MS-0225]]+Table1[[#This Row],[MS-0325]]</f>
        <v>8590.000003000001</v>
      </c>
      <c r="BR17" s="37">
        <f t="shared" si="40"/>
        <v>232.49999699999898</v>
      </c>
      <c r="BS17" s="37">
        <f t="shared" si="41"/>
        <v>2.7066355869476122</v>
      </c>
      <c r="BT17" s="36">
        <f t="shared" si="42"/>
        <v>2085.5</v>
      </c>
      <c r="BU17" s="36">
        <f t="shared" si="43"/>
        <v>2300</v>
      </c>
      <c r="BV17" s="37">
        <f t="shared" si="44"/>
        <v>-214.5</v>
      </c>
      <c r="BW17" s="37">
        <f t="shared" si="45"/>
        <v>-9.3260869565217401</v>
      </c>
      <c r="BX17">
        <v>64</v>
      </c>
      <c r="BY17" s="83">
        <f t="shared" si="46"/>
        <v>8.4880636604774531E-2</v>
      </c>
      <c r="BZ17">
        <v>397.5</v>
      </c>
      <c r="CA17" s="83">
        <f t="shared" si="47"/>
        <v>4.5055256446585437E-2</v>
      </c>
      <c r="CB17" s="96">
        <f t="shared" si="48"/>
        <v>0.1825886911248335</v>
      </c>
      <c r="CC17" s="96">
        <f t="shared" si="49"/>
        <v>0.18603425559947298</v>
      </c>
      <c r="CD17" s="97">
        <f t="shared" si="50"/>
        <v>-3.4455644746394787E-3</v>
      </c>
      <c r="CE17" s="96">
        <f t="shared" si="51"/>
        <v>0.26666666666666666</v>
      </c>
      <c r="CF17" s="96">
        <f t="shared" si="52"/>
        <v>0.2626865671641791</v>
      </c>
      <c r="CG17" s="96">
        <f t="shared" si="53"/>
        <v>3.9800995024875663E-3</v>
      </c>
      <c r="CH17" s="95">
        <f t="shared" si="54"/>
        <v>0.179732669614032</v>
      </c>
      <c r="CI17" s="95">
        <f t="shared" si="55"/>
        <v>0.18768776944305413</v>
      </c>
      <c r="CJ17" s="98">
        <f t="shared" si="56"/>
        <v>-7.955099829022122E-3</v>
      </c>
      <c r="CK17" s="95">
        <f t="shared" si="57"/>
        <v>0.26873448958721696</v>
      </c>
      <c r="CL17" s="95">
        <f t="shared" si="58"/>
        <v>0.2719833498888416</v>
      </c>
      <c r="CM17" s="98">
        <f t="shared" si="59"/>
        <v>-3.2488603016246342E-3</v>
      </c>
      <c r="CN17" s="94">
        <f t="shared" si="60"/>
        <v>1.437861356912256</v>
      </c>
      <c r="CO17" s="94">
        <f t="shared" si="61"/>
        <v>2.1498759166977357</v>
      </c>
    </row>
    <row r="18" spans="1:93" ht="24.5" x14ac:dyDescent="0.35">
      <c r="A18" s="103">
        <v>41056494</v>
      </c>
      <c r="B18" s="9" t="s">
        <v>380</v>
      </c>
      <c r="C18" s="47" t="s">
        <v>530</v>
      </c>
      <c r="D18" s="14" t="s">
        <v>531</v>
      </c>
      <c r="E18" s="10" t="s">
        <v>111</v>
      </c>
      <c r="F18" s="10" t="s">
        <v>112</v>
      </c>
      <c r="G18" s="12" t="s">
        <v>112</v>
      </c>
      <c r="H18" s="51" t="s">
        <v>113</v>
      </c>
      <c r="I18" s="25" t="s">
        <v>78</v>
      </c>
      <c r="J18" s="99">
        <v>610</v>
      </c>
      <c r="K18" s="99">
        <v>691</v>
      </c>
      <c r="L18" s="99">
        <v>216</v>
      </c>
      <c r="M18" s="99">
        <v>230</v>
      </c>
      <c r="N18" s="18">
        <v>688</v>
      </c>
      <c r="O18" s="18">
        <v>746</v>
      </c>
      <c r="P18" s="18">
        <v>246</v>
      </c>
      <c r="Q18" s="18">
        <v>239</v>
      </c>
      <c r="R18" s="99">
        <v>680</v>
      </c>
      <c r="S18" s="99">
        <v>558</v>
      </c>
      <c r="T18" s="99">
        <v>200</v>
      </c>
      <c r="U18" s="99">
        <v>211</v>
      </c>
      <c r="V18" s="99">
        <v>743</v>
      </c>
      <c r="W18" s="99">
        <v>575.5</v>
      </c>
      <c r="X18" s="99">
        <v>215</v>
      </c>
      <c r="Y18" s="99">
        <v>201.5</v>
      </c>
      <c r="Z18" s="99">
        <v>757</v>
      </c>
      <c r="AA18" s="99">
        <v>659.5</v>
      </c>
      <c r="AB18" s="99">
        <v>203</v>
      </c>
      <c r="AC18" s="99">
        <v>217.5</v>
      </c>
      <c r="AD18" s="99">
        <v>705</v>
      </c>
      <c r="AE18" s="99">
        <v>609.5</v>
      </c>
      <c r="AF18" s="99">
        <v>218</v>
      </c>
      <c r="AG18" s="99">
        <v>218.5</v>
      </c>
      <c r="AH18" s="99">
        <v>729</v>
      </c>
      <c r="AI18" s="99">
        <v>675</v>
      </c>
      <c r="AJ18" s="99">
        <v>205</v>
      </c>
      <c r="AK18" s="99">
        <v>245</v>
      </c>
      <c r="AL18" s="99">
        <v>739.5</v>
      </c>
      <c r="AM18" s="99">
        <v>733</v>
      </c>
      <c r="AN18" s="99">
        <v>204.5</v>
      </c>
      <c r="AO18" s="99">
        <v>208</v>
      </c>
      <c r="AP18" s="99">
        <v>746.5</v>
      </c>
      <c r="AQ18" s="99">
        <v>670</v>
      </c>
      <c r="AR18" s="99">
        <v>163.5</v>
      </c>
      <c r="AS18" s="99">
        <v>182</v>
      </c>
      <c r="AT18" s="99">
        <v>726</v>
      </c>
      <c r="AU18" s="99">
        <v>651</v>
      </c>
      <c r="AV18" s="99">
        <v>196</v>
      </c>
      <c r="AW18" s="99">
        <v>175</v>
      </c>
      <c r="AX18" s="99">
        <v>699.5</v>
      </c>
      <c r="AY18" s="99">
        <v>649</v>
      </c>
      <c r="AZ18" s="99">
        <v>202.5</v>
      </c>
      <c r="BA18" s="99">
        <v>200</v>
      </c>
      <c r="BB18" s="99">
        <v>733</v>
      </c>
      <c r="BC18" s="99">
        <v>714</v>
      </c>
      <c r="BD18" s="99">
        <v>184</v>
      </c>
      <c r="BE18" s="99">
        <v>230</v>
      </c>
      <c r="BF18" s="23">
        <v>28.52094</v>
      </c>
      <c r="BG18" s="23">
        <v>77.294759999999997</v>
      </c>
      <c r="BH18" s="31">
        <f t="shared" si="31"/>
        <v>733</v>
      </c>
      <c r="BI18" s="31">
        <f t="shared" si="32"/>
        <v>714</v>
      </c>
      <c r="BJ18" s="37">
        <f t="shared" si="33"/>
        <v>19</v>
      </c>
      <c r="BK18" s="37">
        <f t="shared" si="34"/>
        <v>2.661064425770308</v>
      </c>
      <c r="BL18" s="36">
        <f t="shared" si="35"/>
        <v>184</v>
      </c>
      <c r="BM18" s="36">
        <f t="shared" si="36"/>
        <v>230</v>
      </c>
      <c r="BN18" s="37">
        <f t="shared" si="37"/>
        <v>-46</v>
      </c>
      <c r="BO18" s="37">
        <f t="shared" si="38"/>
        <v>-20</v>
      </c>
      <c r="BP18" s="38">
        <f t="shared" si="39"/>
        <v>8695.5</v>
      </c>
      <c r="BQ18" s="39">
        <f>J18+N18+S18+W18+AA18+AE18+AI18+AM18+AQ18+AU18+Table1[[#This Row],[MS-0225]]+Table1[[#This Row],[MS-0325]]</f>
        <v>7792.5</v>
      </c>
      <c r="BR18" s="37">
        <f t="shared" si="40"/>
        <v>903</v>
      </c>
      <c r="BS18" s="37">
        <f t="shared" si="41"/>
        <v>11.588065447545718</v>
      </c>
      <c r="BT18" s="36">
        <f t="shared" si="42"/>
        <v>2460.5</v>
      </c>
      <c r="BU18" s="36">
        <f t="shared" si="43"/>
        <v>2550.5</v>
      </c>
      <c r="BV18" s="37">
        <f t="shared" si="44"/>
        <v>-90</v>
      </c>
      <c r="BW18" s="37">
        <f t="shared" si="45"/>
        <v>-3.5287198588512059</v>
      </c>
      <c r="BX18">
        <v>0</v>
      </c>
      <c r="BY18" s="83">
        <f t="shared" si="46"/>
        <v>0</v>
      </c>
      <c r="BZ18">
        <v>0</v>
      </c>
      <c r="CA18" s="83">
        <f t="shared" si="47"/>
        <v>0</v>
      </c>
      <c r="CB18" s="96">
        <f t="shared" si="48"/>
        <v>0.13315168029064486</v>
      </c>
      <c r="CC18" s="96">
        <f t="shared" si="49"/>
        <v>0.13675541084083509</v>
      </c>
      <c r="CD18" s="97">
        <f t="shared" si="50"/>
        <v>-3.6037305501902261E-3</v>
      </c>
      <c r="CE18" s="96">
        <f t="shared" si="51"/>
        <v>0.12786657400972898</v>
      </c>
      <c r="CF18" s="96">
        <f t="shared" si="52"/>
        <v>0.14790996784565916</v>
      </c>
      <c r="CG18" s="96">
        <f t="shared" si="53"/>
        <v>-2.0043393835930179E-2</v>
      </c>
      <c r="CH18" s="95">
        <f t="shared" si="54"/>
        <v>0.13540385244242359</v>
      </c>
      <c r="CI18" s="95">
        <f t="shared" si="55"/>
        <v>0.12217300976341869</v>
      </c>
      <c r="CJ18" s="98">
        <f t="shared" si="56"/>
        <v>1.3230842679004901E-2</v>
      </c>
      <c r="CK18" s="95">
        <f t="shared" si="57"/>
        <v>0.13705993761140819</v>
      </c>
      <c r="CL18" s="95">
        <f t="shared" si="58"/>
        <v>0.12203349282296651</v>
      </c>
      <c r="CM18" s="98">
        <f t="shared" si="59"/>
        <v>1.5026444788441687E-2</v>
      </c>
      <c r="CN18" s="94">
        <f t="shared" si="60"/>
        <v>1.4894423768666596</v>
      </c>
      <c r="CO18" s="94">
        <f t="shared" si="61"/>
        <v>1.5076593137254901</v>
      </c>
    </row>
    <row r="19" spans="1:93" ht="24.5" x14ac:dyDescent="0.35">
      <c r="A19" s="102">
        <v>112441</v>
      </c>
      <c r="B19" s="3" t="s">
        <v>72</v>
      </c>
      <c r="C19" s="43" t="s">
        <v>238</v>
      </c>
      <c r="D19" s="12" t="s">
        <v>171</v>
      </c>
      <c r="E19" s="4" t="s">
        <v>75</v>
      </c>
      <c r="F19" s="4" t="s">
        <v>76</v>
      </c>
      <c r="G19" s="12" t="s">
        <v>76</v>
      </c>
      <c r="H19" s="51" t="s">
        <v>77</v>
      </c>
      <c r="I19" s="23" t="s">
        <v>78</v>
      </c>
      <c r="J19" s="18">
        <v>640</v>
      </c>
      <c r="K19" s="18">
        <v>697.5</v>
      </c>
      <c r="L19" s="18">
        <v>280</v>
      </c>
      <c r="M19" s="18">
        <v>310.5</v>
      </c>
      <c r="N19" s="18">
        <v>702</v>
      </c>
      <c r="O19" s="18">
        <v>706.5</v>
      </c>
      <c r="P19" s="18">
        <v>270</v>
      </c>
      <c r="Q19" s="18">
        <v>337.5</v>
      </c>
      <c r="R19" s="18">
        <v>688.5</v>
      </c>
      <c r="S19" s="18">
        <v>657</v>
      </c>
      <c r="T19" s="18">
        <v>319.5</v>
      </c>
      <c r="U19" s="18">
        <v>333</v>
      </c>
      <c r="V19" s="18">
        <v>703.5</v>
      </c>
      <c r="W19" s="18">
        <v>670.5</v>
      </c>
      <c r="X19" s="18">
        <v>306.5</v>
      </c>
      <c r="Y19" s="18">
        <v>373.5</v>
      </c>
      <c r="Z19" s="18">
        <v>715.5</v>
      </c>
      <c r="AA19" s="18">
        <v>688.5</v>
      </c>
      <c r="AB19" s="18">
        <v>274.5</v>
      </c>
      <c r="AC19" s="18">
        <v>337.5</v>
      </c>
      <c r="AD19" s="18">
        <v>684</v>
      </c>
      <c r="AE19" s="18">
        <v>666</v>
      </c>
      <c r="AF19" s="18">
        <v>324</v>
      </c>
      <c r="AG19" s="18">
        <v>342</v>
      </c>
      <c r="AH19" s="18">
        <v>706.5</v>
      </c>
      <c r="AI19" s="18">
        <v>711</v>
      </c>
      <c r="AJ19" s="18">
        <v>349.5</v>
      </c>
      <c r="AK19" s="18">
        <v>387</v>
      </c>
      <c r="AL19" s="18">
        <v>675</v>
      </c>
      <c r="AM19" s="18">
        <v>652.5</v>
      </c>
      <c r="AN19" s="18">
        <v>315</v>
      </c>
      <c r="AO19" s="18">
        <v>355.5</v>
      </c>
      <c r="AP19" s="18">
        <v>643.5</v>
      </c>
      <c r="AQ19" s="18">
        <v>655.5</v>
      </c>
      <c r="AR19" s="18">
        <v>274.5</v>
      </c>
      <c r="AS19" s="18">
        <v>292.5</v>
      </c>
      <c r="AT19" s="18">
        <v>652.5</v>
      </c>
      <c r="AU19" s="18">
        <v>643.5</v>
      </c>
      <c r="AV19" s="18">
        <v>277.5</v>
      </c>
      <c r="AW19" s="18">
        <v>328.5</v>
      </c>
      <c r="AX19" s="18">
        <v>625.5</v>
      </c>
      <c r="AY19" s="18">
        <v>630</v>
      </c>
      <c r="AZ19" s="18">
        <v>292.5</v>
      </c>
      <c r="BA19" s="18">
        <v>342</v>
      </c>
      <c r="BB19" s="18">
        <v>706.5</v>
      </c>
      <c r="BC19" s="18">
        <v>666</v>
      </c>
      <c r="BD19" s="18">
        <v>301.5</v>
      </c>
      <c r="BE19" s="18">
        <v>324</v>
      </c>
      <c r="BF19" s="23">
        <v>28.625686999999999</v>
      </c>
      <c r="BG19" s="23">
        <v>77.313727999999998</v>
      </c>
      <c r="BH19" s="31">
        <f t="shared" si="31"/>
        <v>706.5</v>
      </c>
      <c r="BI19" s="31">
        <f t="shared" si="32"/>
        <v>666</v>
      </c>
      <c r="BJ19" s="37">
        <f t="shared" si="33"/>
        <v>40.5</v>
      </c>
      <c r="BK19" s="37">
        <f t="shared" si="34"/>
        <v>6.0810810810810816</v>
      </c>
      <c r="BL19" s="36">
        <f t="shared" si="35"/>
        <v>301.5</v>
      </c>
      <c r="BM19" s="36">
        <f t="shared" si="36"/>
        <v>324</v>
      </c>
      <c r="BN19" s="37">
        <f t="shared" si="37"/>
        <v>-22.5</v>
      </c>
      <c r="BO19" s="37">
        <f t="shared" si="38"/>
        <v>-6.9444444444444446</v>
      </c>
      <c r="BP19" s="38">
        <f t="shared" si="39"/>
        <v>8205</v>
      </c>
      <c r="BQ19" s="39">
        <f>J19+N19+S19+W19+AA19+AE19+AI19+AM19+AQ19+AU19+Table1[[#This Row],[MS-0225]]+Table1[[#This Row],[MS-0325]]</f>
        <v>7982.5</v>
      </c>
      <c r="BR19" s="37">
        <f t="shared" si="40"/>
        <v>222.5</v>
      </c>
      <c r="BS19" s="37">
        <f t="shared" si="41"/>
        <v>2.7873473222674598</v>
      </c>
      <c r="BT19" s="36">
        <f t="shared" si="42"/>
        <v>3683</v>
      </c>
      <c r="BU19" s="36">
        <f t="shared" si="43"/>
        <v>3965.5</v>
      </c>
      <c r="BV19" s="37">
        <f t="shared" si="44"/>
        <v>-282.5</v>
      </c>
      <c r="BW19" s="37">
        <f t="shared" si="45"/>
        <v>-7.1239440171479016</v>
      </c>
      <c r="BX19">
        <v>0</v>
      </c>
      <c r="BY19" s="83">
        <f t="shared" si="46"/>
        <v>0</v>
      </c>
      <c r="BZ19">
        <v>0</v>
      </c>
      <c r="CA19" s="83">
        <f t="shared" si="47"/>
        <v>0</v>
      </c>
      <c r="CB19" s="96">
        <f t="shared" si="48"/>
        <v>0.30871750054620933</v>
      </c>
      <c r="CC19" s="96">
        <f t="shared" si="49"/>
        <v>0.30762124711316396</v>
      </c>
      <c r="CD19" s="97">
        <f t="shared" si="50"/>
        <v>1.0962534330453688E-3</v>
      </c>
      <c r="CE19" s="96">
        <f t="shared" si="51"/>
        <v>0.30074812967581049</v>
      </c>
      <c r="CF19" s="96">
        <f t="shared" si="52"/>
        <v>0.35801104972375691</v>
      </c>
      <c r="CG19" s="96">
        <f t="shared" si="53"/>
        <v>-5.726292004794642E-2</v>
      </c>
      <c r="CH19" s="95">
        <f t="shared" si="54"/>
        <v>0.29285790769889708</v>
      </c>
      <c r="CI19" s="95">
        <f t="shared" si="55"/>
        <v>0.30104465228541261</v>
      </c>
      <c r="CJ19" s="98">
        <f t="shared" si="56"/>
        <v>-8.1867445865155264E-3</v>
      </c>
      <c r="CK19" s="95">
        <f t="shared" si="57"/>
        <v>0.31698080729839057</v>
      </c>
      <c r="CL19" s="95">
        <f t="shared" si="58"/>
        <v>0.31199842643587727</v>
      </c>
      <c r="CM19" s="98">
        <f t="shared" si="59"/>
        <v>4.9823808625132915E-3</v>
      </c>
      <c r="CN19" s="94">
        <f t="shared" si="60"/>
        <v>1.7571474461933825</v>
      </c>
      <c r="CO19" s="94">
        <f t="shared" si="61"/>
        <v>1.9018848437903433</v>
      </c>
    </row>
    <row r="20" spans="1:93" ht="24.5" x14ac:dyDescent="0.35">
      <c r="A20" s="104">
        <v>106287</v>
      </c>
      <c r="B20" s="5" t="s">
        <v>581</v>
      </c>
      <c r="C20" s="46" t="s">
        <v>797</v>
      </c>
      <c r="D20" s="13" t="s">
        <v>798</v>
      </c>
      <c r="E20" s="6" t="s">
        <v>103</v>
      </c>
      <c r="F20" s="6" t="s">
        <v>428</v>
      </c>
      <c r="G20" s="12" t="s">
        <v>428</v>
      </c>
      <c r="H20" s="51" t="s">
        <v>248</v>
      </c>
      <c r="I20" s="24" t="s">
        <v>78</v>
      </c>
      <c r="J20" s="100">
        <v>614</v>
      </c>
      <c r="K20" s="100">
        <v>751</v>
      </c>
      <c r="L20" s="100">
        <v>314</v>
      </c>
      <c r="M20" s="100">
        <v>305</v>
      </c>
      <c r="N20" s="18">
        <v>704.5</v>
      </c>
      <c r="O20" s="18">
        <v>753</v>
      </c>
      <c r="P20" s="18">
        <v>299.5</v>
      </c>
      <c r="Q20" s="18">
        <v>303</v>
      </c>
      <c r="R20" s="100">
        <v>734.5</v>
      </c>
      <c r="S20" s="100">
        <v>706</v>
      </c>
      <c r="T20" s="100">
        <v>279.5</v>
      </c>
      <c r="U20" s="100">
        <v>310</v>
      </c>
      <c r="V20" s="100">
        <v>767</v>
      </c>
      <c r="W20" s="100">
        <v>704</v>
      </c>
      <c r="X20" s="100">
        <v>285</v>
      </c>
      <c r="Y20" s="100">
        <v>314</v>
      </c>
      <c r="Z20" s="100">
        <v>800.5</v>
      </c>
      <c r="AA20" s="100">
        <v>702</v>
      </c>
      <c r="AB20" s="100">
        <v>281.5</v>
      </c>
      <c r="AC20" s="100">
        <v>328</v>
      </c>
      <c r="AD20" s="100">
        <v>711.5</v>
      </c>
      <c r="AE20" s="100">
        <v>708</v>
      </c>
      <c r="AF20" s="100">
        <v>270.5</v>
      </c>
      <c r="AG20" s="100">
        <v>324</v>
      </c>
      <c r="AH20" s="100">
        <v>751</v>
      </c>
      <c r="AI20" s="100">
        <v>702</v>
      </c>
      <c r="AJ20" s="100">
        <v>279</v>
      </c>
      <c r="AK20" s="100">
        <v>270</v>
      </c>
      <c r="AL20" s="100">
        <v>752</v>
      </c>
      <c r="AM20" s="100">
        <v>738</v>
      </c>
      <c r="AN20" s="100">
        <v>270</v>
      </c>
      <c r="AO20" s="100">
        <v>260</v>
      </c>
      <c r="AP20" s="100">
        <v>651</v>
      </c>
      <c r="AQ20" s="100">
        <v>701.5</v>
      </c>
      <c r="AR20" s="100">
        <v>263</v>
      </c>
      <c r="AS20" s="100">
        <v>250.5</v>
      </c>
      <c r="AT20" s="100">
        <v>670</v>
      </c>
      <c r="AU20" s="100">
        <v>652</v>
      </c>
      <c r="AV20" s="100">
        <v>290</v>
      </c>
      <c r="AW20" s="100">
        <v>290</v>
      </c>
      <c r="AX20" s="100">
        <v>684</v>
      </c>
      <c r="AY20" s="100">
        <v>670</v>
      </c>
      <c r="AZ20" s="100">
        <v>290</v>
      </c>
      <c r="BA20" s="100">
        <v>270</v>
      </c>
      <c r="BB20" s="100">
        <v>700</v>
      </c>
      <c r="BC20" s="100">
        <v>750</v>
      </c>
      <c r="BD20" s="100">
        <v>408</v>
      </c>
      <c r="BE20" s="100">
        <v>308</v>
      </c>
      <c r="BF20" s="23">
        <v>28.587399999999999</v>
      </c>
      <c r="BG20" s="23">
        <v>77.171300000000002</v>
      </c>
      <c r="BH20" s="31">
        <f t="shared" si="31"/>
        <v>700</v>
      </c>
      <c r="BI20" s="31">
        <f t="shared" si="32"/>
        <v>750</v>
      </c>
      <c r="BJ20" s="37">
        <f t="shared" si="33"/>
        <v>-50</v>
      </c>
      <c r="BK20" s="37">
        <f t="shared" si="34"/>
        <v>-6.666666666666667</v>
      </c>
      <c r="BL20" s="36">
        <f t="shared" si="35"/>
        <v>408</v>
      </c>
      <c r="BM20" s="36">
        <f t="shared" si="36"/>
        <v>308</v>
      </c>
      <c r="BN20" s="37">
        <f t="shared" si="37"/>
        <v>100</v>
      </c>
      <c r="BO20" s="37">
        <f t="shared" si="38"/>
        <v>32.467532467532465</v>
      </c>
      <c r="BP20" s="38">
        <f t="shared" si="39"/>
        <v>8725.5</v>
      </c>
      <c r="BQ20" s="39">
        <f>J20+N20+S20+W20+AA20+AE20+AI20+AM20+AQ20+AU20+Table1[[#This Row],[MS-0225]]+Table1[[#This Row],[MS-0325]]</f>
        <v>8352</v>
      </c>
      <c r="BR20" s="37">
        <f t="shared" si="40"/>
        <v>373.5</v>
      </c>
      <c r="BS20" s="37">
        <f t="shared" si="41"/>
        <v>4.4719827586206895</v>
      </c>
      <c r="BT20" s="36">
        <f t="shared" si="42"/>
        <v>3524.5</v>
      </c>
      <c r="BU20" s="36">
        <f t="shared" si="43"/>
        <v>3538</v>
      </c>
      <c r="BV20" s="37">
        <f t="shared" si="44"/>
        <v>-13.5</v>
      </c>
      <c r="BW20" s="37">
        <f t="shared" si="45"/>
        <v>-0.38157150932730355</v>
      </c>
      <c r="BX20">
        <v>0</v>
      </c>
      <c r="BY20" s="83">
        <f t="shared" si="46"/>
        <v>0</v>
      </c>
      <c r="BZ20">
        <v>0</v>
      </c>
      <c r="CA20" s="83">
        <f t="shared" si="47"/>
        <v>0</v>
      </c>
      <c r="CB20" s="96">
        <f t="shared" si="48"/>
        <v>0.49928673323823108</v>
      </c>
      <c r="CC20" s="96">
        <f t="shared" si="49"/>
        <v>0.51795580110497241</v>
      </c>
      <c r="CD20" s="97">
        <f t="shared" si="50"/>
        <v>-1.8669067866741329E-2</v>
      </c>
      <c r="CE20" s="96">
        <f t="shared" si="51"/>
        <v>0.64353312302839116</v>
      </c>
      <c r="CF20" s="96">
        <f t="shared" si="52"/>
        <v>0.47678018575851394</v>
      </c>
      <c r="CG20" s="96">
        <f t="shared" si="53"/>
        <v>0.16675293726987722</v>
      </c>
      <c r="CH20" s="95">
        <f t="shared" si="54"/>
        <v>0.50299763647893003</v>
      </c>
      <c r="CI20" s="95">
        <f t="shared" si="55"/>
        <v>0.49693580055929076</v>
      </c>
      <c r="CJ20" s="98">
        <f t="shared" si="56"/>
        <v>6.061835919639269E-3</v>
      </c>
      <c r="CK20" s="95">
        <f t="shared" si="57"/>
        <v>0.47596218771100607</v>
      </c>
      <c r="CL20" s="95">
        <f t="shared" si="58"/>
        <v>0.4646703441029682</v>
      </c>
      <c r="CM20" s="98">
        <f t="shared" si="59"/>
        <v>1.1291843608037866E-2</v>
      </c>
      <c r="CN20" s="94">
        <f t="shared" si="60"/>
        <v>1.50899290943679</v>
      </c>
      <c r="CO20" s="94">
        <f t="shared" si="61"/>
        <v>1.4278865631330182</v>
      </c>
    </row>
    <row r="21" spans="1:93" ht="24.5" x14ac:dyDescent="0.35">
      <c r="A21" s="104">
        <v>106344</v>
      </c>
      <c r="B21" s="5" t="s">
        <v>581</v>
      </c>
      <c r="C21" s="46" t="s">
        <v>686</v>
      </c>
      <c r="D21" s="13" t="s">
        <v>687</v>
      </c>
      <c r="E21" s="6" t="s">
        <v>89</v>
      </c>
      <c r="F21" s="6" t="s">
        <v>538</v>
      </c>
      <c r="G21" s="12" t="s">
        <v>345</v>
      </c>
      <c r="H21" s="51" t="s">
        <v>205</v>
      </c>
      <c r="I21" s="24" t="s">
        <v>86</v>
      </c>
      <c r="J21" s="100">
        <v>669</v>
      </c>
      <c r="K21" s="100">
        <v>742.5</v>
      </c>
      <c r="L21" s="100">
        <v>165</v>
      </c>
      <c r="M21" s="100">
        <v>139.5</v>
      </c>
      <c r="N21" s="18">
        <v>728.5</v>
      </c>
      <c r="O21" s="18">
        <v>755</v>
      </c>
      <c r="P21" s="18">
        <v>177.5</v>
      </c>
      <c r="Q21" s="18">
        <v>141</v>
      </c>
      <c r="R21" s="100">
        <v>701.5</v>
      </c>
      <c r="S21" s="100">
        <v>689</v>
      </c>
      <c r="T21" s="100">
        <v>158.5</v>
      </c>
      <c r="U21" s="100">
        <v>175</v>
      </c>
      <c r="V21" s="100">
        <v>793</v>
      </c>
      <c r="W21" s="100">
        <v>748.5</v>
      </c>
      <c r="X21" s="100">
        <v>149</v>
      </c>
      <c r="Y21" s="100">
        <v>175.5</v>
      </c>
      <c r="Z21" s="100">
        <v>759</v>
      </c>
      <c r="AA21" s="100">
        <v>753.5</v>
      </c>
      <c r="AB21" s="100">
        <v>149</v>
      </c>
      <c r="AC21" s="100">
        <v>172.5</v>
      </c>
      <c r="AD21" s="100">
        <v>737</v>
      </c>
      <c r="AE21" s="100">
        <v>713</v>
      </c>
      <c r="AF21" s="100">
        <v>159</v>
      </c>
      <c r="AG21" s="100">
        <v>169</v>
      </c>
      <c r="AH21" s="100">
        <v>816</v>
      </c>
      <c r="AI21" s="100">
        <v>753.5</v>
      </c>
      <c r="AJ21" s="100">
        <v>144</v>
      </c>
      <c r="AK21" s="100">
        <v>188.5</v>
      </c>
      <c r="AL21" s="100">
        <v>727</v>
      </c>
      <c r="AM21" s="100">
        <v>706.5</v>
      </c>
      <c r="AN21" s="100">
        <v>145</v>
      </c>
      <c r="AO21" s="100">
        <v>121.5</v>
      </c>
      <c r="AP21" s="100">
        <v>717</v>
      </c>
      <c r="AQ21" s="100">
        <v>690.5</v>
      </c>
      <c r="AR21" s="100">
        <v>135</v>
      </c>
      <c r="AS21" s="100">
        <v>119.5</v>
      </c>
      <c r="AT21" s="100">
        <v>717</v>
      </c>
      <c r="AU21" s="100">
        <v>684.5</v>
      </c>
      <c r="AV21" s="100">
        <v>167</v>
      </c>
      <c r="AW21" s="100">
        <v>173.5</v>
      </c>
      <c r="AX21" s="100">
        <v>725</v>
      </c>
      <c r="AY21" s="100">
        <v>676.5</v>
      </c>
      <c r="AZ21" s="100">
        <v>163</v>
      </c>
      <c r="BA21" s="100">
        <v>157.5</v>
      </c>
      <c r="BB21" s="100">
        <v>831.5</v>
      </c>
      <c r="BC21" s="100">
        <v>729.5</v>
      </c>
      <c r="BD21" s="100">
        <v>222.5</v>
      </c>
      <c r="BE21" s="100">
        <v>134.5</v>
      </c>
      <c r="BF21" s="23">
        <v>28.718299999999999</v>
      </c>
      <c r="BG21" s="23">
        <v>77.071100000000001</v>
      </c>
      <c r="BH21" s="31">
        <f t="shared" si="31"/>
        <v>831.5</v>
      </c>
      <c r="BI21" s="31">
        <f t="shared" si="32"/>
        <v>729.5</v>
      </c>
      <c r="BJ21" s="37">
        <f t="shared" si="33"/>
        <v>102</v>
      </c>
      <c r="BK21" s="37">
        <f t="shared" si="34"/>
        <v>13.982179575051404</v>
      </c>
      <c r="BL21" s="36">
        <f t="shared" si="35"/>
        <v>222.5</v>
      </c>
      <c r="BM21" s="36">
        <f t="shared" si="36"/>
        <v>134.5</v>
      </c>
      <c r="BN21" s="37">
        <f t="shared" si="37"/>
        <v>88</v>
      </c>
      <c r="BO21" s="37">
        <f t="shared" si="38"/>
        <v>65.427509293680302</v>
      </c>
      <c r="BP21" s="38">
        <f t="shared" si="39"/>
        <v>9021.5</v>
      </c>
      <c r="BQ21" s="39">
        <f>J21+N21+S21+W21+AA21+AE21+AI21+AM21+AQ21+AU21+Table1[[#This Row],[MS-0225]]+Table1[[#This Row],[MS-0325]]</f>
        <v>8542.5</v>
      </c>
      <c r="BR21" s="37">
        <f t="shared" si="40"/>
        <v>479</v>
      </c>
      <c r="BS21" s="37">
        <f t="shared" si="41"/>
        <v>5.6072578285045358</v>
      </c>
      <c r="BT21" s="36">
        <f t="shared" si="42"/>
        <v>1872.5</v>
      </c>
      <c r="BU21" s="36">
        <f t="shared" si="43"/>
        <v>1929.5</v>
      </c>
      <c r="BV21" s="37">
        <f t="shared" si="44"/>
        <v>-57</v>
      </c>
      <c r="BW21" s="37">
        <f t="shared" si="45"/>
        <v>-2.9541331951282714</v>
      </c>
      <c r="BX21">
        <v>0</v>
      </c>
      <c r="BY21" s="83">
        <f t="shared" si="46"/>
        <v>0</v>
      </c>
      <c r="BZ21">
        <v>0</v>
      </c>
      <c r="CA21" s="83">
        <f t="shared" si="47"/>
        <v>0</v>
      </c>
      <c r="CB21" s="96">
        <f t="shared" si="48"/>
        <v>0.32652660514431575</v>
      </c>
      <c r="CC21" s="96">
        <f t="shared" si="49"/>
        <v>0.37162506367804382</v>
      </c>
      <c r="CD21" s="97">
        <f t="shared" si="50"/>
        <v>-4.509845853372807E-2</v>
      </c>
      <c r="CE21" s="96">
        <f t="shared" si="51"/>
        <v>0.5771725032425421</v>
      </c>
      <c r="CF21" s="96">
        <f t="shared" si="52"/>
        <v>0.44684385382059799</v>
      </c>
      <c r="CG21" s="96">
        <f t="shared" si="53"/>
        <v>0.13032864942194411</v>
      </c>
      <c r="CH21" s="95">
        <f t="shared" si="54"/>
        <v>0.32309069746620112</v>
      </c>
      <c r="CI21" s="95">
        <f t="shared" si="55"/>
        <v>0.32827991689238956</v>
      </c>
      <c r="CJ21" s="98">
        <f t="shared" si="56"/>
        <v>-5.1892194261884406E-3</v>
      </c>
      <c r="CK21" s="95">
        <f t="shared" si="57"/>
        <v>0.46194646601702233</v>
      </c>
      <c r="CL21" s="95">
        <f t="shared" si="58"/>
        <v>0.44002280501710378</v>
      </c>
      <c r="CM21" s="98">
        <f t="shared" si="59"/>
        <v>2.1923660999918548E-2</v>
      </c>
      <c r="CN21" s="94">
        <f t="shared" si="60"/>
        <v>2.261634882263408</v>
      </c>
      <c r="CO21" s="94">
        <f t="shared" si="61"/>
        <v>3.2336252621191561</v>
      </c>
    </row>
    <row r="22" spans="1:93" ht="24.5" x14ac:dyDescent="0.35">
      <c r="A22" s="104">
        <v>234809</v>
      </c>
      <c r="B22" s="5" t="s">
        <v>581</v>
      </c>
      <c r="C22" s="46" t="s">
        <v>910</v>
      </c>
      <c r="D22" s="13" t="s">
        <v>911</v>
      </c>
      <c r="E22" s="6" t="s">
        <v>89</v>
      </c>
      <c r="F22" s="6" t="s">
        <v>90</v>
      </c>
      <c r="G22" s="12" t="s">
        <v>90</v>
      </c>
      <c r="H22" s="51" t="s">
        <v>1004</v>
      </c>
      <c r="I22" s="24" t="s">
        <v>86</v>
      </c>
      <c r="J22" s="100">
        <v>76</v>
      </c>
      <c r="K22" s="100">
        <v>76</v>
      </c>
      <c r="L22" s="100">
        <v>92</v>
      </c>
      <c r="M22" s="100">
        <v>92</v>
      </c>
      <c r="N22" s="18">
        <v>80</v>
      </c>
      <c r="O22" s="18">
        <v>84</v>
      </c>
      <c r="P22" s="18">
        <v>88</v>
      </c>
      <c r="Q22" s="18">
        <v>84</v>
      </c>
      <c r="R22" s="100">
        <v>76</v>
      </c>
      <c r="S22" s="100">
        <v>76</v>
      </c>
      <c r="T22" s="100">
        <v>80</v>
      </c>
      <c r="U22" s="100">
        <v>68</v>
      </c>
      <c r="V22" s="100">
        <v>92</v>
      </c>
      <c r="W22" s="100">
        <v>84</v>
      </c>
      <c r="X22" s="100">
        <v>76</v>
      </c>
      <c r="Y22" s="100">
        <v>96</v>
      </c>
      <c r="Z22" s="100">
        <v>80</v>
      </c>
      <c r="AA22" s="100">
        <v>77.5</v>
      </c>
      <c r="AB22" s="100">
        <v>64</v>
      </c>
      <c r="AC22" s="100">
        <v>60.5</v>
      </c>
      <c r="AD22" s="100">
        <v>76</v>
      </c>
      <c r="AE22" s="100">
        <v>79.5</v>
      </c>
      <c r="AF22" s="100">
        <v>128</v>
      </c>
      <c r="AG22" s="100">
        <v>104.5</v>
      </c>
      <c r="AH22" s="100">
        <v>88</v>
      </c>
      <c r="AI22" s="100">
        <v>74</v>
      </c>
      <c r="AJ22" s="100">
        <v>104</v>
      </c>
      <c r="AK22" s="100">
        <v>130</v>
      </c>
      <c r="AL22" s="100">
        <v>80</v>
      </c>
      <c r="AM22" s="100">
        <v>92</v>
      </c>
      <c r="AN22" s="100">
        <v>76</v>
      </c>
      <c r="AO22" s="100">
        <v>88</v>
      </c>
      <c r="AP22" s="100">
        <v>72</v>
      </c>
      <c r="AQ22" s="100">
        <v>67</v>
      </c>
      <c r="AR22" s="100">
        <v>60</v>
      </c>
      <c r="AS22" s="100">
        <v>55</v>
      </c>
      <c r="AT22" s="100">
        <v>76</v>
      </c>
      <c r="AU22" s="100">
        <v>76.5</v>
      </c>
      <c r="AV22" s="100">
        <v>68</v>
      </c>
      <c r="AW22" s="100">
        <v>61.5</v>
      </c>
      <c r="AX22" s="100">
        <v>72</v>
      </c>
      <c r="AY22" s="100">
        <v>64</v>
      </c>
      <c r="AZ22" s="100">
        <v>60</v>
      </c>
      <c r="BA22" s="100">
        <v>68</v>
      </c>
      <c r="BB22" s="100">
        <v>80</v>
      </c>
      <c r="BC22" s="100">
        <v>77</v>
      </c>
      <c r="BD22" s="100">
        <v>136</v>
      </c>
      <c r="BE22" s="100">
        <v>73</v>
      </c>
      <c r="BF22" s="23">
        <v>28.7667</v>
      </c>
      <c r="BG22" s="23">
        <v>76.964699999999993</v>
      </c>
      <c r="BH22" s="31">
        <f t="shared" si="31"/>
        <v>80</v>
      </c>
      <c r="BI22" s="31">
        <f t="shared" si="32"/>
        <v>77</v>
      </c>
      <c r="BJ22" s="37">
        <f t="shared" si="33"/>
        <v>3</v>
      </c>
      <c r="BK22" s="37">
        <f t="shared" si="34"/>
        <v>3.8961038961038961</v>
      </c>
      <c r="BL22" s="36">
        <f t="shared" si="35"/>
        <v>136</v>
      </c>
      <c r="BM22" s="36">
        <f t="shared" si="36"/>
        <v>73</v>
      </c>
      <c r="BN22" s="37">
        <f t="shared" si="37"/>
        <v>63</v>
      </c>
      <c r="BO22" s="37">
        <f t="shared" si="38"/>
        <v>86.301369863013704</v>
      </c>
      <c r="BP22" s="38">
        <f t="shared" si="39"/>
        <v>952</v>
      </c>
      <c r="BQ22" s="39">
        <f>J22+N22+S22+W22+AA22+AE22+AI22+AM22+AQ22+AU22+Table1[[#This Row],[MS-0225]]+Table1[[#This Row],[MS-0325]]</f>
        <v>923.5</v>
      </c>
      <c r="BR22" s="37">
        <f t="shared" si="40"/>
        <v>28.5</v>
      </c>
      <c r="BS22" s="37">
        <f t="shared" si="41"/>
        <v>3.0860855441256092</v>
      </c>
      <c r="BT22" s="36">
        <f t="shared" si="42"/>
        <v>1028</v>
      </c>
      <c r="BU22" s="36">
        <f t="shared" si="43"/>
        <v>984.5</v>
      </c>
      <c r="BV22" s="37">
        <f t="shared" si="44"/>
        <v>43.5</v>
      </c>
      <c r="BW22" s="37">
        <f t="shared" si="45"/>
        <v>4.4184865413915686</v>
      </c>
      <c r="BX22">
        <v>0</v>
      </c>
      <c r="BY22" s="83">
        <f t="shared" si="46"/>
        <v>0</v>
      </c>
      <c r="BZ22">
        <v>0</v>
      </c>
      <c r="CA22" s="83">
        <f t="shared" si="47"/>
        <v>0</v>
      </c>
      <c r="CB22" s="96">
        <f t="shared" si="48"/>
        <v>0.76923076923076927</v>
      </c>
      <c r="CC22" s="96">
        <f t="shared" si="49"/>
        <v>0.70642201834862384</v>
      </c>
      <c r="CD22" s="97">
        <f t="shared" si="50"/>
        <v>6.2808750882145437E-2</v>
      </c>
      <c r="CE22" s="96">
        <f t="shared" si="51"/>
        <v>0.91891891891891897</v>
      </c>
      <c r="CF22" s="96">
        <f t="shared" si="52"/>
        <v>0.72277227722772275</v>
      </c>
      <c r="CG22" s="96">
        <f t="shared" si="53"/>
        <v>0.19614664169119622</v>
      </c>
      <c r="CH22" s="95">
        <f t="shared" si="54"/>
        <v>0.73769856644711351</v>
      </c>
      <c r="CI22" s="95">
        <f t="shared" si="55"/>
        <v>0.74898621248986208</v>
      </c>
      <c r="CJ22" s="98">
        <f t="shared" si="56"/>
        <v>-1.1287646042748567E-2</v>
      </c>
      <c r="CK22" s="95">
        <f t="shared" si="57"/>
        <v>0.84021250510829593</v>
      </c>
      <c r="CL22" s="95">
        <f t="shared" si="58"/>
        <v>0.79845904298459047</v>
      </c>
      <c r="CM22" s="98">
        <f t="shared" si="59"/>
        <v>4.1753462123705454E-2</v>
      </c>
      <c r="CN22" s="94">
        <f t="shared" si="60"/>
        <v>1.475397132894227</v>
      </c>
      <c r="CO22" s="94">
        <f t="shared" si="61"/>
        <v>1.6804250102165919</v>
      </c>
    </row>
    <row r="23" spans="1:93" ht="24.5" x14ac:dyDescent="0.35">
      <c r="A23" s="103">
        <v>41032884</v>
      </c>
      <c r="B23" s="9" t="s">
        <v>380</v>
      </c>
      <c r="C23" s="47" t="s">
        <v>540</v>
      </c>
      <c r="D23" s="14" t="s">
        <v>541</v>
      </c>
      <c r="E23" s="10" t="s">
        <v>111</v>
      </c>
      <c r="F23" s="10" t="s">
        <v>112</v>
      </c>
      <c r="G23" s="12" t="s">
        <v>112</v>
      </c>
      <c r="H23" s="51" t="s">
        <v>113</v>
      </c>
      <c r="I23" s="25" t="s">
        <v>78</v>
      </c>
      <c r="J23" s="99">
        <v>703.5</v>
      </c>
      <c r="K23" s="99">
        <v>714.5</v>
      </c>
      <c r="L23" s="99">
        <v>290.5</v>
      </c>
      <c r="M23" s="99">
        <v>228.5</v>
      </c>
      <c r="N23" s="18">
        <v>776</v>
      </c>
      <c r="O23" s="18">
        <v>712</v>
      </c>
      <c r="P23" s="18">
        <v>296</v>
      </c>
      <c r="Q23" s="18">
        <v>214</v>
      </c>
      <c r="R23" s="99">
        <v>725.5</v>
      </c>
      <c r="S23" s="99">
        <v>833</v>
      </c>
      <c r="T23" s="99">
        <v>210.5</v>
      </c>
      <c r="U23" s="99">
        <v>331</v>
      </c>
      <c r="V23" s="99">
        <v>750</v>
      </c>
      <c r="W23" s="99">
        <v>784</v>
      </c>
      <c r="X23" s="99">
        <v>238</v>
      </c>
      <c r="Y23" s="99">
        <v>293</v>
      </c>
      <c r="Z23" s="99">
        <v>717.5</v>
      </c>
      <c r="AA23" s="99">
        <v>803</v>
      </c>
      <c r="AB23" s="99">
        <v>214.5</v>
      </c>
      <c r="AC23" s="99">
        <v>311</v>
      </c>
      <c r="AD23" s="99">
        <v>705</v>
      </c>
      <c r="AE23" s="99">
        <v>732.5</v>
      </c>
      <c r="AF23" s="99">
        <v>214</v>
      </c>
      <c r="AG23" s="99">
        <v>290.5</v>
      </c>
      <c r="AH23" s="99">
        <v>758</v>
      </c>
      <c r="AI23" s="99">
        <v>755.5</v>
      </c>
      <c r="AJ23" s="99">
        <v>226</v>
      </c>
      <c r="AK23" s="99">
        <v>288.5</v>
      </c>
      <c r="AL23" s="99">
        <v>734</v>
      </c>
      <c r="AM23" s="99">
        <v>754.5</v>
      </c>
      <c r="AN23" s="99">
        <v>187</v>
      </c>
      <c r="AO23" s="99">
        <v>238.5</v>
      </c>
      <c r="AP23" s="99">
        <v>711.5</v>
      </c>
      <c r="AQ23" s="99">
        <v>719.5</v>
      </c>
      <c r="AR23" s="99">
        <v>194.5</v>
      </c>
      <c r="AS23" s="99">
        <v>214.5</v>
      </c>
      <c r="AT23" s="99">
        <v>666</v>
      </c>
      <c r="AU23" s="99">
        <v>692</v>
      </c>
      <c r="AV23" s="99">
        <v>167</v>
      </c>
      <c r="AW23" s="99">
        <v>233</v>
      </c>
      <c r="AX23" s="99">
        <v>646.5</v>
      </c>
      <c r="AY23" s="99">
        <v>647.5</v>
      </c>
      <c r="AZ23" s="99">
        <v>195.5</v>
      </c>
      <c r="BA23" s="99">
        <v>208.5</v>
      </c>
      <c r="BB23" s="99">
        <v>682</v>
      </c>
      <c r="BC23" s="99">
        <v>769</v>
      </c>
      <c r="BD23" s="99">
        <v>191</v>
      </c>
      <c r="BE23" s="99">
        <v>238</v>
      </c>
      <c r="BF23" s="23">
        <v>28.541271999999999</v>
      </c>
      <c r="BG23" s="23">
        <v>77.280676999999997</v>
      </c>
      <c r="BH23" s="31">
        <f t="shared" si="31"/>
        <v>682</v>
      </c>
      <c r="BI23" s="31">
        <f t="shared" si="32"/>
        <v>769</v>
      </c>
      <c r="BJ23" s="37">
        <f t="shared" si="33"/>
        <v>-87</v>
      </c>
      <c r="BK23" s="37">
        <f t="shared" si="34"/>
        <v>-11.313394018205461</v>
      </c>
      <c r="BL23" s="36">
        <f t="shared" si="35"/>
        <v>191</v>
      </c>
      <c r="BM23" s="36">
        <f t="shared" si="36"/>
        <v>238</v>
      </c>
      <c r="BN23" s="37">
        <f t="shared" si="37"/>
        <v>-47</v>
      </c>
      <c r="BO23" s="37">
        <f t="shared" si="38"/>
        <v>-19.747899159663866</v>
      </c>
      <c r="BP23" s="38">
        <f t="shared" si="39"/>
        <v>8522.5</v>
      </c>
      <c r="BQ23" s="39">
        <f>J23+N23+S23+W23+AA23+AE23+AI23+AM23+AQ23+AU23+Table1[[#This Row],[MS-0225]]+Table1[[#This Row],[MS-0325]]</f>
        <v>8970</v>
      </c>
      <c r="BR23" s="37">
        <f t="shared" si="40"/>
        <v>-447.5</v>
      </c>
      <c r="BS23" s="37">
        <f t="shared" si="41"/>
        <v>-4.988851727982162</v>
      </c>
      <c r="BT23" s="36">
        <f t="shared" si="42"/>
        <v>2480.5</v>
      </c>
      <c r="BU23" s="36">
        <f t="shared" si="43"/>
        <v>3233</v>
      </c>
      <c r="BV23" s="37">
        <f t="shared" si="44"/>
        <v>-752.5</v>
      </c>
      <c r="BW23" s="37">
        <f t="shared" si="45"/>
        <v>-23.275595422208475</v>
      </c>
      <c r="BX23">
        <v>0</v>
      </c>
      <c r="BY23" s="83">
        <f t="shared" si="46"/>
        <v>0</v>
      </c>
      <c r="BZ23">
        <v>0</v>
      </c>
      <c r="CA23" s="83">
        <f t="shared" si="47"/>
        <v>0</v>
      </c>
      <c r="CB23" s="96">
        <f t="shared" si="48"/>
        <v>0.12388737511353315</v>
      </c>
      <c r="CC23" s="96">
        <f t="shared" si="49"/>
        <v>0.14728979122773414</v>
      </c>
      <c r="CD23" s="97">
        <f t="shared" si="50"/>
        <v>-2.3402416114200991E-2</v>
      </c>
      <c r="CE23" s="96">
        <f t="shared" si="51"/>
        <v>0.13273106323835998</v>
      </c>
      <c r="CF23" s="96">
        <f t="shared" si="52"/>
        <v>0.15305466237942122</v>
      </c>
      <c r="CG23" s="96">
        <f t="shared" si="53"/>
        <v>-2.0323599141061244E-2</v>
      </c>
      <c r="CH23" s="95">
        <f t="shared" si="54"/>
        <v>0.13270994565471278</v>
      </c>
      <c r="CI23" s="95">
        <f t="shared" si="55"/>
        <v>0.14063418640716915</v>
      </c>
      <c r="CJ23" s="98">
        <f t="shared" si="56"/>
        <v>-7.924240752456374E-3</v>
      </c>
      <c r="CK23" s="95">
        <f t="shared" si="57"/>
        <v>0.13817401960784315</v>
      </c>
      <c r="CL23" s="95">
        <f t="shared" si="58"/>
        <v>0.15468899521531101</v>
      </c>
      <c r="CM23" s="98">
        <f t="shared" si="59"/>
        <v>-1.6514975607467869E-2</v>
      </c>
      <c r="CN23" s="94">
        <f t="shared" si="60"/>
        <v>1.4598094022018406</v>
      </c>
      <c r="CO23" s="94">
        <f t="shared" si="61"/>
        <v>1.5199142156862746</v>
      </c>
    </row>
    <row r="24" spans="1:93" x14ac:dyDescent="0.35">
      <c r="A24" s="103">
        <v>41056535</v>
      </c>
      <c r="B24" s="9" t="s">
        <v>380</v>
      </c>
      <c r="C24" s="47" t="s">
        <v>471</v>
      </c>
      <c r="D24" s="14" t="s">
        <v>472</v>
      </c>
      <c r="E24" s="10" t="s">
        <v>228</v>
      </c>
      <c r="F24" s="10" t="s">
        <v>229</v>
      </c>
      <c r="G24" s="12" t="s">
        <v>229</v>
      </c>
      <c r="H24" s="51" t="s">
        <v>230</v>
      </c>
      <c r="I24" s="25" t="s">
        <v>78</v>
      </c>
      <c r="J24" s="99">
        <v>608</v>
      </c>
      <c r="K24" s="99">
        <v>665</v>
      </c>
      <c r="L24" s="99">
        <v>110</v>
      </c>
      <c r="M24" s="99">
        <v>82</v>
      </c>
      <c r="N24" s="18">
        <v>635</v>
      </c>
      <c r="O24" s="18">
        <v>634</v>
      </c>
      <c r="P24" s="18">
        <v>105</v>
      </c>
      <c r="Q24" s="18">
        <v>104</v>
      </c>
      <c r="R24" s="99">
        <v>665</v>
      </c>
      <c r="S24" s="99">
        <v>608</v>
      </c>
      <c r="T24" s="99">
        <v>101</v>
      </c>
      <c r="U24" s="99">
        <v>90</v>
      </c>
      <c r="V24" s="99">
        <v>717.5</v>
      </c>
      <c r="W24" s="99">
        <v>620</v>
      </c>
      <c r="X24" s="99">
        <v>100.5</v>
      </c>
      <c r="Y24" s="99">
        <v>100</v>
      </c>
      <c r="Z24" s="99">
        <v>664</v>
      </c>
      <c r="AA24" s="99">
        <v>590</v>
      </c>
      <c r="AB24" s="99">
        <v>90</v>
      </c>
      <c r="AC24" s="99">
        <v>70</v>
      </c>
      <c r="AD24" s="99">
        <v>703</v>
      </c>
      <c r="AE24" s="99">
        <v>573</v>
      </c>
      <c r="AF24" s="99">
        <v>84</v>
      </c>
      <c r="AG24" s="99">
        <v>105</v>
      </c>
      <c r="AH24" s="99">
        <v>730</v>
      </c>
      <c r="AI24" s="99">
        <v>620</v>
      </c>
      <c r="AJ24" s="99">
        <v>100</v>
      </c>
      <c r="AK24" s="99">
        <v>80</v>
      </c>
      <c r="AL24" s="99">
        <v>710</v>
      </c>
      <c r="AM24" s="99">
        <v>688</v>
      </c>
      <c r="AN24" s="99">
        <v>102</v>
      </c>
      <c r="AO24" s="99">
        <v>115</v>
      </c>
      <c r="AP24" s="99">
        <v>707</v>
      </c>
      <c r="AQ24" s="99">
        <v>609</v>
      </c>
      <c r="AR24" s="99">
        <v>100</v>
      </c>
      <c r="AS24" s="99">
        <v>89</v>
      </c>
      <c r="AT24" s="99">
        <v>651</v>
      </c>
      <c r="AU24" s="99">
        <v>610</v>
      </c>
      <c r="AV24" s="99">
        <v>89</v>
      </c>
      <c r="AW24" s="99">
        <v>95</v>
      </c>
      <c r="AX24" s="99">
        <v>665</v>
      </c>
      <c r="AY24" s="99">
        <v>625</v>
      </c>
      <c r="AZ24" s="99">
        <v>95</v>
      </c>
      <c r="BA24" s="99">
        <v>95</v>
      </c>
      <c r="BB24" s="99">
        <v>672</v>
      </c>
      <c r="BC24" s="99">
        <v>662</v>
      </c>
      <c r="BD24" s="99">
        <v>88</v>
      </c>
      <c r="BE24" s="99">
        <v>98</v>
      </c>
      <c r="BF24" s="23">
        <v>28.701688000000001</v>
      </c>
      <c r="BG24" s="23">
        <v>77.288150999999999</v>
      </c>
      <c r="BH24" s="31">
        <f t="shared" si="31"/>
        <v>672</v>
      </c>
      <c r="BI24" s="31">
        <f t="shared" si="32"/>
        <v>662</v>
      </c>
      <c r="BJ24" s="37">
        <f t="shared" si="33"/>
        <v>10</v>
      </c>
      <c r="BK24" s="37">
        <f t="shared" si="34"/>
        <v>1.5105740181268883</v>
      </c>
      <c r="BL24" s="36">
        <f t="shared" si="35"/>
        <v>88</v>
      </c>
      <c r="BM24" s="36">
        <f t="shared" si="36"/>
        <v>98</v>
      </c>
      <c r="BN24" s="37">
        <f t="shared" si="37"/>
        <v>-10</v>
      </c>
      <c r="BO24" s="37">
        <f t="shared" si="38"/>
        <v>-10.204081632653061</v>
      </c>
      <c r="BP24" s="38">
        <f t="shared" si="39"/>
        <v>8183.5</v>
      </c>
      <c r="BQ24" s="39">
        <f>J24+N24+S24+W24+AA24+AE24+AI24+AM24+AQ24+AU24+Table1[[#This Row],[MS-0225]]+Table1[[#This Row],[MS-0325]]</f>
        <v>7448</v>
      </c>
      <c r="BR24" s="37">
        <f t="shared" si="40"/>
        <v>735.5</v>
      </c>
      <c r="BS24" s="37">
        <f t="shared" si="41"/>
        <v>9.8751342642320097</v>
      </c>
      <c r="BT24" s="36">
        <f t="shared" si="42"/>
        <v>1135.5</v>
      </c>
      <c r="BU24" s="36">
        <f t="shared" si="43"/>
        <v>1152</v>
      </c>
      <c r="BV24" s="37">
        <f t="shared" si="44"/>
        <v>-16.5</v>
      </c>
      <c r="BW24" s="37">
        <f t="shared" si="45"/>
        <v>-1.4322916666666665</v>
      </c>
      <c r="BX24">
        <v>0</v>
      </c>
      <c r="BY24" s="83">
        <f t="shared" si="46"/>
        <v>0</v>
      </c>
      <c r="BZ24">
        <v>0</v>
      </c>
      <c r="CA24" s="83">
        <f t="shared" si="47"/>
        <v>0</v>
      </c>
      <c r="CB24" s="96">
        <f t="shared" si="48"/>
        <v>0.52194174757281553</v>
      </c>
      <c r="CC24" s="96">
        <f t="shared" si="49"/>
        <v>0.55983086680761096</v>
      </c>
      <c r="CD24" s="97">
        <f t="shared" si="50"/>
        <v>-3.7889119234795432E-2</v>
      </c>
      <c r="CE24" s="96">
        <f t="shared" si="51"/>
        <v>0.21542227662178703</v>
      </c>
      <c r="CF24" s="96">
        <f t="shared" si="52"/>
        <v>0.31663974151857838</v>
      </c>
      <c r="CG24" s="96">
        <f t="shared" si="53"/>
        <v>-0.10121746489679134</v>
      </c>
      <c r="CH24" s="95">
        <f t="shared" si="54"/>
        <v>0.54002243632044344</v>
      </c>
      <c r="CI24" s="95">
        <f t="shared" si="55"/>
        <v>0.54000362515860068</v>
      </c>
      <c r="CJ24" s="98">
        <f t="shared" si="56"/>
        <v>1.8811161842768875E-5</v>
      </c>
      <c r="CK24" s="95">
        <f t="shared" si="57"/>
        <v>0.28652535957607872</v>
      </c>
      <c r="CL24" s="95">
        <f t="shared" si="58"/>
        <v>0.29197820301609428</v>
      </c>
      <c r="CM24" s="98">
        <f t="shared" si="59"/>
        <v>-5.4528434400155645E-3</v>
      </c>
      <c r="CN24" s="94">
        <f t="shared" si="60"/>
        <v>1.6200673089613304</v>
      </c>
      <c r="CO24" s="94">
        <f t="shared" si="61"/>
        <v>0.85957607872823616</v>
      </c>
    </row>
    <row r="25" spans="1:93" ht="24.5" x14ac:dyDescent="0.35">
      <c r="A25" s="102">
        <v>112390</v>
      </c>
      <c r="B25" s="3" t="s">
        <v>72</v>
      </c>
      <c r="C25" s="40" t="s">
        <v>338</v>
      </c>
      <c r="D25" s="12" t="s">
        <v>339</v>
      </c>
      <c r="E25" s="4" t="s">
        <v>85</v>
      </c>
      <c r="F25" s="4" t="s">
        <v>337</v>
      </c>
      <c r="G25" s="12" t="s">
        <v>337</v>
      </c>
      <c r="H25" s="51" t="s">
        <v>304</v>
      </c>
      <c r="I25" s="23" t="s">
        <v>86</v>
      </c>
      <c r="J25" s="18">
        <v>621.00000299999999</v>
      </c>
      <c r="K25" s="18">
        <v>660</v>
      </c>
      <c r="L25" s="18">
        <v>99</v>
      </c>
      <c r="M25" s="18">
        <v>80</v>
      </c>
      <c r="N25" s="18">
        <v>704.00000499999999</v>
      </c>
      <c r="O25" s="18">
        <v>675</v>
      </c>
      <c r="P25" s="18">
        <v>126</v>
      </c>
      <c r="Q25" s="18">
        <v>105</v>
      </c>
      <c r="R25" s="18">
        <v>655</v>
      </c>
      <c r="S25" s="18">
        <v>625.50000199999999</v>
      </c>
      <c r="T25" s="18">
        <v>105</v>
      </c>
      <c r="U25" s="18">
        <v>112.5</v>
      </c>
      <c r="V25" s="18">
        <v>720</v>
      </c>
      <c r="W25" s="18">
        <v>665.00000399999999</v>
      </c>
      <c r="X25" s="18">
        <v>100</v>
      </c>
      <c r="Y25" s="18">
        <v>133</v>
      </c>
      <c r="Z25" s="18">
        <v>710</v>
      </c>
      <c r="AA25" s="18">
        <v>670</v>
      </c>
      <c r="AB25" s="18">
        <v>110</v>
      </c>
      <c r="AC25" s="18">
        <v>130</v>
      </c>
      <c r="AD25" s="18">
        <v>685</v>
      </c>
      <c r="AE25" s="18">
        <v>640</v>
      </c>
      <c r="AF25" s="18">
        <v>95</v>
      </c>
      <c r="AG25" s="18">
        <v>120</v>
      </c>
      <c r="AH25" s="18">
        <v>715</v>
      </c>
      <c r="AI25" s="18">
        <v>665</v>
      </c>
      <c r="AJ25" s="18">
        <v>105</v>
      </c>
      <c r="AK25" s="18">
        <v>115</v>
      </c>
      <c r="AL25" s="18">
        <v>645</v>
      </c>
      <c r="AM25" s="18">
        <v>635</v>
      </c>
      <c r="AN25" s="18">
        <v>95</v>
      </c>
      <c r="AO25" s="18">
        <v>85</v>
      </c>
      <c r="AP25" s="18">
        <v>655</v>
      </c>
      <c r="AQ25" s="18">
        <v>619</v>
      </c>
      <c r="AR25" s="18">
        <v>65</v>
      </c>
      <c r="AS25" s="18">
        <v>75</v>
      </c>
      <c r="AT25" s="18">
        <v>625</v>
      </c>
      <c r="AU25" s="18">
        <v>590</v>
      </c>
      <c r="AV25" s="18">
        <v>75</v>
      </c>
      <c r="AW25" s="18">
        <v>90</v>
      </c>
      <c r="AX25" s="18">
        <v>630</v>
      </c>
      <c r="AY25" s="18">
        <v>555</v>
      </c>
      <c r="AZ25" s="18">
        <v>90</v>
      </c>
      <c r="BA25" s="18">
        <v>85</v>
      </c>
      <c r="BB25" s="18">
        <v>670</v>
      </c>
      <c r="BC25" s="18">
        <v>645</v>
      </c>
      <c r="BD25" s="18">
        <v>90</v>
      </c>
      <c r="BE25" s="18">
        <v>115</v>
      </c>
      <c r="BF25" s="23">
        <v>28.653600000000001</v>
      </c>
      <c r="BG25" s="23">
        <v>77.118949999999998</v>
      </c>
      <c r="BH25" s="31">
        <f t="shared" si="31"/>
        <v>670</v>
      </c>
      <c r="BI25" s="31">
        <f t="shared" si="32"/>
        <v>645</v>
      </c>
      <c r="BJ25" s="37">
        <f t="shared" si="33"/>
        <v>25</v>
      </c>
      <c r="BK25" s="37">
        <f t="shared" si="34"/>
        <v>3.8759689922480618</v>
      </c>
      <c r="BL25" s="36">
        <f t="shared" si="35"/>
        <v>90</v>
      </c>
      <c r="BM25" s="36">
        <f t="shared" si="36"/>
        <v>115</v>
      </c>
      <c r="BN25" s="37">
        <f t="shared" si="37"/>
        <v>-25</v>
      </c>
      <c r="BO25" s="37">
        <f t="shared" si="38"/>
        <v>-21.739130434782609</v>
      </c>
      <c r="BP25" s="38">
        <f t="shared" si="39"/>
        <v>8045</v>
      </c>
      <c r="BQ25" s="39">
        <f>J25+N25+S25+W25+AA25+AE25+AI25+AM25+AQ25+AU25+Table1[[#This Row],[MS-0225]]+Table1[[#This Row],[MS-0325]]</f>
        <v>7634.5000140000002</v>
      </c>
      <c r="BR25" s="37">
        <f t="shared" si="40"/>
        <v>410.49998599999981</v>
      </c>
      <c r="BS25" s="37">
        <f t="shared" si="41"/>
        <v>5.3769072663204245</v>
      </c>
      <c r="BT25" s="36">
        <f t="shared" si="42"/>
        <v>1115</v>
      </c>
      <c r="BU25" s="36">
        <f t="shared" si="43"/>
        <v>1285.5</v>
      </c>
      <c r="BV25" s="37">
        <f t="shared" si="44"/>
        <v>-170.5</v>
      </c>
      <c r="BW25" s="37">
        <f t="shared" si="45"/>
        <v>-13.263321664721897</v>
      </c>
      <c r="BX25">
        <v>45</v>
      </c>
      <c r="BY25" s="83">
        <f t="shared" si="46"/>
        <v>6.7164179104477612E-2</v>
      </c>
      <c r="BZ25">
        <v>250</v>
      </c>
      <c r="CA25" s="83">
        <f t="shared" si="47"/>
        <v>3.1075201988812928E-2</v>
      </c>
      <c r="CB25" s="96">
        <f t="shared" si="48"/>
        <v>0.23219546005891525</v>
      </c>
      <c r="CC25" s="96">
        <f t="shared" si="49"/>
        <v>0.23700165349990815</v>
      </c>
      <c r="CD25" s="97">
        <f t="shared" si="50"/>
        <v>-4.8061934409928952E-3</v>
      </c>
      <c r="CE25" s="96">
        <f t="shared" si="51"/>
        <v>0.23529411764705882</v>
      </c>
      <c r="CF25" s="96">
        <f t="shared" si="52"/>
        <v>0.28290282902829028</v>
      </c>
      <c r="CG25" s="96">
        <f t="shared" si="53"/>
        <v>-4.7608711381231461E-2</v>
      </c>
      <c r="CH25" s="95">
        <f t="shared" si="54"/>
        <v>0.23387647717196972</v>
      </c>
      <c r="CI25" s="95">
        <f t="shared" si="55"/>
        <v>0.23352093753190917</v>
      </c>
      <c r="CJ25" s="98">
        <f t="shared" si="56"/>
        <v>3.5553964006054817E-4</v>
      </c>
      <c r="CK25" s="95">
        <f t="shared" si="57"/>
        <v>0.24305177111716622</v>
      </c>
      <c r="CL25" s="95">
        <f t="shared" si="58"/>
        <v>0.24172621286197818</v>
      </c>
      <c r="CM25" s="98">
        <f t="shared" si="59"/>
        <v>1.3255582551880418E-3</v>
      </c>
      <c r="CN25" s="94">
        <f t="shared" si="60"/>
        <v>1.1693823858598487</v>
      </c>
      <c r="CO25" s="94">
        <f t="shared" si="61"/>
        <v>1.215258855585831</v>
      </c>
    </row>
    <row r="26" spans="1:93" ht="36.5" x14ac:dyDescent="0.35">
      <c r="A26" s="102">
        <v>112391</v>
      </c>
      <c r="B26" s="3" t="s">
        <v>72</v>
      </c>
      <c r="C26" s="40" t="s">
        <v>150</v>
      </c>
      <c r="D26" s="12" t="s">
        <v>151</v>
      </c>
      <c r="E26" s="4" t="s">
        <v>111</v>
      </c>
      <c r="F26" s="4" t="s">
        <v>129</v>
      </c>
      <c r="G26" s="12" t="s">
        <v>129</v>
      </c>
      <c r="H26" s="51" t="s">
        <v>126</v>
      </c>
      <c r="I26" s="23" t="s">
        <v>78</v>
      </c>
      <c r="J26" s="18">
        <v>612.00000399999999</v>
      </c>
      <c r="K26" s="18">
        <v>635</v>
      </c>
      <c r="L26" s="18">
        <v>162</v>
      </c>
      <c r="M26" s="18">
        <v>145</v>
      </c>
      <c r="N26" s="18">
        <v>661.50000399999999</v>
      </c>
      <c r="O26" s="18">
        <v>685</v>
      </c>
      <c r="P26" s="18">
        <v>184.5</v>
      </c>
      <c r="Q26" s="18">
        <v>155</v>
      </c>
      <c r="R26" s="18">
        <v>600</v>
      </c>
      <c r="S26" s="18">
        <v>607.50000299999999</v>
      </c>
      <c r="T26" s="18">
        <v>140</v>
      </c>
      <c r="U26" s="18">
        <v>184.5</v>
      </c>
      <c r="V26" s="18">
        <v>680</v>
      </c>
      <c r="W26" s="18">
        <v>649.500001</v>
      </c>
      <c r="X26" s="18">
        <v>140</v>
      </c>
      <c r="Y26" s="18">
        <v>174.5</v>
      </c>
      <c r="Z26" s="18">
        <v>675</v>
      </c>
      <c r="AA26" s="18">
        <v>670</v>
      </c>
      <c r="AB26" s="18">
        <v>145</v>
      </c>
      <c r="AC26" s="18">
        <v>182</v>
      </c>
      <c r="AD26" s="18">
        <v>660</v>
      </c>
      <c r="AE26" s="18">
        <v>630</v>
      </c>
      <c r="AF26" s="18">
        <v>140</v>
      </c>
      <c r="AG26" s="18">
        <v>170</v>
      </c>
      <c r="AH26" s="18">
        <v>670</v>
      </c>
      <c r="AI26" s="18">
        <v>670</v>
      </c>
      <c r="AJ26" s="18">
        <v>130</v>
      </c>
      <c r="AK26" s="18">
        <v>170</v>
      </c>
      <c r="AL26" s="18">
        <v>605</v>
      </c>
      <c r="AM26" s="18">
        <v>580</v>
      </c>
      <c r="AN26" s="18">
        <v>115</v>
      </c>
      <c r="AO26" s="18">
        <v>120</v>
      </c>
      <c r="AP26" s="18">
        <v>569</v>
      </c>
      <c r="AQ26" s="18">
        <v>580</v>
      </c>
      <c r="AR26" s="18">
        <v>103</v>
      </c>
      <c r="AS26" s="18">
        <v>120</v>
      </c>
      <c r="AT26" s="18">
        <v>605</v>
      </c>
      <c r="AU26" s="18">
        <v>590</v>
      </c>
      <c r="AV26" s="18">
        <v>115</v>
      </c>
      <c r="AW26" s="18">
        <v>130</v>
      </c>
      <c r="AX26" s="18">
        <v>610</v>
      </c>
      <c r="AY26" s="18">
        <v>525</v>
      </c>
      <c r="AZ26" s="18">
        <v>130</v>
      </c>
      <c r="BA26" s="18">
        <v>135</v>
      </c>
      <c r="BB26" s="18">
        <v>667</v>
      </c>
      <c r="BC26" s="18">
        <v>625</v>
      </c>
      <c r="BD26" s="18">
        <v>145</v>
      </c>
      <c r="BE26" s="18">
        <v>155</v>
      </c>
      <c r="BF26" s="23">
        <v>28.574570000000001</v>
      </c>
      <c r="BG26" s="23">
        <v>77.237809999999996</v>
      </c>
      <c r="BH26" s="31">
        <f t="shared" si="31"/>
        <v>667</v>
      </c>
      <c r="BI26" s="31">
        <f t="shared" si="32"/>
        <v>625</v>
      </c>
      <c r="BJ26" s="37">
        <f t="shared" si="33"/>
        <v>42</v>
      </c>
      <c r="BK26" s="37">
        <f t="shared" si="34"/>
        <v>6.72</v>
      </c>
      <c r="BL26" s="36">
        <f t="shared" si="35"/>
        <v>145</v>
      </c>
      <c r="BM26" s="36">
        <f t="shared" si="36"/>
        <v>155</v>
      </c>
      <c r="BN26" s="37">
        <f t="shared" si="37"/>
        <v>-10</v>
      </c>
      <c r="BO26" s="37">
        <f t="shared" si="38"/>
        <v>-6.4516129032258061</v>
      </c>
      <c r="BP26" s="38">
        <f t="shared" si="39"/>
        <v>7661</v>
      </c>
      <c r="BQ26" s="39">
        <f>J26+N26+S26+W26+AA26+AE26+AI26+AM26+AQ26+AU26+Table1[[#This Row],[MS-0225]]+Table1[[#This Row],[MS-0325]]</f>
        <v>7400.5000120000004</v>
      </c>
      <c r="BR26" s="37">
        <f t="shared" si="40"/>
        <v>260.49998799999958</v>
      </c>
      <c r="BS26" s="37">
        <f t="shared" si="41"/>
        <v>3.5200322623822133</v>
      </c>
      <c r="BT26" s="36">
        <f t="shared" si="42"/>
        <v>1603</v>
      </c>
      <c r="BU26" s="36">
        <f t="shared" si="43"/>
        <v>1887.5</v>
      </c>
      <c r="BV26" s="37">
        <f t="shared" si="44"/>
        <v>-284.5</v>
      </c>
      <c r="BW26" s="37">
        <f t="shared" si="45"/>
        <v>-15.072847682119207</v>
      </c>
      <c r="BX26">
        <v>60</v>
      </c>
      <c r="BY26" s="83">
        <f t="shared" si="46"/>
        <v>8.9955022488755629E-2</v>
      </c>
      <c r="BZ26">
        <v>395</v>
      </c>
      <c r="CA26" s="83">
        <f t="shared" si="47"/>
        <v>5.1559848583735808E-2</v>
      </c>
      <c r="CB26" s="96">
        <f t="shared" si="48"/>
        <v>0.19105747879748952</v>
      </c>
      <c r="CC26" s="96">
        <f t="shared" si="49"/>
        <v>0.18255584018039439</v>
      </c>
      <c r="CD26" s="97">
        <f t="shared" si="50"/>
        <v>8.5016386170951308E-3</v>
      </c>
      <c r="CE26" s="96">
        <f t="shared" si="51"/>
        <v>0.17207598400761406</v>
      </c>
      <c r="CF26" s="96">
        <f t="shared" si="52"/>
        <v>0.18353490597092334</v>
      </c>
      <c r="CG26" s="96">
        <f t="shared" si="53"/>
        <v>-1.1458921963309276E-2</v>
      </c>
      <c r="CH26" s="95">
        <f t="shared" si="54"/>
        <v>0.18089759208091219</v>
      </c>
      <c r="CI26" s="95">
        <f t="shared" si="55"/>
        <v>0.18070540484281833</v>
      </c>
      <c r="CJ26" s="98">
        <f t="shared" si="56"/>
        <v>1.9218723809386051E-4</v>
      </c>
      <c r="CK26" s="95">
        <f t="shared" si="57"/>
        <v>0.16727555804607958</v>
      </c>
      <c r="CL26" s="95">
        <f t="shared" si="58"/>
        <v>0.17467337005222064</v>
      </c>
      <c r="CM26" s="98">
        <f t="shared" si="59"/>
        <v>-7.3978120061410635E-3</v>
      </c>
      <c r="CN26" s="94">
        <f t="shared" si="60"/>
        <v>1.2662831445663854</v>
      </c>
      <c r="CO26" s="94">
        <f t="shared" si="61"/>
        <v>1.170928906322557</v>
      </c>
    </row>
    <row r="27" spans="1:93" ht="24.5" x14ac:dyDescent="0.35">
      <c r="A27" s="103">
        <v>41057005</v>
      </c>
      <c r="B27" s="9" t="s">
        <v>380</v>
      </c>
      <c r="C27" s="47" t="s">
        <v>458</v>
      </c>
      <c r="D27" s="14" t="s">
        <v>459</v>
      </c>
      <c r="E27" s="10" t="s">
        <v>94</v>
      </c>
      <c r="F27" s="10" t="s">
        <v>161</v>
      </c>
      <c r="G27" s="12" t="s">
        <v>161</v>
      </c>
      <c r="H27" s="51" t="s">
        <v>96</v>
      </c>
      <c r="I27" s="25" t="s">
        <v>83</v>
      </c>
      <c r="J27" s="99">
        <v>610</v>
      </c>
      <c r="K27" s="99">
        <v>745</v>
      </c>
      <c r="L27" s="99">
        <v>190</v>
      </c>
      <c r="M27" s="99">
        <v>180</v>
      </c>
      <c r="N27" s="18">
        <v>685</v>
      </c>
      <c r="O27" s="18">
        <v>834</v>
      </c>
      <c r="P27" s="18">
        <v>215</v>
      </c>
      <c r="Q27" s="18">
        <v>223</v>
      </c>
      <c r="R27" s="99">
        <v>640</v>
      </c>
      <c r="S27" s="99">
        <v>636.5</v>
      </c>
      <c r="T27" s="99">
        <v>160</v>
      </c>
      <c r="U27" s="99">
        <v>204.5</v>
      </c>
      <c r="V27" s="99">
        <v>728</v>
      </c>
      <c r="W27" s="99">
        <v>690</v>
      </c>
      <c r="X27" s="99">
        <v>175</v>
      </c>
      <c r="Y27" s="99">
        <v>210</v>
      </c>
      <c r="Z27" s="99">
        <v>755</v>
      </c>
      <c r="AA27" s="99">
        <v>684</v>
      </c>
      <c r="AB27" s="99">
        <v>185</v>
      </c>
      <c r="AC27" s="99">
        <v>219</v>
      </c>
      <c r="AD27" s="99">
        <v>709</v>
      </c>
      <c r="AE27" s="99">
        <v>653</v>
      </c>
      <c r="AF27" s="99">
        <v>189</v>
      </c>
      <c r="AG27" s="99">
        <v>212</v>
      </c>
      <c r="AH27" s="99">
        <v>715</v>
      </c>
      <c r="AI27" s="99">
        <v>715</v>
      </c>
      <c r="AJ27" s="99">
        <v>185</v>
      </c>
      <c r="AK27" s="99">
        <v>223</v>
      </c>
      <c r="AL27" s="99">
        <v>723</v>
      </c>
      <c r="AM27" s="99">
        <v>630</v>
      </c>
      <c r="AN27" s="99">
        <v>165</v>
      </c>
      <c r="AO27" s="99">
        <v>170</v>
      </c>
      <c r="AP27" s="99">
        <v>630</v>
      </c>
      <c r="AQ27" s="99">
        <v>653</v>
      </c>
      <c r="AR27" s="99">
        <v>150</v>
      </c>
      <c r="AS27" s="99">
        <v>150</v>
      </c>
      <c r="AT27" s="99">
        <v>635</v>
      </c>
      <c r="AU27" s="99">
        <v>647</v>
      </c>
      <c r="AV27" s="99">
        <v>150</v>
      </c>
      <c r="AW27" s="99">
        <v>160</v>
      </c>
      <c r="AX27" s="99">
        <v>581</v>
      </c>
      <c r="AY27" s="99">
        <v>570</v>
      </c>
      <c r="AZ27" s="99">
        <v>164</v>
      </c>
      <c r="BA27" s="99">
        <v>190</v>
      </c>
      <c r="BB27" s="99">
        <v>665</v>
      </c>
      <c r="BC27" s="99">
        <v>650</v>
      </c>
      <c r="BD27" s="99">
        <v>155</v>
      </c>
      <c r="BE27" s="99">
        <v>185</v>
      </c>
      <c r="BF27" s="23">
        <v>28.556819999999998</v>
      </c>
      <c r="BG27" s="23">
        <v>77.206900000000005</v>
      </c>
      <c r="BH27" s="31">
        <f t="shared" si="31"/>
        <v>665</v>
      </c>
      <c r="BI27" s="31">
        <f t="shared" si="32"/>
        <v>650</v>
      </c>
      <c r="BJ27" s="37">
        <f t="shared" si="33"/>
        <v>15</v>
      </c>
      <c r="BK27" s="37">
        <f t="shared" si="34"/>
        <v>2.3076923076923079</v>
      </c>
      <c r="BL27" s="36">
        <f t="shared" si="35"/>
        <v>155</v>
      </c>
      <c r="BM27" s="36">
        <f t="shared" si="36"/>
        <v>185</v>
      </c>
      <c r="BN27" s="37">
        <f t="shared" si="37"/>
        <v>-30</v>
      </c>
      <c r="BO27" s="37">
        <f t="shared" si="38"/>
        <v>-16.216216216216218</v>
      </c>
      <c r="BP27" s="38">
        <f t="shared" si="39"/>
        <v>8360</v>
      </c>
      <c r="BQ27" s="39">
        <f>J27+N27+S27+W27+AA27+AE27+AI27+AM27+AQ27+AU27+Table1[[#This Row],[MS-0225]]+Table1[[#This Row],[MS-0325]]</f>
        <v>7823.5</v>
      </c>
      <c r="BR27" s="37">
        <f t="shared" si="40"/>
        <v>536.5</v>
      </c>
      <c r="BS27" s="37">
        <f t="shared" si="41"/>
        <v>6.8575445772352523</v>
      </c>
      <c r="BT27" s="36">
        <f t="shared" si="42"/>
        <v>2081</v>
      </c>
      <c r="BU27" s="36">
        <f t="shared" si="43"/>
        <v>2328.5</v>
      </c>
      <c r="BV27" s="37">
        <f t="shared" si="44"/>
        <v>-247.5</v>
      </c>
      <c r="BW27" s="37">
        <f t="shared" si="45"/>
        <v>-10.629160403693366</v>
      </c>
      <c r="BX27">
        <v>0</v>
      </c>
      <c r="BY27" s="83">
        <f t="shared" si="46"/>
        <v>0</v>
      </c>
      <c r="BZ27">
        <v>0</v>
      </c>
      <c r="CA27" s="83">
        <f t="shared" si="47"/>
        <v>0</v>
      </c>
      <c r="CB27" s="96">
        <f t="shared" si="48"/>
        <v>0.53552460876504793</v>
      </c>
      <c r="CC27" s="96">
        <f t="shared" si="49"/>
        <v>0.56573934734568154</v>
      </c>
      <c r="CD27" s="97">
        <f t="shared" si="50"/>
        <v>-3.0214738580633616E-2</v>
      </c>
      <c r="CE27" s="96">
        <f t="shared" si="51"/>
        <v>0.59016593181489341</v>
      </c>
      <c r="CF27" s="96">
        <f t="shared" si="52"/>
        <v>0.60967170002834148</v>
      </c>
      <c r="CG27" s="96">
        <f t="shared" si="53"/>
        <v>-1.9505768213448071E-2</v>
      </c>
      <c r="CH27" s="95">
        <f t="shared" si="54"/>
        <v>0.5940119052491325</v>
      </c>
      <c r="CI27" s="95">
        <f t="shared" si="55"/>
        <v>0.5597106088322169</v>
      </c>
      <c r="CJ27" s="98">
        <f t="shared" si="56"/>
        <v>3.4301296416915594E-2</v>
      </c>
      <c r="CK27" s="95">
        <f t="shared" si="57"/>
        <v>0.64707490117415645</v>
      </c>
      <c r="CL27" s="95">
        <f t="shared" si="58"/>
        <v>0.60617625528077546</v>
      </c>
      <c r="CM27" s="98">
        <f t="shared" si="59"/>
        <v>4.0898645893380992E-2</v>
      </c>
      <c r="CN27" s="94">
        <f t="shared" si="60"/>
        <v>1.188023810498265</v>
      </c>
      <c r="CO27" s="94">
        <f t="shared" si="61"/>
        <v>1.2941498023483129</v>
      </c>
    </row>
    <row r="28" spans="1:93" ht="24.5" x14ac:dyDescent="0.35">
      <c r="A28" s="102">
        <v>112437</v>
      </c>
      <c r="B28" s="3" t="s">
        <v>72</v>
      </c>
      <c r="C28" s="43" t="s">
        <v>145</v>
      </c>
      <c r="D28" s="12" t="s">
        <v>146</v>
      </c>
      <c r="E28" s="4" t="s">
        <v>103</v>
      </c>
      <c r="F28" s="4" t="s">
        <v>145</v>
      </c>
      <c r="G28" s="12" t="s">
        <v>145</v>
      </c>
      <c r="H28" s="51" t="s">
        <v>96</v>
      </c>
      <c r="I28" s="23" t="s">
        <v>83</v>
      </c>
      <c r="J28" s="18">
        <v>551.000001</v>
      </c>
      <c r="K28" s="18">
        <v>640</v>
      </c>
      <c r="L28" s="18">
        <v>247</v>
      </c>
      <c r="M28" s="18">
        <v>240</v>
      </c>
      <c r="N28" s="18">
        <v>629.50000399999999</v>
      </c>
      <c r="O28" s="18">
        <v>630</v>
      </c>
      <c r="P28" s="18">
        <v>268.5</v>
      </c>
      <c r="Q28" s="18">
        <v>210</v>
      </c>
      <c r="R28" s="18">
        <v>620</v>
      </c>
      <c r="S28" s="18">
        <v>603.00000599999998</v>
      </c>
      <c r="T28" s="18">
        <v>200</v>
      </c>
      <c r="U28" s="18">
        <v>279</v>
      </c>
      <c r="V28" s="18">
        <v>700</v>
      </c>
      <c r="W28" s="18">
        <v>670.000001</v>
      </c>
      <c r="X28" s="18">
        <v>200</v>
      </c>
      <c r="Y28" s="18">
        <v>250</v>
      </c>
      <c r="Z28" s="18">
        <v>695</v>
      </c>
      <c r="AA28" s="18">
        <v>650</v>
      </c>
      <c r="AB28" s="18">
        <v>205</v>
      </c>
      <c r="AC28" s="18">
        <v>250</v>
      </c>
      <c r="AD28" s="18">
        <v>605</v>
      </c>
      <c r="AE28" s="18">
        <v>588</v>
      </c>
      <c r="AF28" s="18">
        <v>195</v>
      </c>
      <c r="AG28" s="18">
        <v>250</v>
      </c>
      <c r="AH28" s="18">
        <v>645</v>
      </c>
      <c r="AI28" s="18">
        <v>619</v>
      </c>
      <c r="AJ28" s="18">
        <v>235</v>
      </c>
      <c r="AK28" s="18">
        <v>279</v>
      </c>
      <c r="AL28" s="18">
        <v>570</v>
      </c>
      <c r="AM28" s="18">
        <v>555</v>
      </c>
      <c r="AN28" s="18">
        <v>210</v>
      </c>
      <c r="AO28" s="18">
        <v>245</v>
      </c>
      <c r="AP28" s="18">
        <v>606</v>
      </c>
      <c r="AQ28" s="18">
        <v>598</v>
      </c>
      <c r="AR28" s="18">
        <v>190</v>
      </c>
      <c r="AS28" s="18">
        <v>220</v>
      </c>
      <c r="AT28" s="18">
        <v>530</v>
      </c>
      <c r="AU28" s="18">
        <v>570</v>
      </c>
      <c r="AV28" s="18">
        <v>170</v>
      </c>
      <c r="AW28" s="18">
        <v>210</v>
      </c>
      <c r="AX28" s="18">
        <v>565</v>
      </c>
      <c r="AY28" s="18">
        <v>523</v>
      </c>
      <c r="AZ28" s="18">
        <v>215</v>
      </c>
      <c r="BA28" s="18">
        <v>235</v>
      </c>
      <c r="BB28" s="18">
        <v>665</v>
      </c>
      <c r="BC28" s="18">
        <v>600</v>
      </c>
      <c r="BD28" s="18">
        <v>215</v>
      </c>
      <c r="BE28" s="18">
        <v>260</v>
      </c>
      <c r="BF28" s="23">
        <v>28.537790000000001</v>
      </c>
      <c r="BG28" s="23">
        <v>77.153379999999999</v>
      </c>
      <c r="BH28" s="31">
        <f t="shared" si="31"/>
        <v>665</v>
      </c>
      <c r="BI28" s="31">
        <f t="shared" si="32"/>
        <v>600</v>
      </c>
      <c r="BJ28" s="37">
        <f t="shared" si="33"/>
        <v>65</v>
      </c>
      <c r="BK28" s="37">
        <f t="shared" si="34"/>
        <v>10.833333333333334</v>
      </c>
      <c r="BL28" s="36">
        <f t="shared" si="35"/>
        <v>215</v>
      </c>
      <c r="BM28" s="36">
        <f t="shared" si="36"/>
        <v>260</v>
      </c>
      <c r="BN28" s="37">
        <f t="shared" si="37"/>
        <v>-45</v>
      </c>
      <c r="BO28" s="37">
        <f t="shared" si="38"/>
        <v>-17.307692307692307</v>
      </c>
      <c r="BP28" s="38">
        <f t="shared" si="39"/>
        <v>7471</v>
      </c>
      <c r="BQ28" s="39">
        <f>J28+N28+S28+W28+AA28+AE28+AI28+AM28+AQ28+AU28+Table1[[#This Row],[MS-0225]]+Table1[[#This Row],[MS-0325]]</f>
        <v>7156.5000120000004</v>
      </c>
      <c r="BR28" s="37">
        <f t="shared" si="40"/>
        <v>314.49998799999958</v>
      </c>
      <c r="BS28" s="37">
        <f t="shared" si="41"/>
        <v>4.3946061269146481</v>
      </c>
      <c r="BT28" s="36">
        <f t="shared" si="42"/>
        <v>2485</v>
      </c>
      <c r="BU28" s="36">
        <f t="shared" si="43"/>
        <v>2993.5</v>
      </c>
      <c r="BV28" s="37">
        <f t="shared" si="44"/>
        <v>-508.5</v>
      </c>
      <c r="BW28" s="37">
        <f t="shared" si="45"/>
        <v>-16.98680474361116</v>
      </c>
      <c r="BX28">
        <v>60</v>
      </c>
      <c r="BY28" s="83">
        <f t="shared" si="46"/>
        <v>9.0225563909774431E-2</v>
      </c>
      <c r="BZ28">
        <v>360</v>
      </c>
      <c r="CA28" s="83">
        <f t="shared" si="47"/>
        <v>4.818632043903092E-2</v>
      </c>
      <c r="CB28" s="96">
        <f t="shared" si="48"/>
        <v>0.44303797468354428</v>
      </c>
      <c r="CC28" s="96">
        <f t="shared" si="49"/>
        <v>0.4413387274733358</v>
      </c>
      <c r="CD28" s="97">
        <f t="shared" si="50"/>
        <v>1.6992472102084766E-3</v>
      </c>
      <c r="CE28" s="96">
        <f t="shared" si="51"/>
        <v>0.53615960099750626</v>
      </c>
      <c r="CF28" s="96">
        <f t="shared" si="52"/>
        <v>0.59564719358533791</v>
      </c>
      <c r="CG28" s="96">
        <f t="shared" si="53"/>
        <v>-5.948759258783165E-2</v>
      </c>
      <c r="CH28" s="95">
        <f t="shared" si="54"/>
        <v>0.44512631077216397</v>
      </c>
      <c r="CI28" s="95">
        <f t="shared" si="55"/>
        <v>0.44308578170066465</v>
      </c>
      <c r="CJ28" s="98">
        <f t="shared" si="56"/>
        <v>2.0405290714993196E-3</v>
      </c>
      <c r="CK28" s="95">
        <f t="shared" si="57"/>
        <v>0.52536997885835091</v>
      </c>
      <c r="CL28" s="95">
        <f t="shared" si="58"/>
        <v>0.56518455583876148</v>
      </c>
      <c r="CM28" s="98">
        <f t="shared" si="59"/>
        <v>-3.9814576980410576E-2</v>
      </c>
      <c r="CN28" s="94">
        <f t="shared" si="60"/>
        <v>1.7805052430886559</v>
      </c>
      <c r="CO28" s="94">
        <f t="shared" si="61"/>
        <v>2.1014799154334036</v>
      </c>
    </row>
    <row r="29" spans="1:93" ht="24.5" x14ac:dyDescent="0.35">
      <c r="A29" s="104">
        <v>175977</v>
      </c>
      <c r="B29" s="5" t="s">
        <v>581</v>
      </c>
      <c r="C29" s="46" t="s">
        <v>947</v>
      </c>
      <c r="D29" s="13" t="s">
        <v>948</v>
      </c>
      <c r="E29" s="6" t="s">
        <v>85</v>
      </c>
      <c r="F29" s="6" t="s">
        <v>192</v>
      </c>
      <c r="G29" s="12" t="s">
        <v>192</v>
      </c>
      <c r="H29" s="51" t="s">
        <v>178</v>
      </c>
      <c r="I29" s="24" t="s">
        <v>86</v>
      </c>
      <c r="J29" s="100">
        <v>139.5</v>
      </c>
      <c r="K29" s="100">
        <v>120</v>
      </c>
      <c r="L29" s="100">
        <v>220.5</v>
      </c>
      <c r="M29" s="100">
        <v>230</v>
      </c>
      <c r="N29" s="18">
        <v>148.5</v>
      </c>
      <c r="O29" s="18">
        <v>133.5</v>
      </c>
      <c r="P29" s="18">
        <v>247.5</v>
      </c>
      <c r="Q29" s="18">
        <v>238.5</v>
      </c>
      <c r="R29" s="100">
        <v>125</v>
      </c>
      <c r="S29" s="100">
        <v>144</v>
      </c>
      <c r="T29" s="100">
        <v>211</v>
      </c>
      <c r="U29" s="100">
        <v>216</v>
      </c>
      <c r="V29" s="100">
        <v>120</v>
      </c>
      <c r="W29" s="100">
        <v>143</v>
      </c>
      <c r="X29" s="100">
        <v>216</v>
      </c>
      <c r="Y29" s="100">
        <v>211</v>
      </c>
      <c r="Z29" s="100">
        <v>119</v>
      </c>
      <c r="AA29" s="100">
        <v>135</v>
      </c>
      <c r="AB29" s="100">
        <v>189</v>
      </c>
      <c r="AC29" s="100">
        <v>189</v>
      </c>
      <c r="AD29" s="100">
        <v>115</v>
      </c>
      <c r="AE29" s="100">
        <v>121.5</v>
      </c>
      <c r="AF29" s="100">
        <v>207</v>
      </c>
      <c r="AG29" s="100">
        <v>202.5</v>
      </c>
      <c r="AH29" s="100">
        <v>119</v>
      </c>
      <c r="AI29" s="100">
        <v>121.5</v>
      </c>
      <c r="AJ29" s="100">
        <v>201</v>
      </c>
      <c r="AK29" s="100">
        <v>238.5</v>
      </c>
      <c r="AL29" s="100">
        <v>115</v>
      </c>
      <c r="AM29" s="100">
        <v>162</v>
      </c>
      <c r="AN29" s="100">
        <v>193</v>
      </c>
      <c r="AO29" s="100">
        <v>162</v>
      </c>
      <c r="AP29" s="100">
        <v>120</v>
      </c>
      <c r="AQ29" s="100">
        <v>139.5</v>
      </c>
      <c r="AR29" s="100">
        <v>188</v>
      </c>
      <c r="AS29" s="100">
        <v>202.5</v>
      </c>
      <c r="AT29" s="100">
        <v>105</v>
      </c>
      <c r="AU29" s="100">
        <v>133.5</v>
      </c>
      <c r="AV29" s="100">
        <v>203</v>
      </c>
      <c r="AW29" s="100">
        <v>232.5</v>
      </c>
      <c r="AX29" s="100">
        <v>108.5</v>
      </c>
      <c r="AY29" s="100">
        <v>143</v>
      </c>
      <c r="AZ29" s="100">
        <v>199.5</v>
      </c>
      <c r="BA29" s="100">
        <v>229</v>
      </c>
      <c r="BB29" s="100">
        <v>120</v>
      </c>
      <c r="BC29" s="100">
        <v>135</v>
      </c>
      <c r="BD29" s="100">
        <v>286</v>
      </c>
      <c r="BE29" s="100">
        <v>225</v>
      </c>
      <c r="BF29" s="140">
        <v>28.6846</v>
      </c>
      <c r="BG29" s="140">
        <v>76.999700000000004</v>
      </c>
      <c r="BH29" s="31">
        <f t="shared" si="31"/>
        <v>120</v>
      </c>
      <c r="BI29" s="31">
        <f t="shared" si="32"/>
        <v>135</v>
      </c>
      <c r="BJ29" s="37">
        <f t="shared" si="33"/>
        <v>-15</v>
      </c>
      <c r="BK29" s="37">
        <f t="shared" si="34"/>
        <v>-11.111111111111111</v>
      </c>
      <c r="BL29" s="36">
        <f t="shared" si="35"/>
        <v>286</v>
      </c>
      <c r="BM29" s="36">
        <f t="shared" si="36"/>
        <v>225</v>
      </c>
      <c r="BN29" s="37">
        <f t="shared" si="37"/>
        <v>61</v>
      </c>
      <c r="BO29" s="37">
        <f t="shared" si="38"/>
        <v>27.111111111111114</v>
      </c>
      <c r="BP29" s="38">
        <f t="shared" si="39"/>
        <v>1420</v>
      </c>
      <c r="BQ29" s="39">
        <f>J29+N29+S29+W29+AA29+AE29+AI29+AM29+AQ29+AU29+Table1[[#This Row],[MS-0225]]+Table1[[#This Row],[MS-0325]]</f>
        <v>1666</v>
      </c>
      <c r="BR29" s="37">
        <f t="shared" si="40"/>
        <v>-246</v>
      </c>
      <c r="BS29" s="37">
        <f t="shared" si="41"/>
        <v>-14.765906362545017</v>
      </c>
      <c r="BT29" s="36">
        <f t="shared" si="42"/>
        <v>2562</v>
      </c>
      <c r="BU29" s="36">
        <f t="shared" si="43"/>
        <v>2576</v>
      </c>
      <c r="BV29" s="37">
        <f t="shared" si="44"/>
        <v>-14</v>
      </c>
      <c r="BW29" s="37">
        <f t="shared" si="45"/>
        <v>-0.54347826086956519</v>
      </c>
      <c r="BX29">
        <v>0</v>
      </c>
      <c r="BY29" s="83">
        <f t="shared" si="46"/>
        <v>0</v>
      </c>
      <c r="BZ29">
        <v>0</v>
      </c>
      <c r="CA29" s="83">
        <f t="shared" si="47"/>
        <v>0</v>
      </c>
      <c r="CB29" s="96">
        <f t="shared" si="48"/>
        <v>9.7999183340138837E-2</v>
      </c>
      <c r="CC29" s="96">
        <f t="shared" si="49"/>
        <v>0.1107919573245794</v>
      </c>
      <c r="CD29" s="97">
        <f t="shared" si="50"/>
        <v>-1.2792773984440564E-2</v>
      </c>
      <c r="CE29" s="96">
        <f t="shared" si="51"/>
        <v>0.24623331898407233</v>
      </c>
      <c r="CF29" s="96">
        <f t="shared" si="52"/>
        <v>0.23088763468445356</v>
      </c>
      <c r="CG29" s="96">
        <f t="shared" si="53"/>
        <v>1.5345684299618773E-2</v>
      </c>
      <c r="CH29" s="95">
        <f t="shared" si="54"/>
        <v>9.6670978283068962E-2</v>
      </c>
      <c r="CI29" s="95">
        <f t="shared" si="55"/>
        <v>0.11972261147641119</v>
      </c>
      <c r="CJ29" s="98">
        <f t="shared" si="56"/>
        <v>-2.3051633193342233E-2</v>
      </c>
      <c r="CK29" s="95">
        <f t="shared" si="57"/>
        <v>0.21739499363597795</v>
      </c>
      <c r="CL29" s="95">
        <f t="shared" si="58"/>
        <v>0.19467220857736633</v>
      </c>
      <c r="CM29" s="98">
        <f t="shared" si="59"/>
        <v>2.2722785058611611E-2</v>
      </c>
      <c r="CN29" s="94">
        <f t="shared" si="60"/>
        <v>0.96670978283068965</v>
      </c>
      <c r="CO29" s="94">
        <f t="shared" si="61"/>
        <v>2.1739499363597794</v>
      </c>
    </row>
    <row r="30" spans="1:93" ht="36.5" x14ac:dyDescent="0.35">
      <c r="A30" s="103">
        <v>41019248</v>
      </c>
      <c r="B30" s="9" t="s">
        <v>380</v>
      </c>
      <c r="C30" s="47" t="s">
        <v>437</v>
      </c>
      <c r="D30" s="14" t="s">
        <v>438</v>
      </c>
      <c r="E30" s="10" t="s">
        <v>81</v>
      </c>
      <c r="F30" s="10" t="s">
        <v>439</v>
      </c>
      <c r="G30" s="12" t="s">
        <v>439</v>
      </c>
      <c r="H30" s="51" t="s">
        <v>135</v>
      </c>
      <c r="I30" s="25" t="s">
        <v>83</v>
      </c>
      <c r="J30" s="99">
        <v>571.5</v>
      </c>
      <c r="K30" s="99">
        <v>690</v>
      </c>
      <c r="L30" s="99">
        <v>364.5</v>
      </c>
      <c r="M30" s="99">
        <v>369</v>
      </c>
      <c r="N30" s="18">
        <v>684</v>
      </c>
      <c r="O30" s="18">
        <v>729</v>
      </c>
      <c r="P30" s="18">
        <v>378</v>
      </c>
      <c r="Q30" s="18">
        <v>383</v>
      </c>
      <c r="R30" s="99">
        <v>700</v>
      </c>
      <c r="S30" s="99">
        <v>639</v>
      </c>
      <c r="T30" s="99">
        <v>334</v>
      </c>
      <c r="U30" s="99">
        <v>333</v>
      </c>
      <c r="V30" s="99">
        <v>695</v>
      </c>
      <c r="W30" s="99">
        <v>675</v>
      </c>
      <c r="X30" s="99">
        <v>339</v>
      </c>
      <c r="Y30" s="99">
        <v>333</v>
      </c>
      <c r="Z30" s="99">
        <v>731.5</v>
      </c>
      <c r="AA30" s="99">
        <v>657</v>
      </c>
      <c r="AB30" s="99">
        <v>338.5</v>
      </c>
      <c r="AC30" s="99">
        <v>351</v>
      </c>
      <c r="AD30" s="99">
        <v>686</v>
      </c>
      <c r="AE30" s="99">
        <v>648</v>
      </c>
      <c r="AF30" s="99">
        <v>304</v>
      </c>
      <c r="AG30" s="99">
        <v>324</v>
      </c>
      <c r="AH30" s="99">
        <v>739</v>
      </c>
      <c r="AI30" s="99">
        <v>708.5</v>
      </c>
      <c r="AJ30" s="99">
        <v>317</v>
      </c>
      <c r="AK30" s="99">
        <v>348.5</v>
      </c>
      <c r="AL30" s="99">
        <v>719</v>
      </c>
      <c r="AM30" s="99">
        <v>678</v>
      </c>
      <c r="AN30" s="99">
        <v>269</v>
      </c>
      <c r="AO30" s="99">
        <v>288</v>
      </c>
      <c r="AP30" s="99">
        <v>680</v>
      </c>
      <c r="AQ30" s="99">
        <v>664.5</v>
      </c>
      <c r="AR30" s="99">
        <v>266</v>
      </c>
      <c r="AS30" s="99">
        <v>289.5</v>
      </c>
      <c r="AT30" s="99">
        <v>659</v>
      </c>
      <c r="AU30" s="99">
        <v>643</v>
      </c>
      <c r="AV30" s="99">
        <v>263</v>
      </c>
      <c r="AW30" s="99">
        <v>301</v>
      </c>
      <c r="AX30" s="99">
        <v>624</v>
      </c>
      <c r="AY30" s="99">
        <v>634</v>
      </c>
      <c r="AZ30" s="99">
        <v>256</v>
      </c>
      <c r="BA30" s="99">
        <v>280</v>
      </c>
      <c r="BB30" s="99">
        <v>660</v>
      </c>
      <c r="BC30" s="99">
        <v>657</v>
      </c>
      <c r="BD30" s="99">
        <v>308</v>
      </c>
      <c r="BE30" s="99">
        <v>329</v>
      </c>
      <c r="BF30" s="23">
        <v>28.592836999999999</v>
      </c>
      <c r="BG30" s="23">
        <v>77.163791000000003</v>
      </c>
      <c r="BH30" s="31">
        <f t="shared" si="31"/>
        <v>660</v>
      </c>
      <c r="BI30" s="31">
        <f t="shared" si="32"/>
        <v>657</v>
      </c>
      <c r="BJ30" s="37">
        <f t="shared" si="33"/>
        <v>3</v>
      </c>
      <c r="BK30" s="37">
        <f t="shared" si="34"/>
        <v>0.45662100456621002</v>
      </c>
      <c r="BL30" s="36">
        <f t="shared" si="35"/>
        <v>308</v>
      </c>
      <c r="BM30" s="36">
        <f t="shared" si="36"/>
        <v>329</v>
      </c>
      <c r="BN30" s="37">
        <f t="shared" si="37"/>
        <v>-21</v>
      </c>
      <c r="BO30" s="37">
        <f t="shared" si="38"/>
        <v>-6.3829787234042552</v>
      </c>
      <c r="BP30" s="38">
        <f t="shared" si="39"/>
        <v>8312.5</v>
      </c>
      <c r="BQ30" s="39">
        <f>J30+N30+S30+W30+AA30+AE30+AI30+AM30+AQ30+AU30+Table1[[#This Row],[MS-0225]]+Table1[[#This Row],[MS-0325]]</f>
        <v>7859.5</v>
      </c>
      <c r="BR30" s="37">
        <f t="shared" si="40"/>
        <v>453</v>
      </c>
      <c r="BS30" s="37">
        <f t="shared" si="41"/>
        <v>5.7637254278261976</v>
      </c>
      <c r="BT30" s="36">
        <f t="shared" si="42"/>
        <v>3746.5</v>
      </c>
      <c r="BU30" s="36">
        <f t="shared" si="43"/>
        <v>3919.5</v>
      </c>
      <c r="BV30" s="37">
        <f t="shared" si="44"/>
        <v>-173</v>
      </c>
      <c r="BW30" s="37">
        <f t="shared" si="45"/>
        <v>-4.4138282944253096</v>
      </c>
      <c r="BX30">
        <v>0</v>
      </c>
      <c r="BY30" s="83">
        <f t="shared" si="46"/>
        <v>0</v>
      </c>
      <c r="BZ30">
        <v>0</v>
      </c>
      <c r="CA30" s="83">
        <f t="shared" si="47"/>
        <v>0</v>
      </c>
      <c r="CB30" s="96">
        <f t="shared" si="48"/>
        <v>0.46283309957924262</v>
      </c>
      <c r="CC30" s="96">
        <f t="shared" si="49"/>
        <v>0.44497121571283438</v>
      </c>
      <c r="CD30" s="97">
        <f t="shared" si="50"/>
        <v>1.7861883866408246E-2</v>
      </c>
      <c r="CE30" s="96">
        <f t="shared" si="51"/>
        <v>0.48772763262074426</v>
      </c>
      <c r="CF30" s="96">
        <f t="shared" si="52"/>
        <v>0.39330543933054396</v>
      </c>
      <c r="CG30" s="96">
        <f t="shared" si="53"/>
        <v>9.4422193290200296E-2</v>
      </c>
      <c r="CH30" s="95">
        <f t="shared" si="54"/>
        <v>0.46041153175108701</v>
      </c>
      <c r="CI30" s="95">
        <f t="shared" si="55"/>
        <v>0.45765277899088713</v>
      </c>
      <c r="CJ30" s="98">
        <f t="shared" si="56"/>
        <v>2.7587527601998785E-3</v>
      </c>
      <c r="CK30" s="95">
        <f t="shared" si="57"/>
        <v>0.4134525188986371</v>
      </c>
      <c r="CL30" s="95">
        <f t="shared" si="58"/>
        <v>0.42014149426519454</v>
      </c>
      <c r="CM30" s="98">
        <f t="shared" si="59"/>
        <v>-6.688975366557437E-3</v>
      </c>
      <c r="CN30" s="94">
        <f t="shared" si="60"/>
        <v>1.381234595253261</v>
      </c>
      <c r="CO30" s="94">
        <f t="shared" si="61"/>
        <v>1.2403575566959113</v>
      </c>
    </row>
    <row r="31" spans="1:93" ht="24.5" x14ac:dyDescent="0.35">
      <c r="A31" s="104">
        <v>106272</v>
      </c>
      <c r="B31" s="5" t="s">
        <v>581</v>
      </c>
      <c r="C31" s="46" t="s">
        <v>771</v>
      </c>
      <c r="D31" s="13" t="s">
        <v>772</v>
      </c>
      <c r="E31" s="6" t="s">
        <v>94</v>
      </c>
      <c r="F31" s="6" t="s">
        <v>166</v>
      </c>
      <c r="G31" s="12" t="s">
        <v>166</v>
      </c>
      <c r="H31" s="51" t="s">
        <v>120</v>
      </c>
      <c r="I31" s="24" t="s">
        <v>83</v>
      </c>
      <c r="J31" s="100">
        <v>566.5</v>
      </c>
      <c r="K31" s="100">
        <v>639.5</v>
      </c>
      <c r="L31" s="100">
        <v>139.5</v>
      </c>
      <c r="M31" s="100">
        <v>130.5</v>
      </c>
      <c r="N31" s="18">
        <v>621</v>
      </c>
      <c r="O31" s="18">
        <v>674.5</v>
      </c>
      <c r="P31" s="18">
        <v>153</v>
      </c>
      <c r="Q31" s="18">
        <v>121.5</v>
      </c>
      <c r="R31" s="100">
        <v>612</v>
      </c>
      <c r="S31" s="100">
        <v>584.5</v>
      </c>
      <c r="T31" s="100">
        <v>108</v>
      </c>
      <c r="U31" s="100">
        <v>129.5</v>
      </c>
      <c r="V31" s="100">
        <v>678.5</v>
      </c>
      <c r="W31" s="100">
        <v>654</v>
      </c>
      <c r="X31" s="100">
        <v>121.5</v>
      </c>
      <c r="Y31" s="100">
        <v>144</v>
      </c>
      <c r="Z31" s="100">
        <v>690.5</v>
      </c>
      <c r="AA31" s="100">
        <v>634.5</v>
      </c>
      <c r="AB31" s="100">
        <v>125.5</v>
      </c>
      <c r="AC31" s="100">
        <v>139.5</v>
      </c>
      <c r="AD31" s="100">
        <v>671.5</v>
      </c>
      <c r="AE31" s="100">
        <v>607</v>
      </c>
      <c r="AF31" s="100">
        <v>112.5</v>
      </c>
      <c r="AG31" s="100">
        <v>135</v>
      </c>
      <c r="AH31" s="100">
        <v>657.5</v>
      </c>
      <c r="AI31" s="100">
        <v>636.5</v>
      </c>
      <c r="AJ31" s="100">
        <v>114.5</v>
      </c>
      <c r="AK31" s="100">
        <v>139.5</v>
      </c>
      <c r="AL31" s="100">
        <v>627.5</v>
      </c>
      <c r="AM31" s="100">
        <v>552</v>
      </c>
      <c r="AN31" s="100">
        <v>100.5</v>
      </c>
      <c r="AO31" s="100">
        <v>102</v>
      </c>
      <c r="AP31" s="100">
        <v>633</v>
      </c>
      <c r="AQ31" s="100">
        <v>631.5</v>
      </c>
      <c r="AR31" s="100">
        <v>95</v>
      </c>
      <c r="AS31" s="100">
        <v>94.5</v>
      </c>
      <c r="AT31" s="100">
        <v>619.5</v>
      </c>
      <c r="AU31" s="100">
        <v>595</v>
      </c>
      <c r="AV31" s="100">
        <v>96.5</v>
      </c>
      <c r="AW31" s="100">
        <v>101</v>
      </c>
      <c r="AX31" s="100">
        <v>599</v>
      </c>
      <c r="AY31" s="100">
        <v>546</v>
      </c>
      <c r="AZ31" s="100">
        <v>101</v>
      </c>
      <c r="BA31" s="100">
        <v>116</v>
      </c>
      <c r="BB31" s="100">
        <v>655.5</v>
      </c>
      <c r="BC31" s="100">
        <v>584</v>
      </c>
      <c r="BD31" s="100">
        <v>108.5</v>
      </c>
      <c r="BE31" s="100">
        <v>112</v>
      </c>
      <c r="BF31" s="23">
        <v>28.5428</v>
      </c>
      <c r="BG31" s="23">
        <v>77.220500000000001</v>
      </c>
      <c r="BH31" s="31">
        <f t="shared" si="31"/>
        <v>655.5</v>
      </c>
      <c r="BI31" s="31">
        <f t="shared" si="32"/>
        <v>584</v>
      </c>
      <c r="BJ31" s="37">
        <f t="shared" si="33"/>
        <v>71.5</v>
      </c>
      <c r="BK31" s="37">
        <f t="shared" si="34"/>
        <v>12.243150684931507</v>
      </c>
      <c r="BL31" s="36">
        <f t="shared" si="35"/>
        <v>108.5</v>
      </c>
      <c r="BM31" s="36">
        <f t="shared" si="36"/>
        <v>112</v>
      </c>
      <c r="BN31" s="37">
        <f t="shared" si="37"/>
        <v>-3.5</v>
      </c>
      <c r="BO31" s="37">
        <f t="shared" si="38"/>
        <v>-3.125</v>
      </c>
      <c r="BP31" s="38">
        <f t="shared" si="39"/>
        <v>7758.5</v>
      </c>
      <c r="BQ31" s="39">
        <f>J31+N31+S31+W31+AA31+AE31+AI31+AM31+AQ31+AU31+Table1[[#This Row],[MS-0225]]+Table1[[#This Row],[MS-0325]]</f>
        <v>7212.5</v>
      </c>
      <c r="BR31" s="37">
        <f t="shared" si="40"/>
        <v>546</v>
      </c>
      <c r="BS31" s="37">
        <f t="shared" si="41"/>
        <v>7.5701906412478346</v>
      </c>
      <c r="BT31" s="36">
        <f t="shared" si="42"/>
        <v>1335.5</v>
      </c>
      <c r="BU31" s="36">
        <f t="shared" si="43"/>
        <v>1505.5</v>
      </c>
      <c r="BV31" s="37">
        <f t="shared" si="44"/>
        <v>-170</v>
      </c>
      <c r="BW31" s="37">
        <f t="shared" si="45"/>
        <v>-11.291929591497842</v>
      </c>
      <c r="BX31">
        <v>0</v>
      </c>
      <c r="BY31" s="83">
        <f t="shared" si="46"/>
        <v>0</v>
      </c>
      <c r="BZ31">
        <v>0</v>
      </c>
      <c r="CA31" s="83">
        <f t="shared" si="47"/>
        <v>0</v>
      </c>
      <c r="CB31" s="96">
        <f t="shared" si="48"/>
        <v>0.36950394588500562</v>
      </c>
      <c r="CC31" s="96">
        <f t="shared" si="49"/>
        <v>0.36284560422491458</v>
      </c>
      <c r="CD31" s="97">
        <f t="shared" si="50"/>
        <v>6.6583416600910494E-3</v>
      </c>
      <c r="CE31" s="96">
        <f t="shared" si="51"/>
        <v>0.36409395973154363</v>
      </c>
      <c r="CF31" s="96">
        <f t="shared" si="52"/>
        <v>0.33888048411497729</v>
      </c>
      <c r="CG31" s="96">
        <f t="shared" si="53"/>
        <v>2.5213475616566339E-2</v>
      </c>
      <c r="CH31" s="95">
        <f t="shared" si="54"/>
        <v>0.36477115117891817</v>
      </c>
      <c r="CI31" s="95">
        <f t="shared" si="55"/>
        <v>0.35675421655417239</v>
      </c>
      <c r="CJ31" s="98">
        <f t="shared" si="56"/>
        <v>8.0169346247457862E-3</v>
      </c>
      <c r="CK31" s="95">
        <f t="shared" si="57"/>
        <v>0.35382169823817722</v>
      </c>
      <c r="CL31" s="95">
        <f t="shared" si="58"/>
        <v>0.34053381587876047</v>
      </c>
      <c r="CM31" s="98">
        <f t="shared" si="59"/>
        <v>1.3287882359416747E-2</v>
      </c>
      <c r="CN31" s="94">
        <f t="shared" si="60"/>
        <v>1.0943134535367545</v>
      </c>
      <c r="CO31" s="94">
        <f t="shared" si="61"/>
        <v>1.0614650947145317</v>
      </c>
    </row>
    <row r="32" spans="1:93" x14ac:dyDescent="0.35">
      <c r="A32" s="104">
        <v>106354</v>
      </c>
      <c r="B32" s="5" t="s">
        <v>581</v>
      </c>
      <c r="C32" s="46" t="s">
        <v>915</v>
      </c>
      <c r="D32" s="13" t="s">
        <v>916</v>
      </c>
      <c r="E32" s="6" t="s">
        <v>94</v>
      </c>
      <c r="F32" s="6" t="s">
        <v>166</v>
      </c>
      <c r="G32" s="12" t="s">
        <v>166</v>
      </c>
      <c r="H32" s="51" t="s">
        <v>120</v>
      </c>
      <c r="I32" s="24" t="s">
        <v>83</v>
      </c>
      <c r="J32" s="100">
        <v>616.5</v>
      </c>
      <c r="K32" s="100">
        <v>675</v>
      </c>
      <c r="L32" s="100">
        <v>139.5</v>
      </c>
      <c r="M32" s="100">
        <v>133</v>
      </c>
      <c r="N32" s="18">
        <v>691.5</v>
      </c>
      <c r="O32" s="18">
        <v>667.5</v>
      </c>
      <c r="P32" s="18">
        <v>158.5</v>
      </c>
      <c r="Q32" s="18">
        <v>128.5</v>
      </c>
      <c r="R32" s="100">
        <v>639</v>
      </c>
      <c r="S32" s="100">
        <v>634</v>
      </c>
      <c r="T32" s="100">
        <v>119</v>
      </c>
      <c r="U32" s="100">
        <v>156</v>
      </c>
      <c r="V32" s="100">
        <v>742</v>
      </c>
      <c r="W32" s="100">
        <v>711</v>
      </c>
      <c r="X32" s="100">
        <v>126</v>
      </c>
      <c r="Y32" s="100">
        <v>159</v>
      </c>
      <c r="Z32" s="100">
        <v>716.5</v>
      </c>
      <c r="AA32" s="100">
        <v>707</v>
      </c>
      <c r="AB32" s="100">
        <v>133.5</v>
      </c>
      <c r="AC32" s="100">
        <v>153</v>
      </c>
      <c r="AD32" s="100">
        <v>685.5</v>
      </c>
      <c r="AE32" s="100">
        <v>666</v>
      </c>
      <c r="AF32" s="100">
        <v>122.5</v>
      </c>
      <c r="AG32" s="100">
        <v>154</v>
      </c>
      <c r="AH32" s="100">
        <v>696</v>
      </c>
      <c r="AI32" s="100">
        <v>700</v>
      </c>
      <c r="AJ32" s="100">
        <v>112</v>
      </c>
      <c r="AK32" s="100">
        <v>150</v>
      </c>
      <c r="AL32" s="100">
        <v>642</v>
      </c>
      <c r="AM32" s="100">
        <v>626.5</v>
      </c>
      <c r="AN32" s="100">
        <v>108</v>
      </c>
      <c r="AO32" s="100">
        <v>115.5</v>
      </c>
      <c r="AP32" s="100">
        <v>666</v>
      </c>
      <c r="AQ32" s="100">
        <v>632</v>
      </c>
      <c r="AR32" s="100">
        <v>100</v>
      </c>
      <c r="AS32" s="100">
        <v>104</v>
      </c>
      <c r="AT32" s="100">
        <v>640.5</v>
      </c>
      <c r="AU32" s="100">
        <v>600.5</v>
      </c>
      <c r="AV32" s="100">
        <v>99.5</v>
      </c>
      <c r="AW32" s="100">
        <v>115.5</v>
      </c>
      <c r="AX32" s="100">
        <v>630</v>
      </c>
      <c r="AY32" s="100">
        <v>600</v>
      </c>
      <c r="AZ32" s="100">
        <v>104</v>
      </c>
      <c r="BA32" s="100">
        <v>104</v>
      </c>
      <c r="BB32" s="100">
        <v>653.5</v>
      </c>
      <c r="BC32" s="100">
        <v>605.5</v>
      </c>
      <c r="BD32" s="100">
        <v>94.5</v>
      </c>
      <c r="BE32" s="100">
        <v>118.5</v>
      </c>
      <c r="BF32" s="23">
        <v>28.542200000000001</v>
      </c>
      <c r="BG32" s="23">
        <v>77.221500000000006</v>
      </c>
      <c r="BH32" s="31">
        <f t="shared" si="31"/>
        <v>653.5</v>
      </c>
      <c r="BI32" s="31">
        <f t="shared" si="32"/>
        <v>605.5</v>
      </c>
      <c r="BJ32" s="37">
        <f t="shared" si="33"/>
        <v>48</v>
      </c>
      <c r="BK32" s="37">
        <f t="shared" si="34"/>
        <v>7.927332782824112</v>
      </c>
      <c r="BL32" s="36">
        <f t="shared" si="35"/>
        <v>94.5</v>
      </c>
      <c r="BM32" s="36">
        <f t="shared" si="36"/>
        <v>118.5</v>
      </c>
      <c r="BN32" s="37">
        <f t="shared" si="37"/>
        <v>-24</v>
      </c>
      <c r="BO32" s="37">
        <f t="shared" si="38"/>
        <v>-20.253164556962027</v>
      </c>
      <c r="BP32" s="38">
        <f t="shared" si="39"/>
        <v>8053.5</v>
      </c>
      <c r="BQ32" s="39">
        <f>J32+N32+S32+W32+AA32+AE32+AI32+AM32+AQ32+AU32+Table1[[#This Row],[MS-0225]]+Table1[[#This Row],[MS-0325]]</f>
        <v>7790.5</v>
      </c>
      <c r="BR32" s="37">
        <f t="shared" si="40"/>
        <v>263</v>
      </c>
      <c r="BS32" s="37">
        <f t="shared" si="41"/>
        <v>3.3759065528528338</v>
      </c>
      <c r="BT32" s="36">
        <f t="shared" si="42"/>
        <v>1380.5</v>
      </c>
      <c r="BU32" s="36">
        <f t="shared" si="43"/>
        <v>1627.5</v>
      </c>
      <c r="BV32" s="37">
        <f t="shared" si="44"/>
        <v>-247</v>
      </c>
      <c r="BW32" s="37">
        <f t="shared" si="45"/>
        <v>-15.176651305683563</v>
      </c>
      <c r="BX32">
        <v>0</v>
      </c>
      <c r="BY32" s="83">
        <f t="shared" si="46"/>
        <v>0</v>
      </c>
      <c r="BZ32">
        <v>0</v>
      </c>
      <c r="CA32" s="83">
        <f t="shared" si="47"/>
        <v>0</v>
      </c>
      <c r="CB32" s="96">
        <f t="shared" si="48"/>
        <v>0.36837655016910936</v>
      </c>
      <c r="CC32" s="96">
        <f t="shared" si="49"/>
        <v>0.37620378999689347</v>
      </c>
      <c r="CD32" s="97">
        <f t="shared" si="50"/>
        <v>-7.8272398277841049E-3</v>
      </c>
      <c r="CE32" s="96">
        <f t="shared" si="51"/>
        <v>0.31711409395973156</v>
      </c>
      <c r="CF32" s="96">
        <f t="shared" si="52"/>
        <v>0.35854765506807867</v>
      </c>
      <c r="CG32" s="96">
        <f t="shared" si="53"/>
        <v>-4.1433561108347117E-2</v>
      </c>
      <c r="CH32" s="95">
        <f t="shared" si="54"/>
        <v>0.37864077669902912</v>
      </c>
      <c r="CI32" s="95">
        <f t="shared" si="55"/>
        <v>0.3853440172014253</v>
      </c>
      <c r="CJ32" s="98">
        <f t="shared" si="56"/>
        <v>-6.7032405023961794E-3</v>
      </c>
      <c r="CK32" s="95">
        <f t="shared" si="57"/>
        <v>0.36574380712677174</v>
      </c>
      <c r="CL32" s="95">
        <f t="shared" si="58"/>
        <v>0.3681293824926487</v>
      </c>
      <c r="CM32" s="98">
        <f t="shared" si="59"/>
        <v>-2.3855753658769685E-3</v>
      </c>
      <c r="CN32" s="94">
        <f t="shared" si="60"/>
        <v>1.1359223300970873</v>
      </c>
      <c r="CO32" s="94">
        <f t="shared" si="61"/>
        <v>1.0972314213803152</v>
      </c>
    </row>
    <row r="33" spans="1:93" x14ac:dyDescent="0.35">
      <c r="A33" s="104">
        <v>186832</v>
      </c>
      <c r="B33" s="5" t="s">
        <v>581</v>
      </c>
      <c r="C33" s="46" t="s">
        <v>729</v>
      </c>
      <c r="D33" s="13" t="s">
        <v>472</v>
      </c>
      <c r="E33" s="6" t="s">
        <v>228</v>
      </c>
      <c r="F33" s="6" t="s">
        <v>241</v>
      </c>
      <c r="G33" s="12" t="s">
        <v>241</v>
      </c>
      <c r="H33" s="51" t="s">
        <v>230</v>
      </c>
      <c r="I33" s="24" t="s">
        <v>78</v>
      </c>
      <c r="J33" s="100">
        <v>585</v>
      </c>
      <c r="K33" s="100">
        <v>582</v>
      </c>
      <c r="L33" s="100">
        <v>81</v>
      </c>
      <c r="M33" s="100">
        <v>78</v>
      </c>
      <c r="N33" s="18">
        <v>612</v>
      </c>
      <c r="O33" s="18">
        <v>582</v>
      </c>
      <c r="P33" s="18">
        <v>72</v>
      </c>
      <c r="Q33" s="18">
        <v>78</v>
      </c>
      <c r="R33" s="100">
        <v>582</v>
      </c>
      <c r="S33" s="100">
        <v>612</v>
      </c>
      <c r="T33" s="100">
        <v>78</v>
      </c>
      <c r="U33" s="100">
        <v>90</v>
      </c>
      <c r="V33" s="100">
        <v>586</v>
      </c>
      <c r="W33" s="100">
        <v>621</v>
      </c>
      <c r="X33" s="100">
        <v>74</v>
      </c>
      <c r="Y33" s="100">
        <v>81</v>
      </c>
      <c r="Z33" s="100">
        <v>598</v>
      </c>
      <c r="AA33" s="100">
        <v>596</v>
      </c>
      <c r="AB33" s="100">
        <v>62</v>
      </c>
      <c r="AC33" s="100">
        <v>72</v>
      </c>
      <c r="AD33" s="100">
        <v>570</v>
      </c>
      <c r="AE33" s="100">
        <v>561</v>
      </c>
      <c r="AF33" s="100">
        <v>68</v>
      </c>
      <c r="AG33" s="100">
        <v>77</v>
      </c>
      <c r="AH33" s="100">
        <v>640</v>
      </c>
      <c r="AI33" s="100">
        <v>622</v>
      </c>
      <c r="AJ33" s="100">
        <v>64</v>
      </c>
      <c r="AK33" s="100">
        <v>80</v>
      </c>
      <c r="AL33" s="100">
        <v>620</v>
      </c>
      <c r="AM33" s="100">
        <v>604</v>
      </c>
      <c r="AN33" s="100">
        <v>74</v>
      </c>
      <c r="AO33" s="100">
        <v>56</v>
      </c>
      <c r="AP33" s="100">
        <v>621</v>
      </c>
      <c r="AQ33" s="100">
        <v>562</v>
      </c>
      <c r="AR33" s="100">
        <v>83</v>
      </c>
      <c r="AS33" s="100">
        <v>66</v>
      </c>
      <c r="AT33" s="100">
        <v>599</v>
      </c>
      <c r="AU33" s="100">
        <v>578</v>
      </c>
      <c r="AV33" s="100">
        <v>83</v>
      </c>
      <c r="AW33" s="100">
        <v>82</v>
      </c>
      <c r="AX33" s="100">
        <v>586</v>
      </c>
      <c r="AY33" s="100">
        <v>528</v>
      </c>
      <c r="AZ33" s="100">
        <v>74</v>
      </c>
      <c r="BA33" s="100">
        <v>66</v>
      </c>
      <c r="BB33" s="100">
        <v>644</v>
      </c>
      <c r="BC33" s="100">
        <v>582</v>
      </c>
      <c r="BD33" s="100">
        <v>82</v>
      </c>
      <c r="BE33" s="100">
        <v>56</v>
      </c>
      <c r="BF33" s="23">
        <v>28.7028</v>
      </c>
      <c r="BG33" s="23">
        <v>77.266400000000004</v>
      </c>
      <c r="BH33" s="31">
        <f t="shared" si="31"/>
        <v>644</v>
      </c>
      <c r="BI33" s="31">
        <f t="shared" si="32"/>
        <v>582</v>
      </c>
      <c r="BJ33" s="37">
        <f t="shared" si="33"/>
        <v>62</v>
      </c>
      <c r="BK33" s="37">
        <f t="shared" si="34"/>
        <v>10.652920962199312</v>
      </c>
      <c r="BL33" s="36">
        <f t="shared" si="35"/>
        <v>82</v>
      </c>
      <c r="BM33" s="36">
        <f t="shared" si="36"/>
        <v>56</v>
      </c>
      <c r="BN33" s="37">
        <f t="shared" si="37"/>
        <v>26</v>
      </c>
      <c r="BO33" s="37">
        <f t="shared" si="38"/>
        <v>46.428571428571431</v>
      </c>
      <c r="BP33" s="38">
        <f t="shared" si="39"/>
        <v>7210</v>
      </c>
      <c r="BQ33" s="39">
        <f>J33+N33+S33+W33+AA33+AE33+AI33+AM33+AQ33+AU33+Table1[[#This Row],[MS-0225]]+Table1[[#This Row],[MS-0325]]</f>
        <v>7063</v>
      </c>
      <c r="BR33" s="37">
        <f t="shared" si="40"/>
        <v>147</v>
      </c>
      <c r="BS33" s="37">
        <f t="shared" si="41"/>
        <v>2.0812685827552033</v>
      </c>
      <c r="BT33" s="36">
        <f t="shared" si="42"/>
        <v>898</v>
      </c>
      <c r="BU33" s="36">
        <f t="shared" si="43"/>
        <v>879</v>
      </c>
      <c r="BV33" s="37">
        <f t="shared" si="44"/>
        <v>19</v>
      </c>
      <c r="BW33" s="37">
        <f t="shared" si="45"/>
        <v>2.1615472127417523</v>
      </c>
      <c r="BX33">
        <v>0</v>
      </c>
      <c r="BY33" s="83">
        <f t="shared" si="46"/>
        <v>0</v>
      </c>
      <c r="BZ33">
        <v>0</v>
      </c>
      <c r="CA33" s="83">
        <f t="shared" si="47"/>
        <v>0</v>
      </c>
      <c r="CB33" s="96">
        <f t="shared" si="48"/>
        <v>0.57731958762886593</v>
      </c>
      <c r="CC33" s="96">
        <f t="shared" si="49"/>
        <v>0.56780487804878044</v>
      </c>
      <c r="CD33" s="97">
        <f t="shared" si="50"/>
        <v>9.5147095800854897E-3</v>
      </c>
      <c r="CE33" s="96">
        <f t="shared" si="51"/>
        <v>0.75576036866359442</v>
      </c>
      <c r="CF33" s="96">
        <f t="shared" si="52"/>
        <v>0.67469879518072284</v>
      </c>
      <c r="CG33" s="96">
        <f t="shared" si="53"/>
        <v>8.1061573482871574E-2</v>
      </c>
      <c r="CH33" s="95">
        <f t="shared" si="54"/>
        <v>0.55986954496039754</v>
      </c>
      <c r="CI33" s="95">
        <f t="shared" si="55"/>
        <v>0.57208812570873158</v>
      </c>
      <c r="CJ33" s="98">
        <f t="shared" si="56"/>
        <v>-1.221858074833404E-2</v>
      </c>
      <c r="CK33" s="95">
        <f t="shared" si="57"/>
        <v>0.71269841269841272</v>
      </c>
      <c r="CL33" s="95">
        <f t="shared" si="58"/>
        <v>0.73372287145242066</v>
      </c>
      <c r="CM33" s="98">
        <f t="shared" si="59"/>
        <v>-2.1024458754007935E-2</v>
      </c>
      <c r="CN33" s="94">
        <f t="shared" si="60"/>
        <v>1.1197390899207951</v>
      </c>
      <c r="CO33" s="94">
        <f t="shared" si="61"/>
        <v>1.4253968253968254</v>
      </c>
    </row>
    <row r="34" spans="1:93" ht="24.5" x14ac:dyDescent="0.35">
      <c r="A34" s="104">
        <v>102100</v>
      </c>
      <c r="B34" s="5" t="s">
        <v>581</v>
      </c>
      <c r="C34" s="46" t="s">
        <v>343</v>
      </c>
      <c r="D34" s="13" t="s">
        <v>642</v>
      </c>
      <c r="E34" s="6" t="s">
        <v>187</v>
      </c>
      <c r="F34" s="6" t="s">
        <v>356</v>
      </c>
      <c r="G34" s="12" t="s">
        <v>643</v>
      </c>
      <c r="H34" s="51" t="s">
        <v>189</v>
      </c>
      <c r="I34" s="24" t="s">
        <v>86</v>
      </c>
      <c r="J34" s="100">
        <v>342</v>
      </c>
      <c r="K34" s="100">
        <v>344.5</v>
      </c>
      <c r="L34" s="100">
        <v>72</v>
      </c>
      <c r="M34" s="100">
        <v>69.5</v>
      </c>
      <c r="N34" s="18">
        <v>367.5</v>
      </c>
      <c r="O34" s="18">
        <v>337</v>
      </c>
      <c r="P34" s="18">
        <v>68.5</v>
      </c>
      <c r="Q34" s="18">
        <v>77</v>
      </c>
      <c r="R34" s="100">
        <v>328.5</v>
      </c>
      <c r="S34" s="100">
        <v>368</v>
      </c>
      <c r="T34" s="100">
        <v>91.5</v>
      </c>
      <c r="U34" s="100">
        <v>90</v>
      </c>
      <c r="V34" s="100">
        <v>332.5</v>
      </c>
      <c r="W34" s="100">
        <v>353</v>
      </c>
      <c r="X34" s="100">
        <v>73.5</v>
      </c>
      <c r="Y34" s="100">
        <v>59</v>
      </c>
      <c r="Z34" s="100">
        <v>350.5</v>
      </c>
      <c r="AA34" s="100">
        <v>312</v>
      </c>
      <c r="AB34" s="100">
        <v>69</v>
      </c>
      <c r="AC34" s="100">
        <v>50</v>
      </c>
      <c r="AD34" s="100">
        <v>344</v>
      </c>
      <c r="AE34" s="100">
        <v>322.5</v>
      </c>
      <c r="AF34" s="100">
        <v>82</v>
      </c>
      <c r="AG34" s="100">
        <v>53.5</v>
      </c>
      <c r="AH34" s="100">
        <v>361</v>
      </c>
      <c r="AI34" s="100">
        <v>361</v>
      </c>
      <c r="AJ34" s="100">
        <v>90</v>
      </c>
      <c r="AK34" s="100">
        <v>65</v>
      </c>
      <c r="AL34" s="100">
        <v>321.5</v>
      </c>
      <c r="AM34" s="100">
        <v>304.5</v>
      </c>
      <c r="AN34" s="100">
        <v>80.5</v>
      </c>
      <c r="AO34" s="100">
        <v>61.5</v>
      </c>
      <c r="AP34" s="100">
        <v>332.5</v>
      </c>
      <c r="AQ34" s="100">
        <v>305</v>
      </c>
      <c r="AR34" s="100">
        <v>103.5</v>
      </c>
      <c r="AS34" s="100">
        <v>51</v>
      </c>
      <c r="AT34" s="100">
        <v>338.5</v>
      </c>
      <c r="AU34" s="100">
        <v>275</v>
      </c>
      <c r="AV34" s="100">
        <v>77.5</v>
      </c>
      <c r="AW34" s="100">
        <v>45</v>
      </c>
      <c r="AX34" s="100">
        <v>345</v>
      </c>
      <c r="AY34" s="100">
        <v>322</v>
      </c>
      <c r="AZ34" s="100">
        <v>99</v>
      </c>
      <c r="BA34" s="100">
        <v>60</v>
      </c>
      <c r="BB34" s="100">
        <v>371</v>
      </c>
      <c r="BC34" s="100">
        <v>281.5</v>
      </c>
      <c r="BD34" s="100">
        <v>116.5</v>
      </c>
      <c r="BE34" s="100">
        <v>58.5</v>
      </c>
      <c r="BF34" s="23">
        <v>28.707699999999999</v>
      </c>
      <c r="BG34" s="23">
        <v>77.224599999999995</v>
      </c>
      <c r="BH34" s="31">
        <f t="shared" si="31"/>
        <v>371</v>
      </c>
      <c r="BI34" s="31">
        <f t="shared" si="32"/>
        <v>281.5</v>
      </c>
      <c r="BJ34" s="37">
        <f t="shared" si="33"/>
        <v>89.5</v>
      </c>
      <c r="BK34" s="37">
        <f t="shared" si="34"/>
        <v>31.793960923623445</v>
      </c>
      <c r="BL34" s="36">
        <f t="shared" si="35"/>
        <v>116.5</v>
      </c>
      <c r="BM34" s="36">
        <f t="shared" si="36"/>
        <v>58.5</v>
      </c>
      <c r="BN34" s="37">
        <f t="shared" si="37"/>
        <v>58</v>
      </c>
      <c r="BO34" s="37">
        <f t="shared" si="38"/>
        <v>99.145299145299148</v>
      </c>
      <c r="BP34" s="38">
        <f t="shared" si="39"/>
        <v>4106.5</v>
      </c>
      <c r="BQ34" s="39">
        <f>J34+N34+S34+W34+AA34+AE34+AI34+AM34+AQ34+AU34+Table1[[#This Row],[MS-0225]]+Table1[[#This Row],[MS-0325]]</f>
        <v>3914</v>
      </c>
      <c r="BR34" s="37">
        <f t="shared" si="40"/>
        <v>192.5</v>
      </c>
      <c r="BS34" s="37">
        <f t="shared" si="41"/>
        <v>4.9182422074603984</v>
      </c>
      <c r="BT34" s="36">
        <f t="shared" si="42"/>
        <v>1029.5</v>
      </c>
      <c r="BU34" s="36">
        <f t="shared" si="43"/>
        <v>734</v>
      </c>
      <c r="BV34" s="37">
        <f t="shared" si="44"/>
        <v>295.5</v>
      </c>
      <c r="BW34" s="37">
        <f t="shared" si="45"/>
        <v>40.258855585831057</v>
      </c>
      <c r="BX34">
        <v>0</v>
      </c>
      <c r="BY34" s="83">
        <f t="shared" si="46"/>
        <v>0</v>
      </c>
      <c r="BZ34">
        <v>0</v>
      </c>
      <c r="CA34" s="83">
        <f t="shared" si="47"/>
        <v>0</v>
      </c>
      <c r="CB34" s="96">
        <f t="shared" si="48"/>
        <v>1</v>
      </c>
      <c r="CC34" s="96">
        <f t="shared" si="49"/>
        <v>1</v>
      </c>
      <c r="CD34" s="97">
        <f t="shared" si="50"/>
        <v>0</v>
      </c>
      <c r="CE34" s="96">
        <f t="shared" si="51"/>
        <v>1</v>
      </c>
      <c r="CF34" s="96">
        <f t="shared" si="52"/>
        <v>1</v>
      </c>
      <c r="CG34" s="96">
        <f t="shared" si="53"/>
        <v>0</v>
      </c>
      <c r="CH34" s="95">
        <f t="shared" si="54"/>
        <v>1</v>
      </c>
      <c r="CI34" s="95">
        <f t="shared" si="55"/>
        <v>1</v>
      </c>
      <c r="CJ34" s="98">
        <f t="shared" si="56"/>
        <v>0</v>
      </c>
      <c r="CK34" s="95">
        <f t="shared" si="57"/>
        <v>1</v>
      </c>
      <c r="CL34" s="95">
        <f t="shared" si="58"/>
        <v>1</v>
      </c>
      <c r="CM34" s="98">
        <f t="shared" si="59"/>
        <v>0</v>
      </c>
      <c r="CN34" s="94">
        <f t="shared" si="60"/>
        <v>1</v>
      </c>
      <c r="CO34" s="94">
        <f t="shared" si="61"/>
        <v>1</v>
      </c>
    </row>
    <row r="35" spans="1:93" ht="24.5" x14ac:dyDescent="0.35">
      <c r="A35" s="104">
        <v>186858</v>
      </c>
      <c r="B35" s="5" t="s">
        <v>581</v>
      </c>
      <c r="C35" s="46" t="s">
        <v>747</v>
      </c>
      <c r="D35" s="13" t="s">
        <v>748</v>
      </c>
      <c r="E35" s="6" t="s">
        <v>169</v>
      </c>
      <c r="F35" s="6" t="s">
        <v>488</v>
      </c>
      <c r="G35" s="12" t="s">
        <v>488</v>
      </c>
      <c r="H35" s="51" t="s">
        <v>172</v>
      </c>
      <c r="I35" s="24" t="s">
        <v>78</v>
      </c>
      <c r="J35" s="100">
        <v>567</v>
      </c>
      <c r="K35" s="100">
        <v>578</v>
      </c>
      <c r="L35" s="100">
        <v>135</v>
      </c>
      <c r="M35" s="100">
        <v>72</v>
      </c>
      <c r="N35" s="18">
        <v>589.5</v>
      </c>
      <c r="O35" s="18">
        <v>635</v>
      </c>
      <c r="P35" s="18">
        <v>112.5</v>
      </c>
      <c r="Q35" s="18">
        <v>87</v>
      </c>
      <c r="R35" s="100">
        <v>545</v>
      </c>
      <c r="S35" s="100">
        <v>558</v>
      </c>
      <c r="T35" s="100">
        <v>115</v>
      </c>
      <c r="U35" s="100">
        <v>90</v>
      </c>
      <c r="V35" s="100">
        <v>594</v>
      </c>
      <c r="W35" s="100">
        <v>567</v>
      </c>
      <c r="X35" s="100">
        <v>70</v>
      </c>
      <c r="Y35" s="100">
        <v>81</v>
      </c>
      <c r="Z35" s="100">
        <v>655</v>
      </c>
      <c r="AA35" s="100">
        <v>625.5</v>
      </c>
      <c r="AB35" s="100">
        <v>85</v>
      </c>
      <c r="AC35" s="100">
        <v>112.5</v>
      </c>
      <c r="AD35" s="100">
        <v>620</v>
      </c>
      <c r="AE35" s="100">
        <v>612</v>
      </c>
      <c r="AF35" s="100">
        <v>80</v>
      </c>
      <c r="AG35" s="100">
        <v>90</v>
      </c>
      <c r="AH35" s="100">
        <v>660</v>
      </c>
      <c r="AI35" s="100">
        <v>621</v>
      </c>
      <c r="AJ35" s="100">
        <v>80</v>
      </c>
      <c r="AK35" s="100">
        <v>99</v>
      </c>
      <c r="AL35" s="100">
        <v>610</v>
      </c>
      <c r="AM35" s="100">
        <v>603</v>
      </c>
      <c r="AN35" s="100">
        <v>70</v>
      </c>
      <c r="AO35" s="100">
        <v>63</v>
      </c>
      <c r="AP35" s="100">
        <v>580</v>
      </c>
      <c r="AQ35" s="100">
        <v>571.5</v>
      </c>
      <c r="AR35" s="100">
        <v>80</v>
      </c>
      <c r="AS35" s="100">
        <v>94.5</v>
      </c>
      <c r="AT35" s="100">
        <v>580</v>
      </c>
      <c r="AU35" s="100">
        <v>544.5</v>
      </c>
      <c r="AV35" s="100">
        <v>100</v>
      </c>
      <c r="AW35" s="100">
        <v>85.5</v>
      </c>
      <c r="AX35" s="100">
        <v>575</v>
      </c>
      <c r="AY35" s="100">
        <v>531</v>
      </c>
      <c r="AZ35" s="100">
        <v>85</v>
      </c>
      <c r="BA35" s="100">
        <v>81</v>
      </c>
      <c r="BB35" s="100">
        <v>630</v>
      </c>
      <c r="BC35" s="100">
        <v>621</v>
      </c>
      <c r="BD35" s="100">
        <v>90</v>
      </c>
      <c r="BE35" s="100">
        <v>99</v>
      </c>
      <c r="BF35" s="23">
        <v>28.671199999999999</v>
      </c>
      <c r="BG35" s="23">
        <v>77.270600000000002</v>
      </c>
      <c r="BH35" s="31">
        <f t="shared" si="31"/>
        <v>630</v>
      </c>
      <c r="BI35" s="31">
        <f t="shared" si="32"/>
        <v>621</v>
      </c>
      <c r="BJ35" s="37">
        <f t="shared" si="33"/>
        <v>9</v>
      </c>
      <c r="BK35" s="37">
        <f t="shared" si="34"/>
        <v>1.4492753623188406</v>
      </c>
      <c r="BL35" s="36">
        <f t="shared" si="35"/>
        <v>90</v>
      </c>
      <c r="BM35" s="36">
        <f t="shared" si="36"/>
        <v>99</v>
      </c>
      <c r="BN35" s="37">
        <f t="shared" si="37"/>
        <v>-9</v>
      </c>
      <c r="BO35" s="37">
        <f t="shared" si="38"/>
        <v>-9.0909090909090917</v>
      </c>
      <c r="BP35" s="38">
        <f t="shared" si="39"/>
        <v>7262</v>
      </c>
      <c r="BQ35" s="39">
        <f>J35+N35+S35+W35+AA35+AE35+AI35+AM35+AQ35+AU35+Table1[[#This Row],[MS-0225]]+Table1[[#This Row],[MS-0325]]</f>
        <v>7011</v>
      </c>
      <c r="BR35" s="37">
        <f t="shared" si="40"/>
        <v>251</v>
      </c>
      <c r="BS35" s="37">
        <f t="shared" si="41"/>
        <v>3.5800884324632722</v>
      </c>
      <c r="BT35" s="36">
        <f t="shared" si="42"/>
        <v>1014</v>
      </c>
      <c r="BU35" s="36">
        <f t="shared" si="43"/>
        <v>1143</v>
      </c>
      <c r="BV35" s="37">
        <f t="shared" si="44"/>
        <v>-129</v>
      </c>
      <c r="BW35" s="37">
        <f t="shared" si="45"/>
        <v>-11.286089238845145</v>
      </c>
      <c r="BX35">
        <v>0</v>
      </c>
      <c r="BY35" s="83">
        <f t="shared" si="46"/>
        <v>0</v>
      </c>
      <c r="BZ35">
        <v>0</v>
      </c>
      <c r="CA35" s="83">
        <f t="shared" si="47"/>
        <v>0</v>
      </c>
      <c r="CB35" s="96">
        <f t="shared" si="48"/>
        <v>0.27802294792586052</v>
      </c>
      <c r="CC35" s="96">
        <f t="shared" si="49"/>
        <v>0.29059429106223678</v>
      </c>
      <c r="CD35" s="97">
        <f t="shared" si="50"/>
        <v>-1.2571343136376256E-2</v>
      </c>
      <c r="CE35" s="96">
        <f t="shared" si="51"/>
        <v>0.39473684210526316</v>
      </c>
      <c r="CF35" s="96">
        <f t="shared" si="52"/>
        <v>0.39600000000000002</v>
      </c>
      <c r="CG35" s="96">
        <f t="shared" si="53"/>
        <v>-1.2631578947368549E-3</v>
      </c>
      <c r="CH35" s="95">
        <f t="shared" si="54"/>
        <v>0.27925398961738129</v>
      </c>
      <c r="CI35" s="95">
        <f t="shared" si="55"/>
        <v>0.28362797847809379</v>
      </c>
      <c r="CJ35" s="98">
        <f t="shared" si="56"/>
        <v>-4.3739888607124966E-3</v>
      </c>
      <c r="CK35" s="95">
        <f t="shared" si="57"/>
        <v>0.3525730180806676</v>
      </c>
      <c r="CL35" s="95">
        <f t="shared" si="58"/>
        <v>0.36799742433998711</v>
      </c>
      <c r="CM35" s="98">
        <f t="shared" si="59"/>
        <v>-1.5424406259319512E-2</v>
      </c>
      <c r="CN35" s="94">
        <f t="shared" si="60"/>
        <v>1.3962699480869065</v>
      </c>
      <c r="CO35" s="94">
        <f t="shared" si="61"/>
        <v>1.7628650904033381</v>
      </c>
    </row>
    <row r="36" spans="1:93" ht="24.5" x14ac:dyDescent="0.35">
      <c r="A36" s="104">
        <v>186867</v>
      </c>
      <c r="B36" s="5" t="s">
        <v>581</v>
      </c>
      <c r="C36" s="46" t="s">
        <v>793</v>
      </c>
      <c r="D36" s="13" t="s">
        <v>794</v>
      </c>
      <c r="E36" s="6" t="s">
        <v>75</v>
      </c>
      <c r="F36" s="6" t="s">
        <v>220</v>
      </c>
      <c r="G36" s="12" t="s">
        <v>220</v>
      </c>
      <c r="H36" s="51" t="s">
        <v>77</v>
      </c>
      <c r="I36" s="24" t="s">
        <v>78</v>
      </c>
      <c r="J36" s="100">
        <v>598</v>
      </c>
      <c r="K36" s="100">
        <v>619.5</v>
      </c>
      <c r="L36" s="100">
        <v>120</v>
      </c>
      <c r="M36" s="100">
        <v>140.5</v>
      </c>
      <c r="N36" s="18">
        <v>602</v>
      </c>
      <c r="O36" s="18">
        <v>622.5</v>
      </c>
      <c r="P36" s="18">
        <v>152</v>
      </c>
      <c r="Q36" s="18">
        <v>153.5</v>
      </c>
      <c r="R36" s="100">
        <v>607.5</v>
      </c>
      <c r="S36" s="100">
        <v>605.5</v>
      </c>
      <c r="T36" s="100">
        <v>130.5</v>
      </c>
      <c r="U36" s="100">
        <v>148.5</v>
      </c>
      <c r="V36" s="100">
        <v>645.5</v>
      </c>
      <c r="W36" s="100">
        <v>604</v>
      </c>
      <c r="X36" s="100">
        <v>148.5</v>
      </c>
      <c r="Y36" s="100">
        <v>148</v>
      </c>
      <c r="Z36" s="100">
        <v>654.5</v>
      </c>
      <c r="AA36" s="100">
        <v>618.5</v>
      </c>
      <c r="AB36" s="100">
        <v>127.5</v>
      </c>
      <c r="AC36" s="100">
        <v>129.5</v>
      </c>
      <c r="AD36" s="100">
        <v>600.5</v>
      </c>
      <c r="AE36" s="100">
        <v>592</v>
      </c>
      <c r="AF36" s="100">
        <v>121.5</v>
      </c>
      <c r="AG36" s="100">
        <v>138</v>
      </c>
      <c r="AH36" s="100">
        <v>627.5</v>
      </c>
      <c r="AI36" s="100">
        <v>635</v>
      </c>
      <c r="AJ36" s="100">
        <v>112.5</v>
      </c>
      <c r="AK36" s="100">
        <v>125</v>
      </c>
      <c r="AL36" s="100">
        <v>589</v>
      </c>
      <c r="AM36" s="100">
        <v>559.5</v>
      </c>
      <c r="AN36" s="100">
        <v>99</v>
      </c>
      <c r="AO36" s="100">
        <v>106.5</v>
      </c>
      <c r="AP36" s="100">
        <v>580</v>
      </c>
      <c r="AQ36" s="100">
        <v>581.5</v>
      </c>
      <c r="AR36" s="100">
        <v>90</v>
      </c>
      <c r="AS36" s="100">
        <v>98.5</v>
      </c>
      <c r="AT36" s="100">
        <v>576</v>
      </c>
      <c r="AU36" s="100">
        <v>555.5</v>
      </c>
      <c r="AV36" s="100">
        <v>90</v>
      </c>
      <c r="AW36" s="100">
        <v>94.5</v>
      </c>
      <c r="AX36" s="100">
        <v>573.5</v>
      </c>
      <c r="AY36" s="100">
        <v>553</v>
      </c>
      <c r="AZ36" s="100">
        <v>94.5</v>
      </c>
      <c r="BA36" s="100">
        <v>99</v>
      </c>
      <c r="BB36" s="100">
        <v>630</v>
      </c>
      <c r="BC36" s="100">
        <v>579</v>
      </c>
      <c r="BD36" s="100">
        <v>126</v>
      </c>
      <c r="BE36" s="100">
        <v>109</v>
      </c>
      <c r="BF36" s="23">
        <v>28.600899999999999</v>
      </c>
      <c r="BG36" s="23">
        <v>77.324399999999997</v>
      </c>
      <c r="BH36" s="31">
        <f t="shared" si="31"/>
        <v>630</v>
      </c>
      <c r="BI36" s="31">
        <f t="shared" si="32"/>
        <v>579</v>
      </c>
      <c r="BJ36" s="37">
        <f t="shared" si="33"/>
        <v>51</v>
      </c>
      <c r="BK36" s="37">
        <f t="shared" si="34"/>
        <v>8.8082901554404138</v>
      </c>
      <c r="BL36" s="36">
        <f t="shared" si="35"/>
        <v>126</v>
      </c>
      <c r="BM36" s="36">
        <f t="shared" si="36"/>
        <v>109</v>
      </c>
      <c r="BN36" s="37">
        <f t="shared" si="37"/>
        <v>17</v>
      </c>
      <c r="BO36" s="37">
        <f t="shared" si="38"/>
        <v>15.596330275229359</v>
      </c>
      <c r="BP36" s="38">
        <f t="shared" si="39"/>
        <v>7326</v>
      </c>
      <c r="BQ36" s="39">
        <f>J36+N36+S36+W36+AA36+AE36+AI36+AM36+AQ36+AU36+Table1[[#This Row],[MS-0225]]+Table1[[#This Row],[MS-0325]]</f>
        <v>7083.5</v>
      </c>
      <c r="BR36" s="37">
        <f t="shared" si="40"/>
        <v>242.5</v>
      </c>
      <c r="BS36" s="37">
        <f t="shared" si="41"/>
        <v>3.4234488600268231</v>
      </c>
      <c r="BT36" s="36">
        <f t="shared" si="42"/>
        <v>1434</v>
      </c>
      <c r="BU36" s="36">
        <f t="shared" si="43"/>
        <v>1468.5</v>
      </c>
      <c r="BV36" s="37">
        <f t="shared" si="44"/>
        <v>-34.5</v>
      </c>
      <c r="BW36" s="37">
        <f t="shared" si="45"/>
        <v>-2.3493360572012256</v>
      </c>
      <c r="BX36">
        <v>0</v>
      </c>
      <c r="BY36" s="83">
        <f t="shared" si="46"/>
        <v>0</v>
      </c>
      <c r="BZ36">
        <v>0</v>
      </c>
      <c r="CA36" s="83">
        <f t="shared" si="47"/>
        <v>0</v>
      </c>
      <c r="CB36" s="96">
        <f t="shared" si="48"/>
        <v>0.31327697662854304</v>
      </c>
      <c r="CC36" s="96">
        <f t="shared" si="49"/>
        <v>0.3162206444565811</v>
      </c>
      <c r="CD36" s="97">
        <f t="shared" si="50"/>
        <v>-2.9436678280380657E-3</v>
      </c>
      <c r="CE36" s="96">
        <f t="shared" si="51"/>
        <v>0.19207317073170732</v>
      </c>
      <c r="CF36" s="96">
        <f t="shared" si="52"/>
        <v>0.15571428571428572</v>
      </c>
      <c r="CG36" s="96">
        <f t="shared" si="53"/>
        <v>3.6358885017421599E-2</v>
      </c>
      <c r="CH36" s="95">
        <f t="shared" si="54"/>
        <v>0.31574864235841738</v>
      </c>
      <c r="CI36" s="95">
        <f t="shared" si="55"/>
        <v>0.32222626548696393</v>
      </c>
      <c r="CJ36" s="98">
        <f t="shared" si="56"/>
        <v>-6.4776231285465502E-3</v>
      </c>
      <c r="CK36" s="95">
        <f t="shared" si="57"/>
        <v>0.18058179070646013</v>
      </c>
      <c r="CL36" s="95">
        <f t="shared" si="58"/>
        <v>0.17405475880052151</v>
      </c>
      <c r="CM36" s="98">
        <f t="shared" si="59"/>
        <v>6.5270319059386184E-3</v>
      </c>
      <c r="CN36" s="94">
        <f t="shared" si="60"/>
        <v>1.8944918541505043</v>
      </c>
      <c r="CO36" s="94">
        <f t="shared" si="61"/>
        <v>1.0834907442387607</v>
      </c>
    </row>
    <row r="37" spans="1:93" ht="24.5" x14ac:dyDescent="0.35">
      <c r="A37" s="102">
        <v>112453</v>
      </c>
      <c r="B37" s="3" t="s">
        <v>72</v>
      </c>
      <c r="C37" s="43" t="s">
        <v>162</v>
      </c>
      <c r="D37" s="12" t="s">
        <v>163</v>
      </c>
      <c r="E37" s="4" t="s">
        <v>94</v>
      </c>
      <c r="F37" s="4" t="s">
        <v>125</v>
      </c>
      <c r="G37" s="12" t="s">
        <v>125</v>
      </c>
      <c r="H37" s="51" t="s">
        <v>126</v>
      </c>
      <c r="I37" s="23" t="s">
        <v>83</v>
      </c>
      <c r="J37" s="18">
        <v>553.50000499999999</v>
      </c>
      <c r="K37" s="18">
        <v>594</v>
      </c>
      <c r="L37" s="18">
        <v>130.5</v>
      </c>
      <c r="M37" s="18">
        <v>126</v>
      </c>
      <c r="N37" s="18">
        <v>639.00000599999998</v>
      </c>
      <c r="O37" s="18">
        <v>657</v>
      </c>
      <c r="P37" s="18">
        <v>171</v>
      </c>
      <c r="Q37" s="18">
        <v>117</v>
      </c>
      <c r="R37" s="18">
        <v>594</v>
      </c>
      <c r="S37" s="18">
        <v>594.00000599999998</v>
      </c>
      <c r="T37" s="18">
        <v>126</v>
      </c>
      <c r="U37" s="18">
        <v>144</v>
      </c>
      <c r="V37" s="18">
        <v>684</v>
      </c>
      <c r="W37" s="18">
        <v>639.000001</v>
      </c>
      <c r="X37" s="18">
        <v>126</v>
      </c>
      <c r="Y37" s="18">
        <v>153</v>
      </c>
      <c r="Z37" s="18">
        <v>657</v>
      </c>
      <c r="AA37" s="18">
        <v>657.00000299999999</v>
      </c>
      <c r="AB37" s="18">
        <v>117</v>
      </c>
      <c r="AC37" s="18">
        <v>153</v>
      </c>
      <c r="AD37" s="18">
        <v>625.5</v>
      </c>
      <c r="AE37" s="18">
        <v>598.500001</v>
      </c>
      <c r="AF37" s="18">
        <v>130.5</v>
      </c>
      <c r="AG37" s="18">
        <v>139.5</v>
      </c>
      <c r="AH37" s="18">
        <v>625.5</v>
      </c>
      <c r="AI37" s="18">
        <v>606.5</v>
      </c>
      <c r="AJ37" s="18">
        <v>112.5</v>
      </c>
      <c r="AK37" s="18">
        <v>125.5</v>
      </c>
      <c r="AL37" s="18">
        <v>589.5</v>
      </c>
      <c r="AM37" s="18">
        <v>562.50000599999998</v>
      </c>
      <c r="AN37" s="18">
        <v>94.5</v>
      </c>
      <c r="AO37" s="18">
        <v>121.5</v>
      </c>
      <c r="AP37" s="18">
        <v>549</v>
      </c>
      <c r="AQ37" s="18">
        <v>571.5</v>
      </c>
      <c r="AR37" s="18">
        <v>81</v>
      </c>
      <c r="AS37" s="18">
        <v>112.5</v>
      </c>
      <c r="AT37" s="18">
        <v>539</v>
      </c>
      <c r="AU37" s="18">
        <v>549</v>
      </c>
      <c r="AV37" s="18">
        <v>95</v>
      </c>
      <c r="AW37" s="18">
        <v>99</v>
      </c>
      <c r="AX37" s="18">
        <v>562.5</v>
      </c>
      <c r="AY37" s="18">
        <v>517.5</v>
      </c>
      <c r="AZ37" s="18">
        <v>103.5</v>
      </c>
      <c r="BA37" s="18">
        <v>130.5</v>
      </c>
      <c r="BB37" s="18">
        <v>627</v>
      </c>
      <c r="BC37" s="18">
        <v>598.5</v>
      </c>
      <c r="BD37" s="18">
        <v>117</v>
      </c>
      <c r="BE37" s="18">
        <v>121.5</v>
      </c>
      <c r="BF37" s="23">
        <v>28.550270000000001</v>
      </c>
      <c r="BG37" s="23">
        <v>77.247929999999997</v>
      </c>
      <c r="BH37" s="31">
        <f t="shared" si="31"/>
        <v>627</v>
      </c>
      <c r="BI37" s="31">
        <f t="shared" si="32"/>
        <v>598.5</v>
      </c>
      <c r="BJ37" s="37">
        <f t="shared" si="33"/>
        <v>28.5</v>
      </c>
      <c r="BK37" s="37">
        <f t="shared" si="34"/>
        <v>4.7619047619047619</v>
      </c>
      <c r="BL37" s="36">
        <f t="shared" si="35"/>
        <v>117</v>
      </c>
      <c r="BM37" s="36">
        <f t="shared" si="36"/>
        <v>121.5</v>
      </c>
      <c r="BN37" s="37">
        <f t="shared" si="37"/>
        <v>-4.5</v>
      </c>
      <c r="BO37" s="37">
        <f t="shared" si="38"/>
        <v>-3.7037037037037033</v>
      </c>
      <c r="BP37" s="38">
        <f t="shared" si="39"/>
        <v>7304</v>
      </c>
      <c r="BQ37" s="39">
        <f>J37+N37+S37+W37+AA37+AE37+AI37+AM37+AQ37+AU37+Table1[[#This Row],[MS-0225]]+Table1[[#This Row],[MS-0325]]</f>
        <v>7086.5000280000004</v>
      </c>
      <c r="BR37" s="37">
        <f t="shared" si="40"/>
        <v>217.49997199999962</v>
      </c>
      <c r="BS37" s="37">
        <f t="shared" si="41"/>
        <v>3.0692157079040316</v>
      </c>
      <c r="BT37" s="36">
        <f t="shared" si="42"/>
        <v>1346</v>
      </c>
      <c r="BU37" s="36">
        <f t="shared" si="43"/>
        <v>1601.5</v>
      </c>
      <c r="BV37" s="37">
        <f t="shared" si="44"/>
        <v>-255.5</v>
      </c>
      <c r="BW37" s="37">
        <f t="shared" si="45"/>
        <v>-15.95379331876366</v>
      </c>
      <c r="BX37">
        <v>54</v>
      </c>
      <c r="BY37" s="83">
        <f t="shared" si="46"/>
        <v>8.6124401913875603E-2</v>
      </c>
      <c r="BZ37">
        <v>315</v>
      </c>
      <c r="CA37" s="83">
        <f t="shared" si="47"/>
        <v>4.3127053669222343E-2</v>
      </c>
      <c r="CB37" s="96">
        <f t="shared" si="48"/>
        <v>0.30050323508267435</v>
      </c>
      <c r="CC37" s="96">
        <f t="shared" si="49"/>
        <v>0.30645161290322581</v>
      </c>
      <c r="CD37" s="97">
        <f t="shared" si="50"/>
        <v>-5.9483778205514648E-3</v>
      </c>
      <c r="CE37" s="96">
        <f t="shared" si="51"/>
        <v>0.2899628252788104</v>
      </c>
      <c r="CF37" s="96">
        <f t="shared" si="52"/>
        <v>0.27931034482758621</v>
      </c>
      <c r="CG37" s="96">
        <f t="shared" si="53"/>
        <v>1.0652480451224189E-2</v>
      </c>
      <c r="CH37" s="95">
        <f t="shared" si="54"/>
        <v>0.29881154499151102</v>
      </c>
      <c r="CI37" s="95">
        <f t="shared" si="55"/>
        <v>0.29807773230128354</v>
      </c>
      <c r="CJ37" s="98">
        <f t="shared" si="56"/>
        <v>7.3381269022748663E-4</v>
      </c>
      <c r="CK37" s="95">
        <f t="shared" si="57"/>
        <v>0.29219581026809943</v>
      </c>
      <c r="CL37" s="95">
        <f t="shared" si="58"/>
        <v>0.28731611051309652</v>
      </c>
      <c r="CM37" s="98">
        <f t="shared" si="59"/>
        <v>4.8796997550029086E-3</v>
      </c>
      <c r="CN37" s="94">
        <f t="shared" si="60"/>
        <v>1.4940577249575551</v>
      </c>
      <c r="CO37" s="94">
        <f t="shared" si="61"/>
        <v>1.4609790513404972</v>
      </c>
    </row>
    <row r="38" spans="1:93" ht="24.5" x14ac:dyDescent="0.35">
      <c r="A38" s="102">
        <v>112414</v>
      </c>
      <c r="B38" s="3" t="s">
        <v>72</v>
      </c>
      <c r="C38" s="41" t="s">
        <v>346</v>
      </c>
      <c r="D38" s="12" t="s">
        <v>328</v>
      </c>
      <c r="E38" s="4" t="s">
        <v>85</v>
      </c>
      <c r="F38" s="4" t="s">
        <v>326</v>
      </c>
      <c r="G38" s="12" t="s">
        <v>326</v>
      </c>
      <c r="H38" s="51" t="s">
        <v>304</v>
      </c>
      <c r="I38" s="23" t="s">
        <v>86</v>
      </c>
      <c r="J38" s="18">
        <v>598.50000999999997</v>
      </c>
      <c r="K38" s="18">
        <v>631.5</v>
      </c>
      <c r="L38" s="18">
        <v>121.5</v>
      </c>
      <c r="M38" s="18">
        <v>94.5</v>
      </c>
      <c r="N38" s="18">
        <v>630.00001099999997</v>
      </c>
      <c r="O38" s="18">
        <v>645.5</v>
      </c>
      <c r="P38" s="18">
        <v>126</v>
      </c>
      <c r="Q38" s="18">
        <v>112.5</v>
      </c>
      <c r="R38" s="18">
        <v>589.5</v>
      </c>
      <c r="S38" s="18">
        <v>585.00000999999997</v>
      </c>
      <c r="T38" s="18">
        <v>94.5</v>
      </c>
      <c r="U38" s="18">
        <v>117</v>
      </c>
      <c r="V38" s="18">
        <v>652.5</v>
      </c>
      <c r="W38" s="18">
        <v>630.00000399999999</v>
      </c>
      <c r="X38" s="18">
        <v>103.5</v>
      </c>
      <c r="Y38" s="18">
        <v>108</v>
      </c>
      <c r="Z38" s="18">
        <v>661.5</v>
      </c>
      <c r="AA38" s="18">
        <v>625.5</v>
      </c>
      <c r="AB38" s="18">
        <v>94.5</v>
      </c>
      <c r="AC38" s="18">
        <v>112.5</v>
      </c>
      <c r="AD38" s="18">
        <v>614</v>
      </c>
      <c r="AE38" s="18">
        <v>609.5</v>
      </c>
      <c r="AF38" s="18">
        <v>90</v>
      </c>
      <c r="AG38" s="18">
        <v>112.5</v>
      </c>
      <c r="AH38" s="18">
        <v>652.5</v>
      </c>
      <c r="AI38" s="18">
        <v>621</v>
      </c>
      <c r="AJ38" s="18">
        <v>103.5</v>
      </c>
      <c r="AK38" s="18">
        <v>99</v>
      </c>
      <c r="AL38" s="18">
        <v>623</v>
      </c>
      <c r="AM38" s="18">
        <v>615.50000999999997</v>
      </c>
      <c r="AN38" s="18">
        <v>81</v>
      </c>
      <c r="AO38" s="18">
        <v>90.5</v>
      </c>
      <c r="AP38" s="18">
        <v>585</v>
      </c>
      <c r="AQ38" s="18">
        <v>582</v>
      </c>
      <c r="AR38" s="18">
        <v>81</v>
      </c>
      <c r="AS38" s="18">
        <v>86</v>
      </c>
      <c r="AT38" s="18">
        <v>596</v>
      </c>
      <c r="AU38" s="18">
        <v>598.5</v>
      </c>
      <c r="AV38" s="18">
        <v>90</v>
      </c>
      <c r="AW38" s="18">
        <v>103.5</v>
      </c>
      <c r="AX38" s="18">
        <v>550.5</v>
      </c>
      <c r="AY38" s="18">
        <v>533</v>
      </c>
      <c r="AZ38" s="18">
        <v>103.5</v>
      </c>
      <c r="BA38" s="18">
        <v>99</v>
      </c>
      <c r="BB38" s="18">
        <v>625.5</v>
      </c>
      <c r="BC38" s="18">
        <v>598</v>
      </c>
      <c r="BD38" s="18">
        <v>76.5</v>
      </c>
      <c r="BE38" s="18">
        <v>108</v>
      </c>
      <c r="BF38" s="23">
        <v>28.648160000000001</v>
      </c>
      <c r="BG38" s="23">
        <v>77.077280000000002</v>
      </c>
      <c r="BH38" s="31">
        <f t="shared" si="31"/>
        <v>625.5</v>
      </c>
      <c r="BI38" s="31">
        <f t="shared" si="32"/>
        <v>598</v>
      </c>
      <c r="BJ38" s="37">
        <f t="shared" si="33"/>
        <v>27.5</v>
      </c>
      <c r="BK38" s="37">
        <f t="shared" si="34"/>
        <v>4.5986622073578589</v>
      </c>
      <c r="BL38" s="36">
        <f t="shared" si="35"/>
        <v>76.5</v>
      </c>
      <c r="BM38" s="36">
        <f t="shared" si="36"/>
        <v>108</v>
      </c>
      <c r="BN38" s="37">
        <f t="shared" si="37"/>
        <v>-31.5</v>
      </c>
      <c r="BO38" s="37">
        <f t="shared" si="38"/>
        <v>-29.166666666666668</v>
      </c>
      <c r="BP38" s="38">
        <f t="shared" si="39"/>
        <v>7427</v>
      </c>
      <c r="BQ38" s="39">
        <f>J38+N38+S38+W38+AA38+AE38+AI38+AM38+AQ38+AU38+Table1[[#This Row],[MS-0225]]+Table1[[#This Row],[MS-0325]]</f>
        <v>7226.5000449999998</v>
      </c>
      <c r="BR38" s="37">
        <f t="shared" si="40"/>
        <v>200.49995500000023</v>
      </c>
      <c r="BS38" s="37">
        <f t="shared" si="41"/>
        <v>2.7745098422676371</v>
      </c>
      <c r="BT38" s="36">
        <f t="shared" si="42"/>
        <v>1125</v>
      </c>
      <c r="BU38" s="36">
        <f t="shared" si="43"/>
        <v>1283.5</v>
      </c>
      <c r="BV38" s="37">
        <f t="shared" si="44"/>
        <v>-158.5</v>
      </c>
      <c r="BW38" s="37">
        <f t="shared" si="45"/>
        <v>-12.3490455784963</v>
      </c>
      <c r="BX38">
        <v>49.5</v>
      </c>
      <c r="BY38" s="83">
        <f t="shared" si="46"/>
        <v>7.9136690647482008E-2</v>
      </c>
      <c r="BZ38">
        <v>328.5</v>
      </c>
      <c r="CA38" s="83">
        <f t="shared" si="47"/>
        <v>4.4230510300255821E-2</v>
      </c>
      <c r="CB38" s="96">
        <f t="shared" si="48"/>
        <v>0.25395858708891594</v>
      </c>
      <c r="CC38" s="96">
        <f t="shared" si="49"/>
        <v>0.25360474978795589</v>
      </c>
      <c r="CD38" s="97">
        <f t="shared" si="50"/>
        <v>3.5383730096005817E-4</v>
      </c>
      <c r="CE38" s="96">
        <f t="shared" si="51"/>
        <v>0.29708737864077672</v>
      </c>
      <c r="CF38" s="96">
        <f t="shared" si="52"/>
        <v>0.33750000000000002</v>
      </c>
      <c r="CG38" s="96">
        <f t="shared" si="53"/>
        <v>-4.04126213592233E-2</v>
      </c>
      <c r="CH38" s="95">
        <f t="shared" si="54"/>
        <v>0.25159640237808906</v>
      </c>
      <c r="CI38" s="95">
        <f t="shared" si="55"/>
        <v>0.25316610994247729</v>
      </c>
      <c r="CJ38" s="98">
        <f t="shared" si="56"/>
        <v>-1.5697075643882341E-3</v>
      </c>
      <c r="CK38" s="95">
        <f t="shared" si="57"/>
        <v>0.32420749279538907</v>
      </c>
      <c r="CL38" s="95">
        <f t="shared" si="58"/>
        <v>0.31979568954777626</v>
      </c>
      <c r="CM38" s="98">
        <f t="shared" si="59"/>
        <v>4.4118032476128111E-3</v>
      </c>
      <c r="CN38" s="94">
        <f t="shared" si="60"/>
        <v>1.0063856095123562</v>
      </c>
      <c r="CO38" s="94">
        <f t="shared" si="61"/>
        <v>1.2968299711815563</v>
      </c>
    </row>
    <row r="39" spans="1:93" x14ac:dyDescent="0.35">
      <c r="A39" s="104">
        <v>186857</v>
      </c>
      <c r="B39" s="5" t="s">
        <v>581</v>
      </c>
      <c r="C39" s="46" t="s">
        <v>644</v>
      </c>
      <c r="D39" s="13" t="s">
        <v>568</v>
      </c>
      <c r="E39" s="6" t="s">
        <v>85</v>
      </c>
      <c r="F39" s="6" t="s">
        <v>373</v>
      </c>
      <c r="G39" s="12" t="s">
        <v>373</v>
      </c>
      <c r="H39" s="51" t="s">
        <v>120</v>
      </c>
      <c r="I39" s="24" t="s">
        <v>86</v>
      </c>
      <c r="J39" s="100">
        <v>146.5</v>
      </c>
      <c r="K39" s="100">
        <v>157.5</v>
      </c>
      <c r="L39" s="100">
        <v>21.5</v>
      </c>
      <c r="M39" s="100">
        <v>22.5</v>
      </c>
      <c r="N39" s="18">
        <v>164.5</v>
      </c>
      <c r="O39" s="18">
        <v>175.5</v>
      </c>
      <c r="P39" s="18">
        <v>21.5</v>
      </c>
      <c r="Q39" s="18">
        <v>22.5</v>
      </c>
      <c r="R39" s="100">
        <v>139.5</v>
      </c>
      <c r="S39" s="100">
        <v>165</v>
      </c>
      <c r="T39" s="100">
        <v>22.5</v>
      </c>
      <c r="U39" s="100">
        <v>27</v>
      </c>
      <c r="V39" s="100">
        <v>175.5</v>
      </c>
      <c r="W39" s="100">
        <v>157.5</v>
      </c>
      <c r="X39" s="100">
        <v>22.5</v>
      </c>
      <c r="Y39" s="100">
        <v>22.5</v>
      </c>
      <c r="Z39" s="100">
        <v>175.5</v>
      </c>
      <c r="AA39" s="100">
        <v>173</v>
      </c>
      <c r="AB39" s="100">
        <v>22.5</v>
      </c>
      <c r="AC39" s="100">
        <v>27</v>
      </c>
      <c r="AD39" s="100">
        <v>162</v>
      </c>
      <c r="AE39" s="100">
        <v>157.5</v>
      </c>
      <c r="AF39" s="100">
        <v>18</v>
      </c>
      <c r="AG39" s="100">
        <v>22.5</v>
      </c>
      <c r="AH39" s="100">
        <v>175.5</v>
      </c>
      <c r="AI39" s="100">
        <v>171</v>
      </c>
      <c r="AJ39" s="100">
        <v>22.5</v>
      </c>
      <c r="AK39" s="100">
        <v>27</v>
      </c>
      <c r="AL39" s="100">
        <v>175.5</v>
      </c>
      <c r="AM39" s="100">
        <v>166.5</v>
      </c>
      <c r="AN39" s="100">
        <v>22.5</v>
      </c>
      <c r="AO39" s="100">
        <v>13.5</v>
      </c>
      <c r="AP39" s="100">
        <v>162</v>
      </c>
      <c r="AQ39" s="100">
        <v>144</v>
      </c>
      <c r="AR39" s="100">
        <v>18</v>
      </c>
      <c r="AS39" s="100">
        <v>18</v>
      </c>
      <c r="AT39" s="100">
        <v>162</v>
      </c>
      <c r="AU39" s="100">
        <v>153</v>
      </c>
      <c r="AV39" s="100">
        <v>18</v>
      </c>
      <c r="AW39" s="100">
        <v>27</v>
      </c>
      <c r="AX39" s="100">
        <v>157.5</v>
      </c>
      <c r="AY39" s="100">
        <v>139.5</v>
      </c>
      <c r="AZ39" s="100">
        <v>22.5</v>
      </c>
      <c r="BA39" s="100">
        <v>22.5</v>
      </c>
      <c r="BB39" s="100">
        <v>184.5</v>
      </c>
      <c r="BC39" s="100">
        <v>157.5</v>
      </c>
      <c r="BD39" s="100">
        <v>67.5</v>
      </c>
      <c r="BE39" s="100">
        <v>22.5</v>
      </c>
      <c r="BF39" s="23">
        <v>28.656199999999998</v>
      </c>
      <c r="BG39" s="23">
        <v>77.090400000000002</v>
      </c>
      <c r="BH39" s="31">
        <f t="shared" si="31"/>
        <v>184.5</v>
      </c>
      <c r="BI39" s="31">
        <f t="shared" si="32"/>
        <v>157.5</v>
      </c>
      <c r="BJ39" s="37">
        <f t="shared" si="33"/>
        <v>27</v>
      </c>
      <c r="BK39" s="37">
        <f t="shared" si="34"/>
        <v>17.142857142857142</v>
      </c>
      <c r="BL39" s="36">
        <f t="shared" si="35"/>
        <v>67.5</v>
      </c>
      <c r="BM39" s="36">
        <f t="shared" si="36"/>
        <v>22.5</v>
      </c>
      <c r="BN39" s="37">
        <f t="shared" si="37"/>
        <v>45</v>
      </c>
      <c r="BO39" s="37">
        <f t="shared" si="38"/>
        <v>200</v>
      </c>
      <c r="BP39" s="38">
        <f t="shared" si="39"/>
        <v>2002.5</v>
      </c>
      <c r="BQ39" s="39">
        <f>J39+N39+S39+W39+AA39+AE39+AI39+AM39+AQ39+AU39+Table1[[#This Row],[MS-0225]]+Table1[[#This Row],[MS-0325]]</f>
        <v>1895.5</v>
      </c>
      <c r="BR39" s="37">
        <f t="shared" si="40"/>
        <v>107</v>
      </c>
      <c r="BS39" s="37">
        <f t="shared" si="41"/>
        <v>5.6449485623845952</v>
      </c>
      <c r="BT39" s="36">
        <f t="shared" si="42"/>
        <v>301.5</v>
      </c>
      <c r="BU39" s="36">
        <f t="shared" si="43"/>
        <v>272.5</v>
      </c>
      <c r="BV39" s="37">
        <f t="shared" si="44"/>
        <v>29</v>
      </c>
      <c r="BW39" s="37">
        <f t="shared" si="45"/>
        <v>10.642201834862385</v>
      </c>
      <c r="BX39">
        <v>0</v>
      </c>
      <c r="BY39" s="83">
        <f t="shared" si="46"/>
        <v>0</v>
      </c>
      <c r="BZ39">
        <v>0</v>
      </c>
      <c r="CA39" s="83">
        <f t="shared" si="47"/>
        <v>0</v>
      </c>
      <c r="CB39" s="96">
        <f t="shared" si="48"/>
        <v>0.11134580567290284</v>
      </c>
      <c r="CC39" s="96">
        <f t="shared" si="49"/>
        <v>9.840674789128398E-2</v>
      </c>
      <c r="CD39" s="97">
        <f t="shared" si="50"/>
        <v>1.2939057781618857E-2</v>
      </c>
      <c r="CE39" s="96">
        <f t="shared" si="51"/>
        <v>0.18267929634641408</v>
      </c>
      <c r="CF39" s="96">
        <f t="shared" si="52"/>
        <v>5.5487053020961775E-2</v>
      </c>
      <c r="CG39" s="96">
        <f t="shared" si="53"/>
        <v>0.12719224332545231</v>
      </c>
      <c r="CH39" s="95">
        <f t="shared" si="54"/>
        <v>0.10363297624592455</v>
      </c>
      <c r="CI39" s="95">
        <f t="shared" si="55"/>
        <v>9.980518108160033E-2</v>
      </c>
      <c r="CJ39" s="98">
        <f t="shared" si="56"/>
        <v>3.8277951643242158E-3</v>
      </c>
      <c r="CK39" s="95">
        <f t="shared" si="57"/>
        <v>7.1403197158081702E-2</v>
      </c>
      <c r="CL39" s="95">
        <f t="shared" si="58"/>
        <v>5.8817181092164904E-2</v>
      </c>
      <c r="CM39" s="98">
        <f t="shared" si="59"/>
        <v>1.2586016065916798E-2</v>
      </c>
      <c r="CN39" s="94">
        <f t="shared" si="60"/>
        <v>0.51816488122962268</v>
      </c>
      <c r="CO39" s="94">
        <f t="shared" si="61"/>
        <v>0.3570159857904085</v>
      </c>
    </row>
    <row r="40" spans="1:93" ht="24.5" x14ac:dyDescent="0.35">
      <c r="A40" s="104">
        <v>106269</v>
      </c>
      <c r="B40" s="5" t="s">
        <v>581</v>
      </c>
      <c r="C40" s="46" t="s">
        <v>766</v>
      </c>
      <c r="D40" s="13" t="s">
        <v>767</v>
      </c>
      <c r="E40" s="6" t="s">
        <v>81</v>
      </c>
      <c r="F40" s="6" t="s">
        <v>195</v>
      </c>
      <c r="G40" s="12" t="s">
        <v>195</v>
      </c>
      <c r="H40" s="51" t="s">
        <v>135</v>
      </c>
      <c r="I40" s="24" t="s">
        <v>83</v>
      </c>
      <c r="J40" s="100">
        <v>522</v>
      </c>
      <c r="K40" s="100">
        <v>555</v>
      </c>
      <c r="L40" s="100">
        <v>180</v>
      </c>
      <c r="M40" s="100">
        <v>165</v>
      </c>
      <c r="N40" s="18">
        <v>567</v>
      </c>
      <c r="O40" s="18">
        <v>605</v>
      </c>
      <c r="P40" s="18">
        <v>189</v>
      </c>
      <c r="Q40" s="18">
        <v>135</v>
      </c>
      <c r="R40" s="100">
        <v>550</v>
      </c>
      <c r="S40" s="100">
        <v>544.5</v>
      </c>
      <c r="T40" s="100">
        <v>130</v>
      </c>
      <c r="U40" s="100">
        <v>175.5</v>
      </c>
      <c r="V40" s="100">
        <v>612</v>
      </c>
      <c r="W40" s="100">
        <v>589.5</v>
      </c>
      <c r="X40" s="100">
        <v>150</v>
      </c>
      <c r="Y40" s="100">
        <v>166.5</v>
      </c>
      <c r="Z40" s="100">
        <v>585</v>
      </c>
      <c r="AA40" s="100">
        <v>609.5</v>
      </c>
      <c r="AB40" s="100">
        <v>155</v>
      </c>
      <c r="AC40" s="100">
        <v>168.5</v>
      </c>
      <c r="AD40" s="100">
        <v>580</v>
      </c>
      <c r="AE40" s="100">
        <v>535.5</v>
      </c>
      <c r="AF40" s="100">
        <v>160</v>
      </c>
      <c r="AG40" s="100">
        <v>148.5</v>
      </c>
      <c r="AH40" s="100">
        <v>580</v>
      </c>
      <c r="AI40" s="100">
        <v>575.5</v>
      </c>
      <c r="AJ40" s="100">
        <v>140</v>
      </c>
      <c r="AK40" s="100">
        <v>166.5</v>
      </c>
      <c r="AL40" s="100">
        <v>555</v>
      </c>
      <c r="AM40" s="100">
        <v>520</v>
      </c>
      <c r="AN40" s="100">
        <v>145</v>
      </c>
      <c r="AO40" s="100">
        <v>120</v>
      </c>
      <c r="AP40" s="100">
        <v>520</v>
      </c>
      <c r="AQ40" s="100">
        <v>530</v>
      </c>
      <c r="AR40" s="100">
        <v>120</v>
      </c>
      <c r="AS40" s="100">
        <v>110</v>
      </c>
      <c r="AT40" s="100">
        <v>540</v>
      </c>
      <c r="AU40" s="100">
        <v>525</v>
      </c>
      <c r="AV40" s="100">
        <v>140</v>
      </c>
      <c r="AW40" s="100">
        <v>135</v>
      </c>
      <c r="AX40" s="100">
        <v>545</v>
      </c>
      <c r="AY40" s="100">
        <v>480</v>
      </c>
      <c r="AZ40" s="100">
        <v>135</v>
      </c>
      <c r="BA40" s="100">
        <v>120</v>
      </c>
      <c r="BB40" s="100">
        <v>615</v>
      </c>
      <c r="BC40" s="100">
        <v>555</v>
      </c>
      <c r="BD40" s="100">
        <v>145</v>
      </c>
      <c r="BE40" s="100">
        <v>145</v>
      </c>
      <c r="BF40" s="23">
        <v>28.578900000000001</v>
      </c>
      <c r="BG40" s="23">
        <v>77.059600000000003</v>
      </c>
      <c r="BH40" s="31">
        <f t="shared" si="31"/>
        <v>615</v>
      </c>
      <c r="BI40" s="31">
        <f t="shared" si="32"/>
        <v>555</v>
      </c>
      <c r="BJ40" s="37">
        <f t="shared" si="33"/>
        <v>60</v>
      </c>
      <c r="BK40" s="37">
        <f t="shared" si="34"/>
        <v>10.810810810810811</v>
      </c>
      <c r="BL40" s="36">
        <f t="shared" si="35"/>
        <v>145</v>
      </c>
      <c r="BM40" s="36">
        <f t="shared" si="36"/>
        <v>145</v>
      </c>
      <c r="BN40" s="37">
        <f t="shared" si="37"/>
        <v>0</v>
      </c>
      <c r="BO40" s="37">
        <f t="shared" si="38"/>
        <v>0</v>
      </c>
      <c r="BP40" s="38">
        <f t="shared" si="39"/>
        <v>6842</v>
      </c>
      <c r="BQ40" s="39">
        <f>J40+N40+S40+W40+AA40+AE40+AI40+AM40+AQ40+AU40+Table1[[#This Row],[MS-0225]]+Table1[[#This Row],[MS-0325]]</f>
        <v>6553.5</v>
      </c>
      <c r="BR40" s="37">
        <f t="shared" si="40"/>
        <v>288.5</v>
      </c>
      <c r="BS40" s="37">
        <f t="shared" si="41"/>
        <v>4.402227817196918</v>
      </c>
      <c r="BT40" s="36">
        <f t="shared" si="42"/>
        <v>1720</v>
      </c>
      <c r="BU40" s="36">
        <f t="shared" si="43"/>
        <v>1824.5</v>
      </c>
      <c r="BV40" s="37">
        <f t="shared" si="44"/>
        <v>-104.5</v>
      </c>
      <c r="BW40" s="37">
        <f t="shared" si="45"/>
        <v>-5.727596601808715</v>
      </c>
      <c r="BX40">
        <v>0</v>
      </c>
      <c r="BY40" s="83">
        <f t="shared" si="46"/>
        <v>0</v>
      </c>
      <c r="BZ40">
        <v>0</v>
      </c>
      <c r="CA40" s="83">
        <f t="shared" si="47"/>
        <v>0</v>
      </c>
      <c r="CB40" s="96">
        <f t="shared" si="48"/>
        <v>0.16103692065985861</v>
      </c>
      <c r="CC40" s="96">
        <f t="shared" si="49"/>
        <v>0.15323025952512423</v>
      </c>
      <c r="CD40" s="97">
        <f t="shared" si="50"/>
        <v>7.8066611347343828E-3</v>
      </c>
      <c r="CE40" s="96">
        <f t="shared" si="51"/>
        <v>0.27001862197392923</v>
      </c>
      <c r="CF40" s="96">
        <f t="shared" si="52"/>
        <v>0.25438596491228072</v>
      </c>
      <c r="CG40" s="96">
        <f t="shared" si="53"/>
        <v>1.5632657061648514E-2</v>
      </c>
      <c r="CH40" s="95">
        <f t="shared" si="54"/>
        <v>0.15144204165652184</v>
      </c>
      <c r="CI40" s="95">
        <f t="shared" si="55"/>
        <v>0.15003434056316478</v>
      </c>
      <c r="CJ40" s="98">
        <f t="shared" si="56"/>
        <v>1.4077010933570555E-3</v>
      </c>
      <c r="CK40" s="95">
        <f t="shared" si="57"/>
        <v>0.26828887849009514</v>
      </c>
      <c r="CL40" s="95">
        <f t="shared" si="58"/>
        <v>0.25813525749858518</v>
      </c>
      <c r="CM40" s="98">
        <f t="shared" si="59"/>
        <v>1.015362099150996E-2</v>
      </c>
      <c r="CN40" s="94">
        <f t="shared" si="60"/>
        <v>1.0600942915956528</v>
      </c>
      <c r="CO40" s="94">
        <f t="shared" si="61"/>
        <v>1.8780221494306659</v>
      </c>
    </row>
    <row r="41" spans="1:93" ht="24.5" x14ac:dyDescent="0.35">
      <c r="A41" s="102">
        <v>112422</v>
      </c>
      <c r="B41" s="3" t="s">
        <v>72</v>
      </c>
      <c r="C41" s="42" t="s">
        <v>368</v>
      </c>
      <c r="D41" s="12" t="s">
        <v>369</v>
      </c>
      <c r="E41" s="4" t="s">
        <v>187</v>
      </c>
      <c r="F41" s="4" t="s">
        <v>370</v>
      </c>
      <c r="G41" s="12" t="s">
        <v>370</v>
      </c>
      <c r="H41" s="51" t="s">
        <v>189</v>
      </c>
      <c r="I41" s="23" t="s">
        <v>86</v>
      </c>
      <c r="J41" s="18">
        <v>585</v>
      </c>
      <c r="K41" s="18">
        <v>598.5</v>
      </c>
      <c r="L41" s="18">
        <v>99</v>
      </c>
      <c r="M41" s="18">
        <v>85.5</v>
      </c>
      <c r="N41" s="18">
        <v>648.00000299999999</v>
      </c>
      <c r="O41" s="18">
        <v>639</v>
      </c>
      <c r="P41" s="18">
        <v>126</v>
      </c>
      <c r="Q41" s="18">
        <v>81</v>
      </c>
      <c r="R41" s="18">
        <v>589.5</v>
      </c>
      <c r="S41" s="18">
        <v>634.50000299999999</v>
      </c>
      <c r="T41" s="18">
        <v>76.5</v>
      </c>
      <c r="U41" s="18">
        <v>121.5</v>
      </c>
      <c r="V41" s="18">
        <v>639</v>
      </c>
      <c r="W41" s="18">
        <v>661.5</v>
      </c>
      <c r="X41" s="18">
        <v>81</v>
      </c>
      <c r="Y41" s="18">
        <v>112.5</v>
      </c>
      <c r="Z41" s="18">
        <v>621</v>
      </c>
      <c r="AA41" s="18">
        <v>652.500001</v>
      </c>
      <c r="AB41" s="18">
        <v>81</v>
      </c>
      <c r="AC41" s="18">
        <v>103.5</v>
      </c>
      <c r="AD41" s="18">
        <v>603</v>
      </c>
      <c r="AE41" s="18">
        <v>652.50000199999999</v>
      </c>
      <c r="AF41" s="18">
        <v>81</v>
      </c>
      <c r="AG41" s="18">
        <v>103.5</v>
      </c>
      <c r="AH41" s="18">
        <v>621</v>
      </c>
      <c r="AI41" s="18">
        <v>652.5</v>
      </c>
      <c r="AJ41" s="18">
        <v>81</v>
      </c>
      <c r="AK41" s="18">
        <v>103.5</v>
      </c>
      <c r="AL41" s="18">
        <v>549</v>
      </c>
      <c r="AM41" s="18">
        <v>607.50000699999998</v>
      </c>
      <c r="AN41" s="18">
        <v>63</v>
      </c>
      <c r="AO41" s="18">
        <v>76.5</v>
      </c>
      <c r="AP41" s="18">
        <v>594</v>
      </c>
      <c r="AQ41" s="18">
        <v>594</v>
      </c>
      <c r="AR41" s="18">
        <v>72</v>
      </c>
      <c r="AS41" s="18">
        <v>72</v>
      </c>
      <c r="AT41" s="18">
        <v>553.5</v>
      </c>
      <c r="AU41" s="18">
        <v>607.5</v>
      </c>
      <c r="AV41" s="18">
        <v>76.5</v>
      </c>
      <c r="AW41" s="18">
        <v>94.5</v>
      </c>
      <c r="AX41" s="18">
        <v>533</v>
      </c>
      <c r="AY41" s="18">
        <v>535.5</v>
      </c>
      <c r="AZ41" s="18">
        <v>81</v>
      </c>
      <c r="BA41" s="18">
        <v>76.5</v>
      </c>
      <c r="BB41" s="18">
        <v>606.5</v>
      </c>
      <c r="BC41" s="18">
        <v>597.5</v>
      </c>
      <c r="BD41" s="18">
        <v>67.5</v>
      </c>
      <c r="BE41" s="18">
        <v>96.5</v>
      </c>
      <c r="BF41" s="23">
        <v>28.64254</v>
      </c>
      <c r="BG41" s="23">
        <v>77.176289999999995</v>
      </c>
      <c r="BH41" s="31">
        <f t="shared" si="31"/>
        <v>606.5</v>
      </c>
      <c r="BI41" s="31">
        <f t="shared" si="32"/>
        <v>597.5</v>
      </c>
      <c r="BJ41" s="37">
        <f t="shared" si="33"/>
        <v>9</v>
      </c>
      <c r="BK41" s="37">
        <f t="shared" si="34"/>
        <v>1.506276150627615</v>
      </c>
      <c r="BL41" s="36">
        <f t="shared" si="35"/>
        <v>67.5</v>
      </c>
      <c r="BM41" s="36">
        <f t="shared" si="36"/>
        <v>96.5</v>
      </c>
      <c r="BN41" s="37">
        <f t="shared" si="37"/>
        <v>-29</v>
      </c>
      <c r="BO41" s="37">
        <f t="shared" si="38"/>
        <v>-30.051813471502591</v>
      </c>
      <c r="BP41" s="38">
        <f t="shared" si="39"/>
        <v>7147</v>
      </c>
      <c r="BQ41" s="39">
        <f>J41+N41+S41+W41+AA41+AE41+AI41+AM41+AQ41+AU41+Table1[[#This Row],[MS-0225]]+Table1[[#This Row],[MS-0325]]</f>
        <v>7428.500016</v>
      </c>
      <c r="BR41" s="37">
        <f t="shared" si="40"/>
        <v>-281.50001599999996</v>
      </c>
      <c r="BS41" s="37">
        <f t="shared" si="41"/>
        <v>-3.7894597212584826</v>
      </c>
      <c r="BT41" s="36">
        <f t="shared" si="42"/>
        <v>927</v>
      </c>
      <c r="BU41" s="36">
        <f t="shared" si="43"/>
        <v>1185.5</v>
      </c>
      <c r="BV41" s="37">
        <f t="shared" si="44"/>
        <v>-258.5</v>
      </c>
      <c r="BW41" s="37">
        <f t="shared" si="45"/>
        <v>-21.805145508224378</v>
      </c>
      <c r="BX41">
        <v>58.5</v>
      </c>
      <c r="BY41" s="83">
        <f t="shared" si="46"/>
        <v>9.6455070074196209E-2</v>
      </c>
      <c r="BZ41">
        <v>261</v>
      </c>
      <c r="CA41" s="83">
        <f t="shared" si="47"/>
        <v>3.6518819084930737E-2</v>
      </c>
      <c r="CB41" s="96">
        <f t="shared" si="48"/>
        <v>0.35530169888693613</v>
      </c>
      <c r="CC41" s="96">
        <f t="shared" si="49"/>
        <v>0.38105867346938777</v>
      </c>
      <c r="CD41" s="97">
        <f t="shared" si="50"/>
        <v>-2.5756974582451631E-2</v>
      </c>
      <c r="CE41" s="96">
        <f t="shared" si="51"/>
        <v>0.23356401384083045</v>
      </c>
      <c r="CF41" s="96">
        <f t="shared" si="52"/>
        <v>0.30156250000000001</v>
      </c>
      <c r="CG41" s="96">
        <f t="shared" si="53"/>
        <v>-6.7998486159169563E-2</v>
      </c>
      <c r="CH41" s="95">
        <f t="shared" si="54"/>
        <v>0.36267221475147793</v>
      </c>
      <c r="CI41" s="95">
        <f t="shared" si="55"/>
        <v>0.39215013512778329</v>
      </c>
      <c r="CJ41" s="98">
        <f t="shared" si="56"/>
        <v>-2.9477920376305367E-2</v>
      </c>
      <c r="CK41" s="95">
        <f t="shared" si="57"/>
        <v>0.25331329416586967</v>
      </c>
      <c r="CL41" s="95">
        <f t="shared" si="58"/>
        <v>0.29293303681739558</v>
      </c>
      <c r="CM41" s="98">
        <f t="shared" si="59"/>
        <v>-3.9619742651525902E-2</v>
      </c>
      <c r="CN41" s="94">
        <f t="shared" si="60"/>
        <v>1.4506888590059117</v>
      </c>
      <c r="CO41" s="94">
        <f t="shared" si="61"/>
        <v>1.0132531766634787</v>
      </c>
    </row>
    <row r="42" spans="1:93" ht="36.5" x14ac:dyDescent="0.35">
      <c r="A42" s="103">
        <v>41084274</v>
      </c>
      <c r="B42" s="9" t="s">
        <v>380</v>
      </c>
      <c r="C42" s="47" t="s">
        <v>463</v>
      </c>
      <c r="D42" s="14" t="s">
        <v>464</v>
      </c>
      <c r="E42" s="10" t="s">
        <v>169</v>
      </c>
      <c r="F42" s="10" t="s">
        <v>100</v>
      </c>
      <c r="G42" s="12" t="s">
        <v>100</v>
      </c>
      <c r="H42" s="51" t="s">
        <v>77</v>
      </c>
      <c r="I42" s="25" t="s">
        <v>78</v>
      </c>
      <c r="J42" s="99">
        <v>528.5</v>
      </c>
      <c r="K42" s="99">
        <v>584</v>
      </c>
      <c r="L42" s="99">
        <v>115.5</v>
      </c>
      <c r="M42" s="99">
        <v>97</v>
      </c>
      <c r="N42" s="18">
        <v>601.5</v>
      </c>
      <c r="O42" s="18">
        <v>616.95987999999988</v>
      </c>
      <c r="P42" s="18">
        <v>125.5</v>
      </c>
      <c r="Q42" s="18">
        <v>108.00909</v>
      </c>
      <c r="R42" s="99">
        <v>563</v>
      </c>
      <c r="S42" s="99">
        <v>580.5</v>
      </c>
      <c r="T42" s="99">
        <v>101</v>
      </c>
      <c r="U42" s="99">
        <v>121.5</v>
      </c>
      <c r="V42" s="99">
        <v>619.33118000000002</v>
      </c>
      <c r="W42" s="99">
        <v>581.5</v>
      </c>
      <c r="X42" s="99">
        <v>97.938790000000012</v>
      </c>
      <c r="Y42" s="99">
        <v>124.5</v>
      </c>
      <c r="Z42" s="99">
        <v>620</v>
      </c>
      <c r="AA42" s="99">
        <v>649</v>
      </c>
      <c r="AB42" s="99">
        <v>99</v>
      </c>
      <c r="AC42" s="99">
        <v>116</v>
      </c>
      <c r="AD42" s="99">
        <v>613</v>
      </c>
      <c r="AE42" s="99">
        <v>567</v>
      </c>
      <c r="AF42" s="99">
        <v>89</v>
      </c>
      <c r="AG42" s="99">
        <v>108</v>
      </c>
      <c r="AH42" s="99">
        <v>611</v>
      </c>
      <c r="AI42" s="99">
        <v>593</v>
      </c>
      <c r="AJ42" s="99">
        <v>95</v>
      </c>
      <c r="AK42" s="99">
        <v>120</v>
      </c>
      <c r="AL42" s="99">
        <v>557</v>
      </c>
      <c r="AM42" s="99">
        <v>574.5</v>
      </c>
      <c r="AN42" s="99">
        <v>75</v>
      </c>
      <c r="AO42" s="99">
        <v>84.5</v>
      </c>
      <c r="AP42" s="99">
        <v>555</v>
      </c>
      <c r="AQ42" s="99">
        <v>526.5</v>
      </c>
      <c r="AR42" s="99">
        <v>75</v>
      </c>
      <c r="AS42" s="99">
        <v>81.5</v>
      </c>
      <c r="AT42" s="99">
        <v>534</v>
      </c>
      <c r="AU42" s="99">
        <v>551</v>
      </c>
      <c r="AV42" s="99">
        <v>75</v>
      </c>
      <c r="AW42" s="99">
        <v>89</v>
      </c>
      <c r="AX42" s="99">
        <v>518</v>
      </c>
      <c r="AY42" s="99">
        <v>387</v>
      </c>
      <c r="AZ42" s="99">
        <v>82</v>
      </c>
      <c r="BA42" s="99">
        <v>67.900000000000006</v>
      </c>
      <c r="BB42" s="99">
        <v>606</v>
      </c>
      <c r="BC42" s="99">
        <v>533</v>
      </c>
      <c r="BD42" s="99">
        <v>97</v>
      </c>
      <c r="BE42" s="99">
        <v>91</v>
      </c>
      <c r="BF42" s="23">
        <v>28.648354000000001</v>
      </c>
      <c r="BG42" s="23">
        <v>77.303487000000004</v>
      </c>
      <c r="BH42" s="31">
        <f t="shared" si="31"/>
        <v>606</v>
      </c>
      <c r="BI42" s="31">
        <f t="shared" si="32"/>
        <v>533</v>
      </c>
      <c r="BJ42" s="37">
        <f t="shared" si="33"/>
        <v>73</v>
      </c>
      <c r="BK42" s="37">
        <f t="shared" si="34"/>
        <v>13.696060037523452</v>
      </c>
      <c r="BL42" s="36">
        <f t="shared" si="35"/>
        <v>97</v>
      </c>
      <c r="BM42" s="36">
        <f t="shared" si="36"/>
        <v>91</v>
      </c>
      <c r="BN42" s="37">
        <f t="shared" si="37"/>
        <v>6</v>
      </c>
      <c r="BO42" s="37">
        <f t="shared" si="38"/>
        <v>6.593406593406594</v>
      </c>
      <c r="BP42" s="38">
        <f t="shared" si="39"/>
        <v>6997.2910599999996</v>
      </c>
      <c r="BQ42" s="39">
        <f>J42+N42+S42+W42+AA42+AE42+AI42+AM42+AQ42+AU42+Table1[[#This Row],[MS-0225]]+Table1[[#This Row],[MS-0325]]</f>
        <v>6673</v>
      </c>
      <c r="BR42" s="37">
        <f t="shared" si="40"/>
        <v>324.29105999999956</v>
      </c>
      <c r="BS42" s="37">
        <f t="shared" si="41"/>
        <v>4.8597491383185902</v>
      </c>
      <c r="BT42" s="36">
        <f t="shared" si="42"/>
        <v>1090.9478800000002</v>
      </c>
      <c r="BU42" s="36">
        <f t="shared" si="43"/>
        <v>1244.9000000000001</v>
      </c>
      <c r="BV42" s="37">
        <f t="shared" si="44"/>
        <v>-153.95211999999992</v>
      </c>
      <c r="BW42" s="37">
        <f t="shared" si="45"/>
        <v>-12.36662543176158</v>
      </c>
      <c r="BX42">
        <v>0</v>
      </c>
      <c r="BY42" s="83">
        <f t="shared" si="46"/>
        <v>0</v>
      </c>
      <c r="BZ42">
        <v>0</v>
      </c>
      <c r="CA42" s="83">
        <f t="shared" si="47"/>
        <v>0</v>
      </c>
      <c r="CB42" s="96">
        <f t="shared" si="48"/>
        <v>0.1467490010897203</v>
      </c>
      <c r="CC42" s="96">
        <f t="shared" si="49"/>
        <v>0.1404479578392622</v>
      </c>
      <c r="CD42" s="97">
        <f t="shared" si="50"/>
        <v>6.3010432504581049E-3</v>
      </c>
      <c r="CE42" s="96">
        <f t="shared" si="51"/>
        <v>0.15215686274509804</v>
      </c>
      <c r="CF42" s="96">
        <f t="shared" si="52"/>
        <v>0.13582089552238805</v>
      </c>
      <c r="CG42" s="96">
        <f t="shared" si="53"/>
        <v>1.6335967222709996E-2</v>
      </c>
      <c r="CH42" s="95">
        <f t="shared" si="54"/>
        <v>0.14254936835139695</v>
      </c>
      <c r="CI42" s="95">
        <f t="shared" si="55"/>
        <v>0.14580215192736828</v>
      </c>
      <c r="CJ42" s="98">
        <f t="shared" si="56"/>
        <v>-3.2527835759713353E-3</v>
      </c>
      <c r="CK42" s="95">
        <f t="shared" si="57"/>
        <v>0.14057795334358977</v>
      </c>
      <c r="CL42" s="95">
        <f t="shared" si="58"/>
        <v>0.14721394446809519</v>
      </c>
      <c r="CM42" s="98">
        <f t="shared" si="59"/>
        <v>-6.6359911245054137E-3</v>
      </c>
      <c r="CN42" s="94">
        <f t="shared" si="60"/>
        <v>1.1403949468111756</v>
      </c>
      <c r="CO42" s="94">
        <f t="shared" si="61"/>
        <v>1.1246236267487182</v>
      </c>
    </row>
    <row r="43" spans="1:93" ht="36.5" x14ac:dyDescent="0.35">
      <c r="A43" s="103">
        <v>41019292</v>
      </c>
      <c r="B43" s="9" t="s">
        <v>380</v>
      </c>
      <c r="C43" s="48" t="s">
        <v>468</v>
      </c>
      <c r="D43" s="14" t="s">
        <v>469</v>
      </c>
      <c r="E43" s="10" t="s">
        <v>81</v>
      </c>
      <c r="F43" s="10" t="s">
        <v>470</v>
      </c>
      <c r="G43" s="12" t="s">
        <v>470</v>
      </c>
      <c r="H43" s="51" t="s">
        <v>135</v>
      </c>
      <c r="I43" s="25" t="s">
        <v>83</v>
      </c>
      <c r="J43" s="99">
        <v>481.5</v>
      </c>
      <c r="K43" s="99">
        <v>530.5</v>
      </c>
      <c r="L43" s="99">
        <v>130.5</v>
      </c>
      <c r="M43" s="99">
        <v>125.5</v>
      </c>
      <c r="N43" s="18">
        <v>513</v>
      </c>
      <c r="O43" s="18">
        <v>563</v>
      </c>
      <c r="P43" s="18">
        <v>135</v>
      </c>
      <c r="Q43" s="18">
        <v>117</v>
      </c>
      <c r="R43" s="99">
        <v>551</v>
      </c>
      <c r="S43" s="99">
        <v>517.5</v>
      </c>
      <c r="T43" s="99">
        <v>109</v>
      </c>
      <c r="U43" s="99">
        <v>112.5</v>
      </c>
      <c r="V43" s="99">
        <v>612</v>
      </c>
      <c r="W43" s="99">
        <v>504</v>
      </c>
      <c r="X43" s="99">
        <v>110</v>
      </c>
      <c r="Y43" s="99">
        <v>108</v>
      </c>
      <c r="Z43" s="99">
        <v>616</v>
      </c>
      <c r="AA43" s="99">
        <v>549</v>
      </c>
      <c r="AB43" s="99">
        <v>108</v>
      </c>
      <c r="AC43" s="99">
        <v>99</v>
      </c>
      <c r="AD43" s="99">
        <v>596</v>
      </c>
      <c r="AE43" s="99">
        <v>510</v>
      </c>
      <c r="AF43" s="99">
        <v>149</v>
      </c>
      <c r="AG43" s="99">
        <v>107</v>
      </c>
      <c r="AH43" s="99">
        <v>597</v>
      </c>
      <c r="AI43" s="99">
        <v>498.5</v>
      </c>
      <c r="AJ43" s="99">
        <v>129</v>
      </c>
      <c r="AK43" s="99">
        <v>136.5</v>
      </c>
      <c r="AL43" s="99">
        <v>571</v>
      </c>
      <c r="AM43" s="99">
        <v>499.5</v>
      </c>
      <c r="AN43" s="99">
        <v>109</v>
      </c>
      <c r="AO43" s="99">
        <v>76.5</v>
      </c>
      <c r="AP43" s="99">
        <v>573</v>
      </c>
      <c r="AQ43" s="99">
        <v>504</v>
      </c>
      <c r="AR43" s="99">
        <v>109</v>
      </c>
      <c r="AS43" s="99">
        <v>90</v>
      </c>
      <c r="AT43" s="99">
        <v>546</v>
      </c>
      <c r="AU43" s="99">
        <v>472.5</v>
      </c>
      <c r="AV43" s="99">
        <v>133</v>
      </c>
      <c r="AW43" s="99">
        <v>121.5</v>
      </c>
      <c r="AX43" s="99">
        <v>549</v>
      </c>
      <c r="AY43" s="99">
        <v>492</v>
      </c>
      <c r="AZ43" s="99">
        <v>136</v>
      </c>
      <c r="BA43" s="99">
        <v>102</v>
      </c>
      <c r="BB43" s="99">
        <v>601.5</v>
      </c>
      <c r="BC43" s="99">
        <v>533</v>
      </c>
      <c r="BD43" s="99">
        <v>118.5</v>
      </c>
      <c r="BE43" s="99">
        <v>108</v>
      </c>
      <c r="BF43" s="23">
        <v>28.592766999999998</v>
      </c>
      <c r="BG43" s="23">
        <v>77.023387</v>
      </c>
      <c r="BH43" s="31">
        <f t="shared" si="31"/>
        <v>601.5</v>
      </c>
      <c r="BI43" s="31">
        <f t="shared" si="32"/>
        <v>533</v>
      </c>
      <c r="BJ43" s="37">
        <f t="shared" si="33"/>
        <v>68.5</v>
      </c>
      <c r="BK43" s="37">
        <f t="shared" si="34"/>
        <v>12.851782363977485</v>
      </c>
      <c r="BL43" s="36">
        <f t="shared" si="35"/>
        <v>118.5</v>
      </c>
      <c r="BM43" s="36">
        <f t="shared" si="36"/>
        <v>108</v>
      </c>
      <c r="BN43" s="37">
        <f t="shared" si="37"/>
        <v>10.5</v>
      </c>
      <c r="BO43" s="37">
        <f t="shared" si="38"/>
        <v>9.7222222222222232</v>
      </c>
      <c r="BP43" s="38">
        <f t="shared" si="39"/>
        <v>6906</v>
      </c>
      <c r="BQ43" s="39">
        <f>J43+N43+S43+W43+AA43+AE43+AI43+AM43+AQ43+AU43+Table1[[#This Row],[MS-0225]]+Table1[[#This Row],[MS-0325]]</f>
        <v>6074.5</v>
      </c>
      <c r="BR43" s="37">
        <f t="shared" si="40"/>
        <v>831.5</v>
      </c>
      <c r="BS43" s="37">
        <f t="shared" si="41"/>
        <v>13.688369413120421</v>
      </c>
      <c r="BT43" s="36">
        <f t="shared" si="42"/>
        <v>1453</v>
      </c>
      <c r="BU43" s="36">
        <f t="shared" si="43"/>
        <v>1326.5</v>
      </c>
      <c r="BV43" s="37">
        <f t="shared" si="44"/>
        <v>126.5</v>
      </c>
      <c r="BW43" s="37">
        <f t="shared" si="45"/>
        <v>9.5363739163211463</v>
      </c>
      <c r="BX43">
        <v>0</v>
      </c>
      <c r="BY43" s="83">
        <f t="shared" si="46"/>
        <v>0</v>
      </c>
      <c r="BZ43">
        <v>0</v>
      </c>
      <c r="CA43" s="83">
        <f t="shared" si="47"/>
        <v>0</v>
      </c>
      <c r="CB43" s="96">
        <f t="shared" si="48"/>
        <v>1</v>
      </c>
      <c r="CC43" s="96">
        <f t="shared" si="49"/>
        <v>1</v>
      </c>
      <c r="CD43" s="97">
        <f t="shared" si="50"/>
        <v>0</v>
      </c>
      <c r="CE43" s="96">
        <f t="shared" si="51"/>
        <v>1</v>
      </c>
      <c r="CF43" s="96">
        <f t="shared" si="52"/>
        <v>1</v>
      </c>
      <c r="CG43" s="96">
        <f t="shared" si="53"/>
        <v>0</v>
      </c>
      <c r="CH43" s="95">
        <f t="shared" si="54"/>
        <v>1</v>
      </c>
      <c r="CI43" s="95">
        <f t="shared" si="55"/>
        <v>1</v>
      </c>
      <c r="CJ43" s="98">
        <f t="shared" si="56"/>
        <v>0</v>
      </c>
      <c r="CK43" s="95">
        <f t="shared" si="57"/>
        <v>1</v>
      </c>
      <c r="CL43" s="95">
        <f t="shared" si="58"/>
        <v>1</v>
      </c>
      <c r="CM43" s="98">
        <f t="shared" si="59"/>
        <v>0</v>
      </c>
      <c r="CN43" s="94">
        <f t="shared" si="60"/>
        <v>1</v>
      </c>
      <c r="CO43" s="94">
        <f t="shared" si="61"/>
        <v>1</v>
      </c>
    </row>
    <row r="44" spans="1:93" ht="24.5" x14ac:dyDescent="0.35">
      <c r="A44" s="103">
        <v>41056491</v>
      </c>
      <c r="B44" s="9" t="s">
        <v>380</v>
      </c>
      <c r="C44" s="48" t="s">
        <v>539</v>
      </c>
      <c r="D44" s="14" t="s">
        <v>169</v>
      </c>
      <c r="E44" s="10" t="s">
        <v>169</v>
      </c>
      <c r="F44" s="10" t="s">
        <v>488</v>
      </c>
      <c r="G44" s="12" t="s">
        <v>488</v>
      </c>
      <c r="H44" s="51" t="s">
        <v>172</v>
      </c>
      <c r="I44" s="25" t="s">
        <v>78</v>
      </c>
      <c r="J44" s="99">
        <v>516.5</v>
      </c>
      <c r="K44" s="99">
        <v>576</v>
      </c>
      <c r="L44" s="99">
        <v>83.5</v>
      </c>
      <c r="M44" s="99">
        <v>74</v>
      </c>
      <c r="N44" s="18">
        <v>553</v>
      </c>
      <c r="O44" s="18">
        <v>631</v>
      </c>
      <c r="P44" s="18">
        <v>87</v>
      </c>
      <c r="Q44" s="18">
        <v>71</v>
      </c>
      <c r="R44" s="99">
        <v>592</v>
      </c>
      <c r="S44" s="99">
        <v>480.5</v>
      </c>
      <c r="T44" s="99">
        <v>75</v>
      </c>
      <c r="U44" s="99">
        <v>71.5</v>
      </c>
      <c r="V44" s="99">
        <v>623</v>
      </c>
      <c r="W44" s="99">
        <v>582</v>
      </c>
      <c r="X44" s="99">
        <v>69</v>
      </c>
      <c r="Y44" s="99">
        <v>76</v>
      </c>
      <c r="Z44" s="99">
        <v>632</v>
      </c>
      <c r="AA44" s="99">
        <v>592</v>
      </c>
      <c r="AB44" s="99">
        <v>64</v>
      </c>
      <c r="AC44" s="99">
        <v>51</v>
      </c>
      <c r="AD44" s="99">
        <v>568</v>
      </c>
      <c r="AE44" s="99">
        <v>572</v>
      </c>
      <c r="AF44" s="99">
        <v>70</v>
      </c>
      <c r="AG44" s="99">
        <v>77</v>
      </c>
      <c r="AH44" s="99">
        <v>631</v>
      </c>
      <c r="AI44" s="99">
        <v>609</v>
      </c>
      <c r="AJ44" s="99">
        <v>72</v>
      </c>
      <c r="AK44" s="99">
        <v>84</v>
      </c>
      <c r="AL44" s="99">
        <v>640</v>
      </c>
      <c r="AM44" s="99">
        <v>619.5</v>
      </c>
      <c r="AN44" s="99">
        <v>59</v>
      </c>
      <c r="AO44" s="99">
        <v>70.5</v>
      </c>
      <c r="AP44" s="99">
        <v>572</v>
      </c>
      <c r="AQ44" s="99">
        <v>602.5</v>
      </c>
      <c r="AR44" s="99">
        <v>66</v>
      </c>
      <c r="AS44" s="99">
        <v>71.5</v>
      </c>
      <c r="AT44" s="99">
        <v>559.5</v>
      </c>
      <c r="AU44" s="99">
        <v>566</v>
      </c>
      <c r="AV44" s="99">
        <v>67.5</v>
      </c>
      <c r="AW44" s="99">
        <v>77</v>
      </c>
      <c r="AX44" s="99">
        <v>565.5</v>
      </c>
      <c r="AY44" s="99">
        <v>575</v>
      </c>
      <c r="AZ44" s="99">
        <v>61.5</v>
      </c>
      <c r="BA44" s="99">
        <v>73</v>
      </c>
      <c r="BB44" s="99">
        <v>601</v>
      </c>
      <c r="BC44" s="99">
        <v>584</v>
      </c>
      <c r="BD44" s="99">
        <v>58</v>
      </c>
      <c r="BE44" s="99">
        <v>67</v>
      </c>
      <c r="BF44" s="23">
        <v>28.67315</v>
      </c>
      <c r="BG44" s="23">
        <v>77.278310000000005</v>
      </c>
      <c r="BH44" s="31">
        <f t="shared" si="31"/>
        <v>601</v>
      </c>
      <c r="BI44" s="31">
        <f t="shared" si="32"/>
        <v>584</v>
      </c>
      <c r="BJ44" s="37">
        <f t="shared" si="33"/>
        <v>17</v>
      </c>
      <c r="BK44" s="37">
        <f t="shared" si="34"/>
        <v>2.9109589041095889</v>
      </c>
      <c r="BL44" s="36">
        <f t="shared" si="35"/>
        <v>58</v>
      </c>
      <c r="BM44" s="36">
        <f t="shared" si="36"/>
        <v>67</v>
      </c>
      <c r="BN44" s="37">
        <f t="shared" si="37"/>
        <v>-9</v>
      </c>
      <c r="BO44" s="37">
        <f t="shared" si="38"/>
        <v>-13.432835820895523</v>
      </c>
      <c r="BP44" s="38">
        <f t="shared" si="39"/>
        <v>7191</v>
      </c>
      <c r="BQ44" s="39">
        <f>J44+N44+S44+W44+AA44+AE44+AI44+AM44+AQ44+AU44+Table1[[#This Row],[MS-0225]]+Table1[[#This Row],[MS-0325]]</f>
        <v>6852</v>
      </c>
      <c r="BR44" s="37">
        <f t="shared" si="40"/>
        <v>339</v>
      </c>
      <c r="BS44" s="37">
        <f t="shared" si="41"/>
        <v>4.9474605954465849</v>
      </c>
      <c r="BT44" s="36">
        <f t="shared" si="42"/>
        <v>807</v>
      </c>
      <c r="BU44" s="36">
        <f t="shared" si="43"/>
        <v>889</v>
      </c>
      <c r="BV44" s="37">
        <f t="shared" si="44"/>
        <v>-82</v>
      </c>
      <c r="BW44" s="37">
        <f t="shared" si="45"/>
        <v>-9.2238470191226085</v>
      </c>
      <c r="BX44">
        <v>0</v>
      </c>
      <c r="BY44" s="83">
        <f t="shared" si="46"/>
        <v>0</v>
      </c>
      <c r="BZ44">
        <v>0</v>
      </c>
      <c r="CA44" s="83">
        <f t="shared" si="47"/>
        <v>0</v>
      </c>
      <c r="CB44" s="96">
        <f t="shared" si="48"/>
        <v>0.26522506619594</v>
      </c>
      <c r="CC44" s="96">
        <f t="shared" si="49"/>
        <v>0.27328029948525973</v>
      </c>
      <c r="CD44" s="97">
        <f t="shared" si="50"/>
        <v>-8.0552332893197298E-3</v>
      </c>
      <c r="CE44" s="96">
        <f t="shared" si="51"/>
        <v>0.25438596491228072</v>
      </c>
      <c r="CF44" s="96">
        <f t="shared" si="52"/>
        <v>0.26800000000000002</v>
      </c>
      <c r="CG44" s="96">
        <f t="shared" si="53"/>
        <v>-1.3614035087719301E-2</v>
      </c>
      <c r="CH44" s="95">
        <f t="shared" si="54"/>
        <v>0.27652374543357044</v>
      </c>
      <c r="CI44" s="95">
        <f t="shared" si="55"/>
        <v>0.2771956794368704</v>
      </c>
      <c r="CJ44" s="98">
        <f t="shared" si="56"/>
        <v>-6.7193400329995656E-4</v>
      </c>
      <c r="CK44" s="95">
        <f t="shared" si="57"/>
        <v>0.28059805285118222</v>
      </c>
      <c r="CL44" s="95">
        <f t="shared" si="58"/>
        <v>0.28622021893110111</v>
      </c>
      <c r="CM44" s="98">
        <f t="shared" si="59"/>
        <v>-5.6221660799188888E-3</v>
      </c>
      <c r="CN44" s="94">
        <f t="shared" si="60"/>
        <v>1.3826187271678523</v>
      </c>
      <c r="CO44" s="94">
        <f t="shared" si="61"/>
        <v>1.4029902642559111</v>
      </c>
    </row>
    <row r="45" spans="1:93" x14ac:dyDescent="0.35">
      <c r="A45" s="104">
        <v>211064</v>
      </c>
      <c r="B45" s="5" t="s">
        <v>581</v>
      </c>
      <c r="C45" s="46" t="s">
        <v>846</v>
      </c>
      <c r="D45" s="13" t="s">
        <v>847</v>
      </c>
      <c r="E45" s="6" t="s">
        <v>89</v>
      </c>
      <c r="F45" s="6" t="s">
        <v>342</v>
      </c>
      <c r="G45" s="12" t="s">
        <v>204</v>
      </c>
      <c r="H45" s="51" t="s">
        <v>205</v>
      </c>
      <c r="I45" s="24" t="s">
        <v>86</v>
      </c>
      <c r="J45" s="100">
        <v>364.5</v>
      </c>
      <c r="K45" s="100">
        <v>346.5</v>
      </c>
      <c r="L45" s="100">
        <v>265.5</v>
      </c>
      <c r="M45" s="100">
        <v>319.5</v>
      </c>
      <c r="N45" s="18">
        <v>396</v>
      </c>
      <c r="O45" s="18">
        <v>360</v>
      </c>
      <c r="P45" s="18">
        <v>306</v>
      </c>
      <c r="Q45" s="18">
        <v>252</v>
      </c>
      <c r="R45" s="100">
        <v>346.5</v>
      </c>
      <c r="S45" s="100">
        <v>387</v>
      </c>
      <c r="T45" s="100">
        <v>211.5</v>
      </c>
      <c r="U45" s="100">
        <v>261</v>
      </c>
      <c r="V45" s="100">
        <v>369</v>
      </c>
      <c r="W45" s="100">
        <v>391.5</v>
      </c>
      <c r="X45" s="100">
        <v>207</v>
      </c>
      <c r="Y45" s="100">
        <v>328.5</v>
      </c>
      <c r="Z45" s="100">
        <v>360</v>
      </c>
      <c r="AA45" s="100">
        <v>391.5</v>
      </c>
      <c r="AB45" s="100">
        <v>234</v>
      </c>
      <c r="AC45" s="100">
        <v>292.5</v>
      </c>
      <c r="AD45" s="100">
        <v>351</v>
      </c>
      <c r="AE45" s="100">
        <v>378</v>
      </c>
      <c r="AF45" s="100">
        <v>279</v>
      </c>
      <c r="AG45" s="100">
        <v>270</v>
      </c>
      <c r="AH45" s="100">
        <v>367.5</v>
      </c>
      <c r="AI45" s="100">
        <v>382.5</v>
      </c>
      <c r="AJ45" s="100">
        <v>232.5</v>
      </c>
      <c r="AK45" s="100">
        <v>301.5</v>
      </c>
      <c r="AL45" s="100">
        <v>350</v>
      </c>
      <c r="AM45" s="100">
        <v>360</v>
      </c>
      <c r="AN45" s="100">
        <v>270</v>
      </c>
      <c r="AO45" s="100">
        <v>234</v>
      </c>
      <c r="AP45" s="100">
        <v>345</v>
      </c>
      <c r="AQ45" s="100">
        <v>346.5</v>
      </c>
      <c r="AR45" s="100">
        <v>235</v>
      </c>
      <c r="AS45" s="100">
        <v>247.5</v>
      </c>
      <c r="AT45" s="100">
        <v>320</v>
      </c>
      <c r="AU45" s="100">
        <v>355.5</v>
      </c>
      <c r="AV45" s="100">
        <v>220</v>
      </c>
      <c r="AW45" s="100">
        <v>274.5</v>
      </c>
      <c r="AX45" s="100">
        <v>315</v>
      </c>
      <c r="AY45" s="100">
        <v>324</v>
      </c>
      <c r="AZ45" s="100">
        <v>285</v>
      </c>
      <c r="BA45" s="100">
        <v>252</v>
      </c>
      <c r="BB45" s="100">
        <v>400</v>
      </c>
      <c r="BC45" s="100">
        <v>373.5</v>
      </c>
      <c r="BD45" s="100">
        <v>300</v>
      </c>
      <c r="BE45" s="100">
        <v>256.5</v>
      </c>
      <c r="BF45" s="23">
        <v>28.716699999999999</v>
      </c>
      <c r="BG45" s="23">
        <v>77.116200000000006</v>
      </c>
      <c r="BH45" s="31">
        <f t="shared" si="31"/>
        <v>400</v>
      </c>
      <c r="BI45" s="31">
        <f t="shared" si="32"/>
        <v>373.5</v>
      </c>
      <c r="BJ45" s="37">
        <f t="shared" si="33"/>
        <v>26.5</v>
      </c>
      <c r="BK45" s="37">
        <f t="shared" si="34"/>
        <v>7.0950468540829981</v>
      </c>
      <c r="BL45" s="36">
        <f t="shared" si="35"/>
        <v>300</v>
      </c>
      <c r="BM45" s="36">
        <f t="shared" si="36"/>
        <v>256.5</v>
      </c>
      <c r="BN45" s="37">
        <f t="shared" si="37"/>
        <v>43.5</v>
      </c>
      <c r="BO45" s="37">
        <f t="shared" si="38"/>
        <v>16.959064327485379</v>
      </c>
      <c r="BP45" s="38">
        <f t="shared" si="39"/>
        <v>4230.5</v>
      </c>
      <c r="BQ45" s="39">
        <f>J45+N45+S45+W45+AA45+AE45+AI45+AM45+AQ45+AU45+Table1[[#This Row],[MS-0225]]+Table1[[#This Row],[MS-0325]]</f>
        <v>4450.5</v>
      </c>
      <c r="BR45" s="37">
        <f t="shared" si="40"/>
        <v>-220</v>
      </c>
      <c r="BS45" s="37">
        <f t="shared" si="41"/>
        <v>-4.9432648017076728</v>
      </c>
      <c r="BT45" s="36">
        <f t="shared" si="42"/>
        <v>3045.5</v>
      </c>
      <c r="BU45" s="36">
        <f t="shared" si="43"/>
        <v>3289.5</v>
      </c>
      <c r="BV45" s="37">
        <f t="shared" si="44"/>
        <v>-244</v>
      </c>
      <c r="BW45" s="37">
        <f t="shared" si="45"/>
        <v>-7.4175406596747218</v>
      </c>
      <c r="BX45">
        <v>0</v>
      </c>
      <c r="BY45" s="83">
        <f t="shared" si="46"/>
        <v>0</v>
      </c>
      <c r="BZ45">
        <v>0</v>
      </c>
      <c r="CA45" s="83">
        <f t="shared" si="47"/>
        <v>0</v>
      </c>
      <c r="CB45" s="96">
        <f t="shared" si="48"/>
        <v>0.13048442342195402</v>
      </c>
      <c r="CC45" s="96">
        <f t="shared" si="49"/>
        <v>0.1419612314709236</v>
      </c>
      <c r="CD45" s="97">
        <f t="shared" si="50"/>
        <v>-1.1476808048969583E-2</v>
      </c>
      <c r="CE45" s="96">
        <f t="shared" si="51"/>
        <v>0.28749401054144708</v>
      </c>
      <c r="CF45" s="96">
        <f t="shared" si="52"/>
        <v>0.2544642857142857</v>
      </c>
      <c r="CG45" s="96">
        <f t="shared" si="53"/>
        <v>3.3029724827161377E-2</v>
      </c>
      <c r="CH45" s="95">
        <f t="shared" si="54"/>
        <v>0.12076274210353539</v>
      </c>
      <c r="CI45" s="95">
        <f t="shared" si="55"/>
        <v>0.14139119659351662</v>
      </c>
      <c r="CJ45" s="98">
        <f t="shared" si="56"/>
        <v>-2.0628454489981227E-2</v>
      </c>
      <c r="CK45" s="95">
        <f t="shared" si="57"/>
        <v>0.25946751863684769</v>
      </c>
      <c r="CL45" s="95">
        <f t="shared" si="58"/>
        <v>0.25312608210534415</v>
      </c>
      <c r="CM45" s="98">
        <f t="shared" si="59"/>
        <v>6.3414365315035415E-3</v>
      </c>
      <c r="CN45" s="94">
        <f t="shared" si="60"/>
        <v>1.0868646789318186</v>
      </c>
      <c r="CO45" s="94">
        <f t="shared" si="61"/>
        <v>2.3352076677316291</v>
      </c>
    </row>
    <row r="46" spans="1:93" ht="36.5" x14ac:dyDescent="0.35">
      <c r="A46" s="104">
        <v>190058</v>
      </c>
      <c r="B46" s="5" t="s">
        <v>581</v>
      </c>
      <c r="C46" s="46" t="s">
        <v>761</v>
      </c>
      <c r="D46" s="13" t="s">
        <v>762</v>
      </c>
      <c r="E46" s="6" t="s">
        <v>103</v>
      </c>
      <c r="F46" s="6" t="s">
        <v>763</v>
      </c>
      <c r="G46" s="12" t="s">
        <v>763</v>
      </c>
      <c r="H46" s="51" t="s">
        <v>96</v>
      </c>
      <c r="I46" s="24" t="s">
        <v>83</v>
      </c>
      <c r="J46" s="100">
        <v>535.5</v>
      </c>
      <c r="K46" s="100">
        <v>563</v>
      </c>
      <c r="L46" s="100">
        <v>238.5</v>
      </c>
      <c r="M46" s="100">
        <v>235</v>
      </c>
      <c r="N46" s="18">
        <v>544.5</v>
      </c>
      <c r="O46" s="18">
        <v>508</v>
      </c>
      <c r="P46" s="18">
        <v>247.5</v>
      </c>
      <c r="Q46" s="18">
        <v>248</v>
      </c>
      <c r="R46" s="100">
        <v>470</v>
      </c>
      <c r="S46" s="100">
        <v>553</v>
      </c>
      <c r="T46" s="100">
        <v>230</v>
      </c>
      <c r="U46" s="100">
        <v>243</v>
      </c>
      <c r="V46" s="100">
        <v>468.5</v>
      </c>
      <c r="W46" s="100">
        <v>581.5</v>
      </c>
      <c r="X46" s="100">
        <v>229.5</v>
      </c>
      <c r="Y46" s="100">
        <v>248.5</v>
      </c>
      <c r="Z46" s="100">
        <v>555</v>
      </c>
      <c r="AA46" s="100">
        <v>585</v>
      </c>
      <c r="AB46" s="100">
        <v>265</v>
      </c>
      <c r="AC46" s="100">
        <v>243</v>
      </c>
      <c r="AD46" s="100">
        <v>565</v>
      </c>
      <c r="AE46" s="100">
        <v>576</v>
      </c>
      <c r="AF46" s="100">
        <v>235</v>
      </c>
      <c r="AG46" s="100">
        <v>216</v>
      </c>
      <c r="AH46" s="100">
        <v>585</v>
      </c>
      <c r="AI46" s="100">
        <v>585</v>
      </c>
      <c r="AJ46" s="100">
        <v>175</v>
      </c>
      <c r="AK46" s="100">
        <v>207</v>
      </c>
      <c r="AL46" s="100">
        <v>565</v>
      </c>
      <c r="AM46" s="100">
        <v>553.5</v>
      </c>
      <c r="AN46" s="100">
        <v>135</v>
      </c>
      <c r="AO46" s="100">
        <v>171</v>
      </c>
      <c r="AP46" s="100">
        <v>530</v>
      </c>
      <c r="AQ46" s="100">
        <v>558</v>
      </c>
      <c r="AR46" s="100">
        <v>130</v>
      </c>
      <c r="AS46" s="100">
        <v>162</v>
      </c>
      <c r="AT46" s="100">
        <v>545</v>
      </c>
      <c r="AU46" s="100">
        <v>526.5</v>
      </c>
      <c r="AV46" s="100">
        <v>135</v>
      </c>
      <c r="AW46" s="100">
        <v>175.5</v>
      </c>
      <c r="AX46" s="100">
        <v>555</v>
      </c>
      <c r="AY46" s="100">
        <v>506</v>
      </c>
      <c r="AZ46" s="100">
        <v>145</v>
      </c>
      <c r="BA46" s="100">
        <v>188</v>
      </c>
      <c r="BB46" s="100">
        <v>592.5</v>
      </c>
      <c r="BC46" s="100">
        <v>543.5</v>
      </c>
      <c r="BD46" s="100">
        <v>163.5</v>
      </c>
      <c r="BE46" s="100">
        <v>194.5</v>
      </c>
      <c r="BF46" s="23">
        <v>28.495000000000001</v>
      </c>
      <c r="BG46" s="23">
        <v>77.150800000000004</v>
      </c>
      <c r="BH46" s="31">
        <f t="shared" si="31"/>
        <v>592.5</v>
      </c>
      <c r="BI46" s="31">
        <f t="shared" si="32"/>
        <v>543.5</v>
      </c>
      <c r="BJ46" s="37">
        <f t="shared" si="33"/>
        <v>49</v>
      </c>
      <c r="BK46" s="37">
        <f t="shared" si="34"/>
        <v>9.0156393744250227</v>
      </c>
      <c r="BL46" s="36">
        <f t="shared" si="35"/>
        <v>163.5</v>
      </c>
      <c r="BM46" s="36">
        <f t="shared" si="36"/>
        <v>194.5</v>
      </c>
      <c r="BN46" s="37">
        <f t="shared" si="37"/>
        <v>-31</v>
      </c>
      <c r="BO46" s="37">
        <f t="shared" si="38"/>
        <v>-15.938303341902312</v>
      </c>
      <c r="BP46" s="38">
        <f t="shared" si="39"/>
        <v>6502</v>
      </c>
      <c r="BQ46" s="39">
        <f>J46+N46+S46+W46+AA46+AE46+AI46+AM46+AQ46+AU46+Table1[[#This Row],[MS-0225]]+Table1[[#This Row],[MS-0325]]</f>
        <v>6648</v>
      </c>
      <c r="BR46" s="37">
        <f t="shared" si="40"/>
        <v>-146</v>
      </c>
      <c r="BS46" s="37">
        <f t="shared" si="41"/>
        <v>-2.1961492178098676</v>
      </c>
      <c r="BT46" s="36">
        <f t="shared" si="42"/>
        <v>2326</v>
      </c>
      <c r="BU46" s="36">
        <f t="shared" si="43"/>
        <v>2534.5</v>
      </c>
      <c r="BV46" s="37">
        <f t="shared" si="44"/>
        <v>-208.5</v>
      </c>
      <c r="BW46" s="37">
        <f t="shared" si="45"/>
        <v>-8.2264746498323138</v>
      </c>
      <c r="BX46">
        <v>0</v>
      </c>
      <c r="BY46" s="83">
        <f t="shared" si="46"/>
        <v>0</v>
      </c>
      <c r="BZ46">
        <v>0</v>
      </c>
      <c r="CA46" s="83">
        <f t="shared" si="47"/>
        <v>0</v>
      </c>
      <c r="CB46" s="96">
        <f t="shared" si="48"/>
        <v>0.42276132714948272</v>
      </c>
      <c r="CC46" s="96">
        <f t="shared" si="49"/>
        <v>0.44421740907233348</v>
      </c>
      <c r="CD46" s="97">
        <f t="shared" si="50"/>
        <v>-2.1456081922850756E-2</v>
      </c>
      <c r="CE46" s="96">
        <f t="shared" si="51"/>
        <v>0.42522756827048114</v>
      </c>
      <c r="CF46" s="96">
        <f t="shared" si="52"/>
        <v>0.50585175552665795</v>
      </c>
      <c r="CG46" s="96">
        <f t="shared" si="53"/>
        <v>-8.0624187256176816E-2</v>
      </c>
      <c r="CH46" s="95">
        <f t="shared" si="54"/>
        <v>0.41077802697665605</v>
      </c>
      <c r="CI46" s="95">
        <f t="shared" si="55"/>
        <v>0.44660911625407274</v>
      </c>
      <c r="CJ46" s="98">
        <f t="shared" si="56"/>
        <v>-3.5831089277416683E-2</v>
      </c>
      <c r="CK46" s="95">
        <f t="shared" si="57"/>
        <v>0.47474232064496374</v>
      </c>
      <c r="CL46" s="95">
        <f t="shared" si="58"/>
        <v>0.49165858389912709</v>
      </c>
      <c r="CM46" s="98">
        <f t="shared" si="59"/>
        <v>-1.6916263254163344E-2</v>
      </c>
      <c r="CN46" s="94">
        <f t="shared" si="60"/>
        <v>0.8215560539533121</v>
      </c>
      <c r="CO46" s="94">
        <f t="shared" si="61"/>
        <v>0.94948464128992749</v>
      </c>
    </row>
    <row r="47" spans="1:93" x14ac:dyDescent="0.35">
      <c r="A47" s="104">
        <v>102112</v>
      </c>
      <c r="B47" s="5" t="s">
        <v>581</v>
      </c>
      <c r="C47" s="46" t="s">
        <v>732</v>
      </c>
      <c r="D47" s="13" t="s">
        <v>733</v>
      </c>
      <c r="E47" s="6" t="s">
        <v>111</v>
      </c>
      <c r="F47" s="6" t="s">
        <v>247</v>
      </c>
      <c r="G47" s="12" t="s">
        <v>247</v>
      </c>
      <c r="H47" s="51" t="s">
        <v>248</v>
      </c>
      <c r="I47" s="24" t="s">
        <v>78</v>
      </c>
      <c r="J47" s="100">
        <v>463.5</v>
      </c>
      <c r="K47" s="100">
        <v>549</v>
      </c>
      <c r="L47" s="100">
        <v>112.5</v>
      </c>
      <c r="M47" s="100">
        <v>135</v>
      </c>
      <c r="N47" s="18">
        <v>526.5</v>
      </c>
      <c r="O47" s="18">
        <v>571.5</v>
      </c>
      <c r="P47" s="18">
        <v>139.5</v>
      </c>
      <c r="Q47" s="18">
        <v>112.5</v>
      </c>
      <c r="R47" s="100">
        <v>549</v>
      </c>
      <c r="S47" s="100">
        <v>499.5</v>
      </c>
      <c r="T47" s="100">
        <v>117</v>
      </c>
      <c r="U47" s="100">
        <v>130.5</v>
      </c>
      <c r="V47" s="100">
        <v>589.5</v>
      </c>
      <c r="W47" s="100">
        <v>522</v>
      </c>
      <c r="X47" s="100">
        <v>112.5</v>
      </c>
      <c r="Y47" s="100">
        <v>126</v>
      </c>
      <c r="Z47" s="100">
        <v>571.5</v>
      </c>
      <c r="AA47" s="100">
        <v>549</v>
      </c>
      <c r="AB47" s="100">
        <v>112.5</v>
      </c>
      <c r="AC47" s="100">
        <v>117</v>
      </c>
      <c r="AD47" s="100">
        <v>549</v>
      </c>
      <c r="AE47" s="100">
        <v>504</v>
      </c>
      <c r="AF47" s="100">
        <v>99</v>
      </c>
      <c r="AG47" s="100">
        <v>108</v>
      </c>
      <c r="AH47" s="100">
        <v>580.5</v>
      </c>
      <c r="AI47" s="100">
        <v>540</v>
      </c>
      <c r="AJ47" s="100">
        <v>103.5</v>
      </c>
      <c r="AK47" s="100">
        <v>126</v>
      </c>
      <c r="AL47" s="100">
        <v>567</v>
      </c>
      <c r="AM47" s="100">
        <v>508.5</v>
      </c>
      <c r="AN47" s="100">
        <v>99</v>
      </c>
      <c r="AO47" s="100">
        <v>103.5</v>
      </c>
      <c r="AP47" s="100">
        <v>585</v>
      </c>
      <c r="AQ47" s="100">
        <v>504</v>
      </c>
      <c r="AR47" s="100">
        <v>117</v>
      </c>
      <c r="AS47" s="100">
        <v>108</v>
      </c>
      <c r="AT47" s="100">
        <v>562.5</v>
      </c>
      <c r="AU47" s="100">
        <v>495</v>
      </c>
      <c r="AV47" s="100">
        <v>103.5</v>
      </c>
      <c r="AW47" s="100">
        <v>99</v>
      </c>
      <c r="AX47" s="100">
        <v>562.5</v>
      </c>
      <c r="AY47" s="100">
        <v>468</v>
      </c>
      <c r="AZ47" s="100">
        <v>103.5</v>
      </c>
      <c r="BA47" s="100">
        <v>108</v>
      </c>
      <c r="BB47" s="100">
        <v>589.5</v>
      </c>
      <c r="BC47" s="100">
        <v>522</v>
      </c>
      <c r="BD47" s="100">
        <v>112.5</v>
      </c>
      <c r="BE47" s="100">
        <v>108</v>
      </c>
      <c r="BF47" s="23">
        <v>28.568200000000001</v>
      </c>
      <c r="BG47" s="23">
        <v>77.252899999999997</v>
      </c>
      <c r="BH47" s="31">
        <f t="shared" si="31"/>
        <v>589.5</v>
      </c>
      <c r="BI47" s="31">
        <f t="shared" si="32"/>
        <v>522</v>
      </c>
      <c r="BJ47" s="37">
        <f t="shared" si="33"/>
        <v>67.5</v>
      </c>
      <c r="BK47" s="37">
        <f t="shared" si="34"/>
        <v>12.931034482758621</v>
      </c>
      <c r="BL47" s="36">
        <f t="shared" si="35"/>
        <v>112.5</v>
      </c>
      <c r="BM47" s="36">
        <f t="shared" si="36"/>
        <v>108</v>
      </c>
      <c r="BN47" s="37">
        <f t="shared" si="37"/>
        <v>4.5</v>
      </c>
      <c r="BO47" s="37">
        <f t="shared" si="38"/>
        <v>4.1666666666666661</v>
      </c>
      <c r="BP47" s="38">
        <f t="shared" si="39"/>
        <v>6826.5</v>
      </c>
      <c r="BQ47" s="39">
        <f>J47+N47+S47+W47+AA47+AE47+AI47+AM47+AQ47+AU47+Table1[[#This Row],[MS-0225]]+Table1[[#This Row],[MS-0325]]</f>
        <v>6102</v>
      </c>
      <c r="BR47" s="37">
        <f t="shared" si="40"/>
        <v>724.5</v>
      </c>
      <c r="BS47" s="37">
        <f t="shared" si="41"/>
        <v>11.87315634218289</v>
      </c>
      <c r="BT47" s="36">
        <f t="shared" si="42"/>
        <v>1327.5</v>
      </c>
      <c r="BU47" s="36">
        <f t="shared" si="43"/>
        <v>1386</v>
      </c>
      <c r="BV47" s="37">
        <f t="shared" si="44"/>
        <v>-58.5</v>
      </c>
      <c r="BW47" s="37">
        <f t="shared" si="45"/>
        <v>-4.220779220779221</v>
      </c>
      <c r="BX47">
        <v>0</v>
      </c>
      <c r="BY47" s="83">
        <f t="shared" si="46"/>
        <v>0</v>
      </c>
      <c r="BZ47">
        <v>0</v>
      </c>
      <c r="CA47" s="83">
        <f t="shared" si="47"/>
        <v>0</v>
      </c>
      <c r="CB47" s="96">
        <f t="shared" si="48"/>
        <v>0.51260869565217393</v>
      </c>
      <c r="CC47" s="96">
        <f t="shared" si="49"/>
        <v>0.34638354346383543</v>
      </c>
      <c r="CD47" s="97">
        <f t="shared" si="50"/>
        <v>0.1662251521883385</v>
      </c>
      <c r="CE47" s="96">
        <f t="shared" si="51"/>
        <v>0.52083333333333337</v>
      </c>
      <c r="CF47" s="96">
        <f t="shared" si="52"/>
        <v>0.27272727272727271</v>
      </c>
      <c r="CG47" s="96">
        <f t="shared" si="53"/>
        <v>0.24810606060606066</v>
      </c>
      <c r="CH47" s="95">
        <f t="shared" si="54"/>
        <v>0.39166355890874666</v>
      </c>
      <c r="CI47" s="95">
        <f t="shared" si="55"/>
        <v>0.34400721614612695</v>
      </c>
      <c r="CJ47" s="98">
        <f t="shared" si="56"/>
        <v>4.7656342762619708E-2</v>
      </c>
      <c r="CK47" s="95">
        <f t="shared" si="57"/>
        <v>0.34902063888523727</v>
      </c>
      <c r="CL47" s="95">
        <f t="shared" si="58"/>
        <v>0.28683774834437087</v>
      </c>
      <c r="CM47" s="98">
        <f t="shared" si="59"/>
        <v>6.2182890540866398E-2</v>
      </c>
      <c r="CN47" s="94">
        <f t="shared" si="60"/>
        <v>1.5666542356349866</v>
      </c>
      <c r="CO47" s="94">
        <f t="shared" si="61"/>
        <v>1.3960825555409491</v>
      </c>
    </row>
    <row r="48" spans="1:93" ht="24.5" x14ac:dyDescent="0.35">
      <c r="A48" s="104">
        <v>102073</v>
      </c>
      <c r="B48" s="5" t="s">
        <v>581</v>
      </c>
      <c r="C48" s="46" t="s">
        <v>755</v>
      </c>
      <c r="D48" s="13" t="s">
        <v>756</v>
      </c>
      <c r="E48" s="6" t="s">
        <v>103</v>
      </c>
      <c r="F48" s="6" t="s">
        <v>130</v>
      </c>
      <c r="G48" s="12" t="s">
        <v>130</v>
      </c>
      <c r="H48" s="51" t="s">
        <v>105</v>
      </c>
      <c r="I48" s="24" t="s">
        <v>78</v>
      </c>
      <c r="J48" s="100">
        <v>557.5</v>
      </c>
      <c r="K48" s="100">
        <v>576</v>
      </c>
      <c r="L48" s="100">
        <v>220.5</v>
      </c>
      <c r="M48" s="100">
        <v>172</v>
      </c>
      <c r="N48" s="18">
        <v>576</v>
      </c>
      <c r="O48" s="18">
        <v>602</v>
      </c>
      <c r="P48" s="18">
        <v>216</v>
      </c>
      <c r="Q48" s="18">
        <v>168</v>
      </c>
      <c r="R48" s="100">
        <v>566</v>
      </c>
      <c r="S48" s="100">
        <v>549</v>
      </c>
      <c r="T48" s="100">
        <v>164</v>
      </c>
      <c r="U48" s="100">
        <v>207</v>
      </c>
      <c r="V48" s="100">
        <v>584</v>
      </c>
      <c r="W48" s="100">
        <v>598</v>
      </c>
      <c r="X48" s="100">
        <v>164</v>
      </c>
      <c r="Y48" s="100">
        <v>216</v>
      </c>
      <c r="Z48" s="100">
        <v>591</v>
      </c>
      <c r="AA48" s="100">
        <v>562.5</v>
      </c>
      <c r="AB48" s="100">
        <v>157</v>
      </c>
      <c r="AC48" s="100">
        <v>193.5</v>
      </c>
      <c r="AD48" s="100">
        <v>574</v>
      </c>
      <c r="AE48" s="100">
        <v>539.5</v>
      </c>
      <c r="AF48" s="100">
        <v>156</v>
      </c>
      <c r="AG48" s="100">
        <v>202.5</v>
      </c>
      <c r="AH48" s="100">
        <v>610</v>
      </c>
      <c r="AI48" s="100">
        <v>570</v>
      </c>
      <c r="AJ48" s="100">
        <v>168</v>
      </c>
      <c r="AK48" s="100">
        <v>210</v>
      </c>
      <c r="AL48" s="100">
        <v>582</v>
      </c>
      <c r="AM48" s="100">
        <v>544</v>
      </c>
      <c r="AN48" s="100">
        <v>152</v>
      </c>
      <c r="AO48" s="100">
        <v>160</v>
      </c>
      <c r="AP48" s="100">
        <v>564</v>
      </c>
      <c r="AQ48" s="100">
        <v>570</v>
      </c>
      <c r="AR48" s="100">
        <v>140</v>
      </c>
      <c r="AS48" s="100">
        <v>160</v>
      </c>
      <c r="AT48" s="100">
        <v>550</v>
      </c>
      <c r="AU48" s="100">
        <v>544</v>
      </c>
      <c r="AV48" s="100">
        <v>140</v>
      </c>
      <c r="AW48" s="100">
        <v>164</v>
      </c>
      <c r="AX48" s="100">
        <v>524</v>
      </c>
      <c r="AY48" s="100">
        <v>485.5</v>
      </c>
      <c r="AZ48" s="100">
        <v>140</v>
      </c>
      <c r="BA48" s="100">
        <v>148.5</v>
      </c>
      <c r="BB48" s="100">
        <v>578</v>
      </c>
      <c r="BC48" s="100">
        <v>554</v>
      </c>
      <c r="BD48" s="100">
        <v>156</v>
      </c>
      <c r="BE48" s="100">
        <v>172</v>
      </c>
      <c r="BF48" s="23">
        <v>28.5778</v>
      </c>
      <c r="BG48" s="23">
        <v>77.174700000000001</v>
      </c>
      <c r="BH48" s="31">
        <f t="shared" si="31"/>
        <v>578</v>
      </c>
      <c r="BI48" s="31">
        <f t="shared" si="32"/>
        <v>554</v>
      </c>
      <c r="BJ48" s="37">
        <f t="shared" si="33"/>
        <v>24</v>
      </c>
      <c r="BK48" s="37">
        <f t="shared" si="34"/>
        <v>4.3321299638989164</v>
      </c>
      <c r="BL48" s="36">
        <f t="shared" si="35"/>
        <v>156</v>
      </c>
      <c r="BM48" s="36">
        <f t="shared" si="36"/>
        <v>172</v>
      </c>
      <c r="BN48" s="37">
        <f t="shared" si="37"/>
        <v>-16</v>
      </c>
      <c r="BO48" s="37">
        <f t="shared" si="38"/>
        <v>-9.3023255813953494</v>
      </c>
      <c r="BP48" s="38">
        <f t="shared" si="39"/>
        <v>6901</v>
      </c>
      <c r="BQ48" s="39">
        <f>J48+N48+S48+W48+AA48+AE48+AI48+AM48+AQ48+AU48+Table1[[#This Row],[MS-0225]]+Table1[[#This Row],[MS-0325]]</f>
        <v>6650</v>
      </c>
      <c r="BR48" s="37">
        <f t="shared" si="40"/>
        <v>251</v>
      </c>
      <c r="BS48" s="37">
        <f t="shared" si="41"/>
        <v>3.7744360902255636</v>
      </c>
      <c r="BT48" s="36">
        <f t="shared" si="42"/>
        <v>1877</v>
      </c>
      <c r="BU48" s="36">
        <f t="shared" si="43"/>
        <v>2270</v>
      </c>
      <c r="BV48" s="37">
        <f t="shared" si="44"/>
        <v>-393</v>
      </c>
      <c r="BW48" s="37">
        <f t="shared" si="45"/>
        <v>-17.312775330396477</v>
      </c>
      <c r="BX48">
        <v>0</v>
      </c>
      <c r="BY48" s="83">
        <f t="shared" si="46"/>
        <v>0</v>
      </c>
      <c r="BZ48">
        <v>0</v>
      </c>
      <c r="CA48" s="83">
        <f t="shared" si="47"/>
        <v>0</v>
      </c>
      <c r="CB48" s="96">
        <f t="shared" si="48"/>
        <v>0.5743625618955156</v>
      </c>
      <c r="CC48" s="96">
        <f t="shared" si="49"/>
        <v>0.59172735254346631</v>
      </c>
      <c r="CD48" s="97">
        <f t="shared" si="50"/>
        <v>-1.7364790647950712E-2</v>
      </c>
      <c r="CE48" s="96">
        <f t="shared" si="51"/>
        <v>0.58976753329729203</v>
      </c>
      <c r="CF48" s="96">
        <f t="shared" si="52"/>
        <v>0.59658007006347336</v>
      </c>
      <c r="CG48" s="96">
        <f t="shared" si="53"/>
        <v>-6.8125367661813208E-3</v>
      </c>
      <c r="CH48" s="95">
        <f t="shared" si="54"/>
        <v>0.57988921351443534</v>
      </c>
      <c r="CI48" s="95">
        <f t="shared" si="55"/>
        <v>0.58964794559562239</v>
      </c>
      <c r="CJ48" s="98">
        <f t="shared" si="56"/>
        <v>-9.7587320811870493E-3</v>
      </c>
      <c r="CK48" s="95">
        <f t="shared" si="57"/>
        <v>0.59492529044208309</v>
      </c>
      <c r="CL48" s="95">
        <f t="shared" si="58"/>
        <v>0.61900425018407668</v>
      </c>
      <c r="CM48" s="98">
        <f t="shared" si="59"/>
        <v>-2.4078959741993589E-2</v>
      </c>
      <c r="CN48" s="94">
        <f t="shared" si="60"/>
        <v>1.1597784270288707</v>
      </c>
      <c r="CO48" s="94">
        <f t="shared" si="61"/>
        <v>1.1898505808841662</v>
      </c>
    </row>
    <row r="49" spans="1:94" ht="24.5" x14ac:dyDescent="0.35">
      <c r="A49" s="102">
        <v>156837</v>
      </c>
      <c r="B49" s="3" t="s">
        <v>72</v>
      </c>
      <c r="C49" s="41" t="s">
        <v>159</v>
      </c>
      <c r="D49" s="12" t="s">
        <v>160</v>
      </c>
      <c r="E49" s="4" t="s">
        <v>94</v>
      </c>
      <c r="F49" s="4" t="s">
        <v>161</v>
      </c>
      <c r="G49" s="12" t="s">
        <v>161</v>
      </c>
      <c r="H49" s="51" t="s">
        <v>96</v>
      </c>
      <c r="I49" s="23" t="s">
        <v>83</v>
      </c>
      <c r="J49" s="18">
        <v>525.00599999999997</v>
      </c>
      <c r="K49" s="18">
        <v>276</v>
      </c>
      <c r="L49" s="18">
        <v>140.374</v>
      </c>
      <c r="M49" s="18">
        <v>64.283000000000001</v>
      </c>
      <c r="N49" s="18">
        <v>562.31600000000003</v>
      </c>
      <c r="O49" s="18">
        <v>102</v>
      </c>
      <c r="P49" s="18">
        <v>150.792</v>
      </c>
      <c r="Q49" s="18">
        <v>21</v>
      </c>
      <c r="R49" s="18">
        <v>497.5</v>
      </c>
      <c r="S49" s="18">
        <v>518.53700000000003</v>
      </c>
      <c r="T49" s="18">
        <v>111</v>
      </c>
      <c r="U49" s="18">
        <v>145.53299999999999</v>
      </c>
      <c r="V49" s="18">
        <v>554</v>
      </c>
      <c r="W49" s="18">
        <v>548</v>
      </c>
      <c r="X49" s="18">
        <v>115</v>
      </c>
      <c r="Y49" s="18">
        <v>137.38999999999999</v>
      </c>
      <c r="Z49" s="18">
        <v>544</v>
      </c>
      <c r="AA49" s="18">
        <v>543</v>
      </c>
      <c r="AB49" s="18">
        <v>102</v>
      </c>
      <c r="AC49" s="18">
        <v>135.84</v>
      </c>
      <c r="AD49" s="18">
        <v>527</v>
      </c>
      <c r="AE49" s="18">
        <v>521</v>
      </c>
      <c r="AF49" s="18">
        <v>109</v>
      </c>
      <c r="AG49" s="18">
        <v>133.77000000000001</v>
      </c>
      <c r="AH49" s="18">
        <v>551</v>
      </c>
      <c r="AI49" s="18">
        <v>524.91499999999996</v>
      </c>
      <c r="AJ49" s="18">
        <v>117</v>
      </c>
      <c r="AK49" s="18">
        <v>132.46899999999999</v>
      </c>
      <c r="AL49" s="18">
        <v>540</v>
      </c>
      <c r="AM49" s="18">
        <v>511.11700000000002</v>
      </c>
      <c r="AN49" s="18">
        <v>99</v>
      </c>
      <c r="AO49" s="18">
        <v>110.791</v>
      </c>
      <c r="AP49" s="18">
        <v>525</v>
      </c>
      <c r="AQ49" s="18">
        <v>496.25200000000001</v>
      </c>
      <c r="AR49" s="18">
        <v>92</v>
      </c>
      <c r="AS49" s="18">
        <v>98.667000000000002</v>
      </c>
      <c r="AT49" s="18">
        <v>500.34</v>
      </c>
      <c r="AU49" s="18">
        <v>483.12700000000001</v>
      </c>
      <c r="AV49" s="18">
        <v>93.588999999999999</v>
      </c>
      <c r="AW49" s="18">
        <v>105.557</v>
      </c>
      <c r="AX49" s="18">
        <v>520.17899999999997</v>
      </c>
      <c r="AY49" s="18">
        <v>422.05</v>
      </c>
      <c r="AZ49" s="18">
        <v>103.501</v>
      </c>
      <c r="BA49" s="18">
        <v>103.167</v>
      </c>
      <c r="BB49" s="18">
        <v>576.77300000000002</v>
      </c>
      <c r="BC49" s="18">
        <v>498.93900000000002</v>
      </c>
      <c r="BD49" s="18">
        <v>107.63800000000001</v>
      </c>
      <c r="BE49" s="18">
        <v>118.44199999999999</v>
      </c>
      <c r="BF49" s="23">
        <v>28.557590000000001</v>
      </c>
      <c r="BG49" s="23">
        <v>77.206389999999999</v>
      </c>
      <c r="BH49" s="31">
        <f t="shared" si="31"/>
        <v>576.77300000000002</v>
      </c>
      <c r="BI49" s="31">
        <f t="shared" si="32"/>
        <v>498.93900000000002</v>
      </c>
      <c r="BJ49" s="37">
        <f t="shared" si="33"/>
        <v>77.834000000000003</v>
      </c>
      <c r="BK49" s="37">
        <f t="shared" si="34"/>
        <v>15.599902994153595</v>
      </c>
      <c r="BL49" s="36">
        <f t="shared" si="35"/>
        <v>107.63800000000001</v>
      </c>
      <c r="BM49" s="36">
        <f t="shared" si="36"/>
        <v>118.44199999999999</v>
      </c>
      <c r="BN49" s="37">
        <f t="shared" si="37"/>
        <v>-10.803999999999988</v>
      </c>
      <c r="BO49" s="37">
        <f t="shared" si="38"/>
        <v>-9.1217642390368177</v>
      </c>
      <c r="BP49" s="38">
        <f t="shared" si="39"/>
        <v>5713.7920000000004</v>
      </c>
      <c r="BQ49" s="39">
        <f>J49+N49+S49+W49+AA49+AE49+AI49+AM49+AQ49+AU49+Table1[[#This Row],[MS-0225]]+Table1[[#This Row],[MS-0325]]</f>
        <v>6154.2590000000018</v>
      </c>
      <c r="BR49" s="37">
        <f t="shared" si="40"/>
        <v>-440.46700000000146</v>
      </c>
      <c r="BS49" s="37">
        <f t="shared" si="41"/>
        <v>-7.1571085974769879</v>
      </c>
      <c r="BT49" s="36">
        <f t="shared" si="42"/>
        <v>1135.011</v>
      </c>
      <c r="BU49" s="36">
        <f t="shared" si="43"/>
        <v>1512.7919999999997</v>
      </c>
      <c r="BV49" s="37">
        <f t="shared" si="44"/>
        <v>-377.78099999999972</v>
      </c>
      <c r="BW49" s="37">
        <f t="shared" si="45"/>
        <v>-24.972435073691546</v>
      </c>
      <c r="BX49">
        <v>47.598999999999997</v>
      </c>
      <c r="BY49" s="83">
        <f t="shared" si="46"/>
        <v>8.2526401201165792E-2</v>
      </c>
      <c r="BZ49">
        <v>269.54900000000004</v>
      </c>
      <c r="CA49" s="83">
        <f t="shared" si="47"/>
        <v>4.7175150933040616E-2</v>
      </c>
      <c r="CB49" s="96">
        <f t="shared" si="48"/>
        <v>0.46447539123495191</v>
      </c>
      <c r="CC49" s="96">
        <f t="shared" si="49"/>
        <v>0.43426065265431846</v>
      </c>
      <c r="CD49" s="97">
        <f t="shared" si="50"/>
        <v>3.0214738580633449E-2</v>
      </c>
      <c r="CE49" s="96">
        <f t="shared" si="51"/>
        <v>0.40983406818510648</v>
      </c>
      <c r="CF49" s="96">
        <f t="shared" si="52"/>
        <v>0.39032829997165847</v>
      </c>
      <c r="CG49" s="96">
        <f t="shared" si="53"/>
        <v>1.9505768213448016E-2</v>
      </c>
      <c r="CH49" s="95">
        <f t="shared" si="54"/>
        <v>0.40598809475086739</v>
      </c>
      <c r="CI49" s="95">
        <f t="shared" si="55"/>
        <v>0.4402893911677831</v>
      </c>
      <c r="CJ49" s="98">
        <f t="shared" si="56"/>
        <v>-3.4301296416915705E-2</v>
      </c>
      <c r="CK49" s="95">
        <f t="shared" si="57"/>
        <v>0.35292509882584355</v>
      </c>
      <c r="CL49" s="95">
        <f t="shared" si="58"/>
        <v>0.39382374471922466</v>
      </c>
      <c r="CM49" s="98">
        <f t="shared" si="59"/>
        <v>-4.0898645893381103E-2</v>
      </c>
      <c r="CN49" s="94">
        <f t="shared" si="60"/>
        <v>0.81197618950173478</v>
      </c>
      <c r="CO49" s="94">
        <f t="shared" si="61"/>
        <v>0.70585019765168711</v>
      </c>
    </row>
    <row r="50" spans="1:94" ht="24.5" x14ac:dyDescent="0.35">
      <c r="A50" s="104">
        <v>106251</v>
      </c>
      <c r="B50" s="5" t="s">
        <v>581</v>
      </c>
      <c r="C50" s="46" t="s">
        <v>737</v>
      </c>
      <c r="D50" s="13" t="s">
        <v>738</v>
      </c>
      <c r="E50" s="6" t="s">
        <v>94</v>
      </c>
      <c r="F50" s="6" t="s">
        <v>251</v>
      </c>
      <c r="G50" s="12" t="s">
        <v>251</v>
      </c>
      <c r="H50" s="51" t="s">
        <v>96</v>
      </c>
      <c r="I50" s="24" t="s">
        <v>83</v>
      </c>
      <c r="J50" s="100">
        <v>280</v>
      </c>
      <c r="K50" s="100">
        <v>519.5</v>
      </c>
      <c r="L50" s="100">
        <v>68</v>
      </c>
      <c r="M50" s="100">
        <v>92.5</v>
      </c>
      <c r="N50" s="18">
        <v>280</v>
      </c>
      <c r="O50" s="18">
        <v>571.5</v>
      </c>
      <c r="P50" s="18">
        <v>80</v>
      </c>
      <c r="Q50" s="18">
        <v>88.5</v>
      </c>
      <c r="R50" s="100">
        <v>520</v>
      </c>
      <c r="S50" s="100">
        <v>224</v>
      </c>
      <c r="T50" s="100">
        <v>80</v>
      </c>
      <c r="U50" s="100">
        <v>76</v>
      </c>
      <c r="V50" s="100">
        <v>584</v>
      </c>
      <c r="W50" s="100">
        <v>264</v>
      </c>
      <c r="X50" s="100">
        <v>88</v>
      </c>
      <c r="Y50" s="100">
        <v>72</v>
      </c>
      <c r="Z50" s="100">
        <v>572</v>
      </c>
      <c r="AA50" s="100">
        <v>100</v>
      </c>
      <c r="AB50" s="100">
        <v>88</v>
      </c>
      <c r="AC50" s="100">
        <v>20</v>
      </c>
      <c r="AD50" s="100">
        <v>576</v>
      </c>
      <c r="AE50" s="100">
        <v>450.5</v>
      </c>
      <c r="AF50" s="100">
        <v>84</v>
      </c>
      <c r="AG50" s="100">
        <v>89.5</v>
      </c>
      <c r="AH50" s="100">
        <v>556</v>
      </c>
      <c r="AI50" s="100">
        <v>462.5</v>
      </c>
      <c r="AJ50" s="100">
        <v>80</v>
      </c>
      <c r="AK50" s="100">
        <v>89.5</v>
      </c>
      <c r="AL50" s="100">
        <v>541</v>
      </c>
      <c r="AM50" s="100">
        <v>492</v>
      </c>
      <c r="AN50" s="100">
        <v>65</v>
      </c>
      <c r="AO50" s="100">
        <v>72</v>
      </c>
      <c r="AP50" s="100">
        <v>540</v>
      </c>
      <c r="AQ50" s="100">
        <v>488</v>
      </c>
      <c r="AR50" s="100">
        <v>60</v>
      </c>
      <c r="AS50" s="100">
        <v>64</v>
      </c>
      <c r="AT50" s="100">
        <v>516</v>
      </c>
      <c r="AU50" s="100">
        <v>476</v>
      </c>
      <c r="AV50" s="100">
        <v>60</v>
      </c>
      <c r="AW50" s="100">
        <v>76</v>
      </c>
      <c r="AX50" s="100">
        <v>536</v>
      </c>
      <c r="AY50" s="100">
        <v>454.5</v>
      </c>
      <c r="AZ50" s="100">
        <v>68</v>
      </c>
      <c r="BA50" s="100">
        <v>73.5</v>
      </c>
      <c r="BB50" s="100">
        <v>572</v>
      </c>
      <c r="BC50" s="100">
        <v>504</v>
      </c>
      <c r="BD50" s="100">
        <v>76</v>
      </c>
      <c r="BE50" s="100">
        <v>84</v>
      </c>
      <c r="BF50" s="23">
        <v>28.538</v>
      </c>
      <c r="BG50" s="23">
        <v>77.232399999999998</v>
      </c>
      <c r="BH50" s="31">
        <f t="shared" si="31"/>
        <v>572</v>
      </c>
      <c r="BI50" s="31">
        <f t="shared" si="32"/>
        <v>504</v>
      </c>
      <c r="BJ50" s="37">
        <f t="shared" si="33"/>
        <v>68</v>
      </c>
      <c r="BK50" s="37">
        <f t="shared" si="34"/>
        <v>13.492063492063492</v>
      </c>
      <c r="BL50" s="36">
        <f t="shared" si="35"/>
        <v>76</v>
      </c>
      <c r="BM50" s="36">
        <f t="shared" si="36"/>
        <v>84</v>
      </c>
      <c r="BN50" s="37">
        <f t="shared" si="37"/>
        <v>-8</v>
      </c>
      <c r="BO50" s="37">
        <f t="shared" si="38"/>
        <v>-9.5238095238095237</v>
      </c>
      <c r="BP50" s="38">
        <f t="shared" si="39"/>
        <v>6604</v>
      </c>
      <c r="BQ50" s="39">
        <f>J50+N50+S50+W50+AA50+AE50+AI50+AM50+AQ50+AU50+Table1[[#This Row],[MS-0225]]+Table1[[#This Row],[MS-0325]]</f>
        <v>4475.5</v>
      </c>
      <c r="BR50" s="37">
        <f t="shared" si="40"/>
        <v>2128.5</v>
      </c>
      <c r="BS50" s="37">
        <f t="shared" si="41"/>
        <v>47.55893196290917</v>
      </c>
      <c r="BT50" s="36">
        <f t="shared" si="42"/>
        <v>930</v>
      </c>
      <c r="BU50" s="36">
        <f t="shared" si="43"/>
        <v>864.5</v>
      </c>
      <c r="BV50" s="37">
        <f t="shared" si="44"/>
        <v>65.5</v>
      </c>
      <c r="BW50" s="37">
        <f t="shared" si="45"/>
        <v>7.5766338924233665</v>
      </c>
      <c r="BX50">
        <v>0</v>
      </c>
      <c r="BY50" s="83">
        <f t="shared" si="46"/>
        <v>0</v>
      </c>
      <c r="BZ50">
        <v>0</v>
      </c>
      <c r="CA50" s="83">
        <f t="shared" si="47"/>
        <v>0</v>
      </c>
      <c r="CB50" s="96">
        <f t="shared" si="48"/>
        <v>0.59521331945889699</v>
      </c>
      <c r="CC50" s="96">
        <f t="shared" si="49"/>
        <v>0.57207718501702609</v>
      </c>
      <c r="CD50" s="97">
        <f t="shared" si="50"/>
        <v>2.3136134441870904E-2</v>
      </c>
      <c r="CE50" s="96">
        <f t="shared" si="51"/>
        <v>0.68468468468468469</v>
      </c>
      <c r="CF50" s="96">
        <f t="shared" si="52"/>
        <v>0.73043478260869565</v>
      </c>
      <c r="CG50" s="96">
        <f t="shared" si="53"/>
        <v>-4.5750097924010968E-2</v>
      </c>
      <c r="CH50" s="95">
        <f t="shared" si="54"/>
        <v>0.58504606661941883</v>
      </c>
      <c r="CI50" s="95">
        <f t="shared" si="55"/>
        <v>0.49162410062064044</v>
      </c>
      <c r="CJ50" s="98">
        <f t="shared" si="56"/>
        <v>9.3421965998778389E-2</v>
      </c>
      <c r="CK50" s="95">
        <f t="shared" si="57"/>
        <v>0.69819819819819817</v>
      </c>
      <c r="CL50" s="95">
        <f t="shared" si="58"/>
        <v>0.68151359873866768</v>
      </c>
      <c r="CM50" s="98">
        <f t="shared" si="59"/>
        <v>1.6684599459530491E-2</v>
      </c>
      <c r="CN50" s="94">
        <f t="shared" si="60"/>
        <v>1.1700921332388377</v>
      </c>
      <c r="CO50" s="94">
        <f t="shared" si="61"/>
        <v>1.3963963963963963</v>
      </c>
    </row>
    <row r="51" spans="1:94" x14ac:dyDescent="0.35">
      <c r="A51" s="102">
        <v>163708</v>
      </c>
      <c r="B51" s="3" t="s">
        <v>72</v>
      </c>
      <c r="C51" s="43" t="s">
        <v>286</v>
      </c>
      <c r="D51" s="12" t="s">
        <v>287</v>
      </c>
      <c r="E51" s="4" t="s">
        <v>187</v>
      </c>
      <c r="F51" s="4" t="s">
        <v>216</v>
      </c>
      <c r="G51" s="12" t="s">
        <v>216</v>
      </c>
      <c r="H51" s="51" t="s">
        <v>217</v>
      </c>
      <c r="I51" s="23" t="s">
        <v>86</v>
      </c>
      <c r="J51" s="18">
        <v>429.00000399999999</v>
      </c>
      <c r="K51" s="18">
        <v>499.5</v>
      </c>
      <c r="L51" s="18">
        <v>77</v>
      </c>
      <c r="M51" s="18">
        <v>94.5</v>
      </c>
      <c r="N51" s="18">
        <v>432.50000199999999</v>
      </c>
      <c r="O51" s="18">
        <v>519.5</v>
      </c>
      <c r="P51" s="18">
        <v>99.5</v>
      </c>
      <c r="Q51" s="18">
        <v>94.5</v>
      </c>
      <c r="R51" s="18">
        <v>501.5</v>
      </c>
      <c r="S51" s="18">
        <v>425.00000199999999</v>
      </c>
      <c r="T51" s="18">
        <v>96.5</v>
      </c>
      <c r="U51" s="18">
        <v>81</v>
      </c>
      <c r="V51" s="18">
        <v>540.5</v>
      </c>
      <c r="W51" s="18">
        <v>485.00000199999999</v>
      </c>
      <c r="X51" s="18">
        <v>89.5</v>
      </c>
      <c r="Y51" s="18">
        <v>101</v>
      </c>
      <c r="Z51" s="18">
        <v>540</v>
      </c>
      <c r="AA51" s="18">
        <v>483.500001</v>
      </c>
      <c r="AB51" s="18">
        <v>80</v>
      </c>
      <c r="AC51" s="18">
        <v>112.5</v>
      </c>
      <c r="AD51" s="18">
        <v>545</v>
      </c>
      <c r="AE51" s="18">
        <v>441.00000199999999</v>
      </c>
      <c r="AF51" s="18">
        <v>95</v>
      </c>
      <c r="AG51" s="18">
        <v>63</v>
      </c>
      <c r="AH51" s="18">
        <v>590</v>
      </c>
      <c r="AI51" s="18">
        <v>472</v>
      </c>
      <c r="AJ51" s="18">
        <v>90</v>
      </c>
      <c r="AK51" s="18">
        <v>112</v>
      </c>
      <c r="AL51" s="18">
        <v>530</v>
      </c>
      <c r="AM51" s="18">
        <v>477.00000299999999</v>
      </c>
      <c r="AN51" s="18">
        <v>90</v>
      </c>
      <c r="AO51" s="18">
        <v>81</v>
      </c>
      <c r="AP51" s="18">
        <v>535</v>
      </c>
      <c r="AQ51" s="18">
        <v>452</v>
      </c>
      <c r="AR51" s="18">
        <v>65</v>
      </c>
      <c r="AS51" s="18">
        <v>72</v>
      </c>
      <c r="AT51" s="18">
        <v>510</v>
      </c>
      <c r="AU51" s="18">
        <v>472.5</v>
      </c>
      <c r="AV51" s="18">
        <v>70</v>
      </c>
      <c r="AW51" s="18">
        <v>103.5</v>
      </c>
      <c r="AX51" s="18">
        <v>525</v>
      </c>
      <c r="AY51" s="18">
        <v>436.5</v>
      </c>
      <c r="AZ51" s="18">
        <v>75</v>
      </c>
      <c r="BA51" s="18">
        <v>103.5</v>
      </c>
      <c r="BB51" s="18">
        <v>570</v>
      </c>
      <c r="BC51" s="18">
        <v>504</v>
      </c>
      <c r="BD51" s="18">
        <v>90</v>
      </c>
      <c r="BE51" s="18">
        <v>108</v>
      </c>
      <c r="BF51" s="23">
        <v>28.733519999999999</v>
      </c>
      <c r="BG51" s="23">
        <v>77.198279999999997</v>
      </c>
      <c r="BH51" s="31">
        <f t="shared" si="31"/>
        <v>570</v>
      </c>
      <c r="BI51" s="31">
        <f t="shared" si="32"/>
        <v>504</v>
      </c>
      <c r="BJ51" s="37">
        <f t="shared" si="33"/>
        <v>66</v>
      </c>
      <c r="BK51" s="37">
        <f t="shared" si="34"/>
        <v>13.095238095238097</v>
      </c>
      <c r="BL51" s="36">
        <f t="shared" si="35"/>
        <v>90</v>
      </c>
      <c r="BM51" s="36">
        <f t="shared" si="36"/>
        <v>108</v>
      </c>
      <c r="BN51" s="37">
        <f t="shared" si="37"/>
        <v>-18</v>
      </c>
      <c r="BO51" s="37">
        <f t="shared" si="38"/>
        <v>-16.666666666666664</v>
      </c>
      <c r="BP51" s="38">
        <f t="shared" si="39"/>
        <v>6406</v>
      </c>
      <c r="BQ51" s="39">
        <f>J51+N51+S51+W51+AA51+AE51+AI51+AM51+AQ51+AU51+Table1[[#This Row],[MS-0225]]+Table1[[#This Row],[MS-0325]]</f>
        <v>5510.000016</v>
      </c>
      <c r="BR51" s="37">
        <f t="shared" si="40"/>
        <v>895.99998400000004</v>
      </c>
      <c r="BS51" s="37">
        <f t="shared" si="41"/>
        <v>16.26134267510318</v>
      </c>
      <c r="BT51" s="36">
        <f t="shared" si="42"/>
        <v>1030</v>
      </c>
      <c r="BU51" s="36">
        <f t="shared" si="43"/>
        <v>1114</v>
      </c>
      <c r="BV51" s="37">
        <f t="shared" si="44"/>
        <v>-84</v>
      </c>
      <c r="BW51" s="37">
        <f t="shared" si="45"/>
        <v>-7.5403949730700175</v>
      </c>
      <c r="BX51">
        <v>25</v>
      </c>
      <c r="BY51" s="83">
        <f t="shared" si="46"/>
        <v>4.3859649122807015E-2</v>
      </c>
      <c r="BZ51">
        <v>183</v>
      </c>
      <c r="CA51" s="83">
        <f t="shared" si="47"/>
        <v>2.856696846706213E-2</v>
      </c>
      <c r="CB51" s="96">
        <f t="shared" si="48"/>
        <v>0.34368405185408502</v>
      </c>
      <c r="CC51" s="96">
        <f t="shared" si="49"/>
        <v>0.34556050737058625</v>
      </c>
      <c r="CD51" s="97">
        <f t="shared" si="50"/>
        <v>-1.8764555165012298E-3</v>
      </c>
      <c r="CE51" s="96">
        <f t="shared" si="51"/>
        <v>0.15113350125944586</v>
      </c>
      <c r="CF51" s="96">
        <f t="shared" si="52"/>
        <v>0.18015012510425354</v>
      </c>
      <c r="CG51" s="96">
        <f t="shared" si="53"/>
        <v>-2.9016623844807687E-2</v>
      </c>
      <c r="CH51" s="95">
        <f t="shared" si="54"/>
        <v>0.3454020974307821</v>
      </c>
      <c r="CI51" s="95">
        <f t="shared" si="55"/>
        <v>0.33967265731068258</v>
      </c>
      <c r="CJ51" s="98">
        <f t="shared" si="56"/>
        <v>5.729440120099516E-3</v>
      </c>
      <c r="CK51" s="95">
        <f t="shared" si="57"/>
        <v>0.15335368123278492</v>
      </c>
      <c r="CL51" s="95">
        <f t="shared" si="58"/>
        <v>0.15441125511123432</v>
      </c>
      <c r="CM51" s="98">
        <f t="shared" si="59"/>
        <v>-1.0575738784494026E-3</v>
      </c>
      <c r="CN51" s="94">
        <f t="shared" si="60"/>
        <v>1.7270104871539105</v>
      </c>
      <c r="CO51" s="94">
        <f t="shared" si="61"/>
        <v>0.76676840616392461</v>
      </c>
    </row>
    <row r="52" spans="1:94" ht="36.5" x14ac:dyDescent="0.35">
      <c r="A52" s="102">
        <v>112436</v>
      </c>
      <c r="B52" s="3" t="s">
        <v>72</v>
      </c>
      <c r="C52" s="43" t="s">
        <v>127</v>
      </c>
      <c r="D52" s="12" t="s">
        <v>128</v>
      </c>
      <c r="E52" s="4" t="s">
        <v>94</v>
      </c>
      <c r="F52" s="4" t="s">
        <v>129</v>
      </c>
      <c r="G52" s="12" t="s">
        <v>129</v>
      </c>
      <c r="H52" s="51" t="s">
        <v>126</v>
      </c>
      <c r="I52" s="23" t="s">
        <v>83</v>
      </c>
      <c r="J52" s="18">
        <v>594.00000199999999</v>
      </c>
      <c r="K52" s="18">
        <v>588</v>
      </c>
      <c r="L52" s="18">
        <v>234</v>
      </c>
      <c r="M52" s="18">
        <v>216</v>
      </c>
      <c r="N52" s="18">
        <v>702</v>
      </c>
      <c r="O52" s="18">
        <v>613.5</v>
      </c>
      <c r="P52" s="18">
        <v>270</v>
      </c>
      <c r="Q52" s="18">
        <v>198.5</v>
      </c>
      <c r="R52" s="18">
        <v>592</v>
      </c>
      <c r="S52" s="18">
        <v>643.50000299999999</v>
      </c>
      <c r="T52" s="18">
        <v>186</v>
      </c>
      <c r="U52" s="18">
        <v>274.5</v>
      </c>
      <c r="V52" s="18">
        <v>615</v>
      </c>
      <c r="W52" s="18">
        <v>639.00000199999999</v>
      </c>
      <c r="X52" s="18">
        <v>191</v>
      </c>
      <c r="Y52" s="18">
        <v>243</v>
      </c>
      <c r="Z52" s="18">
        <v>610</v>
      </c>
      <c r="AA52" s="18">
        <v>634.00000199999999</v>
      </c>
      <c r="AB52" s="18">
        <v>190</v>
      </c>
      <c r="AC52" s="18">
        <v>242</v>
      </c>
      <c r="AD52" s="18">
        <v>570</v>
      </c>
      <c r="AE52" s="18">
        <v>601.000001</v>
      </c>
      <c r="AF52" s="18">
        <v>186</v>
      </c>
      <c r="AG52" s="18">
        <v>229</v>
      </c>
      <c r="AH52" s="18">
        <v>612</v>
      </c>
      <c r="AI52" s="18">
        <v>635</v>
      </c>
      <c r="AJ52" s="18">
        <v>170</v>
      </c>
      <c r="AK52" s="18">
        <v>243</v>
      </c>
      <c r="AL52" s="18">
        <v>596</v>
      </c>
      <c r="AM52" s="18">
        <v>598.50000399999999</v>
      </c>
      <c r="AN52" s="18">
        <v>240</v>
      </c>
      <c r="AO52" s="18">
        <v>211.5</v>
      </c>
      <c r="AP52" s="18">
        <v>589</v>
      </c>
      <c r="AQ52" s="18">
        <v>563</v>
      </c>
      <c r="AR52" s="18">
        <v>225</v>
      </c>
      <c r="AS52" s="18">
        <v>189</v>
      </c>
      <c r="AT52" s="18">
        <v>574</v>
      </c>
      <c r="AU52" s="18">
        <v>526.5</v>
      </c>
      <c r="AV52" s="18">
        <v>242</v>
      </c>
      <c r="AW52" s="18">
        <v>175.5</v>
      </c>
      <c r="AX52" s="18">
        <v>554</v>
      </c>
      <c r="AY52" s="18">
        <v>536</v>
      </c>
      <c r="AZ52" s="18">
        <v>248</v>
      </c>
      <c r="BA52" s="18">
        <v>198</v>
      </c>
      <c r="BB52" s="18">
        <v>569</v>
      </c>
      <c r="BC52" s="18">
        <v>592.5</v>
      </c>
      <c r="BD52" s="18">
        <v>291</v>
      </c>
      <c r="BE52" s="18">
        <v>211.5</v>
      </c>
      <c r="BF52" s="23">
        <v>28.56296</v>
      </c>
      <c r="BG52" s="23">
        <v>77.232150000000004</v>
      </c>
      <c r="BH52" s="31">
        <f t="shared" si="31"/>
        <v>569</v>
      </c>
      <c r="BI52" s="31">
        <f t="shared" si="32"/>
        <v>592.5</v>
      </c>
      <c r="BJ52" s="37">
        <f t="shared" si="33"/>
        <v>-23.5</v>
      </c>
      <c r="BK52" s="37">
        <f t="shared" si="34"/>
        <v>-3.9662447257383966</v>
      </c>
      <c r="BL52" s="36">
        <f t="shared" si="35"/>
        <v>291</v>
      </c>
      <c r="BM52" s="36">
        <f t="shared" si="36"/>
        <v>211.5</v>
      </c>
      <c r="BN52" s="37">
        <f t="shared" si="37"/>
        <v>79.5</v>
      </c>
      <c r="BO52" s="37">
        <f t="shared" si="38"/>
        <v>37.588652482269502</v>
      </c>
      <c r="BP52" s="38">
        <f t="shared" si="39"/>
        <v>7082.5</v>
      </c>
      <c r="BQ52" s="39">
        <f>J52+N52+S52+W52+AA52+AE52+AI52+AM52+AQ52+AU52+Table1[[#This Row],[MS-0225]]+Table1[[#This Row],[MS-0325]]</f>
        <v>7265.0000139999993</v>
      </c>
      <c r="BR52" s="37">
        <f t="shared" si="40"/>
        <v>-182.50001399999928</v>
      </c>
      <c r="BS52" s="37">
        <f t="shared" si="41"/>
        <v>-2.5120442346636356</v>
      </c>
      <c r="BT52" s="36">
        <f t="shared" si="42"/>
        <v>2583.5</v>
      </c>
      <c r="BU52" s="36">
        <f t="shared" si="43"/>
        <v>2721</v>
      </c>
      <c r="BV52" s="37">
        <f t="shared" si="44"/>
        <v>-137.5</v>
      </c>
      <c r="BW52" s="37">
        <f t="shared" si="45"/>
        <v>-5.0532892319000373</v>
      </c>
      <c r="BX52">
        <v>67</v>
      </c>
      <c r="BY52" s="83">
        <f t="shared" si="46"/>
        <v>0.11775043936731107</v>
      </c>
      <c r="BZ52">
        <v>360.5</v>
      </c>
      <c r="CA52" s="83">
        <f t="shared" si="47"/>
        <v>5.0900105894811157E-2</v>
      </c>
      <c r="CB52" s="96">
        <f t="shared" si="48"/>
        <v>0.16298606512109676</v>
      </c>
      <c r="CC52" s="96">
        <f t="shared" si="49"/>
        <v>0.1730629364910139</v>
      </c>
      <c r="CD52" s="97">
        <f t="shared" si="50"/>
        <v>-1.007687136991714E-2</v>
      </c>
      <c r="CE52" s="96">
        <f t="shared" si="51"/>
        <v>0.34533869893941854</v>
      </c>
      <c r="CF52" s="96">
        <f t="shared" si="52"/>
        <v>0.25043633943774379</v>
      </c>
      <c r="CG52" s="96">
        <f t="shared" si="53"/>
        <v>9.4902359501674749E-2</v>
      </c>
      <c r="CH52" s="95">
        <f t="shared" si="54"/>
        <v>0.16723759247005099</v>
      </c>
      <c r="CI52" s="95">
        <f t="shared" si="55"/>
        <v>0.17739676597313553</v>
      </c>
      <c r="CJ52" s="98">
        <f t="shared" si="56"/>
        <v>-1.015917350308454E-2</v>
      </c>
      <c r="CK52" s="95">
        <f t="shared" si="57"/>
        <v>0.26959226713165724</v>
      </c>
      <c r="CL52" s="95">
        <f t="shared" si="58"/>
        <v>0.25180727942362507</v>
      </c>
      <c r="CM52" s="98">
        <f t="shared" si="59"/>
        <v>1.7784987708032163E-2</v>
      </c>
      <c r="CN52" s="94">
        <f t="shared" si="60"/>
        <v>1.170663147290357</v>
      </c>
      <c r="CO52" s="94">
        <f t="shared" si="61"/>
        <v>1.8871458699216006</v>
      </c>
    </row>
    <row r="53" spans="1:94" ht="24.5" x14ac:dyDescent="0.35">
      <c r="A53" s="104">
        <v>102118</v>
      </c>
      <c r="B53" s="5" t="s">
        <v>581</v>
      </c>
      <c r="C53" s="46" t="s">
        <v>938</v>
      </c>
      <c r="D53" s="13" t="s">
        <v>939</v>
      </c>
      <c r="E53" s="6" t="s">
        <v>75</v>
      </c>
      <c r="F53" s="6" t="s">
        <v>76</v>
      </c>
      <c r="G53" s="12" t="s">
        <v>76</v>
      </c>
      <c r="H53" s="51" t="s">
        <v>77</v>
      </c>
      <c r="I53" s="24" t="s">
        <v>78</v>
      </c>
      <c r="J53" s="100">
        <v>553</v>
      </c>
      <c r="K53" s="100">
        <v>605</v>
      </c>
      <c r="L53" s="100">
        <v>275</v>
      </c>
      <c r="M53" s="100">
        <v>237</v>
      </c>
      <c r="N53" s="18">
        <v>601</v>
      </c>
      <c r="O53" s="18">
        <v>620</v>
      </c>
      <c r="P53" s="18">
        <v>301</v>
      </c>
      <c r="Q53" s="18">
        <v>254</v>
      </c>
      <c r="R53" s="100">
        <v>639</v>
      </c>
      <c r="S53" s="100">
        <v>631</v>
      </c>
      <c r="T53" s="100">
        <v>255</v>
      </c>
      <c r="U53" s="100">
        <v>285</v>
      </c>
      <c r="V53" s="100">
        <v>607</v>
      </c>
      <c r="W53" s="100">
        <v>593</v>
      </c>
      <c r="X53" s="100">
        <v>209</v>
      </c>
      <c r="Y53" s="100">
        <v>221</v>
      </c>
      <c r="Z53" s="100">
        <v>575</v>
      </c>
      <c r="AA53" s="100">
        <v>603.5</v>
      </c>
      <c r="AB53" s="100">
        <v>173</v>
      </c>
      <c r="AC53" s="100">
        <v>208.5</v>
      </c>
      <c r="AD53" s="100">
        <v>546</v>
      </c>
      <c r="AE53" s="100">
        <v>575</v>
      </c>
      <c r="AF53" s="100">
        <v>180</v>
      </c>
      <c r="AG53" s="100">
        <v>207</v>
      </c>
      <c r="AH53" s="100">
        <v>598</v>
      </c>
      <c r="AI53" s="100">
        <v>593</v>
      </c>
      <c r="AJ53" s="100">
        <v>198</v>
      </c>
      <c r="AK53" s="100">
        <v>265</v>
      </c>
      <c r="AL53" s="100">
        <v>602</v>
      </c>
      <c r="AM53" s="100">
        <v>594</v>
      </c>
      <c r="AN53" s="100">
        <v>206</v>
      </c>
      <c r="AO53" s="100">
        <v>228</v>
      </c>
      <c r="AP53" s="100">
        <v>551</v>
      </c>
      <c r="AQ53" s="100">
        <v>548</v>
      </c>
      <c r="AR53" s="100">
        <v>179</v>
      </c>
      <c r="AS53" s="100">
        <v>176</v>
      </c>
      <c r="AT53" s="100">
        <v>514</v>
      </c>
      <c r="AU53" s="100">
        <v>534</v>
      </c>
      <c r="AV53" s="100">
        <v>168</v>
      </c>
      <c r="AW53" s="100">
        <v>194</v>
      </c>
      <c r="AX53" s="100">
        <v>535</v>
      </c>
      <c r="AY53" s="100">
        <v>544</v>
      </c>
      <c r="AZ53" s="100">
        <v>175</v>
      </c>
      <c r="BA53" s="100">
        <v>190</v>
      </c>
      <c r="BB53" s="100">
        <v>567</v>
      </c>
      <c r="BC53" s="100">
        <v>574</v>
      </c>
      <c r="BD53" s="100">
        <v>227</v>
      </c>
      <c r="BE53" s="100">
        <v>208</v>
      </c>
      <c r="BF53" s="23">
        <v>28.629100000000001</v>
      </c>
      <c r="BG53" s="23">
        <v>77.321600000000004</v>
      </c>
      <c r="BH53" s="31">
        <f t="shared" si="31"/>
        <v>567</v>
      </c>
      <c r="BI53" s="31">
        <f t="shared" si="32"/>
        <v>574</v>
      </c>
      <c r="BJ53" s="37">
        <f t="shared" si="33"/>
        <v>-7</v>
      </c>
      <c r="BK53" s="37">
        <f t="shared" si="34"/>
        <v>-1.2195121951219512</v>
      </c>
      <c r="BL53" s="36">
        <f t="shared" si="35"/>
        <v>227</v>
      </c>
      <c r="BM53" s="36">
        <f t="shared" si="36"/>
        <v>208</v>
      </c>
      <c r="BN53" s="37">
        <f t="shared" si="37"/>
        <v>19</v>
      </c>
      <c r="BO53" s="37">
        <f t="shared" si="38"/>
        <v>9.1346153846153832</v>
      </c>
      <c r="BP53" s="38">
        <f t="shared" si="39"/>
        <v>6959</v>
      </c>
      <c r="BQ53" s="39">
        <f>J53+N53+S53+W53+AA53+AE53+AI53+AM53+AQ53+AU53+Table1[[#This Row],[MS-0225]]+Table1[[#This Row],[MS-0325]]</f>
        <v>6943.5</v>
      </c>
      <c r="BR53" s="37">
        <f t="shared" si="40"/>
        <v>15.5</v>
      </c>
      <c r="BS53" s="37">
        <f t="shared" si="41"/>
        <v>0.22323035932886875</v>
      </c>
      <c r="BT53" s="36">
        <f t="shared" si="42"/>
        <v>2461</v>
      </c>
      <c r="BU53" s="36">
        <f t="shared" si="43"/>
        <v>2758.5</v>
      </c>
      <c r="BV53" s="37">
        <f t="shared" si="44"/>
        <v>-297.5</v>
      </c>
      <c r="BW53" s="37">
        <f t="shared" si="45"/>
        <v>-10.784846837049122</v>
      </c>
      <c r="BX53">
        <v>0</v>
      </c>
      <c r="BY53" s="83">
        <f t="shared" si="46"/>
        <v>0</v>
      </c>
      <c r="BZ53">
        <v>0</v>
      </c>
      <c r="CA53" s="83">
        <f t="shared" si="47"/>
        <v>0</v>
      </c>
      <c r="CB53" s="96">
        <f t="shared" si="48"/>
        <v>0.24776054183963295</v>
      </c>
      <c r="CC53" s="96">
        <f t="shared" si="49"/>
        <v>0.26512702078521938</v>
      </c>
      <c r="CD53" s="97">
        <f t="shared" si="50"/>
        <v>-1.7366478945586433E-2</v>
      </c>
      <c r="CE53" s="96">
        <f t="shared" si="51"/>
        <v>0.22643391521197007</v>
      </c>
      <c r="CF53" s="96">
        <f t="shared" si="52"/>
        <v>0.22983425414364642</v>
      </c>
      <c r="CG53" s="96">
        <f t="shared" si="53"/>
        <v>-3.4003389316763499E-3</v>
      </c>
      <c r="CH53" s="95">
        <f t="shared" si="54"/>
        <v>0.24838490916229433</v>
      </c>
      <c r="CI53" s="95">
        <f t="shared" si="55"/>
        <v>0.26186076331271685</v>
      </c>
      <c r="CJ53" s="98">
        <f t="shared" si="56"/>
        <v>-1.3475854150422517E-2</v>
      </c>
      <c r="CK53" s="95">
        <f t="shared" si="57"/>
        <v>0.21180824511575866</v>
      </c>
      <c r="CL53" s="95">
        <f t="shared" si="58"/>
        <v>0.21703383162863887</v>
      </c>
      <c r="CM53" s="98">
        <f t="shared" si="59"/>
        <v>-5.2255865128802148E-3</v>
      </c>
      <c r="CN53" s="94">
        <f t="shared" si="60"/>
        <v>1.4903094549737661</v>
      </c>
      <c r="CO53" s="94">
        <f t="shared" si="61"/>
        <v>1.2708494706945519</v>
      </c>
    </row>
    <row r="54" spans="1:94" ht="24.5" x14ac:dyDescent="0.35">
      <c r="A54" s="104">
        <v>356501</v>
      </c>
      <c r="B54" s="5" t="s">
        <v>581</v>
      </c>
      <c r="C54" s="46" t="s">
        <v>626</v>
      </c>
      <c r="D54" s="13" t="s">
        <v>627</v>
      </c>
      <c r="E54" s="6" t="s">
        <v>187</v>
      </c>
      <c r="F54" s="6" t="s">
        <v>244</v>
      </c>
      <c r="G54" s="12" t="s">
        <v>216</v>
      </c>
      <c r="H54" s="51" t="s">
        <v>217</v>
      </c>
      <c r="I54" s="24" t="s">
        <v>86</v>
      </c>
      <c r="J54" s="100">
        <v>139.5</v>
      </c>
      <c r="K54" s="100">
        <v>142.5</v>
      </c>
      <c r="L54" s="100">
        <v>112.5</v>
      </c>
      <c r="M54" s="100">
        <v>125.5</v>
      </c>
      <c r="N54" s="18">
        <v>135</v>
      </c>
      <c r="O54" s="18">
        <v>137.5</v>
      </c>
      <c r="P54" s="18">
        <v>117</v>
      </c>
      <c r="Q54" s="18">
        <v>106.5</v>
      </c>
      <c r="R54" s="100">
        <v>141</v>
      </c>
      <c r="S54" s="100">
        <v>138.5</v>
      </c>
      <c r="T54" s="100">
        <v>111</v>
      </c>
      <c r="U54" s="100">
        <v>107.5</v>
      </c>
      <c r="V54" s="100">
        <v>152.5</v>
      </c>
      <c r="W54" s="100">
        <v>150.5</v>
      </c>
      <c r="X54" s="100">
        <v>85.5</v>
      </c>
      <c r="Y54" s="100">
        <v>89.5</v>
      </c>
      <c r="Z54" s="100">
        <v>159.5</v>
      </c>
      <c r="AA54" s="100">
        <v>154.5</v>
      </c>
      <c r="AB54" s="100">
        <v>66.5</v>
      </c>
      <c r="AC54" s="100">
        <v>79.5</v>
      </c>
      <c r="AD54" s="100">
        <v>147</v>
      </c>
      <c r="AE54" s="100">
        <v>128</v>
      </c>
      <c r="AF54" s="100">
        <v>111</v>
      </c>
      <c r="AG54" s="100">
        <v>102</v>
      </c>
      <c r="AH54" s="100">
        <v>163.5</v>
      </c>
      <c r="AI54" s="100">
        <v>140.5</v>
      </c>
      <c r="AJ54" s="100">
        <v>126.5</v>
      </c>
      <c r="AK54" s="100">
        <v>113.5</v>
      </c>
      <c r="AL54" s="100">
        <v>152.5</v>
      </c>
      <c r="AM54" s="100">
        <v>139</v>
      </c>
      <c r="AN54" s="100">
        <v>111.5</v>
      </c>
      <c r="AO54" s="100">
        <v>103</v>
      </c>
      <c r="AP54" s="100">
        <v>143.5</v>
      </c>
      <c r="AQ54" s="100">
        <v>126.5</v>
      </c>
      <c r="AR54" s="100">
        <v>68.5</v>
      </c>
      <c r="AS54" s="100">
        <v>67.5</v>
      </c>
      <c r="AT54" s="100">
        <v>129</v>
      </c>
      <c r="AU54" s="100">
        <v>123.5</v>
      </c>
      <c r="AV54" s="100">
        <v>53</v>
      </c>
      <c r="AW54" s="100">
        <v>62.5</v>
      </c>
      <c r="AX54" s="100">
        <v>159.5</v>
      </c>
      <c r="AY54" s="100">
        <v>122.5</v>
      </c>
      <c r="AZ54" s="100">
        <v>86.5</v>
      </c>
      <c r="BA54" s="100">
        <v>75.5</v>
      </c>
      <c r="BB54" s="100">
        <v>160</v>
      </c>
      <c r="BC54" s="100">
        <v>135</v>
      </c>
      <c r="BD54" s="100">
        <v>112</v>
      </c>
      <c r="BE54" s="100">
        <v>69</v>
      </c>
      <c r="BF54" s="23">
        <v>28.82723</v>
      </c>
      <c r="BG54" s="23">
        <v>77.173879999999997</v>
      </c>
      <c r="BH54" s="31">
        <f t="shared" si="31"/>
        <v>160</v>
      </c>
      <c r="BI54" s="31">
        <f t="shared" si="32"/>
        <v>135</v>
      </c>
      <c r="BJ54" s="37">
        <f t="shared" si="33"/>
        <v>25</v>
      </c>
      <c r="BK54" s="37">
        <f t="shared" si="34"/>
        <v>18.518518518518519</v>
      </c>
      <c r="BL54" s="36">
        <f t="shared" si="35"/>
        <v>112</v>
      </c>
      <c r="BM54" s="36">
        <f t="shared" si="36"/>
        <v>69</v>
      </c>
      <c r="BN54" s="37">
        <f t="shared" si="37"/>
        <v>43</v>
      </c>
      <c r="BO54" s="37">
        <f t="shared" si="38"/>
        <v>62.318840579710141</v>
      </c>
      <c r="BP54" s="38">
        <f t="shared" si="39"/>
        <v>1788</v>
      </c>
      <c r="BQ54" s="39">
        <f>J54+N54+S54+W54+AA54+AE54+AI54+AM54+AQ54+AU54+Table1[[#This Row],[MS-0225]]+Table1[[#This Row],[MS-0325]]</f>
        <v>1633</v>
      </c>
      <c r="BR54" s="37">
        <f t="shared" si="40"/>
        <v>155</v>
      </c>
      <c r="BS54" s="37">
        <f t="shared" si="41"/>
        <v>9.4917330067360677</v>
      </c>
      <c r="BT54" s="36">
        <f t="shared" si="42"/>
        <v>1164</v>
      </c>
      <c r="BU54" s="36">
        <f t="shared" si="43"/>
        <v>1099</v>
      </c>
      <c r="BV54" s="37">
        <f t="shared" si="44"/>
        <v>65</v>
      </c>
      <c r="BW54" s="37">
        <f t="shared" si="45"/>
        <v>5.9144676979071882</v>
      </c>
      <c r="BX54">
        <v>0</v>
      </c>
      <c r="BY54" s="83">
        <f t="shared" si="46"/>
        <v>0</v>
      </c>
      <c r="BZ54">
        <v>0</v>
      </c>
      <c r="CA54" s="83">
        <f t="shared" si="47"/>
        <v>0</v>
      </c>
      <c r="CB54" s="96">
        <f t="shared" si="48"/>
        <v>9.6472716309918605E-2</v>
      </c>
      <c r="CC54" s="96">
        <f t="shared" si="49"/>
        <v>9.2560850188549884E-2</v>
      </c>
      <c r="CD54" s="97">
        <f t="shared" si="50"/>
        <v>3.9118661213687206E-3</v>
      </c>
      <c r="CE54" s="96">
        <f t="shared" si="51"/>
        <v>0.18807724601175482</v>
      </c>
      <c r="CF54" s="96">
        <f t="shared" si="52"/>
        <v>0.11509591326105087</v>
      </c>
      <c r="CG54" s="96">
        <f t="shared" si="53"/>
        <v>7.2981332750703953E-2</v>
      </c>
      <c r="CH54" s="95">
        <f t="shared" si="54"/>
        <v>9.6406330035316637E-2</v>
      </c>
      <c r="CI54" s="95">
        <f t="shared" si="55"/>
        <v>0.10066886529539797</v>
      </c>
      <c r="CJ54" s="98">
        <f t="shared" si="56"/>
        <v>-4.2625352600813293E-3</v>
      </c>
      <c r="CK54" s="95">
        <f t="shared" si="57"/>
        <v>0.17330454849996277</v>
      </c>
      <c r="CL54" s="95">
        <f t="shared" si="58"/>
        <v>0.15233210894725899</v>
      </c>
      <c r="CM54" s="98">
        <f t="shared" si="59"/>
        <v>2.0972439552703781E-2</v>
      </c>
      <c r="CN54" s="94">
        <f t="shared" si="60"/>
        <v>0.48203165017658317</v>
      </c>
      <c r="CO54" s="94">
        <f t="shared" si="61"/>
        <v>0.86652274249981387</v>
      </c>
    </row>
    <row r="55" spans="1:94" ht="24.5" x14ac:dyDescent="0.35">
      <c r="A55" s="104">
        <v>107629</v>
      </c>
      <c r="B55" s="5" t="s">
        <v>581</v>
      </c>
      <c r="C55" s="46" t="s">
        <v>727</v>
      </c>
      <c r="D55" s="13" t="s">
        <v>728</v>
      </c>
      <c r="E55" s="6" t="s">
        <v>111</v>
      </c>
      <c r="F55" s="6" t="s">
        <v>112</v>
      </c>
      <c r="G55" s="12" t="s">
        <v>112</v>
      </c>
      <c r="H55" s="51" t="s">
        <v>275</v>
      </c>
      <c r="I55" s="24" t="s">
        <v>78</v>
      </c>
      <c r="J55" s="100">
        <v>553.5</v>
      </c>
      <c r="K55" s="100">
        <v>513</v>
      </c>
      <c r="L55" s="100">
        <v>220.5</v>
      </c>
      <c r="M55" s="100">
        <v>153</v>
      </c>
      <c r="N55" s="18">
        <v>603</v>
      </c>
      <c r="O55" s="18">
        <v>558</v>
      </c>
      <c r="P55" s="18">
        <v>225</v>
      </c>
      <c r="Q55" s="18">
        <v>162</v>
      </c>
      <c r="R55" s="100">
        <v>526.5</v>
      </c>
      <c r="S55" s="100">
        <v>625.5</v>
      </c>
      <c r="T55" s="100">
        <v>139.5</v>
      </c>
      <c r="U55" s="100">
        <v>220.5</v>
      </c>
      <c r="V55" s="100">
        <v>553.5</v>
      </c>
      <c r="W55" s="100">
        <v>608</v>
      </c>
      <c r="X55" s="100">
        <v>148.5</v>
      </c>
      <c r="Y55" s="100">
        <v>216</v>
      </c>
      <c r="Z55" s="100">
        <v>558</v>
      </c>
      <c r="AA55" s="100">
        <v>612</v>
      </c>
      <c r="AB55" s="100">
        <v>144</v>
      </c>
      <c r="AC55" s="100">
        <v>198</v>
      </c>
      <c r="AD55" s="100">
        <v>504</v>
      </c>
      <c r="AE55" s="100">
        <v>545</v>
      </c>
      <c r="AF55" s="100">
        <v>144</v>
      </c>
      <c r="AG55" s="100">
        <v>189</v>
      </c>
      <c r="AH55" s="100">
        <v>549</v>
      </c>
      <c r="AI55" s="100">
        <v>627.5</v>
      </c>
      <c r="AJ55" s="100">
        <v>171</v>
      </c>
      <c r="AK55" s="100">
        <v>202.5</v>
      </c>
      <c r="AL55" s="100">
        <v>558</v>
      </c>
      <c r="AM55" s="100">
        <v>553.5</v>
      </c>
      <c r="AN55" s="100">
        <v>162</v>
      </c>
      <c r="AO55" s="100">
        <v>148.5</v>
      </c>
      <c r="AP55" s="100">
        <v>522</v>
      </c>
      <c r="AQ55" s="100">
        <v>497</v>
      </c>
      <c r="AR55" s="100">
        <v>144</v>
      </c>
      <c r="AS55" s="100">
        <v>153</v>
      </c>
      <c r="AT55" s="100">
        <v>508.5</v>
      </c>
      <c r="AU55" s="100">
        <v>506</v>
      </c>
      <c r="AV55" s="100">
        <v>139.5</v>
      </c>
      <c r="AW55" s="100">
        <v>144</v>
      </c>
      <c r="AX55" s="100">
        <v>513</v>
      </c>
      <c r="AY55" s="100">
        <v>524</v>
      </c>
      <c r="AZ55" s="100">
        <v>153</v>
      </c>
      <c r="BA55" s="100">
        <v>162</v>
      </c>
      <c r="BB55" s="100">
        <v>562.5</v>
      </c>
      <c r="BC55" s="100">
        <v>485.5</v>
      </c>
      <c r="BD55" s="100">
        <v>139.5</v>
      </c>
      <c r="BE55" s="100">
        <v>148.5</v>
      </c>
      <c r="BF55" s="23">
        <v>28.5381</v>
      </c>
      <c r="BG55" s="23">
        <v>77.290199999999999</v>
      </c>
      <c r="BH55" s="31">
        <f t="shared" si="31"/>
        <v>562.5</v>
      </c>
      <c r="BI55" s="31">
        <f t="shared" si="32"/>
        <v>485.5</v>
      </c>
      <c r="BJ55" s="37">
        <f t="shared" si="33"/>
        <v>77</v>
      </c>
      <c r="BK55" s="37">
        <f t="shared" si="34"/>
        <v>15.859938208032956</v>
      </c>
      <c r="BL55" s="36">
        <f t="shared" si="35"/>
        <v>139.5</v>
      </c>
      <c r="BM55" s="36">
        <f t="shared" si="36"/>
        <v>148.5</v>
      </c>
      <c r="BN55" s="37">
        <f t="shared" si="37"/>
        <v>-9</v>
      </c>
      <c r="BO55" s="37">
        <f t="shared" si="38"/>
        <v>-6.0606060606060606</v>
      </c>
      <c r="BP55" s="38">
        <f t="shared" si="39"/>
        <v>6426</v>
      </c>
      <c r="BQ55" s="39">
        <f>J55+N55+S55+W55+AA55+AE55+AI55+AM55+AQ55+AU55+Table1[[#This Row],[MS-0225]]+Table1[[#This Row],[MS-0325]]</f>
        <v>6740.5</v>
      </c>
      <c r="BR55" s="37">
        <f t="shared" si="40"/>
        <v>-314.5</v>
      </c>
      <c r="BS55" s="37">
        <f t="shared" si="41"/>
        <v>-4.6658259773013873</v>
      </c>
      <c r="BT55" s="36">
        <f t="shared" si="42"/>
        <v>1800</v>
      </c>
      <c r="BU55" s="36">
        <f t="shared" si="43"/>
        <v>2227.5</v>
      </c>
      <c r="BV55" s="37">
        <f t="shared" si="44"/>
        <v>-427.5</v>
      </c>
      <c r="BW55" s="37">
        <f t="shared" si="45"/>
        <v>-19.19191919191919</v>
      </c>
      <c r="BX55">
        <v>0</v>
      </c>
      <c r="BY55" s="83">
        <f t="shared" si="46"/>
        <v>0</v>
      </c>
      <c r="BZ55">
        <v>0</v>
      </c>
      <c r="CA55" s="83">
        <f t="shared" si="47"/>
        <v>0</v>
      </c>
      <c r="CB55" s="96">
        <f t="shared" si="48"/>
        <v>0.10217983651226158</v>
      </c>
      <c r="CC55" s="96">
        <f t="shared" si="49"/>
        <v>9.2989848687990803E-2</v>
      </c>
      <c r="CD55" s="97">
        <f t="shared" si="50"/>
        <v>9.1899878242707733E-3</v>
      </c>
      <c r="CE55" s="96">
        <f t="shared" si="51"/>
        <v>9.6942321056289096E-2</v>
      </c>
      <c r="CF55" s="96">
        <f t="shared" si="52"/>
        <v>9.54983922829582E-2</v>
      </c>
      <c r="CG55" s="96">
        <f t="shared" si="53"/>
        <v>1.4439287733308964E-3</v>
      </c>
      <c r="CH55" s="95">
        <f t="shared" si="54"/>
        <v>0.1000638440336972</v>
      </c>
      <c r="CI55" s="95">
        <f t="shared" si="55"/>
        <v>0.10567945746683653</v>
      </c>
      <c r="CJ55" s="98">
        <f t="shared" si="56"/>
        <v>-5.6156134331393354E-3</v>
      </c>
      <c r="CK55" s="95">
        <f t="shared" si="57"/>
        <v>0.10026737967914438</v>
      </c>
      <c r="CL55" s="95">
        <f t="shared" si="58"/>
        <v>0.10657894736842105</v>
      </c>
      <c r="CM55" s="98">
        <f t="shared" si="59"/>
        <v>-6.3115676892766676E-3</v>
      </c>
      <c r="CN55" s="94">
        <f t="shared" si="60"/>
        <v>1.1007022843706691</v>
      </c>
      <c r="CO55" s="94">
        <f t="shared" si="61"/>
        <v>1.1029411764705883</v>
      </c>
    </row>
    <row r="56" spans="1:94" ht="24.5" x14ac:dyDescent="0.35">
      <c r="A56" s="103">
        <v>41056544</v>
      </c>
      <c r="B56" s="9" t="s">
        <v>380</v>
      </c>
      <c r="C56" s="48" t="s">
        <v>406</v>
      </c>
      <c r="D56" s="14" t="s">
        <v>407</v>
      </c>
      <c r="E56" s="10" t="s">
        <v>187</v>
      </c>
      <c r="F56" s="10" t="s">
        <v>356</v>
      </c>
      <c r="G56" s="12" t="s">
        <v>408</v>
      </c>
      <c r="H56" s="51" t="s">
        <v>367</v>
      </c>
      <c r="I56" s="25" t="s">
        <v>86</v>
      </c>
      <c r="J56" s="99">
        <v>326</v>
      </c>
      <c r="K56" s="99">
        <v>446</v>
      </c>
      <c r="L56" s="99">
        <v>310</v>
      </c>
      <c r="M56" s="99">
        <v>301</v>
      </c>
      <c r="N56" s="18">
        <v>403</v>
      </c>
      <c r="O56" s="18">
        <v>486.5</v>
      </c>
      <c r="P56" s="18">
        <v>279</v>
      </c>
      <c r="Q56" s="18">
        <v>273.5</v>
      </c>
      <c r="R56" s="99">
        <v>451</v>
      </c>
      <c r="S56" s="99">
        <v>449</v>
      </c>
      <c r="T56" s="99">
        <v>314</v>
      </c>
      <c r="U56" s="99">
        <v>294</v>
      </c>
      <c r="V56" s="99">
        <v>489.5</v>
      </c>
      <c r="W56" s="99">
        <v>437</v>
      </c>
      <c r="X56" s="99">
        <v>212.5</v>
      </c>
      <c r="Y56" s="99">
        <v>202</v>
      </c>
      <c r="Z56" s="99">
        <v>507.5</v>
      </c>
      <c r="AA56" s="99">
        <v>457.5</v>
      </c>
      <c r="AB56" s="99">
        <v>198.5</v>
      </c>
      <c r="AC56" s="99">
        <v>265.5</v>
      </c>
      <c r="AD56" s="99">
        <v>492</v>
      </c>
      <c r="AE56" s="99">
        <v>442</v>
      </c>
      <c r="AF56" s="99">
        <v>184</v>
      </c>
      <c r="AG56" s="99">
        <v>264</v>
      </c>
      <c r="AH56" s="99">
        <v>492</v>
      </c>
      <c r="AI56" s="99">
        <v>477</v>
      </c>
      <c r="AJ56" s="99">
        <v>201</v>
      </c>
      <c r="AK56" s="99">
        <v>297</v>
      </c>
      <c r="AL56" s="99">
        <v>476</v>
      </c>
      <c r="AM56" s="99">
        <v>430</v>
      </c>
      <c r="AN56" s="99">
        <v>179</v>
      </c>
      <c r="AO56" s="99">
        <v>346</v>
      </c>
      <c r="AP56" s="99">
        <v>443</v>
      </c>
      <c r="AQ56" s="99">
        <v>420</v>
      </c>
      <c r="AR56" s="99">
        <v>182</v>
      </c>
      <c r="AS56" s="99">
        <v>280</v>
      </c>
      <c r="AT56" s="99">
        <v>365</v>
      </c>
      <c r="AU56" s="99">
        <v>392.5</v>
      </c>
      <c r="AV56" s="99">
        <v>195</v>
      </c>
      <c r="AW56" s="99">
        <v>266.5</v>
      </c>
      <c r="AX56" s="99">
        <v>395</v>
      </c>
      <c r="AY56" s="99">
        <v>415</v>
      </c>
      <c r="AZ56" s="99">
        <v>207</v>
      </c>
      <c r="BA56" s="99">
        <v>318</v>
      </c>
      <c r="BB56" s="99">
        <v>387</v>
      </c>
      <c r="BC56" s="99">
        <v>458</v>
      </c>
      <c r="BD56" s="99">
        <v>254</v>
      </c>
      <c r="BE56" s="99">
        <v>292</v>
      </c>
      <c r="BF56" s="23">
        <v>28.693010000000001</v>
      </c>
      <c r="BG56" s="23">
        <v>77.220770000000002</v>
      </c>
      <c r="BH56" s="31">
        <f t="shared" si="31"/>
        <v>387</v>
      </c>
      <c r="BI56" s="31">
        <f t="shared" si="32"/>
        <v>458</v>
      </c>
      <c r="BJ56" s="37">
        <f t="shared" si="33"/>
        <v>-71</v>
      </c>
      <c r="BK56" s="37">
        <f t="shared" si="34"/>
        <v>-15.502183406113538</v>
      </c>
      <c r="BL56" s="36">
        <f t="shared" si="35"/>
        <v>254</v>
      </c>
      <c r="BM56" s="36">
        <f t="shared" si="36"/>
        <v>292</v>
      </c>
      <c r="BN56" s="37">
        <f t="shared" si="37"/>
        <v>-38</v>
      </c>
      <c r="BO56" s="37">
        <f t="shared" si="38"/>
        <v>-13.013698630136986</v>
      </c>
      <c r="BP56" s="38">
        <f t="shared" si="39"/>
        <v>5430.5</v>
      </c>
      <c r="BQ56" s="39">
        <f>J56+N56+S56+W56+AA56+AE56+AI56+AM56+AQ56+AU56+Table1[[#This Row],[MS-0225]]+Table1[[#This Row],[MS-0325]]</f>
        <v>5107</v>
      </c>
      <c r="BR56" s="37">
        <f t="shared" si="40"/>
        <v>323.5</v>
      </c>
      <c r="BS56" s="37">
        <f t="shared" si="41"/>
        <v>6.3344429214803206</v>
      </c>
      <c r="BT56" s="36">
        <f t="shared" si="42"/>
        <v>2701.5</v>
      </c>
      <c r="BU56" s="36">
        <f t="shared" si="43"/>
        <v>3414</v>
      </c>
      <c r="BV56" s="37">
        <f t="shared" si="44"/>
        <v>-712.5</v>
      </c>
      <c r="BW56" s="37">
        <f t="shared" si="45"/>
        <v>-20.869947275922669</v>
      </c>
      <c r="BX56">
        <v>0</v>
      </c>
      <c r="BY56" s="83">
        <f t="shared" si="46"/>
        <v>0</v>
      </c>
      <c r="BZ56">
        <v>0</v>
      </c>
      <c r="CA56" s="83">
        <f t="shared" si="47"/>
        <v>0</v>
      </c>
      <c r="CB56" s="96">
        <f t="shared" si="48"/>
        <v>0.56127628716461209</v>
      </c>
      <c r="CC56" s="96">
        <f t="shared" si="49"/>
        <v>0.60104986876640421</v>
      </c>
      <c r="CD56" s="97">
        <f t="shared" si="50"/>
        <v>-3.9773581601792118E-2</v>
      </c>
      <c r="CE56" s="96">
        <f t="shared" si="51"/>
        <v>0.29381145170618855</v>
      </c>
      <c r="CF56" s="96">
        <f t="shared" si="52"/>
        <v>0.33524684270952926</v>
      </c>
      <c r="CG56" s="96">
        <f t="shared" si="53"/>
        <v>-4.1435391003340705E-2</v>
      </c>
      <c r="CH56" s="95">
        <f t="shared" si="54"/>
        <v>0.5943416876436467</v>
      </c>
      <c r="CI56" s="95">
        <f t="shared" si="55"/>
        <v>0.59006354708261122</v>
      </c>
      <c r="CJ56" s="98">
        <f t="shared" si="56"/>
        <v>4.2781405610354817E-3</v>
      </c>
      <c r="CK56" s="95">
        <f t="shared" si="57"/>
        <v>0.26789964299880997</v>
      </c>
      <c r="CL56" s="95">
        <f t="shared" si="58"/>
        <v>0.3572998430141287</v>
      </c>
      <c r="CM56" s="98">
        <f t="shared" si="59"/>
        <v>-8.9400200015318732E-2</v>
      </c>
      <c r="CN56" s="94">
        <f t="shared" si="60"/>
        <v>1.1886833752872934</v>
      </c>
      <c r="CO56" s="94">
        <f t="shared" si="61"/>
        <v>0.53579928599761995</v>
      </c>
      <c r="CP56" s="141">
        <f>BD56-AZ56</f>
        <v>47</v>
      </c>
    </row>
    <row r="57" spans="1:94" ht="24.5" x14ac:dyDescent="0.35">
      <c r="A57" s="103">
        <v>41019252</v>
      </c>
      <c r="B57" s="9" t="s">
        <v>380</v>
      </c>
      <c r="C57" s="48" t="s">
        <v>442</v>
      </c>
      <c r="D57" s="14" t="s">
        <v>443</v>
      </c>
      <c r="E57" s="10" t="s">
        <v>81</v>
      </c>
      <c r="F57" s="10" t="s">
        <v>154</v>
      </c>
      <c r="G57" s="12" t="s">
        <v>154</v>
      </c>
      <c r="H57" s="51" t="s">
        <v>135</v>
      </c>
      <c r="I57" s="25" t="s">
        <v>83</v>
      </c>
      <c r="J57" s="99">
        <v>463.5</v>
      </c>
      <c r="K57" s="99">
        <v>536</v>
      </c>
      <c r="L57" s="99">
        <v>112.5</v>
      </c>
      <c r="M57" s="99">
        <v>103</v>
      </c>
      <c r="N57" s="18">
        <v>522</v>
      </c>
      <c r="O57" s="18">
        <v>560</v>
      </c>
      <c r="P57" s="18">
        <v>126</v>
      </c>
      <c r="Q57" s="18">
        <v>122</v>
      </c>
      <c r="R57" s="99">
        <v>550</v>
      </c>
      <c r="S57" s="99">
        <v>495</v>
      </c>
      <c r="T57" s="99">
        <v>110</v>
      </c>
      <c r="U57" s="99">
        <v>117</v>
      </c>
      <c r="V57" s="99">
        <v>599</v>
      </c>
      <c r="W57" s="99">
        <v>567</v>
      </c>
      <c r="X57" s="99">
        <v>105</v>
      </c>
      <c r="Y57" s="99">
        <v>117</v>
      </c>
      <c r="Z57" s="99">
        <v>594</v>
      </c>
      <c r="AA57" s="99">
        <v>563</v>
      </c>
      <c r="AB57" s="99">
        <v>106</v>
      </c>
      <c r="AC57" s="99">
        <v>117</v>
      </c>
      <c r="AD57" s="99">
        <v>561</v>
      </c>
      <c r="AE57" s="99">
        <v>531</v>
      </c>
      <c r="AF57" s="99">
        <v>104</v>
      </c>
      <c r="AG57" s="99">
        <v>117</v>
      </c>
      <c r="AH57" s="99">
        <v>583</v>
      </c>
      <c r="AI57" s="99">
        <v>576</v>
      </c>
      <c r="AJ57" s="99">
        <v>99</v>
      </c>
      <c r="AK57" s="99">
        <v>126</v>
      </c>
      <c r="AL57" s="99">
        <v>547</v>
      </c>
      <c r="AM57" s="99">
        <v>514.5</v>
      </c>
      <c r="AN57" s="99">
        <v>91</v>
      </c>
      <c r="AO57" s="99">
        <v>88.5</v>
      </c>
      <c r="AP57" s="99">
        <v>527</v>
      </c>
      <c r="AQ57" s="99">
        <v>487</v>
      </c>
      <c r="AR57" s="99">
        <v>89</v>
      </c>
      <c r="AS57" s="99">
        <v>81</v>
      </c>
      <c r="AT57" s="99">
        <v>518</v>
      </c>
      <c r="AU57" s="99">
        <v>491</v>
      </c>
      <c r="AV57" s="99">
        <v>98</v>
      </c>
      <c r="AW57" s="99">
        <v>103</v>
      </c>
      <c r="AX57" s="99">
        <v>504</v>
      </c>
      <c r="AY57" s="99">
        <v>481</v>
      </c>
      <c r="AZ57" s="99">
        <v>90</v>
      </c>
      <c r="BA57" s="99">
        <v>91</v>
      </c>
      <c r="BB57" s="99">
        <v>557</v>
      </c>
      <c r="BC57" s="99">
        <v>529</v>
      </c>
      <c r="BD57" s="99">
        <v>105</v>
      </c>
      <c r="BE57" s="99">
        <v>109</v>
      </c>
      <c r="BF57" s="23">
        <v>28.593461999999999</v>
      </c>
      <c r="BG57" s="23">
        <v>77.043284</v>
      </c>
      <c r="BH57" s="31">
        <f t="shared" si="31"/>
        <v>557</v>
      </c>
      <c r="BI57" s="31">
        <f t="shared" si="32"/>
        <v>529</v>
      </c>
      <c r="BJ57" s="37">
        <f t="shared" si="33"/>
        <v>28</v>
      </c>
      <c r="BK57" s="37">
        <f t="shared" si="34"/>
        <v>5.2930056710775046</v>
      </c>
      <c r="BL57" s="36">
        <f t="shared" si="35"/>
        <v>105</v>
      </c>
      <c r="BM57" s="36">
        <f t="shared" si="36"/>
        <v>109</v>
      </c>
      <c r="BN57" s="37">
        <f t="shared" si="37"/>
        <v>-4</v>
      </c>
      <c r="BO57" s="37">
        <f t="shared" si="38"/>
        <v>-3.669724770642202</v>
      </c>
      <c r="BP57" s="38">
        <f t="shared" si="39"/>
        <v>6636</v>
      </c>
      <c r="BQ57" s="39">
        <f>J57+N57+S57+W57+AA57+AE57+AI57+AM57+AQ57+AU57+Table1[[#This Row],[MS-0225]]+Table1[[#This Row],[MS-0325]]</f>
        <v>6220</v>
      </c>
      <c r="BR57" s="37">
        <f t="shared" si="40"/>
        <v>416</v>
      </c>
      <c r="BS57" s="37">
        <f t="shared" si="41"/>
        <v>6.688102893890675</v>
      </c>
      <c r="BT57" s="36">
        <f t="shared" si="42"/>
        <v>1222</v>
      </c>
      <c r="BU57" s="36">
        <f t="shared" si="43"/>
        <v>1305</v>
      </c>
      <c r="BV57" s="37">
        <f t="shared" si="44"/>
        <v>-83</v>
      </c>
      <c r="BW57" s="37">
        <f t="shared" si="45"/>
        <v>-6.3601532567049812</v>
      </c>
      <c r="BX57">
        <v>0</v>
      </c>
      <c r="BY57" s="83">
        <f t="shared" si="46"/>
        <v>0</v>
      </c>
      <c r="BZ57">
        <v>0</v>
      </c>
      <c r="CA57" s="83">
        <f t="shared" si="47"/>
        <v>0</v>
      </c>
      <c r="CB57" s="96">
        <f t="shared" si="48"/>
        <v>0.32048331415420023</v>
      </c>
      <c r="CC57" s="96">
        <f t="shared" si="49"/>
        <v>0.34417696811971371</v>
      </c>
      <c r="CD57" s="97">
        <f t="shared" si="50"/>
        <v>-2.3693653965513484E-2</v>
      </c>
      <c r="CE57" s="96">
        <f t="shared" si="51"/>
        <v>0.32407407407407407</v>
      </c>
      <c r="CF57" s="96">
        <f t="shared" si="52"/>
        <v>0.35737704918032787</v>
      </c>
      <c r="CG57" s="96">
        <f t="shared" si="53"/>
        <v>-3.3302975106253796E-2</v>
      </c>
      <c r="CH57" s="95">
        <f t="shared" si="54"/>
        <v>0.33434099153567109</v>
      </c>
      <c r="CI57" s="95">
        <f t="shared" si="55"/>
        <v>0.34437892755308253</v>
      </c>
      <c r="CJ57" s="98">
        <f t="shared" si="56"/>
        <v>-1.0037936017411431E-2</v>
      </c>
      <c r="CK57" s="95">
        <f t="shared" si="57"/>
        <v>0.33188484519282996</v>
      </c>
      <c r="CL57" s="95">
        <f t="shared" si="58"/>
        <v>0.34693606274092781</v>
      </c>
      <c r="CM57" s="98">
        <f t="shared" si="59"/>
        <v>-1.5051217548097851E-2</v>
      </c>
      <c r="CN57" s="94">
        <f t="shared" si="60"/>
        <v>1.3373639661426844</v>
      </c>
      <c r="CO57" s="94">
        <f t="shared" si="61"/>
        <v>1.3275393807713198</v>
      </c>
    </row>
    <row r="58" spans="1:94" ht="24.5" x14ac:dyDescent="0.35">
      <c r="A58" s="104">
        <v>106315</v>
      </c>
      <c r="B58" s="5" t="s">
        <v>581</v>
      </c>
      <c r="C58" s="46" t="s">
        <v>653</v>
      </c>
      <c r="D58" s="13" t="s">
        <v>334</v>
      </c>
      <c r="E58" s="6" t="s">
        <v>187</v>
      </c>
      <c r="F58" s="6" t="s">
        <v>321</v>
      </c>
      <c r="G58" s="12" t="s">
        <v>321</v>
      </c>
      <c r="H58" s="51" t="s">
        <v>189</v>
      </c>
      <c r="I58" s="24" t="s">
        <v>86</v>
      </c>
      <c r="J58" s="100">
        <v>148.5</v>
      </c>
      <c r="K58" s="100">
        <v>171</v>
      </c>
      <c r="L58" s="100">
        <v>31.5</v>
      </c>
      <c r="M58" s="100">
        <v>27</v>
      </c>
      <c r="N58" s="18">
        <v>148.5</v>
      </c>
      <c r="O58" s="18">
        <v>175.5</v>
      </c>
      <c r="P58" s="18">
        <v>31.5</v>
      </c>
      <c r="Q58" s="18">
        <v>22.5</v>
      </c>
      <c r="R58" s="100">
        <v>171</v>
      </c>
      <c r="S58" s="100">
        <v>144</v>
      </c>
      <c r="T58" s="100">
        <v>27</v>
      </c>
      <c r="U58" s="100">
        <v>36</v>
      </c>
      <c r="V58" s="100">
        <v>171</v>
      </c>
      <c r="W58" s="100">
        <v>173</v>
      </c>
      <c r="X58" s="100">
        <v>45</v>
      </c>
      <c r="Y58" s="100">
        <v>45</v>
      </c>
      <c r="Z58" s="100">
        <v>189</v>
      </c>
      <c r="AA58" s="100">
        <v>156</v>
      </c>
      <c r="AB58" s="100">
        <v>45</v>
      </c>
      <c r="AC58" s="100">
        <v>28</v>
      </c>
      <c r="AD58" s="100">
        <v>180</v>
      </c>
      <c r="AE58" s="100">
        <v>154</v>
      </c>
      <c r="AF58" s="100">
        <v>36</v>
      </c>
      <c r="AG58" s="100">
        <v>28</v>
      </c>
      <c r="AH58" s="100">
        <v>171</v>
      </c>
      <c r="AI58" s="100">
        <v>174</v>
      </c>
      <c r="AJ58" s="100">
        <v>45</v>
      </c>
      <c r="AK58" s="100">
        <v>32</v>
      </c>
      <c r="AL58" s="100">
        <v>180</v>
      </c>
      <c r="AM58" s="100">
        <v>173</v>
      </c>
      <c r="AN58" s="100">
        <v>72</v>
      </c>
      <c r="AO58" s="100">
        <v>45</v>
      </c>
      <c r="AP58" s="100">
        <v>171</v>
      </c>
      <c r="AQ58" s="100">
        <v>162</v>
      </c>
      <c r="AR58" s="100">
        <v>27</v>
      </c>
      <c r="AS58" s="100">
        <v>30</v>
      </c>
      <c r="AT58" s="100">
        <v>171</v>
      </c>
      <c r="AU58" s="100">
        <v>157.5</v>
      </c>
      <c r="AV58" s="100">
        <v>27</v>
      </c>
      <c r="AW58" s="100">
        <v>22.5</v>
      </c>
      <c r="AX58" s="100">
        <v>180</v>
      </c>
      <c r="AY58" s="100">
        <v>126</v>
      </c>
      <c r="AZ58" s="100">
        <v>36</v>
      </c>
      <c r="BA58" s="100">
        <v>36</v>
      </c>
      <c r="BB58" s="100">
        <v>171</v>
      </c>
      <c r="BC58" s="100">
        <v>169.5</v>
      </c>
      <c r="BD58" s="100">
        <v>63</v>
      </c>
      <c r="BE58" s="100">
        <v>22.5</v>
      </c>
      <c r="BF58" s="23">
        <v>28.641300000000001</v>
      </c>
      <c r="BG58" s="23">
        <v>77.228899999999996</v>
      </c>
      <c r="BH58" s="31">
        <f t="shared" si="31"/>
        <v>171</v>
      </c>
      <c r="BI58" s="31">
        <f t="shared" si="32"/>
        <v>169.5</v>
      </c>
      <c r="BJ58" s="37">
        <f t="shared" si="33"/>
        <v>1.5</v>
      </c>
      <c r="BK58" s="37">
        <f t="shared" si="34"/>
        <v>0.88495575221238942</v>
      </c>
      <c r="BL58" s="36">
        <f t="shared" si="35"/>
        <v>63</v>
      </c>
      <c r="BM58" s="36">
        <f t="shared" si="36"/>
        <v>22.5</v>
      </c>
      <c r="BN58" s="37">
        <f t="shared" si="37"/>
        <v>40.5</v>
      </c>
      <c r="BO58" s="37">
        <f t="shared" si="38"/>
        <v>180</v>
      </c>
      <c r="BP58" s="38">
        <f t="shared" si="39"/>
        <v>2101.5</v>
      </c>
      <c r="BQ58" s="39">
        <f>J58+N58+S58+W58+AA58+AE58+AI58+AM58+AQ58+AU58+Table1[[#This Row],[MS-0225]]+Table1[[#This Row],[MS-0325]]</f>
        <v>1886</v>
      </c>
      <c r="BR58" s="37">
        <f t="shared" si="40"/>
        <v>215.5</v>
      </c>
      <c r="BS58" s="37">
        <f t="shared" si="41"/>
        <v>11.426299045599151</v>
      </c>
      <c r="BT58" s="36">
        <f t="shared" si="42"/>
        <v>472.5</v>
      </c>
      <c r="BU58" s="36">
        <f t="shared" si="43"/>
        <v>388</v>
      </c>
      <c r="BV58" s="37">
        <f t="shared" si="44"/>
        <v>84.5</v>
      </c>
      <c r="BW58" s="37">
        <f t="shared" si="45"/>
        <v>21.778350515463917</v>
      </c>
      <c r="BX58">
        <v>0</v>
      </c>
      <c r="BY58" s="83">
        <f t="shared" si="46"/>
        <v>0</v>
      </c>
      <c r="BZ58">
        <v>0</v>
      </c>
      <c r="CA58" s="83">
        <f t="shared" si="47"/>
        <v>0</v>
      </c>
      <c r="CB58" s="96">
        <f t="shared" si="48"/>
        <v>0.11902135215216367</v>
      </c>
      <c r="CC58" s="96">
        <f t="shared" si="49"/>
        <v>0.12027640155713591</v>
      </c>
      <c r="CD58" s="97">
        <f t="shared" si="50"/>
        <v>-1.2550494049722444E-3</v>
      </c>
      <c r="CE58" s="96">
        <f t="shared" si="51"/>
        <v>0.16392205636316801</v>
      </c>
      <c r="CF58" s="96">
        <f t="shared" si="52"/>
        <v>6.8469389618214707E-2</v>
      </c>
      <c r="CG58" s="96">
        <f t="shared" si="53"/>
        <v>9.5452666744953299E-2</v>
      </c>
      <c r="CH58" s="95">
        <f t="shared" si="54"/>
        <v>0.12183884295364492</v>
      </c>
      <c r="CI58" s="95">
        <f t="shared" si="55"/>
        <v>0.11522901766558419</v>
      </c>
      <c r="CJ58" s="98">
        <f t="shared" si="56"/>
        <v>6.6098252880607278E-3</v>
      </c>
      <c r="CK58" s="95">
        <f t="shared" si="57"/>
        <v>0.11621512070631246</v>
      </c>
      <c r="CL58" s="95">
        <f t="shared" si="58"/>
        <v>9.7411514944884675E-2</v>
      </c>
      <c r="CM58" s="98">
        <f t="shared" si="59"/>
        <v>1.8803605761427783E-2</v>
      </c>
      <c r="CN58" s="94">
        <f t="shared" si="60"/>
        <v>0.73103305772186955</v>
      </c>
      <c r="CO58" s="94">
        <f t="shared" si="61"/>
        <v>0.69729072423787475</v>
      </c>
    </row>
    <row r="59" spans="1:94" ht="24.5" x14ac:dyDescent="0.35">
      <c r="A59" s="102">
        <v>112387</v>
      </c>
      <c r="B59" s="3" t="s">
        <v>72</v>
      </c>
      <c r="C59" s="40" t="s">
        <v>123</v>
      </c>
      <c r="D59" s="12" t="s">
        <v>124</v>
      </c>
      <c r="E59" s="4" t="s">
        <v>111</v>
      </c>
      <c r="F59" s="4" t="s">
        <v>125</v>
      </c>
      <c r="G59" s="12" t="s">
        <v>125</v>
      </c>
      <c r="H59" s="51" t="s">
        <v>126</v>
      </c>
      <c r="I59" s="23" t="s">
        <v>78</v>
      </c>
      <c r="J59" s="18">
        <v>495.00000699999998</v>
      </c>
      <c r="K59" s="18">
        <v>553.5</v>
      </c>
      <c r="L59" s="18">
        <v>99</v>
      </c>
      <c r="M59" s="18">
        <v>76.5</v>
      </c>
      <c r="N59" s="18">
        <v>576.00000999999997</v>
      </c>
      <c r="O59" s="18">
        <v>562.5</v>
      </c>
      <c r="P59" s="18">
        <v>126</v>
      </c>
      <c r="Q59" s="18">
        <v>85.5</v>
      </c>
      <c r="R59" s="18">
        <v>513</v>
      </c>
      <c r="S59" s="18">
        <v>513.00000699999998</v>
      </c>
      <c r="T59" s="18">
        <v>99</v>
      </c>
      <c r="U59" s="18">
        <v>117</v>
      </c>
      <c r="V59" s="18">
        <v>612</v>
      </c>
      <c r="W59" s="18">
        <v>583.50000499999999</v>
      </c>
      <c r="X59" s="18">
        <v>90</v>
      </c>
      <c r="Y59" s="18">
        <v>112.5</v>
      </c>
      <c r="Z59" s="18">
        <v>612</v>
      </c>
      <c r="AA59" s="18">
        <v>584.500001</v>
      </c>
      <c r="AB59" s="18">
        <v>90</v>
      </c>
      <c r="AC59" s="18">
        <v>111.5</v>
      </c>
      <c r="AD59" s="18">
        <v>576</v>
      </c>
      <c r="AE59" s="18">
        <v>549</v>
      </c>
      <c r="AF59" s="18">
        <v>90</v>
      </c>
      <c r="AG59" s="18">
        <v>99</v>
      </c>
      <c r="AH59" s="18">
        <v>571.5</v>
      </c>
      <c r="AI59" s="18">
        <v>563</v>
      </c>
      <c r="AJ59" s="18">
        <v>88.5</v>
      </c>
      <c r="AK59" s="18">
        <v>117</v>
      </c>
      <c r="AL59" s="18">
        <v>522</v>
      </c>
      <c r="AM59" s="18">
        <v>486.00000899999998</v>
      </c>
      <c r="AN59" s="18">
        <v>66</v>
      </c>
      <c r="AO59" s="18">
        <v>72</v>
      </c>
      <c r="AP59" s="18">
        <v>513</v>
      </c>
      <c r="AQ59" s="18">
        <v>499.5</v>
      </c>
      <c r="AR59" s="18">
        <v>63</v>
      </c>
      <c r="AS59" s="18">
        <v>76.5</v>
      </c>
      <c r="AT59" s="18">
        <v>516.5</v>
      </c>
      <c r="AU59" s="18">
        <v>490.5</v>
      </c>
      <c r="AV59" s="18">
        <v>89.5</v>
      </c>
      <c r="AW59" s="18">
        <v>85.5</v>
      </c>
      <c r="AX59" s="18">
        <v>490.5</v>
      </c>
      <c r="AY59" s="18">
        <v>459</v>
      </c>
      <c r="AZ59" s="18">
        <v>49.5</v>
      </c>
      <c r="BA59" s="18">
        <v>81</v>
      </c>
      <c r="BB59" s="18">
        <v>553</v>
      </c>
      <c r="BC59" s="18">
        <v>504</v>
      </c>
      <c r="BD59" s="18">
        <v>89</v>
      </c>
      <c r="BE59" s="18">
        <v>102</v>
      </c>
      <c r="BF59" s="23">
        <v>28.531079999999999</v>
      </c>
      <c r="BG59" s="23">
        <v>77.250929999999997</v>
      </c>
      <c r="BH59" s="31">
        <f t="shared" si="31"/>
        <v>553</v>
      </c>
      <c r="BI59" s="31">
        <f t="shared" si="32"/>
        <v>504</v>
      </c>
      <c r="BJ59" s="37">
        <f t="shared" si="33"/>
        <v>49</v>
      </c>
      <c r="BK59" s="37">
        <f t="shared" si="34"/>
        <v>9.7222222222222232</v>
      </c>
      <c r="BL59" s="36">
        <f t="shared" si="35"/>
        <v>89</v>
      </c>
      <c r="BM59" s="36">
        <f t="shared" si="36"/>
        <v>102</v>
      </c>
      <c r="BN59" s="37">
        <f t="shared" si="37"/>
        <v>-13</v>
      </c>
      <c r="BO59" s="37">
        <f t="shared" si="38"/>
        <v>-12.745098039215685</v>
      </c>
      <c r="BP59" s="38">
        <f t="shared" si="39"/>
        <v>6595.5</v>
      </c>
      <c r="BQ59" s="39">
        <f>J59+N59+S59+W59+AA59+AE59+AI59+AM59+AQ59+AU59+Table1[[#This Row],[MS-0225]]+Table1[[#This Row],[MS-0325]]</f>
        <v>6303.0000389999996</v>
      </c>
      <c r="BR59" s="37">
        <f t="shared" si="40"/>
        <v>292.49996100000044</v>
      </c>
      <c r="BS59" s="37">
        <f t="shared" si="41"/>
        <v>4.6406466633372725</v>
      </c>
      <c r="BT59" s="36">
        <f t="shared" si="42"/>
        <v>976.5</v>
      </c>
      <c r="BU59" s="36">
        <f t="shared" si="43"/>
        <v>1199</v>
      </c>
      <c r="BV59" s="37">
        <f t="shared" si="44"/>
        <v>-222.5</v>
      </c>
      <c r="BW59" s="37">
        <f t="shared" si="45"/>
        <v>-18.557130942452044</v>
      </c>
      <c r="BX59">
        <v>63</v>
      </c>
      <c r="BY59" s="83">
        <f t="shared" si="46"/>
        <v>0.11392405063291139</v>
      </c>
      <c r="BZ59">
        <v>373.5</v>
      </c>
      <c r="CA59" s="83">
        <f t="shared" si="47"/>
        <v>5.6629520127359563E-2</v>
      </c>
      <c r="CB59" s="96">
        <f t="shared" si="48"/>
        <v>0.26503714354181646</v>
      </c>
      <c r="CC59" s="96">
        <f t="shared" si="49"/>
        <v>0.25806451612903225</v>
      </c>
      <c r="CD59" s="97">
        <f t="shared" si="50"/>
        <v>6.9726274127842047E-3</v>
      </c>
      <c r="CE59" s="96">
        <f t="shared" si="51"/>
        <v>0.22057001239157373</v>
      </c>
      <c r="CF59" s="96">
        <f t="shared" si="52"/>
        <v>0.23448275862068965</v>
      </c>
      <c r="CG59" s="96">
        <f t="shared" si="53"/>
        <v>-1.3912746229115924E-2</v>
      </c>
      <c r="CH59" s="95">
        <f t="shared" si="54"/>
        <v>0.26982633419927587</v>
      </c>
      <c r="CI59" s="95">
        <f t="shared" si="55"/>
        <v>0.26512156225169231</v>
      </c>
      <c r="CJ59" s="98">
        <f t="shared" si="56"/>
        <v>4.7047719475835637E-3</v>
      </c>
      <c r="CK59" s="95">
        <f t="shared" si="57"/>
        <v>0.21198306740475414</v>
      </c>
      <c r="CL59" s="95">
        <f t="shared" si="58"/>
        <v>0.21510584858270543</v>
      </c>
      <c r="CM59" s="98">
        <f t="shared" si="59"/>
        <v>-3.1227811779512837E-3</v>
      </c>
      <c r="CN59" s="94">
        <f t="shared" si="60"/>
        <v>1.3491316709963794</v>
      </c>
      <c r="CO59" s="94">
        <f t="shared" si="61"/>
        <v>1.0599153370237708</v>
      </c>
    </row>
    <row r="60" spans="1:94" ht="24.5" x14ac:dyDescent="0.35">
      <c r="A60" s="104">
        <v>106321</v>
      </c>
      <c r="B60" s="5" t="s">
        <v>581</v>
      </c>
      <c r="C60" s="46" t="s">
        <v>849</v>
      </c>
      <c r="D60" s="13" t="s">
        <v>850</v>
      </c>
      <c r="E60" s="6" t="s">
        <v>94</v>
      </c>
      <c r="F60" s="6" t="s">
        <v>95</v>
      </c>
      <c r="G60" s="12" t="s">
        <v>95</v>
      </c>
      <c r="H60" s="51" t="s">
        <v>96</v>
      </c>
      <c r="I60" s="24" t="s">
        <v>83</v>
      </c>
      <c r="J60" s="100">
        <v>548</v>
      </c>
      <c r="K60" s="100">
        <v>576</v>
      </c>
      <c r="L60" s="100">
        <v>166</v>
      </c>
      <c r="M60" s="100">
        <v>150</v>
      </c>
      <c r="N60" s="18">
        <v>580.5</v>
      </c>
      <c r="O60" s="18">
        <v>577</v>
      </c>
      <c r="P60" s="18">
        <v>193.5</v>
      </c>
      <c r="Q60" s="18">
        <v>169</v>
      </c>
      <c r="R60" s="100">
        <v>563</v>
      </c>
      <c r="S60" s="100">
        <v>584.5</v>
      </c>
      <c r="T60" s="100">
        <v>145</v>
      </c>
      <c r="U60" s="100">
        <v>193.5</v>
      </c>
      <c r="V60" s="100">
        <v>621</v>
      </c>
      <c r="W60" s="100">
        <v>594</v>
      </c>
      <c r="X60" s="100">
        <v>163</v>
      </c>
      <c r="Y60" s="100">
        <v>234</v>
      </c>
      <c r="Z60" s="100">
        <v>595</v>
      </c>
      <c r="AA60" s="100">
        <v>594</v>
      </c>
      <c r="AB60" s="100">
        <v>135</v>
      </c>
      <c r="AC60" s="100">
        <v>180</v>
      </c>
      <c r="AD60" s="100">
        <v>561</v>
      </c>
      <c r="AE60" s="100">
        <v>544.5</v>
      </c>
      <c r="AF60" s="100">
        <v>139</v>
      </c>
      <c r="AG60" s="100">
        <v>177.5</v>
      </c>
      <c r="AH60" s="100">
        <v>575</v>
      </c>
      <c r="AI60" s="100">
        <v>582.5</v>
      </c>
      <c r="AJ60" s="100">
        <v>151</v>
      </c>
      <c r="AK60" s="100">
        <v>175.5</v>
      </c>
      <c r="AL60" s="100">
        <v>546</v>
      </c>
      <c r="AM60" s="100">
        <v>540</v>
      </c>
      <c r="AN60" s="100">
        <v>118</v>
      </c>
      <c r="AO60" s="100">
        <v>184.5</v>
      </c>
      <c r="AP60" s="100">
        <v>553</v>
      </c>
      <c r="AQ60" s="100">
        <v>540</v>
      </c>
      <c r="AR60" s="100">
        <v>133</v>
      </c>
      <c r="AS60" s="100">
        <v>144</v>
      </c>
      <c r="AT60" s="100">
        <v>514</v>
      </c>
      <c r="AU60" s="100">
        <v>501.5</v>
      </c>
      <c r="AV60" s="100">
        <v>102</v>
      </c>
      <c r="AW60" s="100">
        <v>130.5</v>
      </c>
      <c r="AX60" s="100">
        <v>512</v>
      </c>
      <c r="AY60" s="100">
        <v>495</v>
      </c>
      <c r="AZ60" s="100">
        <v>130</v>
      </c>
      <c r="BA60" s="100">
        <v>187</v>
      </c>
      <c r="BB60" s="100">
        <v>538</v>
      </c>
      <c r="BC60" s="100">
        <v>533</v>
      </c>
      <c r="BD60" s="100">
        <v>126</v>
      </c>
      <c r="BE60" s="100">
        <v>171</v>
      </c>
      <c r="BF60" s="23">
        <v>28.534500000000001</v>
      </c>
      <c r="BG60" s="23">
        <v>77.196399999999997</v>
      </c>
      <c r="BH60" s="31">
        <f t="shared" si="31"/>
        <v>538</v>
      </c>
      <c r="BI60" s="31">
        <f t="shared" si="32"/>
        <v>533</v>
      </c>
      <c r="BJ60" s="37">
        <f t="shared" si="33"/>
        <v>5</v>
      </c>
      <c r="BK60" s="37">
        <f t="shared" si="34"/>
        <v>0.93808630393996251</v>
      </c>
      <c r="BL60" s="36">
        <f t="shared" si="35"/>
        <v>126</v>
      </c>
      <c r="BM60" s="36">
        <f t="shared" si="36"/>
        <v>171</v>
      </c>
      <c r="BN60" s="37">
        <f t="shared" si="37"/>
        <v>-45</v>
      </c>
      <c r="BO60" s="37">
        <f t="shared" si="38"/>
        <v>-26.315789473684209</v>
      </c>
      <c r="BP60" s="38">
        <f t="shared" si="39"/>
        <v>6731</v>
      </c>
      <c r="BQ60" s="39">
        <f>J60+N60+S60+W60+AA60+AE60+AI60+AM60+AQ60+AU60+Table1[[#This Row],[MS-0225]]+Table1[[#This Row],[MS-0325]]</f>
        <v>6637.5</v>
      </c>
      <c r="BR60" s="37">
        <f t="shared" si="40"/>
        <v>93.5</v>
      </c>
      <c r="BS60" s="37">
        <f t="shared" si="41"/>
        <v>1.408662900188324</v>
      </c>
      <c r="BT60" s="36">
        <f t="shared" si="42"/>
        <v>1661</v>
      </c>
      <c r="BU60" s="36">
        <f t="shared" si="43"/>
        <v>2137</v>
      </c>
      <c r="BV60" s="37">
        <f t="shared" si="44"/>
        <v>-476</v>
      </c>
      <c r="BW60" s="37">
        <f t="shared" si="45"/>
        <v>-22.274216190921852</v>
      </c>
      <c r="BX60">
        <v>0</v>
      </c>
      <c r="BY60" s="83">
        <f t="shared" si="46"/>
        <v>0</v>
      </c>
      <c r="BZ60">
        <v>0</v>
      </c>
      <c r="CA60" s="83">
        <f t="shared" si="47"/>
        <v>0</v>
      </c>
      <c r="CB60" s="96">
        <f t="shared" si="48"/>
        <v>0.32754946727549467</v>
      </c>
      <c r="CC60" s="96">
        <f t="shared" si="49"/>
        <v>0.35158311345646437</v>
      </c>
      <c r="CD60" s="97">
        <f t="shared" si="50"/>
        <v>-2.4033646180969703E-2</v>
      </c>
      <c r="CE60" s="96">
        <f t="shared" si="51"/>
        <v>0.30920245398773005</v>
      </c>
      <c r="CF60" s="96">
        <f t="shared" si="52"/>
        <v>0.37831858407079644</v>
      </c>
      <c r="CG60" s="96">
        <f t="shared" si="53"/>
        <v>-6.9116130083066385E-2</v>
      </c>
      <c r="CH60" s="95">
        <f t="shared" si="54"/>
        <v>0.34983498349834985</v>
      </c>
      <c r="CI60" s="95">
        <f t="shared" si="55"/>
        <v>0.36202241663682488</v>
      </c>
      <c r="CJ60" s="98">
        <f t="shared" si="56"/>
        <v>-1.2187433138475035E-2</v>
      </c>
      <c r="CK60" s="95">
        <f t="shared" si="57"/>
        <v>0.36003034572450415</v>
      </c>
      <c r="CL60" s="95">
        <f t="shared" si="58"/>
        <v>0.39765537774469667</v>
      </c>
      <c r="CM60" s="98">
        <f t="shared" si="59"/>
        <v>-3.7625032020192517E-2</v>
      </c>
      <c r="CN60" s="94">
        <f t="shared" si="60"/>
        <v>1.0495049504950495</v>
      </c>
      <c r="CO60" s="94">
        <f t="shared" si="61"/>
        <v>1.0800910371735124</v>
      </c>
    </row>
    <row r="61" spans="1:94" ht="24.5" x14ac:dyDescent="0.35">
      <c r="A61" s="104">
        <v>106323</v>
      </c>
      <c r="B61" s="5" t="s">
        <v>581</v>
      </c>
      <c r="C61" s="46" t="s">
        <v>715</v>
      </c>
      <c r="D61" s="13" t="s">
        <v>716</v>
      </c>
      <c r="E61" s="6" t="s">
        <v>89</v>
      </c>
      <c r="F61" s="6" t="s">
        <v>204</v>
      </c>
      <c r="G61" s="12" t="s">
        <v>204</v>
      </c>
      <c r="H61" s="51" t="s">
        <v>205</v>
      </c>
      <c r="I61" s="24" t="s">
        <v>86</v>
      </c>
      <c r="J61" s="100">
        <v>108</v>
      </c>
      <c r="K61" s="100">
        <v>127.5</v>
      </c>
      <c r="L61" s="100">
        <v>144</v>
      </c>
      <c r="M61" s="100">
        <v>132.5</v>
      </c>
      <c r="N61" s="18">
        <v>130.5</v>
      </c>
      <c r="O61" s="18">
        <v>126.5</v>
      </c>
      <c r="P61" s="18">
        <v>193.5</v>
      </c>
      <c r="Q61" s="18">
        <v>173.5</v>
      </c>
      <c r="R61" s="100">
        <v>129</v>
      </c>
      <c r="S61" s="100">
        <v>117.5</v>
      </c>
      <c r="T61" s="100">
        <v>99</v>
      </c>
      <c r="U61" s="100">
        <v>220.5</v>
      </c>
      <c r="V61" s="100">
        <v>134.5</v>
      </c>
      <c r="W61" s="100">
        <v>133.5</v>
      </c>
      <c r="X61" s="100">
        <v>141.5</v>
      </c>
      <c r="Y61" s="100">
        <v>186.5</v>
      </c>
      <c r="Z61" s="100">
        <v>131</v>
      </c>
      <c r="AA61" s="100">
        <v>130.5</v>
      </c>
      <c r="AB61" s="100">
        <v>115</v>
      </c>
      <c r="AC61" s="100">
        <v>193.5</v>
      </c>
      <c r="AD61" s="100">
        <v>121.5</v>
      </c>
      <c r="AE61" s="100">
        <v>130</v>
      </c>
      <c r="AF61" s="100">
        <v>130.5</v>
      </c>
      <c r="AG61" s="100">
        <v>168</v>
      </c>
      <c r="AH61" s="100">
        <v>154</v>
      </c>
      <c r="AI61" s="100">
        <v>128.5</v>
      </c>
      <c r="AJ61" s="100">
        <v>128</v>
      </c>
      <c r="AK61" s="100">
        <v>123.5</v>
      </c>
      <c r="AL61" s="100">
        <v>125.5</v>
      </c>
      <c r="AM61" s="100">
        <v>123.5</v>
      </c>
      <c r="AN61" s="100">
        <v>120.5</v>
      </c>
      <c r="AO61" s="100">
        <v>94.5</v>
      </c>
      <c r="AP61" s="100">
        <v>124.5</v>
      </c>
      <c r="AQ61" s="100">
        <v>116.5</v>
      </c>
      <c r="AR61" s="100">
        <v>129.5</v>
      </c>
      <c r="AS61" s="100">
        <v>93.5</v>
      </c>
      <c r="AT61" s="100">
        <v>113</v>
      </c>
      <c r="AU61" s="100">
        <v>123</v>
      </c>
      <c r="AV61" s="100">
        <v>127</v>
      </c>
      <c r="AW61" s="100">
        <v>111</v>
      </c>
      <c r="AX61" s="100">
        <v>123</v>
      </c>
      <c r="AY61" s="100">
        <v>110.5</v>
      </c>
      <c r="AZ61" s="100">
        <v>141</v>
      </c>
      <c r="BA61" s="100">
        <v>153.5</v>
      </c>
      <c r="BB61" s="100">
        <v>130</v>
      </c>
      <c r="BC61" s="100">
        <v>116.5</v>
      </c>
      <c r="BD61" s="100">
        <v>164</v>
      </c>
      <c r="BE61" s="100">
        <v>123.5</v>
      </c>
      <c r="BF61" s="23">
        <v>28.711500000000001</v>
      </c>
      <c r="BG61" s="23">
        <v>77.110100000000003</v>
      </c>
      <c r="BH61" s="31">
        <f t="shared" si="31"/>
        <v>130</v>
      </c>
      <c r="BI61" s="31">
        <f t="shared" si="32"/>
        <v>116.5</v>
      </c>
      <c r="BJ61" s="37">
        <f t="shared" si="33"/>
        <v>13.5</v>
      </c>
      <c r="BK61" s="37">
        <f t="shared" si="34"/>
        <v>11.587982832618025</v>
      </c>
      <c r="BL61" s="36">
        <f t="shared" si="35"/>
        <v>164</v>
      </c>
      <c r="BM61" s="36">
        <f t="shared" si="36"/>
        <v>123.5</v>
      </c>
      <c r="BN61" s="37">
        <f t="shared" si="37"/>
        <v>40.5</v>
      </c>
      <c r="BO61" s="37">
        <f t="shared" si="38"/>
        <v>32.793522267206477</v>
      </c>
      <c r="BP61" s="38">
        <f t="shared" si="39"/>
        <v>1540</v>
      </c>
      <c r="BQ61" s="39">
        <f>J61+N61+S61+W61+AA61+AE61+AI61+AM61+AQ61+AU61+Table1[[#This Row],[MS-0225]]+Table1[[#This Row],[MS-0325]]</f>
        <v>1468.5</v>
      </c>
      <c r="BR61" s="37">
        <f t="shared" si="40"/>
        <v>71.5</v>
      </c>
      <c r="BS61" s="37">
        <f t="shared" si="41"/>
        <v>4.868913857677903</v>
      </c>
      <c r="BT61" s="36">
        <f t="shared" si="42"/>
        <v>1602</v>
      </c>
      <c r="BU61" s="36">
        <f t="shared" si="43"/>
        <v>1805.5</v>
      </c>
      <c r="BV61" s="37">
        <f t="shared" si="44"/>
        <v>-203.5</v>
      </c>
      <c r="BW61" s="37">
        <f t="shared" si="45"/>
        <v>-11.271116034339517</v>
      </c>
      <c r="BX61">
        <v>0</v>
      </c>
      <c r="BY61" s="83">
        <f t="shared" si="46"/>
        <v>0</v>
      </c>
      <c r="BZ61">
        <v>0</v>
      </c>
      <c r="CA61" s="83">
        <f t="shared" si="47"/>
        <v>0</v>
      </c>
      <c r="CB61" s="96">
        <f t="shared" si="48"/>
        <v>4.240743761213505E-2</v>
      </c>
      <c r="CC61" s="96">
        <f t="shared" si="49"/>
        <v>4.4279741543139489E-2</v>
      </c>
      <c r="CD61" s="97">
        <f t="shared" si="50"/>
        <v>-1.872303931004439E-3</v>
      </c>
      <c r="CE61" s="96">
        <f t="shared" si="51"/>
        <v>0.15716339242932439</v>
      </c>
      <c r="CF61" s="96">
        <f t="shared" si="52"/>
        <v>0.12251984126984126</v>
      </c>
      <c r="CG61" s="96">
        <f t="shared" si="53"/>
        <v>3.464355115948313E-2</v>
      </c>
      <c r="CH61" s="95">
        <f t="shared" si="54"/>
        <v>4.396043560795284E-2</v>
      </c>
      <c r="CI61" s="95">
        <f t="shared" si="55"/>
        <v>4.6653852869920048E-2</v>
      </c>
      <c r="CJ61" s="98">
        <f t="shared" si="56"/>
        <v>-2.6934172619672084E-3</v>
      </c>
      <c r="CK61" s="95">
        <f t="shared" si="57"/>
        <v>0.13648562300319489</v>
      </c>
      <c r="CL61" s="95">
        <f t="shared" si="58"/>
        <v>0.13893270747566466</v>
      </c>
      <c r="CM61" s="98">
        <f t="shared" si="59"/>
        <v>-2.4470844724697738E-3</v>
      </c>
      <c r="CN61" s="94">
        <f t="shared" si="60"/>
        <v>0.39564392047157554</v>
      </c>
      <c r="CO61" s="94">
        <f t="shared" si="61"/>
        <v>1.2283706070287539</v>
      </c>
    </row>
    <row r="62" spans="1:94" ht="24.5" x14ac:dyDescent="0.35">
      <c r="A62" s="104">
        <v>106353</v>
      </c>
      <c r="B62" s="5" t="s">
        <v>581</v>
      </c>
      <c r="C62" s="46" t="s">
        <v>912</v>
      </c>
      <c r="D62" s="13" t="s">
        <v>913</v>
      </c>
      <c r="E62" s="6" t="s">
        <v>81</v>
      </c>
      <c r="F62" s="6" t="s">
        <v>195</v>
      </c>
      <c r="G62" s="12" t="s">
        <v>195</v>
      </c>
      <c r="H62" s="51" t="s">
        <v>135</v>
      </c>
      <c r="I62" s="24" t="s">
        <v>83</v>
      </c>
      <c r="J62" s="100">
        <v>472.5</v>
      </c>
      <c r="K62" s="100">
        <v>502.5</v>
      </c>
      <c r="L62" s="100">
        <v>85.5</v>
      </c>
      <c r="M62" s="100">
        <v>67.5</v>
      </c>
      <c r="N62" s="18">
        <v>490.5</v>
      </c>
      <c r="O62" s="18">
        <v>488</v>
      </c>
      <c r="P62" s="18">
        <v>85.5</v>
      </c>
      <c r="Q62" s="18">
        <v>72</v>
      </c>
      <c r="R62" s="100">
        <v>454.5</v>
      </c>
      <c r="S62" s="100">
        <v>468</v>
      </c>
      <c r="T62" s="100">
        <v>67.5</v>
      </c>
      <c r="U62" s="100">
        <v>72</v>
      </c>
      <c r="V62" s="100">
        <v>499.5</v>
      </c>
      <c r="W62" s="100">
        <v>477</v>
      </c>
      <c r="X62" s="100">
        <v>58.5</v>
      </c>
      <c r="Y62" s="100">
        <v>81</v>
      </c>
      <c r="Z62" s="100">
        <v>499.5</v>
      </c>
      <c r="AA62" s="100">
        <v>472.5</v>
      </c>
      <c r="AB62" s="100">
        <v>58.5</v>
      </c>
      <c r="AC62" s="100">
        <v>67.5</v>
      </c>
      <c r="AD62" s="100">
        <v>477</v>
      </c>
      <c r="AE62" s="100">
        <v>432</v>
      </c>
      <c r="AF62" s="100">
        <v>63</v>
      </c>
      <c r="AG62" s="100">
        <v>72</v>
      </c>
      <c r="AH62" s="100">
        <v>522</v>
      </c>
      <c r="AI62" s="100">
        <v>499.5</v>
      </c>
      <c r="AJ62" s="100">
        <v>54</v>
      </c>
      <c r="AK62" s="100">
        <v>66.5</v>
      </c>
      <c r="AL62" s="100">
        <v>481.5</v>
      </c>
      <c r="AM62" s="100">
        <v>465</v>
      </c>
      <c r="AN62" s="100">
        <v>58.5</v>
      </c>
      <c r="AO62" s="100">
        <v>59</v>
      </c>
      <c r="AP62" s="100">
        <v>468</v>
      </c>
      <c r="AQ62" s="100">
        <v>414</v>
      </c>
      <c r="AR62" s="100">
        <v>54</v>
      </c>
      <c r="AS62" s="100">
        <v>54</v>
      </c>
      <c r="AT62" s="100">
        <v>463.5</v>
      </c>
      <c r="AU62" s="100">
        <v>445.5</v>
      </c>
      <c r="AV62" s="100">
        <v>58.5</v>
      </c>
      <c r="AW62" s="100">
        <v>58.5</v>
      </c>
      <c r="AX62" s="100">
        <v>450</v>
      </c>
      <c r="AY62" s="100">
        <v>406.5</v>
      </c>
      <c r="AZ62" s="100">
        <v>54</v>
      </c>
      <c r="BA62" s="100">
        <v>63.5</v>
      </c>
      <c r="BB62" s="100">
        <v>526.5</v>
      </c>
      <c r="BC62" s="100">
        <v>468</v>
      </c>
      <c r="BD62" s="100">
        <v>67.5</v>
      </c>
      <c r="BE62" s="100">
        <v>72</v>
      </c>
      <c r="BF62" s="23">
        <v>28.597799999999999</v>
      </c>
      <c r="BG62" s="23">
        <v>77.064899999999994</v>
      </c>
      <c r="BH62" s="31">
        <f t="shared" si="31"/>
        <v>526.5</v>
      </c>
      <c r="BI62" s="31">
        <f t="shared" si="32"/>
        <v>468</v>
      </c>
      <c r="BJ62" s="37">
        <f t="shared" si="33"/>
        <v>58.5</v>
      </c>
      <c r="BK62" s="37">
        <f t="shared" si="34"/>
        <v>12.5</v>
      </c>
      <c r="BL62" s="36">
        <f t="shared" si="35"/>
        <v>67.5</v>
      </c>
      <c r="BM62" s="36">
        <f t="shared" si="36"/>
        <v>72</v>
      </c>
      <c r="BN62" s="37">
        <f t="shared" si="37"/>
        <v>-4.5</v>
      </c>
      <c r="BO62" s="37">
        <f t="shared" si="38"/>
        <v>-6.25</v>
      </c>
      <c r="BP62" s="38">
        <f t="shared" si="39"/>
        <v>5832.5</v>
      </c>
      <c r="BQ62" s="39">
        <f>J62+N62+S62+W62+AA62+AE62+AI62+AM62+AQ62+AU62+Table1[[#This Row],[MS-0225]]+Table1[[#This Row],[MS-0325]]</f>
        <v>5511</v>
      </c>
      <c r="BR62" s="37">
        <f t="shared" si="40"/>
        <v>321.5</v>
      </c>
      <c r="BS62" s="37">
        <f t="shared" si="41"/>
        <v>5.8337869715115227</v>
      </c>
      <c r="BT62" s="36">
        <f t="shared" si="42"/>
        <v>733.5</v>
      </c>
      <c r="BU62" s="36">
        <f t="shared" si="43"/>
        <v>837</v>
      </c>
      <c r="BV62" s="37">
        <f t="shared" si="44"/>
        <v>-103.5</v>
      </c>
      <c r="BW62" s="37">
        <f t="shared" si="45"/>
        <v>-12.365591397849462</v>
      </c>
      <c r="BX62">
        <v>0</v>
      </c>
      <c r="BY62" s="83">
        <f t="shared" si="46"/>
        <v>0</v>
      </c>
      <c r="BZ62">
        <v>0</v>
      </c>
      <c r="CA62" s="83">
        <f t="shared" si="47"/>
        <v>0</v>
      </c>
      <c r="CB62" s="96">
        <f t="shared" si="48"/>
        <v>0.13786331500392773</v>
      </c>
      <c r="CC62" s="96">
        <f t="shared" si="49"/>
        <v>0.12921038100496962</v>
      </c>
      <c r="CD62" s="97">
        <f t="shared" si="50"/>
        <v>8.6529339989581122E-3</v>
      </c>
      <c r="CE62" s="96">
        <f t="shared" si="51"/>
        <v>0.12569832402234637</v>
      </c>
      <c r="CF62" s="96">
        <f t="shared" si="52"/>
        <v>0.12631578947368421</v>
      </c>
      <c r="CG62" s="96">
        <f t="shared" si="53"/>
        <v>-6.174654513378397E-4</v>
      </c>
      <c r="CH62" s="95">
        <f t="shared" si="54"/>
        <v>0.12909758958808296</v>
      </c>
      <c r="CI62" s="95">
        <f t="shared" si="55"/>
        <v>0.12616758233670575</v>
      </c>
      <c r="CJ62" s="98">
        <f t="shared" si="56"/>
        <v>2.9300072513772091E-3</v>
      </c>
      <c r="CK62" s="95">
        <f t="shared" si="57"/>
        <v>0.11441272812353767</v>
      </c>
      <c r="CL62" s="95">
        <f t="shared" si="58"/>
        <v>0.11842105263157894</v>
      </c>
      <c r="CM62" s="98">
        <f t="shared" si="59"/>
        <v>-4.0083245080412694E-3</v>
      </c>
      <c r="CN62" s="94">
        <f t="shared" si="60"/>
        <v>0.90368312711658072</v>
      </c>
      <c r="CO62" s="94">
        <f t="shared" si="61"/>
        <v>0.80088909686476373</v>
      </c>
    </row>
    <row r="63" spans="1:94" ht="36.5" x14ac:dyDescent="0.35">
      <c r="A63" s="102">
        <v>127090</v>
      </c>
      <c r="B63" s="3" t="s">
        <v>72</v>
      </c>
      <c r="C63" s="43" t="s">
        <v>316</v>
      </c>
      <c r="D63" s="12" t="s">
        <v>317</v>
      </c>
      <c r="E63" s="4" t="s">
        <v>85</v>
      </c>
      <c r="F63" s="4" t="s">
        <v>318</v>
      </c>
      <c r="G63" s="12" t="s">
        <v>318</v>
      </c>
      <c r="H63" s="51" t="s">
        <v>304</v>
      </c>
      <c r="I63" s="23" t="s">
        <v>86</v>
      </c>
      <c r="J63" s="18">
        <v>460</v>
      </c>
      <c r="K63" s="18">
        <v>420</v>
      </c>
      <c r="L63" s="18">
        <v>100</v>
      </c>
      <c r="M63" s="18">
        <v>60</v>
      </c>
      <c r="N63" s="18">
        <v>500</v>
      </c>
      <c r="O63" s="18">
        <v>490</v>
      </c>
      <c r="P63" s="18">
        <v>120</v>
      </c>
      <c r="Q63" s="18">
        <v>90</v>
      </c>
      <c r="R63" s="18">
        <v>455</v>
      </c>
      <c r="S63" s="18">
        <v>460</v>
      </c>
      <c r="T63" s="18">
        <v>85</v>
      </c>
      <c r="U63" s="18">
        <v>120</v>
      </c>
      <c r="V63" s="18">
        <v>510</v>
      </c>
      <c r="W63" s="18">
        <v>506</v>
      </c>
      <c r="X63" s="18">
        <v>90</v>
      </c>
      <c r="Y63" s="18">
        <v>115</v>
      </c>
      <c r="Z63" s="18">
        <v>505</v>
      </c>
      <c r="AA63" s="18">
        <v>517</v>
      </c>
      <c r="AB63" s="18">
        <v>75</v>
      </c>
      <c r="AC63" s="18">
        <v>129</v>
      </c>
      <c r="AD63" s="18">
        <v>500</v>
      </c>
      <c r="AE63" s="18">
        <v>486.5</v>
      </c>
      <c r="AF63" s="18">
        <v>80</v>
      </c>
      <c r="AG63" s="18">
        <v>109.5</v>
      </c>
      <c r="AH63" s="18">
        <v>500</v>
      </c>
      <c r="AI63" s="18">
        <v>468</v>
      </c>
      <c r="AJ63" s="18">
        <v>80</v>
      </c>
      <c r="AK63" s="18">
        <v>90</v>
      </c>
      <c r="AL63" s="18">
        <v>485</v>
      </c>
      <c r="AM63" s="18">
        <v>458</v>
      </c>
      <c r="AN63" s="18">
        <v>75</v>
      </c>
      <c r="AO63" s="18">
        <v>80</v>
      </c>
      <c r="AP63" s="18">
        <v>470</v>
      </c>
      <c r="AQ63" s="18">
        <v>460</v>
      </c>
      <c r="AR63" s="18">
        <v>70</v>
      </c>
      <c r="AS63" s="18">
        <v>40</v>
      </c>
      <c r="AT63" s="18">
        <v>455</v>
      </c>
      <c r="AU63" s="18">
        <v>455</v>
      </c>
      <c r="AV63" s="18">
        <v>65</v>
      </c>
      <c r="AW63" s="18">
        <v>25</v>
      </c>
      <c r="AX63" s="18">
        <v>445</v>
      </c>
      <c r="AY63" s="18">
        <v>410</v>
      </c>
      <c r="AZ63" s="18">
        <v>75</v>
      </c>
      <c r="BA63" s="18">
        <v>85</v>
      </c>
      <c r="BB63" s="18">
        <v>520</v>
      </c>
      <c r="BC63" s="18">
        <v>455</v>
      </c>
      <c r="BD63" s="18">
        <v>80</v>
      </c>
      <c r="BE63" s="18">
        <v>85</v>
      </c>
      <c r="BF63" s="23">
        <v>28.66798</v>
      </c>
      <c r="BG63" s="23">
        <v>77.087540000000004</v>
      </c>
      <c r="BH63" s="31">
        <f t="shared" si="31"/>
        <v>520</v>
      </c>
      <c r="BI63" s="31">
        <f t="shared" si="32"/>
        <v>455</v>
      </c>
      <c r="BJ63" s="37">
        <f t="shared" si="33"/>
        <v>65</v>
      </c>
      <c r="BK63" s="37">
        <f t="shared" si="34"/>
        <v>14.285714285714285</v>
      </c>
      <c r="BL63" s="36">
        <f t="shared" si="35"/>
        <v>80</v>
      </c>
      <c r="BM63" s="36">
        <f t="shared" si="36"/>
        <v>85</v>
      </c>
      <c r="BN63" s="37">
        <f t="shared" si="37"/>
        <v>-5</v>
      </c>
      <c r="BO63" s="37">
        <f t="shared" si="38"/>
        <v>-5.8823529411764701</v>
      </c>
      <c r="BP63" s="38">
        <f t="shared" si="39"/>
        <v>5755</v>
      </c>
      <c r="BQ63" s="39">
        <f>J63+N63+S63+W63+AA63+AE63+AI63+AM63+AQ63+AU63+Table1[[#This Row],[MS-0225]]+Table1[[#This Row],[MS-0325]]</f>
        <v>5635.5</v>
      </c>
      <c r="BR63" s="37">
        <f t="shared" si="40"/>
        <v>119.5</v>
      </c>
      <c r="BS63" s="37">
        <f t="shared" si="41"/>
        <v>2.1204862035311862</v>
      </c>
      <c r="BT63" s="36">
        <f t="shared" si="42"/>
        <v>925</v>
      </c>
      <c r="BU63" s="36">
        <f t="shared" si="43"/>
        <v>1098.5</v>
      </c>
      <c r="BV63" s="37">
        <f t="shared" si="44"/>
        <v>-173.5</v>
      </c>
      <c r="BW63" s="37">
        <f t="shared" si="45"/>
        <v>-15.794264906690941</v>
      </c>
      <c r="BX63">
        <v>20</v>
      </c>
      <c r="BY63" s="83">
        <f t="shared" si="46"/>
        <v>3.8461538461538464E-2</v>
      </c>
      <c r="BZ63">
        <v>115</v>
      </c>
      <c r="CA63" s="83">
        <f t="shared" si="47"/>
        <v>1.998262380538662E-2</v>
      </c>
      <c r="CB63" s="96">
        <f t="shared" si="48"/>
        <v>0.6824146981627297</v>
      </c>
      <c r="CC63" s="96">
        <f t="shared" si="49"/>
        <v>0.62585969738651992</v>
      </c>
      <c r="CD63" s="97">
        <f t="shared" si="50"/>
        <v>5.6555000776209785E-2</v>
      </c>
      <c r="CE63" s="96">
        <f t="shared" si="51"/>
        <v>0.64</v>
      </c>
      <c r="CF63" s="96">
        <f t="shared" si="52"/>
        <v>0.68548387096774188</v>
      </c>
      <c r="CG63" s="96">
        <f t="shared" si="53"/>
        <v>-4.5483870967741868E-2</v>
      </c>
      <c r="CH63" s="95">
        <f t="shared" si="54"/>
        <v>0.65427467030468389</v>
      </c>
      <c r="CI63" s="95">
        <f t="shared" si="55"/>
        <v>0.6492885534881041</v>
      </c>
      <c r="CJ63" s="98">
        <f t="shared" si="56"/>
        <v>4.9861168165797887E-3</v>
      </c>
      <c r="CK63" s="95">
        <f t="shared" si="57"/>
        <v>0.64685314685314688</v>
      </c>
      <c r="CL63" s="95">
        <f t="shared" si="58"/>
        <v>0.67413316968395209</v>
      </c>
      <c r="CM63" s="98">
        <f t="shared" si="59"/>
        <v>-2.7280022830805217E-2</v>
      </c>
      <c r="CN63" s="94">
        <f t="shared" si="60"/>
        <v>1.3085493406093678</v>
      </c>
      <c r="CO63" s="94">
        <f t="shared" si="61"/>
        <v>1.2937062937062938</v>
      </c>
    </row>
    <row r="64" spans="1:94" ht="24.5" x14ac:dyDescent="0.35">
      <c r="A64" s="102">
        <v>112452</v>
      </c>
      <c r="B64" s="3" t="s">
        <v>72</v>
      </c>
      <c r="C64" s="43" t="s">
        <v>242</v>
      </c>
      <c r="D64" s="12" t="s">
        <v>243</v>
      </c>
      <c r="E64" s="4" t="s">
        <v>200</v>
      </c>
      <c r="F64" s="4" t="s">
        <v>244</v>
      </c>
      <c r="G64" s="12" t="s">
        <v>244</v>
      </c>
      <c r="H64" s="51" t="s">
        <v>172</v>
      </c>
      <c r="I64" s="23" t="s">
        <v>83</v>
      </c>
      <c r="J64" s="18">
        <v>427.5</v>
      </c>
      <c r="K64" s="18">
        <v>454</v>
      </c>
      <c r="L64" s="18">
        <v>1954.5</v>
      </c>
      <c r="M64" s="18">
        <v>1936</v>
      </c>
      <c r="N64" s="18">
        <v>454.5</v>
      </c>
      <c r="O64" s="18">
        <v>462</v>
      </c>
      <c r="P64" s="18">
        <v>2083.5</v>
      </c>
      <c r="Q64" s="18">
        <v>2022</v>
      </c>
      <c r="R64" s="18">
        <v>445.5</v>
      </c>
      <c r="S64" s="18">
        <v>418.5</v>
      </c>
      <c r="T64" s="18">
        <v>1964.5</v>
      </c>
      <c r="U64" s="18">
        <v>1892.5</v>
      </c>
      <c r="V64" s="18">
        <v>470.5</v>
      </c>
      <c r="W64" s="18">
        <v>454.5</v>
      </c>
      <c r="X64" s="18">
        <v>2201.5</v>
      </c>
      <c r="Y64" s="18">
        <v>2067.5</v>
      </c>
      <c r="Z64" s="18">
        <v>458</v>
      </c>
      <c r="AA64" s="18">
        <v>442.5</v>
      </c>
      <c r="AB64" s="18">
        <v>2100</v>
      </c>
      <c r="AC64" s="18">
        <v>2194.5</v>
      </c>
      <c r="AD64" s="18">
        <v>455.5</v>
      </c>
      <c r="AE64" s="18">
        <v>445.5</v>
      </c>
      <c r="AF64" s="18">
        <v>2187.5</v>
      </c>
      <c r="AG64" s="18">
        <v>1971.5</v>
      </c>
      <c r="AH64" s="18">
        <v>502</v>
      </c>
      <c r="AI64" s="18">
        <v>450</v>
      </c>
      <c r="AJ64" s="18">
        <v>2008</v>
      </c>
      <c r="AK64" s="18">
        <v>2134</v>
      </c>
      <c r="AL64" s="18">
        <v>482.5</v>
      </c>
      <c r="AM64" s="18">
        <v>450</v>
      </c>
      <c r="AN64" s="18">
        <v>2001.5</v>
      </c>
      <c r="AO64" s="18">
        <v>1679</v>
      </c>
      <c r="AP64" s="18">
        <v>485.5</v>
      </c>
      <c r="AQ64" s="18">
        <v>436.5</v>
      </c>
      <c r="AR64" s="18">
        <v>2004.5</v>
      </c>
      <c r="AS64" s="18">
        <v>1800.5</v>
      </c>
      <c r="AT64" s="18">
        <v>467</v>
      </c>
      <c r="AU64" s="18">
        <v>432</v>
      </c>
      <c r="AV64" s="18">
        <v>2013</v>
      </c>
      <c r="AW64" s="18">
        <v>1971</v>
      </c>
      <c r="AX64" s="18">
        <v>452.5</v>
      </c>
      <c r="AY64" s="18">
        <v>409.5</v>
      </c>
      <c r="AZ64" s="18">
        <v>2017.5</v>
      </c>
      <c r="BA64" s="18">
        <v>1947.5</v>
      </c>
      <c r="BB64" s="18">
        <v>515</v>
      </c>
      <c r="BC64" s="18">
        <v>445.5</v>
      </c>
      <c r="BD64" s="18">
        <v>2081</v>
      </c>
      <c r="BE64" s="18">
        <v>2117.5</v>
      </c>
      <c r="BF64" s="23">
        <v>28.724270000000001</v>
      </c>
      <c r="BG64" s="23">
        <v>77.164500000000004</v>
      </c>
      <c r="BH64" s="31">
        <f t="shared" si="31"/>
        <v>515</v>
      </c>
      <c r="BI64" s="31">
        <f t="shared" si="32"/>
        <v>445.5</v>
      </c>
      <c r="BJ64" s="37">
        <f t="shared" si="33"/>
        <v>69.5</v>
      </c>
      <c r="BK64" s="37">
        <f t="shared" si="34"/>
        <v>15.600448933782268</v>
      </c>
      <c r="BL64" s="36">
        <f t="shared" si="35"/>
        <v>2081</v>
      </c>
      <c r="BM64" s="36">
        <f t="shared" si="36"/>
        <v>2117.5</v>
      </c>
      <c r="BN64" s="37">
        <f t="shared" si="37"/>
        <v>-36.5</v>
      </c>
      <c r="BO64" s="37">
        <f t="shared" si="38"/>
        <v>-1.7237308146399055</v>
      </c>
      <c r="BP64" s="38">
        <f t="shared" si="39"/>
        <v>5650</v>
      </c>
      <c r="BQ64" s="39">
        <f>J64+N64+S64+W64+AA64+AE64+AI64+AM64+AQ64+AU64+Table1[[#This Row],[MS-0225]]+Table1[[#This Row],[MS-0325]]</f>
        <v>5266.5</v>
      </c>
      <c r="BR64" s="37">
        <f t="shared" si="40"/>
        <v>383.5</v>
      </c>
      <c r="BS64" s="37">
        <f t="shared" si="41"/>
        <v>7.2818760087344527</v>
      </c>
      <c r="BT64" s="36">
        <f t="shared" si="42"/>
        <v>24537</v>
      </c>
      <c r="BU64" s="36">
        <f t="shared" si="43"/>
        <v>23813.5</v>
      </c>
      <c r="BV64" s="37">
        <f t="shared" si="44"/>
        <v>723.5</v>
      </c>
      <c r="BW64" s="37">
        <f t="shared" si="45"/>
        <v>3.0381926218321542</v>
      </c>
      <c r="BX64">
        <v>0</v>
      </c>
      <c r="BY64" s="83">
        <f t="shared" si="46"/>
        <v>0</v>
      </c>
      <c r="BZ64">
        <v>0</v>
      </c>
      <c r="CA64" s="83">
        <f t="shared" si="47"/>
        <v>0</v>
      </c>
      <c r="CB64" s="96">
        <f t="shared" si="48"/>
        <v>0.47139588100686497</v>
      </c>
      <c r="CC64" s="96">
        <f t="shared" si="49"/>
        <v>0.4588053553038105</v>
      </c>
      <c r="CD64" s="97">
        <f t="shared" si="50"/>
        <v>1.2590525703054467E-2</v>
      </c>
      <c r="CE64" s="96">
        <f t="shared" si="51"/>
        <v>0.60999560310713763</v>
      </c>
      <c r="CF64" s="96">
        <f t="shared" si="52"/>
        <v>0.56830381105743422</v>
      </c>
      <c r="CG64" s="96">
        <f t="shared" si="53"/>
        <v>4.1691792049703413E-2</v>
      </c>
      <c r="CH64" s="95">
        <f t="shared" si="54"/>
        <v>0.46120566507489491</v>
      </c>
      <c r="CI64" s="95">
        <f t="shared" si="55"/>
        <v>0.45204068494914379</v>
      </c>
      <c r="CJ64" s="98">
        <f t="shared" si="56"/>
        <v>9.164980125751121E-3</v>
      </c>
      <c r="CK64" s="95">
        <f t="shared" si="57"/>
        <v>0.60588925242298908</v>
      </c>
      <c r="CL64" s="95">
        <f t="shared" si="58"/>
        <v>0.57747896306714841</v>
      </c>
      <c r="CM64" s="98">
        <f t="shared" si="59"/>
        <v>2.8410289355840668E-2</v>
      </c>
      <c r="CN64" s="94">
        <f t="shared" si="60"/>
        <v>2.3060283253744744</v>
      </c>
      <c r="CO64" s="94">
        <f t="shared" si="61"/>
        <v>3.0294462621149454</v>
      </c>
    </row>
    <row r="65" spans="1:94" ht="36.5" x14ac:dyDescent="0.35">
      <c r="A65" s="102">
        <v>112450</v>
      </c>
      <c r="B65" s="3" t="s">
        <v>72</v>
      </c>
      <c r="C65" s="43" t="s">
        <v>347</v>
      </c>
      <c r="D65" s="12" t="s">
        <v>348</v>
      </c>
      <c r="E65" s="4" t="s">
        <v>85</v>
      </c>
      <c r="F65" s="4" t="s">
        <v>332</v>
      </c>
      <c r="G65" s="12" t="s">
        <v>332</v>
      </c>
      <c r="H65" s="51" t="s">
        <v>304</v>
      </c>
      <c r="I65" s="23" t="s">
        <v>86</v>
      </c>
      <c r="J65" s="18">
        <v>470</v>
      </c>
      <c r="K65" s="18">
        <v>500</v>
      </c>
      <c r="L65" s="18">
        <v>70</v>
      </c>
      <c r="M65" s="18">
        <v>80</v>
      </c>
      <c r="N65" s="18">
        <v>513</v>
      </c>
      <c r="O65" s="18">
        <v>535</v>
      </c>
      <c r="P65" s="18">
        <v>105</v>
      </c>
      <c r="Q65" s="18">
        <v>105</v>
      </c>
      <c r="R65" s="18">
        <v>515</v>
      </c>
      <c r="S65" s="18">
        <v>500</v>
      </c>
      <c r="T65" s="18">
        <v>105</v>
      </c>
      <c r="U65" s="18">
        <v>120</v>
      </c>
      <c r="V65" s="18">
        <v>560</v>
      </c>
      <c r="W65" s="18">
        <v>520</v>
      </c>
      <c r="X65" s="18">
        <v>100</v>
      </c>
      <c r="Y65" s="18">
        <v>100</v>
      </c>
      <c r="Z65" s="18">
        <v>550</v>
      </c>
      <c r="AA65" s="18">
        <v>520</v>
      </c>
      <c r="AB65" s="18">
        <v>110</v>
      </c>
      <c r="AC65" s="18">
        <v>100</v>
      </c>
      <c r="AD65" s="18">
        <v>540</v>
      </c>
      <c r="AE65" s="18">
        <v>510</v>
      </c>
      <c r="AF65" s="18">
        <v>100</v>
      </c>
      <c r="AG65" s="18">
        <v>90</v>
      </c>
      <c r="AH65" s="18">
        <v>556</v>
      </c>
      <c r="AI65" s="18">
        <v>535</v>
      </c>
      <c r="AJ65" s="18">
        <v>100</v>
      </c>
      <c r="AK65" s="18">
        <v>105</v>
      </c>
      <c r="AL65" s="18">
        <v>505</v>
      </c>
      <c r="AM65" s="18">
        <v>500</v>
      </c>
      <c r="AN65" s="18">
        <v>95</v>
      </c>
      <c r="AO65" s="18">
        <v>80</v>
      </c>
      <c r="AP65" s="18">
        <v>520</v>
      </c>
      <c r="AQ65" s="18">
        <v>465</v>
      </c>
      <c r="AR65" s="18">
        <v>60</v>
      </c>
      <c r="AS65" s="18">
        <v>55</v>
      </c>
      <c r="AT65" s="18">
        <v>485</v>
      </c>
      <c r="AU65" s="18">
        <v>475</v>
      </c>
      <c r="AV65" s="18">
        <v>75</v>
      </c>
      <c r="AW65" s="18">
        <v>85</v>
      </c>
      <c r="AX65" s="18">
        <v>470</v>
      </c>
      <c r="AY65" s="18">
        <v>435</v>
      </c>
      <c r="AZ65" s="18">
        <v>70</v>
      </c>
      <c r="BA65" s="18">
        <v>85</v>
      </c>
      <c r="BB65" s="18">
        <v>515</v>
      </c>
      <c r="BC65" s="18">
        <v>500</v>
      </c>
      <c r="BD65" s="18">
        <v>65</v>
      </c>
      <c r="BE65" s="18">
        <v>92</v>
      </c>
      <c r="BF65" s="23">
        <v>28.667210000000001</v>
      </c>
      <c r="BG65" s="23">
        <v>77.118949999999998</v>
      </c>
      <c r="BH65" s="31">
        <f t="shared" si="31"/>
        <v>515</v>
      </c>
      <c r="BI65" s="31">
        <f t="shared" si="32"/>
        <v>500</v>
      </c>
      <c r="BJ65" s="37">
        <f t="shared" si="33"/>
        <v>15</v>
      </c>
      <c r="BK65" s="37">
        <f t="shared" si="34"/>
        <v>3</v>
      </c>
      <c r="BL65" s="36">
        <f t="shared" si="35"/>
        <v>65</v>
      </c>
      <c r="BM65" s="36">
        <f t="shared" si="36"/>
        <v>92</v>
      </c>
      <c r="BN65" s="37">
        <f t="shared" si="37"/>
        <v>-27</v>
      </c>
      <c r="BO65" s="37">
        <f t="shared" si="38"/>
        <v>-29.347826086956523</v>
      </c>
      <c r="BP65" s="38">
        <f t="shared" si="39"/>
        <v>6251</v>
      </c>
      <c r="BQ65" s="39">
        <f>J65+N65+S65+W65+AA65+AE65+AI65+AM65+AQ65+AU65+Table1[[#This Row],[MS-0225]]+Table1[[#This Row],[MS-0325]]</f>
        <v>5943</v>
      </c>
      <c r="BR65" s="37">
        <f t="shared" si="40"/>
        <v>308</v>
      </c>
      <c r="BS65" s="37">
        <f t="shared" si="41"/>
        <v>5.1825677267373385</v>
      </c>
      <c r="BT65" s="36">
        <f t="shared" si="42"/>
        <v>1065</v>
      </c>
      <c r="BU65" s="36">
        <f t="shared" si="43"/>
        <v>1087</v>
      </c>
      <c r="BV65" s="37">
        <f t="shared" si="44"/>
        <v>-22</v>
      </c>
      <c r="BW65" s="37">
        <f t="shared" si="45"/>
        <v>-2.0239190432382701</v>
      </c>
      <c r="BX65">
        <v>35</v>
      </c>
      <c r="BY65" s="83">
        <f t="shared" si="46"/>
        <v>6.7961165048543687E-2</v>
      </c>
      <c r="BZ65">
        <v>220</v>
      </c>
      <c r="CA65" s="83">
        <f t="shared" si="47"/>
        <v>3.5194368900975846E-2</v>
      </c>
      <c r="CB65" s="96">
        <f t="shared" si="48"/>
        <v>0.35225718194254446</v>
      </c>
      <c r="CC65" s="96">
        <f t="shared" si="49"/>
        <v>0.36603221083455345</v>
      </c>
      <c r="CD65" s="97">
        <f t="shared" si="50"/>
        <v>-1.3775028892008989E-2</v>
      </c>
      <c r="CE65" s="96">
        <f t="shared" si="51"/>
        <v>0.25390625</v>
      </c>
      <c r="CF65" s="96">
        <f t="shared" si="52"/>
        <v>0.33699633699633702</v>
      </c>
      <c r="CG65" s="96">
        <f t="shared" si="53"/>
        <v>-8.309008699633702E-2</v>
      </c>
      <c r="CH65" s="95">
        <f t="shared" si="54"/>
        <v>0.36376862197392923</v>
      </c>
      <c r="CI65" s="95">
        <f t="shared" si="55"/>
        <v>0.36206896551724138</v>
      </c>
      <c r="CJ65" s="98">
        <f t="shared" si="56"/>
        <v>1.699656456687848E-3</v>
      </c>
      <c r="CK65" s="95">
        <f t="shared" si="57"/>
        <v>0.33333333333333331</v>
      </c>
      <c r="CL65" s="95">
        <f t="shared" si="58"/>
        <v>0.32045990566037735</v>
      </c>
      <c r="CM65" s="98">
        <f t="shared" si="59"/>
        <v>1.2873427672955962E-2</v>
      </c>
      <c r="CN65" s="94">
        <f t="shared" si="60"/>
        <v>1.0913058659217878</v>
      </c>
      <c r="CO65" s="94">
        <f t="shared" si="61"/>
        <v>1</v>
      </c>
    </row>
    <row r="66" spans="1:94" ht="36.5" x14ac:dyDescent="0.35">
      <c r="A66" s="103">
        <v>41019284</v>
      </c>
      <c r="B66" s="9" t="s">
        <v>380</v>
      </c>
      <c r="C66" s="47" t="s">
        <v>561</v>
      </c>
      <c r="D66" s="14" t="s">
        <v>562</v>
      </c>
      <c r="E66" s="10" t="s">
        <v>89</v>
      </c>
      <c r="F66" s="10" t="s">
        <v>538</v>
      </c>
      <c r="G66" s="12" t="s">
        <v>906</v>
      </c>
      <c r="H66" s="51" t="s">
        <v>1007</v>
      </c>
      <c r="I66" s="25" t="s">
        <v>86</v>
      </c>
      <c r="J66" s="99">
        <v>209.5</v>
      </c>
      <c r="K66" s="99">
        <v>218</v>
      </c>
      <c r="L66" s="99">
        <v>45.5</v>
      </c>
      <c r="M66" s="99">
        <v>47</v>
      </c>
      <c r="N66" s="18">
        <v>232</v>
      </c>
      <c r="O66" s="18">
        <v>260</v>
      </c>
      <c r="P66" s="18">
        <v>50</v>
      </c>
      <c r="Q66" s="18">
        <v>48</v>
      </c>
      <c r="R66" s="99">
        <v>241</v>
      </c>
      <c r="S66" s="99">
        <v>225.5</v>
      </c>
      <c r="T66" s="99">
        <v>45</v>
      </c>
      <c r="U66" s="99">
        <v>47.5</v>
      </c>
      <c r="V66" s="99">
        <v>242</v>
      </c>
      <c r="W66" s="99">
        <v>239</v>
      </c>
      <c r="X66" s="99">
        <v>45</v>
      </c>
      <c r="Y66" s="99">
        <v>56</v>
      </c>
      <c r="Z66" s="99">
        <v>246</v>
      </c>
      <c r="AA66" s="99">
        <v>239.5</v>
      </c>
      <c r="AB66" s="99">
        <v>40</v>
      </c>
      <c r="AC66" s="99">
        <v>54.5</v>
      </c>
      <c r="AD66" s="99">
        <v>238</v>
      </c>
      <c r="AE66" s="99">
        <v>230</v>
      </c>
      <c r="AF66" s="99">
        <v>48</v>
      </c>
      <c r="AG66" s="99">
        <v>48</v>
      </c>
      <c r="AH66" s="99">
        <v>242</v>
      </c>
      <c r="AI66" s="99">
        <v>241</v>
      </c>
      <c r="AJ66" s="99">
        <v>44</v>
      </c>
      <c r="AK66" s="99">
        <v>53</v>
      </c>
      <c r="AL66" s="99">
        <v>214</v>
      </c>
      <c r="AM66" s="99">
        <v>219</v>
      </c>
      <c r="AN66" s="99">
        <v>28</v>
      </c>
      <c r="AO66" s="99">
        <v>34</v>
      </c>
      <c r="AP66" s="99">
        <v>232</v>
      </c>
      <c r="AQ66" s="99">
        <v>219</v>
      </c>
      <c r="AR66" s="99">
        <v>32</v>
      </c>
      <c r="AS66" s="99">
        <v>40</v>
      </c>
      <c r="AT66" s="99">
        <v>228</v>
      </c>
      <c r="AU66" s="99">
        <v>211</v>
      </c>
      <c r="AV66" s="99">
        <v>36</v>
      </c>
      <c r="AW66" s="99">
        <v>42</v>
      </c>
      <c r="AX66" s="99">
        <v>206</v>
      </c>
      <c r="AY66" s="99">
        <v>183</v>
      </c>
      <c r="AZ66" s="99">
        <v>36</v>
      </c>
      <c r="BA66" s="99">
        <v>33</v>
      </c>
      <c r="BB66" s="99">
        <v>255</v>
      </c>
      <c r="BC66" s="99">
        <v>224</v>
      </c>
      <c r="BD66" s="99">
        <v>53</v>
      </c>
      <c r="BE66" s="99">
        <v>41</v>
      </c>
      <c r="BF66" s="23">
        <v>28.691883000000001</v>
      </c>
      <c r="BG66" s="23">
        <v>77.146441999999993</v>
      </c>
      <c r="BH66" s="31">
        <f t="shared" si="31"/>
        <v>255</v>
      </c>
      <c r="BI66" s="31">
        <f t="shared" si="32"/>
        <v>224</v>
      </c>
      <c r="BJ66" s="37">
        <f t="shared" si="33"/>
        <v>31</v>
      </c>
      <c r="BK66" s="37">
        <f t="shared" si="34"/>
        <v>13.839285714285715</v>
      </c>
      <c r="BL66" s="36">
        <f t="shared" si="35"/>
        <v>53</v>
      </c>
      <c r="BM66" s="36">
        <f t="shared" si="36"/>
        <v>41</v>
      </c>
      <c r="BN66" s="37">
        <f t="shared" si="37"/>
        <v>12</v>
      </c>
      <c r="BO66" s="37">
        <f t="shared" si="38"/>
        <v>29.268292682926827</v>
      </c>
      <c r="BP66" s="38">
        <f t="shared" si="39"/>
        <v>2822</v>
      </c>
      <c r="BQ66" s="39">
        <f>J66+N66+S66+W66+AA66+AE66+AI66+AM66+AQ66+AU66+Table1[[#This Row],[MS-0225]]+Table1[[#This Row],[MS-0325]]</f>
        <v>2672.5</v>
      </c>
      <c r="BR66" s="37">
        <f t="shared" si="40"/>
        <v>149.5</v>
      </c>
      <c r="BS66" s="37">
        <f t="shared" si="41"/>
        <v>5.5940130963517305</v>
      </c>
      <c r="BT66" s="36">
        <f t="shared" si="42"/>
        <v>502</v>
      </c>
      <c r="BU66" s="36">
        <f t="shared" si="43"/>
        <v>544.5</v>
      </c>
      <c r="BV66" s="37">
        <f t="shared" si="44"/>
        <v>-42.5</v>
      </c>
      <c r="BW66" s="37">
        <f t="shared" si="45"/>
        <v>-7.8053259871441698</v>
      </c>
      <c r="BX66">
        <v>0</v>
      </c>
      <c r="BY66" s="83">
        <f t="shared" si="46"/>
        <v>0</v>
      </c>
      <c r="BZ66">
        <v>0</v>
      </c>
      <c r="CA66" s="83">
        <f t="shared" si="47"/>
        <v>0</v>
      </c>
      <c r="CB66" s="96">
        <f t="shared" si="48"/>
        <v>0.1884004432951607</v>
      </c>
      <c r="CC66" s="96">
        <f t="shared" si="49"/>
        <v>0.16905660377358492</v>
      </c>
      <c r="CD66" s="97">
        <f t="shared" si="50"/>
        <v>1.9343839521575784E-2</v>
      </c>
      <c r="CE66" s="96">
        <f t="shared" si="51"/>
        <v>0.19449541284403671</v>
      </c>
      <c r="CF66" s="96">
        <f t="shared" si="52"/>
        <v>0.1453900709219858</v>
      </c>
      <c r="CG66" s="96">
        <f t="shared" si="53"/>
        <v>4.9105341922050905E-2</v>
      </c>
      <c r="CH66" s="95">
        <f t="shared" si="54"/>
        <v>0.17977384933906673</v>
      </c>
      <c r="CI66" s="95">
        <f t="shared" si="55"/>
        <v>0.17427453537658949</v>
      </c>
      <c r="CJ66" s="98">
        <f t="shared" si="56"/>
        <v>5.4993139624772425E-3</v>
      </c>
      <c r="CK66" s="95">
        <f t="shared" si="57"/>
        <v>0.17236051502145922</v>
      </c>
      <c r="CL66" s="95">
        <f t="shared" si="58"/>
        <v>0.15865384615384615</v>
      </c>
      <c r="CM66" s="98">
        <f t="shared" si="59"/>
        <v>1.370666886761307E-2</v>
      </c>
      <c r="CN66" s="94">
        <f t="shared" si="60"/>
        <v>0.89886924669533363</v>
      </c>
      <c r="CO66" s="94">
        <f t="shared" si="61"/>
        <v>0.86180257510729608</v>
      </c>
      <c r="CP66" s="141">
        <f>BD66-AZ66</f>
        <v>17</v>
      </c>
    </row>
    <row r="67" spans="1:94" ht="36.5" x14ac:dyDescent="0.35">
      <c r="A67" s="105">
        <v>108140</v>
      </c>
      <c r="B67" s="5" t="s">
        <v>581</v>
      </c>
      <c r="C67" s="46" t="s">
        <v>825</v>
      </c>
      <c r="D67" s="13" t="s">
        <v>826</v>
      </c>
      <c r="E67" s="8" t="s">
        <v>81</v>
      </c>
      <c r="F67" s="8" t="s">
        <v>498</v>
      </c>
      <c r="G67" s="12" t="s">
        <v>498</v>
      </c>
      <c r="H67" s="51" t="s">
        <v>135</v>
      </c>
      <c r="I67" s="24" t="s">
        <v>83</v>
      </c>
      <c r="J67" s="100">
        <v>441</v>
      </c>
      <c r="K67" s="100">
        <v>479</v>
      </c>
      <c r="L67" s="100">
        <v>69</v>
      </c>
      <c r="M67" s="100">
        <v>63</v>
      </c>
      <c r="N67" s="18">
        <v>467.5</v>
      </c>
      <c r="O67" s="18">
        <v>494.5</v>
      </c>
      <c r="P67" s="18">
        <v>76.5</v>
      </c>
      <c r="Q67" s="18">
        <v>67.5</v>
      </c>
      <c r="R67" s="100">
        <v>463.5</v>
      </c>
      <c r="S67" s="100">
        <v>468</v>
      </c>
      <c r="T67" s="100">
        <v>58.5</v>
      </c>
      <c r="U67" s="100">
        <v>72</v>
      </c>
      <c r="V67" s="100">
        <v>504</v>
      </c>
      <c r="W67" s="100">
        <v>478.5</v>
      </c>
      <c r="X67" s="100">
        <v>72</v>
      </c>
      <c r="Y67" s="100">
        <v>75.5</v>
      </c>
      <c r="Z67" s="100">
        <v>490.5</v>
      </c>
      <c r="AA67" s="100">
        <v>531.5</v>
      </c>
      <c r="AB67" s="100">
        <v>67.5</v>
      </c>
      <c r="AC67" s="100">
        <v>76.5</v>
      </c>
      <c r="AD67" s="100">
        <v>467.5</v>
      </c>
      <c r="AE67" s="100">
        <v>481.5</v>
      </c>
      <c r="AF67" s="100">
        <v>66.5</v>
      </c>
      <c r="AG67" s="100">
        <v>76.5</v>
      </c>
      <c r="AH67" s="100">
        <v>491</v>
      </c>
      <c r="AI67" s="100">
        <v>504</v>
      </c>
      <c r="AJ67" s="100">
        <v>63</v>
      </c>
      <c r="AK67" s="100">
        <v>72</v>
      </c>
      <c r="AL67" s="100">
        <v>463.5</v>
      </c>
      <c r="AM67" s="100">
        <v>463.5</v>
      </c>
      <c r="AN67" s="100">
        <v>58.5</v>
      </c>
      <c r="AO67" s="100">
        <v>58.5</v>
      </c>
      <c r="AP67" s="100">
        <v>477</v>
      </c>
      <c r="AQ67" s="100">
        <v>445.5</v>
      </c>
      <c r="AR67" s="100">
        <v>63</v>
      </c>
      <c r="AS67" s="100">
        <v>58.5</v>
      </c>
      <c r="AT67" s="100">
        <v>429.5</v>
      </c>
      <c r="AU67" s="100">
        <v>463.5</v>
      </c>
      <c r="AV67" s="100">
        <v>58.5</v>
      </c>
      <c r="AW67" s="100">
        <v>58.5</v>
      </c>
      <c r="AX67" s="100">
        <v>450</v>
      </c>
      <c r="AY67" s="100">
        <v>414</v>
      </c>
      <c r="AZ67" s="100">
        <v>72</v>
      </c>
      <c r="BA67" s="100">
        <v>54</v>
      </c>
      <c r="BB67" s="100">
        <v>508.5</v>
      </c>
      <c r="BC67" s="100">
        <v>459</v>
      </c>
      <c r="BD67" s="100">
        <v>67.5</v>
      </c>
      <c r="BE67" s="100">
        <v>63</v>
      </c>
      <c r="BF67" s="23">
        <v>28.5748</v>
      </c>
      <c r="BG67" s="23">
        <v>77.067700000000002</v>
      </c>
      <c r="BH67" s="31">
        <f t="shared" si="31"/>
        <v>508.5</v>
      </c>
      <c r="BI67" s="31">
        <f t="shared" si="32"/>
        <v>459</v>
      </c>
      <c r="BJ67" s="37">
        <f t="shared" si="33"/>
        <v>49.5</v>
      </c>
      <c r="BK67" s="37">
        <f t="shared" si="34"/>
        <v>10.784313725490197</v>
      </c>
      <c r="BL67" s="36">
        <f t="shared" si="35"/>
        <v>67.5</v>
      </c>
      <c r="BM67" s="36">
        <f t="shared" si="36"/>
        <v>63</v>
      </c>
      <c r="BN67" s="37">
        <f t="shared" si="37"/>
        <v>4.5</v>
      </c>
      <c r="BO67" s="37">
        <f t="shared" si="38"/>
        <v>7.1428571428571423</v>
      </c>
      <c r="BP67" s="38">
        <f t="shared" si="39"/>
        <v>5718.5</v>
      </c>
      <c r="BQ67" s="39">
        <f>J67+N67+S67+W67+AA67+AE67+AI67+AM67+AQ67+AU67+Table1[[#This Row],[MS-0225]]+Table1[[#This Row],[MS-0325]]</f>
        <v>5617.5</v>
      </c>
      <c r="BR67" s="37">
        <f t="shared" si="40"/>
        <v>101</v>
      </c>
      <c r="BS67" s="37">
        <f t="shared" si="41"/>
        <v>1.7979528259902091</v>
      </c>
      <c r="BT67" s="36">
        <f t="shared" si="42"/>
        <v>777.5</v>
      </c>
      <c r="BU67" s="36">
        <f t="shared" si="43"/>
        <v>810.5</v>
      </c>
      <c r="BV67" s="37">
        <f t="shared" si="44"/>
        <v>-33</v>
      </c>
      <c r="BW67" s="37">
        <f t="shared" si="45"/>
        <v>-4.0715607649599015</v>
      </c>
      <c r="BX67">
        <v>0</v>
      </c>
      <c r="BY67" s="83">
        <f t="shared" si="46"/>
        <v>0</v>
      </c>
      <c r="BZ67">
        <v>0</v>
      </c>
      <c r="CA67" s="83">
        <f t="shared" si="47"/>
        <v>0</v>
      </c>
      <c r="CB67" s="96">
        <f t="shared" si="48"/>
        <v>0.57653061224489799</v>
      </c>
      <c r="CC67" s="96">
        <f t="shared" si="49"/>
        <v>0.49143468950749464</v>
      </c>
      <c r="CD67" s="97">
        <f t="shared" si="50"/>
        <v>8.5095922737403351E-2</v>
      </c>
      <c r="CE67" s="96">
        <f t="shared" si="51"/>
        <v>0.44407894736842107</v>
      </c>
      <c r="CF67" s="96">
        <f t="shared" si="52"/>
        <v>0.32984293193717279</v>
      </c>
      <c r="CG67" s="96">
        <f t="shared" si="53"/>
        <v>0.11423601543124828</v>
      </c>
      <c r="CH67" s="95">
        <f t="shared" si="54"/>
        <v>0.51655300121945713</v>
      </c>
      <c r="CI67" s="95">
        <f t="shared" si="55"/>
        <v>0.54981892923558773</v>
      </c>
      <c r="CJ67" s="98">
        <f t="shared" si="56"/>
        <v>-3.3265928016130597E-2</v>
      </c>
      <c r="CK67" s="95">
        <f t="shared" si="57"/>
        <v>0.38197003193318596</v>
      </c>
      <c r="CL67" s="95">
        <f t="shared" si="58"/>
        <v>0.37127805771873568</v>
      </c>
      <c r="CM67" s="98">
        <f t="shared" si="59"/>
        <v>1.0691974214450284E-2</v>
      </c>
      <c r="CN67" s="94">
        <f t="shared" si="60"/>
        <v>1.0331060024389143</v>
      </c>
      <c r="CO67" s="94">
        <f t="shared" si="61"/>
        <v>0.76394006386637192</v>
      </c>
    </row>
    <row r="68" spans="1:94" x14ac:dyDescent="0.35">
      <c r="A68" s="103">
        <v>41056327</v>
      </c>
      <c r="B68" s="9" t="s">
        <v>380</v>
      </c>
      <c r="C68" s="47" t="s">
        <v>448</v>
      </c>
      <c r="D68" s="14" t="s">
        <v>449</v>
      </c>
      <c r="E68" s="10" t="s">
        <v>85</v>
      </c>
      <c r="F68" s="10" t="s">
        <v>332</v>
      </c>
      <c r="G68" s="12" t="s">
        <v>332</v>
      </c>
      <c r="H68" s="51" t="s">
        <v>178</v>
      </c>
      <c r="I68" s="25" t="s">
        <v>86</v>
      </c>
      <c r="J68" s="99">
        <v>456</v>
      </c>
      <c r="K68" s="99">
        <v>468</v>
      </c>
      <c r="L68" s="99">
        <v>133</v>
      </c>
      <c r="M68" s="99">
        <v>120</v>
      </c>
      <c r="N68" s="18">
        <v>511</v>
      </c>
      <c r="O68" s="18">
        <v>533.5</v>
      </c>
      <c r="P68" s="18">
        <v>147</v>
      </c>
      <c r="Q68" s="18">
        <v>131.5</v>
      </c>
      <c r="R68" s="99">
        <v>488</v>
      </c>
      <c r="S68" s="99">
        <v>442</v>
      </c>
      <c r="T68" s="99">
        <v>128</v>
      </c>
      <c r="U68" s="99">
        <v>139</v>
      </c>
      <c r="V68" s="99">
        <v>514</v>
      </c>
      <c r="W68" s="99">
        <v>477</v>
      </c>
      <c r="X68" s="99">
        <v>124</v>
      </c>
      <c r="Y68" s="99">
        <v>135</v>
      </c>
      <c r="Z68" s="99">
        <v>530</v>
      </c>
      <c r="AA68" s="99">
        <v>500</v>
      </c>
      <c r="AB68" s="99">
        <v>130</v>
      </c>
      <c r="AC68" s="99">
        <v>145</v>
      </c>
      <c r="AD68" s="99">
        <v>524</v>
      </c>
      <c r="AE68" s="99">
        <v>500</v>
      </c>
      <c r="AF68" s="99">
        <v>135</v>
      </c>
      <c r="AG68" s="99">
        <v>137</v>
      </c>
      <c r="AH68" s="99">
        <v>526</v>
      </c>
      <c r="AI68" s="99">
        <v>497</v>
      </c>
      <c r="AJ68" s="99">
        <v>112</v>
      </c>
      <c r="AK68" s="99">
        <v>134</v>
      </c>
      <c r="AL68" s="99">
        <v>492</v>
      </c>
      <c r="AM68" s="99">
        <v>457</v>
      </c>
      <c r="AN68" s="99">
        <v>102</v>
      </c>
      <c r="AO68" s="99">
        <v>101</v>
      </c>
      <c r="AP68" s="99">
        <v>496</v>
      </c>
      <c r="AQ68" s="99">
        <v>470</v>
      </c>
      <c r="AR68" s="99">
        <v>98</v>
      </c>
      <c r="AS68" s="99">
        <v>96</v>
      </c>
      <c r="AT68" s="99">
        <v>469</v>
      </c>
      <c r="AU68" s="99">
        <v>464</v>
      </c>
      <c r="AV68" s="99">
        <v>104</v>
      </c>
      <c r="AW68" s="99">
        <v>124</v>
      </c>
      <c r="AX68" s="99">
        <v>440</v>
      </c>
      <c r="AY68" s="99">
        <v>428</v>
      </c>
      <c r="AZ68" s="99">
        <v>110</v>
      </c>
      <c r="BA68" s="99">
        <v>104</v>
      </c>
      <c r="BB68" s="99">
        <v>512</v>
      </c>
      <c r="BC68" s="99">
        <v>479</v>
      </c>
      <c r="BD68" s="99">
        <v>126</v>
      </c>
      <c r="BE68" s="99">
        <v>118</v>
      </c>
      <c r="BF68" s="23">
        <v>28.67474</v>
      </c>
      <c r="BG68" s="23">
        <v>77.130139999999997</v>
      </c>
      <c r="BH68" s="31">
        <f t="shared" si="31"/>
        <v>512</v>
      </c>
      <c r="BI68" s="31">
        <f t="shared" si="32"/>
        <v>479</v>
      </c>
      <c r="BJ68" s="37">
        <f t="shared" si="33"/>
        <v>33</v>
      </c>
      <c r="BK68" s="37">
        <f t="shared" si="34"/>
        <v>6.8893528183716075</v>
      </c>
      <c r="BL68" s="36">
        <f t="shared" si="35"/>
        <v>126</v>
      </c>
      <c r="BM68" s="36">
        <f t="shared" si="36"/>
        <v>118</v>
      </c>
      <c r="BN68" s="37">
        <f t="shared" si="37"/>
        <v>8</v>
      </c>
      <c r="BO68" s="37">
        <f t="shared" si="38"/>
        <v>6.7796610169491522</v>
      </c>
      <c r="BP68" s="38">
        <f t="shared" si="39"/>
        <v>5992.5</v>
      </c>
      <c r="BQ68" s="39">
        <f>J68+N68+S68+W68+AA68+AE68+AI68+AM68+AQ68+AU68+Table1[[#This Row],[MS-0225]]+Table1[[#This Row],[MS-0325]]</f>
        <v>5681</v>
      </c>
      <c r="BR68" s="37">
        <f t="shared" si="40"/>
        <v>311.5</v>
      </c>
      <c r="BS68" s="37">
        <f t="shared" si="41"/>
        <v>5.4831895792994185</v>
      </c>
      <c r="BT68" s="36">
        <f t="shared" si="42"/>
        <v>1420.5</v>
      </c>
      <c r="BU68" s="36">
        <f t="shared" si="43"/>
        <v>1513</v>
      </c>
      <c r="BV68" s="37">
        <f t="shared" si="44"/>
        <v>-92.5</v>
      </c>
      <c r="BW68" s="37">
        <f t="shared" si="45"/>
        <v>-6.1136814276272311</v>
      </c>
      <c r="BX68">
        <v>0</v>
      </c>
      <c r="BY68" s="83">
        <f t="shared" si="46"/>
        <v>0</v>
      </c>
      <c r="BZ68">
        <v>0</v>
      </c>
      <c r="CA68" s="83">
        <f t="shared" si="47"/>
        <v>0</v>
      </c>
      <c r="CB68" s="96">
        <f t="shared" si="48"/>
        <v>0.35020519835841313</v>
      </c>
      <c r="CC68" s="96">
        <f t="shared" si="49"/>
        <v>0.35065885797950219</v>
      </c>
      <c r="CD68" s="97">
        <f t="shared" si="50"/>
        <v>-4.5365962108906421E-4</v>
      </c>
      <c r="CE68" s="96">
        <f t="shared" si="51"/>
        <v>0.4921875</v>
      </c>
      <c r="CF68" s="96">
        <f t="shared" si="52"/>
        <v>0.43223443223443225</v>
      </c>
      <c r="CG68" s="96">
        <f t="shared" si="53"/>
        <v>5.9953067765567747E-2</v>
      </c>
      <c r="CH68" s="95">
        <f t="shared" si="54"/>
        <v>0.34872555865921789</v>
      </c>
      <c r="CI68" s="95">
        <f t="shared" si="55"/>
        <v>0.34610698184476668</v>
      </c>
      <c r="CJ68" s="98">
        <f t="shared" si="56"/>
        <v>2.6185768144512123E-3</v>
      </c>
      <c r="CK68" s="95">
        <f t="shared" si="57"/>
        <v>0.44460093896713615</v>
      </c>
      <c r="CL68" s="95">
        <f t="shared" si="58"/>
        <v>0.44604952830188677</v>
      </c>
      <c r="CM68" s="98">
        <f t="shared" si="59"/>
        <v>-1.4485893347506162E-3</v>
      </c>
      <c r="CN68" s="94">
        <f t="shared" si="60"/>
        <v>1.0461766759776536</v>
      </c>
      <c r="CO68" s="94">
        <f t="shared" si="61"/>
        <v>1.3338028169014085</v>
      </c>
      <c r="CP68" s="141">
        <f>BD68-AZ68</f>
        <v>16</v>
      </c>
    </row>
    <row r="69" spans="1:94" ht="24.5" x14ac:dyDescent="0.35">
      <c r="A69" s="104">
        <v>106324</v>
      </c>
      <c r="B69" s="5" t="s">
        <v>581</v>
      </c>
      <c r="C69" s="46" t="s">
        <v>857</v>
      </c>
      <c r="D69" s="13" t="s">
        <v>858</v>
      </c>
      <c r="E69" s="6" t="s">
        <v>103</v>
      </c>
      <c r="F69" s="6" t="s">
        <v>428</v>
      </c>
      <c r="G69" s="12" t="s">
        <v>428</v>
      </c>
      <c r="H69" s="51" t="s">
        <v>248</v>
      </c>
      <c r="I69" s="24" t="s">
        <v>78</v>
      </c>
      <c r="J69" s="100">
        <v>486</v>
      </c>
      <c r="K69" s="100">
        <v>535.5</v>
      </c>
      <c r="L69" s="100">
        <v>126</v>
      </c>
      <c r="M69" s="100">
        <v>112.5</v>
      </c>
      <c r="N69" s="18">
        <v>490.5</v>
      </c>
      <c r="O69" s="18">
        <v>522</v>
      </c>
      <c r="P69" s="18">
        <v>121.5</v>
      </c>
      <c r="Q69" s="18">
        <v>108</v>
      </c>
      <c r="R69" s="100">
        <v>490.5</v>
      </c>
      <c r="S69" s="100">
        <v>490.5</v>
      </c>
      <c r="T69" s="100">
        <v>103.5</v>
      </c>
      <c r="U69" s="100">
        <v>139.5</v>
      </c>
      <c r="V69" s="100">
        <v>513</v>
      </c>
      <c r="W69" s="100">
        <v>490.5</v>
      </c>
      <c r="X69" s="100">
        <v>99</v>
      </c>
      <c r="Y69" s="100">
        <v>121.5</v>
      </c>
      <c r="Z69" s="100">
        <v>499.5</v>
      </c>
      <c r="AA69" s="100">
        <v>504</v>
      </c>
      <c r="AB69" s="100">
        <v>94.5</v>
      </c>
      <c r="AC69" s="100">
        <v>126</v>
      </c>
      <c r="AD69" s="100">
        <v>441</v>
      </c>
      <c r="AE69" s="100">
        <v>454.5</v>
      </c>
      <c r="AF69" s="100">
        <v>81</v>
      </c>
      <c r="AG69" s="100">
        <v>103.5</v>
      </c>
      <c r="AH69" s="100">
        <v>481.5</v>
      </c>
      <c r="AI69" s="100">
        <v>522</v>
      </c>
      <c r="AJ69" s="100">
        <v>82.5</v>
      </c>
      <c r="AK69" s="100">
        <v>126</v>
      </c>
      <c r="AL69" s="100">
        <v>497.5</v>
      </c>
      <c r="AM69" s="100">
        <v>477</v>
      </c>
      <c r="AN69" s="100">
        <v>90.5</v>
      </c>
      <c r="AO69" s="100">
        <v>99</v>
      </c>
      <c r="AP69" s="100">
        <v>490</v>
      </c>
      <c r="AQ69" s="100">
        <v>477</v>
      </c>
      <c r="AR69" s="100">
        <v>80</v>
      </c>
      <c r="AS69" s="100">
        <v>99</v>
      </c>
      <c r="AT69" s="100">
        <v>466.5</v>
      </c>
      <c r="AU69" s="100">
        <v>495</v>
      </c>
      <c r="AV69" s="100">
        <v>81.5</v>
      </c>
      <c r="AW69" s="100">
        <v>99</v>
      </c>
      <c r="AX69" s="100">
        <v>468.5</v>
      </c>
      <c r="AY69" s="100">
        <v>445.5</v>
      </c>
      <c r="AZ69" s="100">
        <v>83.5</v>
      </c>
      <c r="BA69" s="100">
        <v>94.5</v>
      </c>
      <c r="BB69" s="100">
        <v>502</v>
      </c>
      <c r="BC69" s="100">
        <v>472.5</v>
      </c>
      <c r="BD69" s="100">
        <v>90</v>
      </c>
      <c r="BE69" s="100">
        <v>103.5</v>
      </c>
      <c r="BF69" s="23">
        <v>28.584399999999999</v>
      </c>
      <c r="BG69" s="23">
        <v>77.172200000000004</v>
      </c>
      <c r="BH69" s="31">
        <f t="shared" si="31"/>
        <v>502</v>
      </c>
      <c r="BI69" s="31">
        <f t="shared" si="32"/>
        <v>472.5</v>
      </c>
      <c r="BJ69" s="37">
        <f t="shared" si="33"/>
        <v>29.5</v>
      </c>
      <c r="BK69" s="37">
        <f t="shared" si="34"/>
        <v>6.2433862433862428</v>
      </c>
      <c r="BL69" s="36">
        <f t="shared" si="35"/>
        <v>90</v>
      </c>
      <c r="BM69" s="36">
        <f t="shared" si="36"/>
        <v>103.5</v>
      </c>
      <c r="BN69" s="37">
        <f t="shared" si="37"/>
        <v>-13.5</v>
      </c>
      <c r="BO69" s="37">
        <f t="shared" si="38"/>
        <v>-13.043478260869565</v>
      </c>
      <c r="BP69" s="38">
        <f t="shared" si="39"/>
        <v>5907.5</v>
      </c>
      <c r="BQ69" s="39">
        <f>J69+N69+S69+W69+AA69+AE69+AI69+AM69+AQ69+AU69+Table1[[#This Row],[MS-0225]]+Table1[[#This Row],[MS-0325]]</f>
        <v>5805</v>
      </c>
      <c r="BR69" s="37">
        <f t="shared" si="40"/>
        <v>102.5</v>
      </c>
      <c r="BS69" s="37">
        <f t="shared" si="41"/>
        <v>1.7657192075796728</v>
      </c>
      <c r="BT69" s="36">
        <f t="shared" si="42"/>
        <v>1106.5</v>
      </c>
      <c r="BU69" s="36">
        <f t="shared" si="43"/>
        <v>1359</v>
      </c>
      <c r="BV69" s="37">
        <f t="shared" si="44"/>
        <v>-252.5</v>
      </c>
      <c r="BW69" s="37">
        <f t="shared" si="45"/>
        <v>-18.579838116261957</v>
      </c>
      <c r="BX69">
        <v>0</v>
      </c>
      <c r="BY69" s="83">
        <f t="shared" si="46"/>
        <v>0</v>
      </c>
      <c r="BZ69">
        <v>0</v>
      </c>
      <c r="CA69" s="83">
        <f t="shared" si="47"/>
        <v>0</v>
      </c>
      <c r="CB69" s="96">
        <f t="shared" si="48"/>
        <v>0.35805991440798857</v>
      </c>
      <c r="CC69" s="96">
        <f t="shared" si="49"/>
        <v>0.32631215469613262</v>
      </c>
      <c r="CD69" s="97">
        <f t="shared" si="50"/>
        <v>3.174775971185595E-2</v>
      </c>
      <c r="CE69" s="96">
        <f t="shared" si="51"/>
        <v>0.14195583596214512</v>
      </c>
      <c r="CF69" s="96">
        <f t="shared" si="52"/>
        <v>0.16021671826625386</v>
      </c>
      <c r="CG69" s="96">
        <f t="shared" si="53"/>
        <v>-1.8260882304108744E-2</v>
      </c>
      <c r="CH69" s="95">
        <f t="shared" si="54"/>
        <v>0.34054879806306565</v>
      </c>
      <c r="CI69" s="95">
        <f t="shared" si="55"/>
        <v>0.34539180103528294</v>
      </c>
      <c r="CJ69" s="98">
        <f t="shared" si="56"/>
        <v>-4.8430029722172918E-3</v>
      </c>
      <c r="CK69" s="95">
        <f t="shared" si="57"/>
        <v>0.14942606347062795</v>
      </c>
      <c r="CL69" s="95">
        <f t="shared" si="58"/>
        <v>0.17848699763593381</v>
      </c>
      <c r="CM69" s="98">
        <f t="shared" si="59"/>
        <v>-2.9060934165305863E-2</v>
      </c>
      <c r="CN69" s="94">
        <f t="shared" si="60"/>
        <v>1.0216463941891969</v>
      </c>
      <c r="CO69" s="94">
        <f t="shared" si="61"/>
        <v>0.44827819041188388</v>
      </c>
    </row>
    <row r="70" spans="1:94" ht="36.5" x14ac:dyDescent="0.35">
      <c r="A70" s="104">
        <v>356678</v>
      </c>
      <c r="B70" s="5" t="s">
        <v>581</v>
      </c>
      <c r="C70" s="46" t="s">
        <v>873</v>
      </c>
      <c r="D70" s="13" t="s">
        <v>874</v>
      </c>
      <c r="E70" s="6" t="s">
        <v>75</v>
      </c>
      <c r="F70" s="6" t="s">
        <v>865</v>
      </c>
      <c r="G70" s="12" t="s">
        <v>865</v>
      </c>
      <c r="H70" s="51" t="s">
        <v>77</v>
      </c>
      <c r="I70" s="24" t="s">
        <v>78</v>
      </c>
      <c r="J70" s="100">
        <v>422.387</v>
      </c>
      <c r="K70" s="100">
        <v>508.29799999999994</v>
      </c>
      <c r="L70" s="100">
        <v>46.512999999999998</v>
      </c>
      <c r="M70" s="100">
        <v>40.26</v>
      </c>
      <c r="N70" s="18">
        <v>458.85</v>
      </c>
      <c r="O70" s="18">
        <v>504.34300000000002</v>
      </c>
      <c r="P70" s="18">
        <v>54.38000000000001</v>
      </c>
      <c r="Q70" s="18">
        <v>45.870000000000005</v>
      </c>
      <c r="R70" s="100">
        <v>503.5</v>
      </c>
      <c r="S70" s="100">
        <v>449.887</v>
      </c>
      <c r="T70" s="100">
        <v>41.5</v>
      </c>
      <c r="U70" s="100">
        <v>51.730999999999995</v>
      </c>
      <c r="V70" s="100">
        <v>536.0089999999999</v>
      </c>
      <c r="W70" s="100">
        <v>484.62799999999999</v>
      </c>
      <c r="X70" s="100">
        <v>48.224000000000004</v>
      </c>
      <c r="Y70" s="100">
        <v>63.195</v>
      </c>
      <c r="Z70" s="100">
        <v>561.88499999999999</v>
      </c>
      <c r="AA70" s="100">
        <v>490.92599999999999</v>
      </c>
      <c r="AB70" s="100">
        <v>56.466000000000001</v>
      </c>
      <c r="AC70" s="100">
        <v>46.074999999999896</v>
      </c>
      <c r="AD70" s="100">
        <v>567.95600000000002</v>
      </c>
      <c r="AE70" s="100">
        <v>472.31499999999988</v>
      </c>
      <c r="AF70" s="100">
        <v>63.536999999999999</v>
      </c>
      <c r="AG70" s="100">
        <v>43.798999999999893</v>
      </c>
      <c r="AH70" s="100">
        <v>517.15</v>
      </c>
      <c r="AI70" s="100">
        <v>495.5</v>
      </c>
      <c r="AJ70" s="100">
        <v>50.934000000000097</v>
      </c>
      <c r="AK70" s="100">
        <v>40.5</v>
      </c>
      <c r="AL70" s="100">
        <v>478.79500000000002</v>
      </c>
      <c r="AM70" s="100">
        <v>474.43500000000012</v>
      </c>
      <c r="AN70" s="100">
        <v>45.947999999999901</v>
      </c>
      <c r="AO70" s="100">
        <v>42.759</v>
      </c>
      <c r="AP70" s="100">
        <v>481.41100000000006</v>
      </c>
      <c r="AQ70" s="100">
        <v>472.34899999999993</v>
      </c>
      <c r="AR70" s="100">
        <v>45.571000000000012</v>
      </c>
      <c r="AS70" s="100">
        <v>41.308999999999997</v>
      </c>
      <c r="AT70" s="100">
        <v>492.786</v>
      </c>
      <c r="AU70" s="100">
        <v>473.95299999999997</v>
      </c>
      <c r="AV70" s="100">
        <v>48.039999999999992</v>
      </c>
      <c r="AW70" s="100">
        <v>45.7319999999999</v>
      </c>
      <c r="AX70" s="100">
        <v>453.89400000000001</v>
      </c>
      <c r="AY70" s="100">
        <v>470.80600000000004</v>
      </c>
      <c r="AZ70" s="100">
        <v>52.351999999999897</v>
      </c>
      <c r="BA70" s="100">
        <v>52.112000000000002</v>
      </c>
      <c r="BB70" s="100">
        <v>501.79899999999901</v>
      </c>
      <c r="BC70" s="100">
        <v>488</v>
      </c>
      <c r="BD70" s="100">
        <v>61.103000000000002</v>
      </c>
      <c r="BE70" s="100">
        <v>54</v>
      </c>
      <c r="BF70" s="23">
        <v>28.652367999999999</v>
      </c>
      <c r="BG70" s="23">
        <v>77.268316999999996</v>
      </c>
      <c r="BH70" s="31">
        <f t="shared" si="31"/>
        <v>501.79899999999901</v>
      </c>
      <c r="BI70" s="31">
        <f t="shared" si="32"/>
        <v>488</v>
      </c>
      <c r="BJ70" s="37">
        <f t="shared" si="33"/>
        <v>13.798999999999012</v>
      </c>
      <c r="BK70" s="37">
        <f t="shared" si="34"/>
        <v>2.827663934426027</v>
      </c>
      <c r="BL70" s="36">
        <f t="shared" si="35"/>
        <v>61.103000000000002</v>
      </c>
      <c r="BM70" s="36">
        <f t="shared" si="36"/>
        <v>54</v>
      </c>
      <c r="BN70" s="37">
        <f t="shared" si="37"/>
        <v>7.1030000000000015</v>
      </c>
      <c r="BO70" s="37">
        <f t="shared" si="38"/>
        <v>13.153703703703707</v>
      </c>
      <c r="BP70" s="38">
        <f t="shared" si="39"/>
        <v>6107.8259999999991</v>
      </c>
      <c r="BQ70" s="39">
        <f>J70+N70+S70+W70+AA70+AE70+AI70+AM70+AQ70+AU70+Table1[[#This Row],[MS-0225]]+Table1[[#This Row],[MS-0325]]</f>
        <v>5654.0360000000001</v>
      </c>
      <c r="BR70" s="37">
        <f t="shared" si="40"/>
        <v>453.78999999999905</v>
      </c>
      <c r="BS70" s="37">
        <f t="shared" si="41"/>
        <v>8.0259481899301495</v>
      </c>
      <c r="BT70" s="36">
        <f t="shared" si="42"/>
        <v>599.80499999999984</v>
      </c>
      <c r="BU70" s="36">
        <f t="shared" si="43"/>
        <v>582.10499999999968</v>
      </c>
      <c r="BV70" s="37">
        <f t="shared" si="44"/>
        <v>17.700000000000159</v>
      </c>
      <c r="BW70" s="37">
        <f t="shared" si="45"/>
        <v>3.040688535573508</v>
      </c>
      <c r="BX70">
        <v>0</v>
      </c>
      <c r="BY70" s="83">
        <f t="shared" si="46"/>
        <v>0</v>
      </c>
      <c r="BZ70">
        <v>0</v>
      </c>
      <c r="CA70" s="83">
        <f t="shared" si="47"/>
        <v>0</v>
      </c>
      <c r="CB70" s="96">
        <f t="shared" si="48"/>
        <v>0.3435099558529266</v>
      </c>
      <c r="CC70" s="96">
        <f t="shared" si="49"/>
        <v>0.41960447119518485</v>
      </c>
      <c r="CD70" s="97">
        <f t="shared" si="50"/>
        <v>-7.6094515342258251E-2</v>
      </c>
      <c r="CE70" s="96">
        <f t="shared" si="51"/>
        <v>0.28015662324681456</v>
      </c>
      <c r="CF70" s="96">
        <f t="shared" si="52"/>
        <v>0.35294117647058826</v>
      </c>
      <c r="CG70" s="96">
        <f t="shared" si="53"/>
        <v>-7.2784553223773696E-2</v>
      </c>
      <c r="CH70" s="95">
        <f t="shared" si="54"/>
        <v>0.41065636563065983</v>
      </c>
      <c r="CI70" s="95">
        <f t="shared" si="55"/>
        <v>0.39548293376801208</v>
      </c>
      <c r="CJ70" s="98">
        <f t="shared" si="56"/>
        <v>1.5173431862647746E-2</v>
      </c>
      <c r="CK70" s="95">
        <f t="shared" si="57"/>
        <v>0.3100881195054554</v>
      </c>
      <c r="CL70" s="95">
        <f t="shared" si="58"/>
        <v>0.2829041531294878</v>
      </c>
      <c r="CM70" s="98">
        <f t="shared" si="59"/>
        <v>2.7183966375967594E-2</v>
      </c>
      <c r="CN70" s="94">
        <f t="shared" si="60"/>
        <v>0.82131273126131965</v>
      </c>
      <c r="CO70" s="94">
        <f t="shared" si="61"/>
        <v>0.62017623901091079</v>
      </c>
    </row>
    <row r="71" spans="1:94" ht="36.5" x14ac:dyDescent="0.35">
      <c r="A71" s="104">
        <v>212907</v>
      </c>
      <c r="B71" s="5" t="s">
        <v>581</v>
      </c>
      <c r="C71" s="46" t="s">
        <v>709</v>
      </c>
      <c r="D71" s="13" t="s">
        <v>710</v>
      </c>
      <c r="E71" s="6" t="s">
        <v>200</v>
      </c>
      <c r="F71" s="6" t="s">
        <v>683</v>
      </c>
      <c r="G71" s="12" t="s">
        <v>683</v>
      </c>
      <c r="H71" s="51" t="s">
        <v>120</v>
      </c>
      <c r="I71" s="24" t="s">
        <v>83</v>
      </c>
      <c r="J71" s="100">
        <v>502.5</v>
      </c>
      <c r="K71" s="100">
        <v>517.5</v>
      </c>
      <c r="L71" s="100">
        <v>241.5</v>
      </c>
      <c r="M71" s="100">
        <v>274.5</v>
      </c>
      <c r="N71" s="18">
        <v>534</v>
      </c>
      <c r="O71" s="18">
        <v>522</v>
      </c>
      <c r="P71" s="18">
        <v>244</v>
      </c>
      <c r="Q71" s="18">
        <v>252</v>
      </c>
      <c r="R71" s="100">
        <v>512</v>
      </c>
      <c r="S71" s="100">
        <v>522</v>
      </c>
      <c r="T71" s="100">
        <v>282</v>
      </c>
      <c r="U71" s="100">
        <v>234</v>
      </c>
      <c r="V71" s="100">
        <v>546</v>
      </c>
      <c r="W71" s="100">
        <v>531</v>
      </c>
      <c r="X71" s="100">
        <v>252</v>
      </c>
      <c r="Y71" s="100">
        <v>207</v>
      </c>
      <c r="Z71" s="100">
        <v>553</v>
      </c>
      <c r="AA71" s="100">
        <v>568</v>
      </c>
      <c r="AB71" s="100">
        <v>251</v>
      </c>
      <c r="AC71" s="100">
        <v>208</v>
      </c>
      <c r="AD71" s="100">
        <v>521.5</v>
      </c>
      <c r="AE71" s="100">
        <v>506</v>
      </c>
      <c r="AF71" s="100">
        <v>252.5</v>
      </c>
      <c r="AG71" s="100">
        <v>218</v>
      </c>
      <c r="AH71" s="100">
        <v>550</v>
      </c>
      <c r="AI71" s="100">
        <v>508.5</v>
      </c>
      <c r="AJ71" s="100">
        <v>270</v>
      </c>
      <c r="AK71" s="100">
        <v>247.5</v>
      </c>
      <c r="AL71" s="100">
        <v>534</v>
      </c>
      <c r="AM71" s="100">
        <v>499.5</v>
      </c>
      <c r="AN71" s="100">
        <v>260</v>
      </c>
      <c r="AO71" s="100">
        <v>198.5</v>
      </c>
      <c r="AP71" s="100">
        <v>498</v>
      </c>
      <c r="AQ71" s="100">
        <v>454.5</v>
      </c>
      <c r="AR71" s="100">
        <v>272</v>
      </c>
      <c r="AS71" s="100">
        <v>229.5</v>
      </c>
      <c r="AT71" s="100">
        <v>489</v>
      </c>
      <c r="AU71" s="100">
        <v>463.5</v>
      </c>
      <c r="AV71" s="100">
        <v>269</v>
      </c>
      <c r="AW71" s="100">
        <v>274.5</v>
      </c>
      <c r="AX71" s="100">
        <v>528</v>
      </c>
      <c r="AY71" s="100">
        <v>456.5</v>
      </c>
      <c r="AZ71" s="100">
        <v>294</v>
      </c>
      <c r="BA71" s="100">
        <v>265.5</v>
      </c>
      <c r="BB71" s="100">
        <v>500</v>
      </c>
      <c r="BC71" s="100">
        <v>481.5</v>
      </c>
      <c r="BD71" s="100">
        <v>267</v>
      </c>
      <c r="BE71" s="100">
        <v>238.5</v>
      </c>
      <c r="BF71" s="23">
        <v>28.7302</v>
      </c>
      <c r="BG71" s="23">
        <v>77.183199999999999</v>
      </c>
      <c r="BH71" s="31">
        <f t="shared" si="31"/>
        <v>500</v>
      </c>
      <c r="BI71" s="31">
        <f t="shared" si="32"/>
        <v>481.5</v>
      </c>
      <c r="BJ71" s="37">
        <f t="shared" si="33"/>
        <v>18.5</v>
      </c>
      <c r="BK71" s="37">
        <f t="shared" si="34"/>
        <v>3.8421599169262723</v>
      </c>
      <c r="BL71" s="36">
        <f t="shared" si="35"/>
        <v>267</v>
      </c>
      <c r="BM71" s="36">
        <f t="shared" si="36"/>
        <v>238.5</v>
      </c>
      <c r="BN71" s="37">
        <f t="shared" si="37"/>
        <v>28.5</v>
      </c>
      <c r="BO71" s="37">
        <f t="shared" si="38"/>
        <v>11.949685534591195</v>
      </c>
      <c r="BP71" s="38">
        <f t="shared" si="39"/>
        <v>6271</v>
      </c>
      <c r="BQ71" s="39">
        <f>J71+N71+S71+W71+AA71+AE71+AI71+AM71+AQ71+AU71+Table1[[#This Row],[MS-0225]]+Table1[[#This Row],[MS-0325]]</f>
        <v>6027.5</v>
      </c>
      <c r="BR71" s="37">
        <f t="shared" si="40"/>
        <v>243.5</v>
      </c>
      <c r="BS71" s="37">
        <f t="shared" si="41"/>
        <v>4.0398175031107426</v>
      </c>
      <c r="BT71" s="36">
        <f t="shared" si="42"/>
        <v>3196</v>
      </c>
      <c r="BU71" s="36">
        <f t="shared" si="43"/>
        <v>2806.5</v>
      </c>
      <c r="BV71" s="37">
        <f t="shared" si="44"/>
        <v>389.5</v>
      </c>
      <c r="BW71" s="37">
        <f t="shared" si="45"/>
        <v>13.878496347764118</v>
      </c>
      <c r="BX71">
        <v>0</v>
      </c>
      <c r="BY71" s="83">
        <f t="shared" si="46"/>
        <v>0</v>
      </c>
      <c r="BZ71">
        <v>0</v>
      </c>
      <c r="CA71" s="83">
        <f t="shared" si="47"/>
        <v>0</v>
      </c>
      <c r="CB71" s="96">
        <f t="shared" si="48"/>
        <v>0.37453183520599254</v>
      </c>
      <c r="CC71" s="96">
        <f t="shared" si="49"/>
        <v>0.38940558026688232</v>
      </c>
      <c r="CD71" s="97">
        <f t="shared" si="50"/>
        <v>-1.4873745060889787E-2</v>
      </c>
      <c r="CE71" s="96">
        <f t="shared" si="51"/>
        <v>0.64805825242718451</v>
      </c>
      <c r="CF71" s="96">
        <f t="shared" si="52"/>
        <v>0.62190352020860495</v>
      </c>
      <c r="CG71" s="96">
        <f t="shared" si="53"/>
        <v>2.6154732218579557E-2</v>
      </c>
      <c r="CH71" s="95">
        <f t="shared" si="54"/>
        <v>0.39343748039400211</v>
      </c>
      <c r="CI71" s="95">
        <f t="shared" si="55"/>
        <v>0.39144694116118978</v>
      </c>
      <c r="CJ71" s="98">
        <f t="shared" si="56"/>
        <v>1.9905392328123384E-3</v>
      </c>
      <c r="CK71" s="95">
        <f t="shared" si="57"/>
        <v>0.65224489795918372</v>
      </c>
      <c r="CL71" s="95">
        <f t="shared" si="58"/>
        <v>0.59233853946812998</v>
      </c>
      <c r="CM71" s="98">
        <f t="shared" si="59"/>
        <v>5.9906358491053746E-2</v>
      </c>
      <c r="CN71" s="94">
        <f t="shared" si="60"/>
        <v>1.1803124411820063</v>
      </c>
      <c r="CO71" s="94">
        <f t="shared" si="61"/>
        <v>1.9567346938775512</v>
      </c>
    </row>
    <row r="72" spans="1:94" ht="36.5" x14ac:dyDescent="0.35">
      <c r="A72" s="104">
        <v>106243</v>
      </c>
      <c r="B72" s="5" t="s">
        <v>581</v>
      </c>
      <c r="C72" s="46" t="s">
        <v>707</v>
      </c>
      <c r="D72" s="13" t="s">
        <v>708</v>
      </c>
      <c r="E72" s="6" t="s">
        <v>94</v>
      </c>
      <c r="F72" s="6" t="s">
        <v>129</v>
      </c>
      <c r="G72" s="12" t="s">
        <v>129</v>
      </c>
      <c r="H72" s="51" t="s">
        <v>126</v>
      </c>
      <c r="I72" s="24" t="s">
        <v>83</v>
      </c>
      <c r="J72" s="100">
        <v>473</v>
      </c>
      <c r="K72" s="100">
        <v>505</v>
      </c>
      <c r="L72" s="100">
        <v>105</v>
      </c>
      <c r="M72" s="100">
        <v>95</v>
      </c>
      <c r="N72" s="18">
        <v>512.5</v>
      </c>
      <c r="O72" s="18">
        <v>535</v>
      </c>
      <c r="P72" s="18">
        <v>117.5</v>
      </c>
      <c r="Q72" s="18">
        <v>105</v>
      </c>
      <c r="R72" s="100">
        <v>488</v>
      </c>
      <c r="S72" s="100">
        <v>536</v>
      </c>
      <c r="T72" s="100">
        <v>90</v>
      </c>
      <c r="U72" s="100">
        <v>132</v>
      </c>
      <c r="V72" s="100">
        <v>570</v>
      </c>
      <c r="W72" s="100">
        <v>542.5</v>
      </c>
      <c r="X72" s="100">
        <v>94</v>
      </c>
      <c r="Y72" s="100">
        <v>127.5</v>
      </c>
      <c r="Z72" s="100">
        <v>558</v>
      </c>
      <c r="AA72" s="100">
        <v>535</v>
      </c>
      <c r="AB72" s="100">
        <v>98</v>
      </c>
      <c r="AC72" s="100">
        <v>125</v>
      </c>
      <c r="AD72" s="100">
        <v>508</v>
      </c>
      <c r="AE72" s="100">
        <v>488.5</v>
      </c>
      <c r="AF72" s="100">
        <v>88</v>
      </c>
      <c r="AG72" s="100">
        <v>109.5</v>
      </c>
      <c r="AH72" s="100">
        <v>535</v>
      </c>
      <c r="AI72" s="100">
        <v>486.5</v>
      </c>
      <c r="AJ72" s="100">
        <v>89</v>
      </c>
      <c r="AK72" s="100">
        <v>109.5</v>
      </c>
      <c r="AL72" s="100">
        <v>452</v>
      </c>
      <c r="AM72" s="100">
        <v>493.5</v>
      </c>
      <c r="AN72" s="100">
        <v>40</v>
      </c>
      <c r="AO72" s="100">
        <v>84.5</v>
      </c>
      <c r="AP72" s="100">
        <v>466</v>
      </c>
      <c r="AQ72" s="100">
        <v>463</v>
      </c>
      <c r="AR72" s="100">
        <v>64</v>
      </c>
      <c r="AS72" s="100">
        <v>75</v>
      </c>
      <c r="AT72" s="100">
        <v>445</v>
      </c>
      <c r="AU72" s="100">
        <v>465</v>
      </c>
      <c r="AV72" s="100">
        <v>65</v>
      </c>
      <c r="AW72" s="100">
        <v>75</v>
      </c>
      <c r="AX72" s="100">
        <v>430</v>
      </c>
      <c r="AY72" s="100">
        <v>405</v>
      </c>
      <c r="AZ72" s="100">
        <v>70</v>
      </c>
      <c r="BA72" s="100">
        <v>95</v>
      </c>
      <c r="BB72" s="100">
        <v>498</v>
      </c>
      <c r="BC72" s="100">
        <v>490</v>
      </c>
      <c r="BD72" s="100">
        <v>70</v>
      </c>
      <c r="BE72" s="100">
        <v>90</v>
      </c>
      <c r="BF72" s="23">
        <v>28.555299999999999</v>
      </c>
      <c r="BG72" s="23">
        <v>77.228499999999997</v>
      </c>
      <c r="BH72" s="31">
        <f t="shared" ref="BH72:BH135" si="62">BB72</f>
        <v>498</v>
      </c>
      <c r="BI72" s="31">
        <f t="shared" ref="BI72:BI135" si="63">BC72</f>
        <v>490</v>
      </c>
      <c r="BJ72" s="37">
        <f t="shared" ref="BJ72:BJ135" si="64">(BH72-BI72)</f>
        <v>8</v>
      </c>
      <c r="BK72" s="37">
        <f t="shared" ref="BK72:BK135" si="65">(BJ72)/BI72*100</f>
        <v>1.6326530612244898</v>
      </c>
      <c r="BL72" s="36">
        <f t="shared" ref="BL72:BL135" si="66">BD72</f>
        <v>70</v>
      </c>
      <c r="BM72" s="36">
        <f t="shared" ref="BM72:BM135" si="67">BE72</f>
        <v>90</v>
      </c>
      <c r="BN72" s="37">
        <f t="shared" ref="BN72:BN135" si="68">(BL72-BM72)</f>
        <v>-20</v>
      </c>
      <c r="BO72" s="37">
        <f t="shared" ref="BO72:BO135" si="69">(BN72)/BM72*100</f>
        <v>-22.222222222222221</v>
      </c>
      <c r="BP72" s="38">
        <f t="shared" ref="BP72:BP135" si="70">K72+O72+R72+V72+Z72+AD72+AH72+AL72+AP72+AT72+AX72+BB72</f>
        <v>5990</v>
      </c>
      <c r="BQ72" s="39">
        <f>J72+N72+S72+W72+AA72+AE72+AI72+AM72+AQ72+AU72+Table1[[#This Row],[MS-0225]]+Table1[[#This Row],[MS-0325]]</f>
        <v>5890.5</v>
      </c>
      <c r="BR72" s="37">
        <f t="shared" ref="BR72:BR135" si="71">(BP72-BQ72)</f>
        <v>99.5</v>
      </c>
      <c r="BS72" s="37">
        <f t="shared" ref="BS72:BS135" si="72">(BR72)/BQ72*100</f>
        <v>1.6891605126899245</v>
      </c>
      <c r="BT72" s="36">
        <f t="shared" ref="BT72:BT135" si="73">M72+Q72+T72+X72+AB72+AF72+AJ72+AN72+AR72+AV72+AZ72+BD72</f>
        <v>968</v>
      </c>
      <c r="BU72" s="36">
        <f t="shared" ref="BU72:BU135" si="74">L72+P72+U72+Y72+AC72+AG72+AK72+AO72+AS72+AW72+BA72+BE72</f>
        <v>1245.5</v>
      </c>
      <c r="BV72" s="37">
        <f t="shared" ref="BV72:BV135" si="75">(BT72-BU72)</f>
        <v>-277.5</v>
      </c>
      <c r="BW72" s="37">
        <f t="shared" ref="BW72:BW135" si="76">(BV72)/BU72*100</f>
        <v>-22.28020875150542</v>
      </c>
      <c r="BX72">
        <v>0</v>
      </c>
      <c r="BY72" s="83">
        <f t="shared" ref="BY72:BY135" si="77">BX72/BH72</f>
        <v>0</v>
      </c>
      <c r="BZ72">
        <v>0</v>
      </c>
      <c r="CA72" s="83">
        <f t="shared" ref="CA72:CA135" si="78">BZ72/BP72</f>
        <v>0</v>
      </c>
      <c r="CB72" s="96">
        <f t="shared" ref="CB72:CB135" si="79">BH72/SUMIFS(BH$2:BH$398,G$2:G$398,G72)</f>
        <v>0.14264861235554688</v>
      </c>
      <c r="CC72" s="96">
        <f t="shared" ref="CC72:CC135" si="80">BI72/SUMIFS(BI$2:BI$398,G$2:G$398,G72)</f>
        <v>0.1431237787014292</v>
      </c>
      <c r="CD72" s="97">
        <f t="shared" ref="CD72:CD135" si="81">CB72-CC72</f>
        <v>-4.7516634588232187E-4</v>
      </c>
      <c r="CE72" s="96">
        <f t="shared" ref="CE72:CE135" si="82">BL72/SUMIFS(BL$2:BL$398,G$2:G$398,G72)</f>
        <v>8.3071164693330923E-2</v>
      </c>
      <c r="CF72" s="96">
        <f t="shared" ref="CF72:CF135" si="83">BM72/SUMIFS(BM$2:BM$398,G$2:G$398,G72)</f>
        <v>0.10656865507989098</v>
      </c>
      <c r="CG72" s="96">
        <f t="shared" ref="CG72:CG135" si="84">CE72-CF72</f>
        <v>-2.3497490386560058E-2</v>
      </c>
      <c r="CH72" s="95">
        <f t="shared" ref="CH72:CH135" si="85">BP72/SUMIFS(BP$2:BP$398,G$2:G$398,G72)</f>
        <v>0.14144061826976426</v>
      </c>
      <c r="CI72" s="95">
        <f t="shared" ref="CI72:CI135" si="86">BQ72/SUMIFS(BQ$2:BQ$398,G$2:G$398,G72)</f>
        <v>0.14383422545782185</v>
      </c>
      <c r="CJ72" s="98">
        <f t="shared" ref="CJ72:CJ135" si="87">CH72-CI72</f>
        <v>-2.3936071880575893E-3</v>
      </c>
      <c r="CK72" s="95">
        <f t="shared" ref="CK72:CK135" si="88">BT72/SUMIFS(BT$2:BT$398,G$2:G$398,G72)</f>
        <v>0.10101231452813789</v>
      </c>
      <c r="CL72" s="95">
        <f t="shared" ref="CL72:CL135" si="89">BU72/SUMIFS(BU$2:BU$398,G$2:G$398,G72)</f>
        <v>0.11526128868876334</v>
      </c>
      <c r="CM72" s="98">
        <f t="shared" ref="CM72:CM135" si="90">CK72-CL72</f>
        <v>-1.4248974160625455E-2</v>
      </c>
      <c r="CN72" s="94">
        <f t="shared" ref="CN72:CN135" si="91">COUNTIFS(G$2:G$398,G72)*CH72</f>
        <v>0.99008432788834977</v>
      </c>
      <c r="CO72" s="94">
        <f t="shared" ref="CO72:CO135" si="92">COUNTIFS(G$2:G$398,G72)*CK72</f>
        <v>0.70708620169696523</v>
      </c>
    </row>
    <row r="73" spans="1:94" ht="24.5" x14ac:dyDescent="0.35">
      <c r="A73" s="104">
        <v>186855</v>
      </c>
      <c r="B73" s="5" t="s">
        <v>581</v>
      </c>
      <c r="C73" s="46" t="s">
        <v>878</v>
      </c>
      <c r="D73" s="13" t="s">
        <v>879</v>
      </c>
      <c r="E73" s="6" t="s">
        <v>75</v>
      </c>
      <c r="F73" s="6" t="s">
        <v>220</v>
      </c>
      <c r="G73" s="12" t="s">
        <v>220</v>
      </c>
      <c r="H73" s="51" t="s">
        <v>77</v>
      </c>
      <c r="I73" s="24" t="s">
        <v>78</v>
      </c>
      <c r="J73" s="100">
        <v>441</v>
      </c>
      <c r="K73" s="100">
        <v>475</v>
      </c>
      <c r="L73" s="100">
        <v>207</v>
      </c>
      <c r="M73" s="100">
        <v>185</v>
      </c>
      <c r="N73" s="18">
        <v>477</v>
      </c>
      <c r="O73" s="18">
        <v>485</v>
      </c>
      <c r="P73" s="18">
        <v>225</v>
      </c>
      <c r="Q73" s="18">
        <v>195</v>
      </c>
      <c r="R73" s="100">
        <v>470</v>
      </c>
      <c r="S73" s="100">
        <v>472.5</v>
      </c>
      <c r="T73" s="100">
        <v>150</v>
      </c>
      <c r="U73" s="100">
        <v>229.5</v>
      </c>
      <c r="V73" s="100">
        <v>505</v>
      </c>
      <c r="W73" s="100">
        <v>486</v>
      </c>
      <c r="X73" s="100">
        <v>195</v>
      </c>
      <c r="Y73" s="100">
        <v>216</v>
      </c>
      <c r="Z73" s="100">
        <v>490</v>
      </c>
      <c r="AA73" s="100">
        <v>490.5</v>
      </c>
      <c r="AB73" s="100">
        <v>170</v>
      </c>
      <c r="AC73" s="100">
        <v>247.5</v>
      </c>
      <c r="AD73" s="100">
        <v>475</v>
      </c>
      <c r="AE73" s="100">
        <v>453</v>
      </c>
      <c r="AF73" s="100">
        <v>145</v>
      </c>
      <c r="AG73" s="100">
        <v>207</v>
      </c>
      <c r="AH73" s="100">
        <v>480</v>
      </c>
      <c r="AI73" s="100">
        <v>495</v>
      </c>
      <c r="AJ73" s="100">
        <v>140</v>
      </c>
      <c r="AK73" s="100">
        <v>225</v>
      </c>
      <c r="AL73" s="100">
        <v>450</v>
      </c>
      <c r="AM73" s="100">
        <v>440</v>
      </c>
      <c r="AN73" s="100">
        <v>110</v>
      </c>
      <c r="AO73" s="100">
        <v>200</v>
      </c>
      <c r="AP73" s="100">
        <v>455</v>
      </c>
      <c r="AQ73" s="100">
        <v>445</v>
      </c>
      <c r="AR73" s="100">
        <v>105</v>
      </c>
      <c r="AS73" s="100">
        <v>175</v>
      </c>
      <c r="AT73" s="100">
        <v>430</v>
      </c>
      <c r="AU73" s="100">
        <v>415</v>
      </c>
      <c r="AV73" s="100">
        <v>110</v>
      </c>
      <c r="AW73" s="100">
        <v>185</v>
      </c>
      <c r="AX73" s="100">
        <v>435</v>
      </c>
      <c r="AY73" s="100">
        <v>410</v>
      </c>
      <c r="AZ73" s="100">
        <v>85</v>
      </c>
      <c r="BA73" s="100">
        <v>190</v>
      </c>
      <c r="BB73" s="100">
        <v>495</v>
      </c>
      <c r="BC73" s="100">
        <v>445</v>
      </c>
      <c r="BD73" s="100">
        <v>105</v>
      </c>
      <c r="BE73" s="100">
        <v>175</v>
      </c>
      <c r="BF73" s="23">
        <v>28.6036</v>
      </c>
      <c r="BG73" s="23">
        <v>77.335599999999999</v>
      </c>
      <c r="BH73" s="31">
        <f t="shared" si="62"/>
        <v>495</v>
      </c>
      <c r="BI73" s="31">
        <f t="shared" si="63"/>
        <v>445</v>
      </c>
      <c r="BJ73" s="37">
        <f t="shared" si="64"/>
        <v>50</v>
      </c>
      <c r="BK73" s="37">
        <f t="shared" si="65"/>
        <v>11.235955056179774</v>
      </c>
      <c r="BL73" s="36">
        <f t="shared" si="66"/>
        <v>105</v>
      </c>
      <c r="BM73" s="36">
        <f t="shared" si="67"/>
        <v>175</v>
      </c>
      <c r="BN73" s="37">
        <f t="shared" si="68"/>
        <v>-70</v>
      </c>
      <c r="BO73" s="37">
        <f t="shared" si="69"/>
        <v>-40</v>
      </c>
      <c r="BP73" s="38">
        <f t="shared" si="70"/>
        <v>5645</v>
      </c>
      <c r="BQ73" s="39">
        <f>J73+N73+S73+W73+AA73+AE73+AI73+AM73+AQ73+AU73+Table1[[#This Row],[MS-0225]]+Table1[[#This Row],[MS-0325]]</f>
        <v>5470</v>
      </c>
      <c r="BR73" s="37">
        <f t="shared" si="71"/>
        <v>175</v>
      </c>
      <c r="BS73" s="37">
        <f t="shared" si="72"/>
        <v>3.1992687385740401</v>
      </c>
      <c r="BT73" s="36">
        <f t="shared" si="73"/>
        <v>1695</v>
      </c>
      <c r="BU73" s="36">
        <f t="shared" si="74"/>
        <v>2482</v>
      </c>
      <c r="BV73" s="37">
        <f t="shared" si="75"/>
        <v>-787</v>
      </c>
      <c r="BW73" s="37">
        <f t="shared" si="76"/>
        <v>-31.708299758259468</v>
      </c>
      <c r="BX73">
        <v>0</v>
      </c>
      <c r="BY73" s="83">
        <f t="shared" si="77"/>
        <v>0</v>
      </c>
      <c r="BZ73">
        <v>0</v>
      </c>
      <c r="CA73" s="83">
        <f t="shared" si="78"/>
        <v>0</v>
      </c>
      <c r="CB73" s="96">
        <f t="shared" si="79"/>
        <v>0.24614619592242665</v>
      </c>
      <c r="CC73" s="96">
        <f t="shared" si="80"/>
        <v>0.24303659202621519</v>
      </c>
      <c r="CD73" s="97">
        <f t="shared" si="81"/>
        <v>3.1096038962114547E-3</v>
      </c>
      <c r="CE73" s="96">
        <f t="shared" si="82"/>
        <v>0.1600609756097561</v>
      </c>
      <c r="CF73" s="96">
        <f t="shared" si="83"/>
        <v>0.25</v>
      </c>
      <c r="CG73" s="96">
        <f t="shared" si="84"/>
        <v>-8.9939024390243899E-2</v>
      </c>
      <c r="CH73" s="95">
        <f t="shared" si="85"/>
        <v>0.24329799155245238</v>
      </c>
      <c r="CI73" s="95">
        <f t="shared" si="86"/>
        <v>0.24882864010922462</v>
      </c>
      <c r="CJ73" s="98">
        <f t="shared" si="87"/>
        <v>-5.5306485567722385E-3</v>
      </c>
      <c r="CK73" s="95">
        <f t="shared" si="88"/>
        <v>0.21344918775972799</v>
      </c>
      <c r="CL73" s="95">
        <f t="shared" si="89"/>
        <v>0.29418039587531114</v>
      </c>
      <c r="CM73" s="98">
        <f t="shared" si="90"/>
        <v>-8.0731208115583153E-2</v>
      </c>
      <c r="CN73" s="94">
        <f t="shared" si="91"/>
        <v>1.4597879493147143</v>
      </c>
      <c r="CO73" s="94">
        <f t="shared" si="92"/>
        <v>1.2806951265583679</v>
      </c>
    </row>
    <row r="74" spans="1:94" ht="36.5" x14ac:dyDescent="0.35">
      <c r="A74" s="104">
        <v>368600</v>
      </c>
      <c r="B74" s="5" t="s">
        <v>581</v>
      </c>
      <c r="C74" s="46" t="s">
        <v>775</v>
      </c>
      <c r="D74" s="13" t="s">
        <v>776</v>
      </c>
      <c r="E74" s="6" t="s">
        <v>94</v>
      </c>
      <c r="F74" s="6" t="s">
        <v>129</v>
      </c>
      <c r="G74" s="12" t="s">
        <v>129</v>
      </c>
      <c r="H74" s="51" t="s">
        <v>126</v>
      </c>
      <c r="I74" s="24" t="s">
        <v>83</v>
      </c>
      <c r="J74" s="100">
        <v>485.94499999999999</v>
      </c>
      <c r="K74" s="100">
        <v>501.94099999999986</v>
      </c>
      <c r="L74" s="100">
        <v>113.20099999999989</v>
      </c>
      <c r="M74" s="100">
        <v>89.823999999999899</v>
      </c>
      <c r="N74" s="18">
        <v>467.01300000000003</v>
      </c>
      <c r="O74" s="18">
        <v>527.95299999999997</v>
      </c>
      <c r="P74" s="18">
        <v>107.17699999999991</v>
      </c>
      <c r="Q74" s="18">
        <v>89.868000000000009</v>
      </c>
      <c r="R74" s="100">
        <v>464.5</v>
      </c>
      <c r="S74" s="100">
        <v>353.96500000000003</v>
      </c>
      <c r="T74" s="100">
        <v>92</v>
      </c>
      <c r="U74" s="100">
        <v>77.028999999999897</v>
      </c>
      <c r="V74" s="100">
        <v>518.26699999999994</v>
      </c>
      <c r="W74" s="100">
        <v>450.28399999999999</v>
      </c>
      <c r="X74" s="100">
        <v>87.85799999999999</v>
      </c>
      <c r="Y74" s="100">
        <v>110</v>
      </c>
      <c r="Z74" s="100">
        <v>505.50399999999996</v>
      </c>
      <c r="AA74" s="100">
        <v>527.30099999999993</v>
      </c>
      <c r="AB74" s="100">
        <v>79.9909999999999</v>
      </c>
      <c r="AC74" s="100">
        <v>111.57</v>
      </c>
      <c r="AD74" s="100">
        <v>536.66100000000006</v>
      </c>
      <c r="AE74" s="100">
        <v>454.15199999999999</v>
      </c>
      <c r="AF74" s="100">
        <v>92.775999999999996</v>
      </c>
      <c r="AG74" s="100">
        <v>93.757999999999996</v>
      </c>
      <c r="AH74" s="100">
        <v>525.62400000000002</v>
      </c>
      <c r="AI74" s="100">
        <v>523</v>
      </c>
      <c r="AJ74" s="100">
        <v>85.507999999999996</v>
      </c>
      <c r="AK74" s="100">
        <v>107</v>
      </c>
      <c r="AL74" s="100">
        <v>472.29199999999997</v>
      </c>
      <c r="AM74" s="100">
        <v>466.50400000000002</v>
      </c>
      <c r="AN74" s="100">
        <v>65.838999999999999</v>
      </c>
      <c r="AO74" s="100">
        <v>78.081999999999994</v>
      </c>
      <c r="AP74" s="100">
        <v>473.53499999999991</v>
      </c>
      <c r="AQ74" s="100">
        <v>437.47199999999992</v>
      </c>
      <c r="AR74" s="100">
        <v>69.325999999999894</v>
      </c>
      <c r="AS74" s="100">
        <v>75.460999999999999</v>
      </c>
      <c r="AT74" s="100">
        <v>485.82900000000001</v>
      </c>
      <c r="AU74" s="100">
        <v>446.07799999999986</v>
      </c>
      <c r="AV74" s="100">
        <v>73.694999999999993</v>
      </c>
      <c r="AW74" s="100">
        <v>79.051999999999893</v>
      </c>
      <c r="AX74" s="100">
        <v>467.33100000000002</v>
      </c>
      <c r="AY74" s="100">
        <v>421.66499999999991</v>
      </c>
      <c r="AZ74" s="100">
        <v>72.539000000000001</v>
      </c>
      <c r="BA74" s="100">
        <v>80.133999999999986</v>
      </c>
      <c r="BB74" s="100">
        <v>489.31599999999901</v>
      </c>
      <c r="BC74" s="100">
        <v>466.017</v>
      </c>
      <c r="BD74" s="100">
        <v>71.302000000000007</v>
      </c>
      <c r="BE74" s="100">
        <v>82.877999999999901</v>
      </c>
      <c r="BF74" s="23" t="s">
        <v>777</v>
      </c>
      <c r="BG74" s="23">
        <v>77.228387999999995</v>
      </c>
      <c r="BH74" s="31">
        <f t="shared" si="62"/>
        <v>489.31599999999901</v>
      </c>
      <c r="BI74" s="31">
        <f t="shared" si="63"/>
        <v>466.017</v>
      </c>
      <c r="BJ74" s="37">
        <f t="shared" si="64"/>
        <v>23.298999999999012</v>
      </c>
      <c r="BK74" s="37">
        <f t="shared" si="65"/>
        <v>4.9996030187737812</v>
      </c>
      <c r="BL74" s="36">
        <f t="shared" si="66"/>
        <v>71.302000000000007</v>
      </c>
      <c r="BM74" s="36">
        <f t="shared" si="67"/>
        <v>82.877999999999901</v>
      </c>
      <c r="BN74" s="37">
        <f t="shared" si="68"/>
        <v>-11.575999999999894</v>
      </c>
      <c r="BO74" s="37">
        <f t="shared" si="69"/>
        <v>-13.967518521199725</v>
      </c>
      <c r="BP74" s="38">
        <f t="shared" si="70"/>
        <v>5968.7529999999988</v>
      </c>
      <c r="BQ74" s="39">
        <f>J74+N74+S74+W74+AA74+AE74+AI74+AM74+AQ74+AU74+Table1[[#This Row],[MS-0225]]+Table1[[#This Row],[MS-0325]]</f>
        <v>5499.3959999999997</v>
      </c>
      <c r="BR74" s="37">
        <f t="shared" si="71"/>
        <v>469.35699999999906</v>
      </c>
      <c r="BS74" s="37">
        <f t="shared" si="72"/>
        <v>8.5347009016990061</v>
      </c>
      <c r="BT74" s="36">
        <f t="shared" si="73"/>
        <v>970.52599999999973</v>
      </c>
      <c r="BU74" s="36">
        <f t="shared" si="74"/>
        <v>1115.3419999999994</v>
      </c>
      <c r="BV74" s="37">
        <f t="shared" si="75"/>
        <v>-144.81599999999969</v>
      </c>
      <c r="BW74" s="37">
        <f t="shared" si="76"/>
        <v>-12.983999526602583</v>
      </c>
      <c r="BX74">
        <v>0</v>
      </c>
      <c r="BY74" s="83">
        <f t="shared" si="77"/>
        <v>0</v>
      </c>
      <c r="BZ74">
        <v>0</v>
      </c>
      <c r="CA74" s="83">
        <f t="shared" si="78"/>
        <v>0</v>
      </c>
      <c r="CB74" s="96">
        <f t="shared" si="79"/>
        <v>0.14016114137222216</v>
      </c>
      <c r="CC74" s="96">
        <f t="shared" si="80"/>
        <v>0.13611859995735498</v>
      </c>
      <c r="CD74" s="97">
        <f t="shared" si="81"/>
        <v>4.042541414867179E-3</v>
      </c>
      <c r="CE74" s="96">
        <f t="shared" si="82"/>
        <v>8.4616288356626879E-2</v>
      </c>
      <c r="CF74" s="96">
        <f t="shared" si="83"/>
        <v>9.8135522174568821E-2</v>
      </c>
      <c r="CG74" s="96">
        <f t="shared" si="84"/>
        <v>-1.3519233817941942E-2</v>
      </c>
      <c r="CH74" s="95">
        <f t="shared" si="85"/>
        <v>0.14093891729874961</v>
      </c>
      <c r="CI74" s="95">
        <f t="shared" si="86"/>
        <v>0.13428424822100732</v>
      </c>
      <c r="CJ74" s="98">
        <f t="shared" si="87"/>
        <v>6.6546690777422868E-3</v>
      </c>
      <c r="CK74" s="95">
        <f t="shared" si="88"/>
        <v>0.10127590658030529</v>
      </c>
      <c r="CL74" s="95">
        <f t="shared" si="89"/>
        <v>0.10321618325869339</v>
      </c>
      <c r="CM74" s="98">
        <f t="shared" si="90"/>
        <v>-1.9402766783881004E-3</v>
      </c>
      <c r="CN74" s="94">
        <f t="shared" si="91"/>
        <v>0.98657242109124721</v>
      </c>
      <c r="CO74" s="94">
        <f t="shared" si="92"/>
        <v>0.70893134606213704</v>
      </c>
    </row>
    <row r="75" spans="1:94" ht="36.5" x14ac:dyDescent="0.35">
      <c r="A75" s="102">
        <v>112429</v>
      </c>
      <c r="B75" s="3" t="s">
        <v>72</v>
      </c>
      <c r="C75" s="40" t="s">
        <v>136</v>
      </c>
      <c r="D75" s="12" t="s">
        <v>137</v>
      </c>
      <c r="E75" s="4" t="s">
        <v>94</v>
      </c>
      <c r="F75" s="4" t="s">
        <v>129</v>
      </c>
      <c r="G75" s="12" t="s">
        <v>129</v>
      </c>
      <c r="H75" s="51" t="s">
        <v>126</v>
      </c>
      <c r="I75" s="23" t="s">
        <v>83</v>
      </c>
      <c r="J75" s="18">
        <v>441.00000299999999</v>
      </c>
      <c r="K75" s="18">
        <v>504</v>
      </c>
      <c r="L75" s="18">
        <v>135</v>
      </c>
      <c r="M75" s="18">
        <v>126</v>
      </c>
      <c r="N75" s="18">
        <v>526.50000599999998</v>
      </c>
      <c r="O75" s="18">
        <v>508.5</v>
      </c>
      <c r="P75" s="18">
        <v>157.5</v>
      </c>
      <c r="Q75" s="18">
        <v>139.5</v>
      </c>
      <c r="R75" s="18">
        <v>468</v>
      </c>
      <c r="S75" s="18">
        <v>486.00000499999999</v>
      </c>
      <c r="T75" s="18">
        <v>108</v>
      </c>
      <c r="U75" s="18">
        <v>144</v>
      </c>
      <c r="V75" s="18">
        <v>526.5</v>
      </c>
      <c r="W75" s="18">
        <v>522.000001</v>
      </c>
      <c r="X75" s="18">
        <v>139.5</v>
      </c>
      <c r="Y75" s="18">
        <v>144</v>
      </c>
      <c r="Z75" s="18">
        <v>526.5</v>
      </c>
      <c r="AA75" s="18">
        <v>517.5</v>
      </c>
      <c r="AB75" s="18">
        <v>121.5</v>
      </c>
      <c r="AC75" s="18">
        <v>148.5</v>
      </c>
      <c r="AD75" s="18">
        <v>558</v>
      </c>
      <c r="AE75" s="18">
        <v>508.5</v>
      </c>
      <c r="AF75" s="18">
        <v>126</v>
      </c>
      <c r="AG75" s="18">
        <v>139.5</v>
      </c>
      <c r="AH75" s="18">
        <v>535.5</v>
      </c>
      <c r="AI75" s="18">
        <v>504</v>
      </c>
      <c r="AJ75" s="18">
        <v>130.5</v>
      </c>
      <c r="AK75" s="18">
        <v>144</v>
      </c>
      <c r="AL75" s="18">
        <v>459</v>
      </c>
      <c r="AM75" s="18">
        <v>450.00000399999999</v>
      </c>
      <c r="AN75" s="18">
        <v>99</v>
      </c>
      <c r="AO75" s="18">
        <v>108</v>
      </c>
      <c r="AP75" s="18">
        <v>489</v>
      </c>
      <c r="AQ75" s="18">
        <v>463.5</v>
      </c>
      <c r="AR75" s="18">
        <v>117</v>
      </c>
      <c r="AS75" s="18">
        <v>94.5</v>
      </c>
      <c r="AT75" s="18">
        <v>477</v>
      </c>
      <c r="AU75" s="18">
        <v>450</v>
      </c>
      <c r="AV75" s="18">
        <v>99</v>
      </c>
      <c r="AW75" s="18">
        <v>108</v>
      </c>
      <c r="AX75" s="18">
        <v>450</v>
      </c>
      <c r="AY75" s="18">
        <v>400.5</v>
      </c>
      <c r="AZ75" s="18">
        <v>108</v>
      </c>
      <c r="BA75" s="18">
        <v>103.5</v>
      </c>
      <c r="BB75" s="18">
        <v>486</v>
      </c>
      <c r="BC75" s="18">
        <v>468</v>
      </c>
      <c r="BD75" s="18">
        <v>108</v>
      </c>
      <c r="BE75" s="18">
        <v>126</v>
      </c>
      <c r="BF75" s="23">
        <v>28.559180000000001</v>
      </c>
      <c r="BG75" s="23">
        <v>77.232020000000006</v>
      </c>
      <c r="BH75" s="31">
        <f t="shared" si="62"/>
        <v>486</v>
      </c>
      <c r="BI75" s="31">
        <f t="shared" si="63"/>
        <v>468</v>
      </c>
      <c r="BJ75" s="37">
        <f t="shared" si="64"/>
        <v>18</v>
      </c>
      <c r="BK75" s="37">
        <f t="shared" si="65"/>
        <v>3.8461538461538463</v>
      </c>
      <c r="BL75" s="36">
        <f t="shared" si="66"/>
        <v>108</v>
      </c>
      <c r="BM75" s="36">
        <f t="shared" si="67"/>
        <v>126</v>
      </c>
      <c r="BN75" s="37">
        <f t="shared" si="68"/>
        <v>-18</v>
      </c>
      <c r="BO75" s="37">
        <f t="shared" si="69"/>
        <v>-14.285714285714285</v>
      </c>
      <c r="BP75" s="38">
        <f t="shared" si="70"/>
        <v>5988</v>
      </c>
      <c r="BQ75" s="39">
        <f>J75+N75+S75+W75+AA75+AE75+AI75+AM75+AQ75+AU75+Table1[[#This Row],[MS-0225]]+Table1[[#This Row],[MS-0325]]</f>
        <v>5737.5000190000001</v>
      </c>
      <c r="BR75" s="37">
        <f t="shared" si="71"/>
        <v>250.49998099999993</v>
      </c>
      <c r="BS75" s="37">
        <f t="shared" si="72"/>
        <v>4.3660127262824835</v>
      </c>
      <c r="BT75" s="36">
        <f t="shared" si="73"/>
        <v>1422</v>
      </c>
      <c r="BU75" s="36">
        <f t="shared" si="74"/>
        <v>1552.5</v>
      </c>
      <c r="BV75" s="37">
        <f t="shared" si="75"/>
        <v>-130.5</v>
      </c>
      <c r="BW75" s="37">
        <f t="shared" si="76"/>
        <v>-8.4057971014492754</v>
      </c>
      <c r="BX75">
        <v>54</v>
      </c>
      <c r="BY75" s="83">
        <f t="shared" si="77"/>
        <v>0.1111111111111111</v>
      </c>
      <c r="BZ75">
        <v>256.5</v>
      </c>
      <c r="CA75" s="83">
        <f t="shared" si="78"/>
        <v>4.2835671342685372E-2</v>
      </c>
      <c r="CB75" s="96">
        <f t="shared" si="79"/>
        <v>0.13921129639517227</v>
      </c>
      <c r="CC75" s="96">
        <f t="shared" si="80"/>
        <v>0.13669781312707932</v>
      </c>
      <c r="CD75" s="97">
        <f t="shared" si="81"/>
        <v>2.5134832680929475E-3</v>
      </c>
      <c r="CE75" s="96">
        <f t="shared" si="82"/>
        <v>0.12816693981256772</v>
      </c>
      <c r="CF75" s="96">
        <f t="shared" si="83"/>
        <v>0.14919611711184735</v>
      </c>
      <c r="CG75" s="96">
        <f t="shared" si="84"/>
        <v>-2.1029177299279639E-2</v>
      </c>
      <c r="CH75" s="95">
        <f t="shared" si="85"/>
        <v>0.14139339268770423</v>
      </c>
      <c r="CI75" s="95">
        <f t="shared" si="86"/>
        <v>0.14009827201376848</v>
      </c>
      <c r="CJ75" s="98">
        <f t="shared" si="87"/>
        <v>1.2951206739357513E-3</v>
      </c>
      <c r="CK75" s="95">
        <f t="shared" si="88"/>
        <v>0.14838792485435132</v>
      </c>
      <c r="CL75" s="95">
        <f t="shared" si="89"/>
        <v>0.14367173881116427</v>
      </c>
      <c r="CM75" s="98">
        <f t="shared" si="90"/>
        <v>4.7161860431870484E-3</v>
      </c>
      <c r="CN75" s="94">
        <f t="shared" si="91"/>
        <v>0.98975374881392963</v>
      </c>
      <c r="CO75" s="94">
        <f t="shared" si="92"/>
        <v>1.0387154739804592</v>
      </c>
    </row>
    <row r="76" spans="1:94" ht="36.5" x14ac:dyDescent="0.35">
      <c r="A76" s="104">
        <v>106218</v>
      </c>
      <c r="B76" s="5" t="s">
        <v>581</v>
      </c>
      <c r="C76" s="46" t="s">
        <v>664</v>
      </c>
      <c r="D76" s="13"/>
      <c r="E76" s="6" t="s">
        <v>75</v>
      </c>
      <c r="F76" s="6" t="s">
        <v>100</v>
      </c>
      <c r="G76" s="12" t="s">
        <v>100</v>
      </c>
      <c r="H76" s="51" t="s">
        <v>77</v>
      </c>
      <c r="I76" s="24" t="s">
        <v>78</v>
      </c>
      <c r="J76" s="100">
        <v>429</v>
      </c>
      <c r="K76" s="100">
        <v>461</v>
      </c>
      <c r="L76" s="100">
        <v>37</v>
      </c>
      <c r="M76" s="100">
        <v>27</v>
      </c>
      <c r="N76" s="18">
        <v>452</v>
      </c>
      <c r="O76" s="18">
        <v>470</v>
      </c>
      <c r="P76" s="18">
        <v>36</v>
      </c>
      <c r="Q76" s="18">
        <v>44</v>
      </c>
      <c r="R76" s="100">
        <v>437</v>
      </c>
      <c r="S76" s="100">
        <v>456.5</v>
      </c>
      <c r="T76" s="100">
        <v>35</v>
      </c>
      <c r="U76" s="100">
        <v>49.5</v>
      </c>
      <c r="V76" s="100">
        <v>501</v>
      </c>
      <c r="W76" s="100">
        <v>468</v>
      </c>
      <c r="X76" s="100">
        <v>35</v>
      </c>
      <c r="Y76" s="100">
        <v>36</v>
      </c>
      <c r="Z76" s="100">
        <v>517</v>
      </c>
      <c r="AA76" s="100">
        <v>468</v>
      </c>
      <c r="AB76" s="100">
        <v>33</v>
      </c>
      <c r="AC76" s="100">
        <v>54</v>
      </c>
      <c r="AD76" s="100">
        <v>476</v>
      </c>
      <c r="AE76" s="100">
        <v>414</v>
      </c>
      <c r="AF76" s="100">
        <v>34</v>
      </c>
      <c r="AG76" s="100">
        <v>36</v>
      </c>
      <c r="AH76" s="100">
        <v>500.5</v>
      </c>
      <c r="AI76" s="100">
        <v>486</v>
      </c>
      <c r="AJ76" s="100">
        <v>37.5</v>
      </c>
      <c r="AK76" s="100">
        <v>36</v>
      </c>
      <c r="AL76" s="100">
        <v>465</v>
      </c>
      <c r="AM76" s="100">
        <v>445.5</v>
      </c>
      <c r="AN76" s="100">
        <v>27</v>
      </c>
      <c r="AO76" s="100">
        <v>40.5</v>
      </c>
      <c r="AP76" s="100">
        <v>466.5</v>
      </c>
      <c r="AQ76" s="100">
        <v>438.5</v>
      </c>
      <c r="AR76" s="100">
        <v>29.5</v>
      </c>
      <c r="AS76" s="100">
        <v>31.5</v>
      </c>
      <c r="AT76" s="100">
        <v>466.5</v>
      </c>
      <c r="AU76" s="100">
        <v>427.5</v>
      </c>
      <c r="AV76" s="100">
        <v>33.5</v>
      </c>
      <c r="AW76" s="100">
        <v>40.5</v>
      </c>
      <c r="AX76" s="100">
        <v>438.5</v>
      </c>
      <c r="AY76" s="100">
        <v>378</v>
      </c>
      <c r="AZ76" s="100">
        <v>33.5</v>
      </c>
      <c r="BA76" s="100">
        <v>36</v>
      </c>
      <c r="BB76" s="100">
        <v>486</v>
      </c>
      <c r="BC76" s="100">
        <v>432</v>
      </c>
      <c r="BD76" s="100">
        <v>50</v>
      </c>
      <c r="BE76" s="100">
        <v>36</v>
      </c>
      <c r="BF76" s="23">
        <v>28.6401</v>
      </c>
      <c r="BG76" s="23">
        <v>77.285399999999996</v>
      </c>
      <c r="BH76" s="31">
        <f t="shared" si="62"/>
        <v>486</v>
      </c>
      <c r="BI76" s="31">
        <f t="shared" si="63"/>
        <v>432</v>
      </c>
      <c r="BJ76" s="37">
        <f t="shared" si="64"/>
        <v>54</v>
      </c>
      <c r="BK76" s="37">
        <f t="shared" si="65"/>
        <v>12.5</v>
      </c>
      <c r="BL76" s="36">
        <f t="shared" si="66"/>
        <v>50</v>
      </c>
      <c r="BM76" s="36">
        <f t="shared" si="67"/>
        <v>36</v>
      </c>
      <c r="BN76" s="37">
        <f t="shared" si="68"/>
        <v>14</v>
      </c>
      <c r="BO76" s="37">
        <f t="shared" si="69"/>
        <v>38.888888888888893</v>
      </c>
      <c r="BP76" s="38">
        <f t="shared" si="70"/>
        <v>5685</v>
      </c>
      <c r="BQ76" s="39">
        <f>J76+N76+S76+W76+AA76+AE76+AI76+AM76+AQ76+AU76+Table1[[#This Row],[MS-0225]]+Table1[[#This Row],[MS-0325]]</f>
        <v>5295</v>
      </c>
      <c r="BR76" s="37">
        <f t="shared" si="71"/>
        <v>390</v>
      </c>
      <c r="BS76" s="37">
        <f t="shared" si="72"/>
        <v>7.3654390934844187</v>
      </c>
      <c r="BT76" s="36">
        <f t="shared" si="73"/>
        <v>419</v>
      </c>
      <c r="BU76" s="36">
        <f t="shared" si="74"/>
        <v>469</v>
      </c>
      <c r="BV76" s="37">
        <f t="shared" si="75"/>
        <v>-50</v>
      </c>
      <c r="BW76" s="37">
        <f t="shared" si="76"/>
        <v>-10.660980810234541</v>
      </c>
      <c r="BX76">
        <v>0</v>
      </c>
      <c r="BY76" s="83">
        <f t="shared" si="77"/>
        <v>0</v>
      </c>
      <c r="BZ76">
        <v>0</v>
      </c>
      <c r="CA76" s="83">
        <f t="shared" si="78"/>
        <v>0</v>
      </c>
      <c r="CB76" s="96">
        <f t="shared" si="79"/>
        <v>0.11768979295314203</v>
      </c>
      <c r="CC76" s="96">
        <f t="shared" si="80"/>
        <v>0.11383399209486166</v>
      </c>
      <c r="CD76" s="97">
        <f t="shared" si="81"/>
        <v>3.8558008582803699E-3</v>
      </c>
      <c r="CE76" s="96">
        <f t="shared" si="82"/>
        <v>7.8431372549019607E-2</v>
      </c>
      <c r="CF76" s="96">
        <f t="shared" si="83"/>
        <v>5.3731343283582089E-2</v>
      </c>
      <c r="CG76" s="96">
        <f t="shared" si="84"/>
        <v>2.4700029265437518E-2</v>
      </c>
      <c r="CH76" s="95">
        <f t="shared" si="85"/>
        <v>0.11581527081391577</v>
      </c>
      <c r="CI76" s="95">
        <f t="shared" si="86"/>
        <v>0.11569345039044135</v>
      </c>
      <c r="CJ76" s="98">
        <f t="shared" si="87"/>
        <v>1.2182042347441691E-4</v>
      </c>
      <c r="CK76" s="95">
        <f t="shared" si="88"/>
        <v>5.3991729147467714E-2</v>
      </c>
      <c r="CL76" s="95">
        <f t="shared" si="89"/>
        <v>5.5460952651246398E-2</v>
      </c>
      <c r="CM76" s="98">
        <f t="shared" si="90"/>
        <v>-1.4692235037786841E-3</v>
      </c>
      <c r="CN76" s="94">
        <f t="shared" si="91"/>
        <v>0.92652216651132613</v>
      </c>
      <c r="CO76" s="94">
        <f t="shared" si="92"/>
        <v>0.43193383317974171</v>
      </c>
    </row>
    <row r="77" spans="1:94" ht="24.5" x14ac:dyDescent="0.35">
      <c r="A77" s="102">
        <v>112420</v>
      </c>
      <c r="B77" s="3" t="s">
        <v>72</v>
      </c>
      <c r="C77" s="41" t="s">
        <v>202</v>
      </c>
      <c r="D77" s="12" t="s">
        <v>203</v>
      </c>
      <c r="E77" s="4" t="s">
        <v>89</v>
      </c>
      <c r="F77" s="4" t="s">
        <v>204</v>
      </c>
      <c r="G77" s="12" t="s">
        <v>204</v>
      </c>
      <c r="H77" s="51" t="s">
        <v>205</v>
      </c>
      <c r="I77" s="23" t="s">
        <v>86</v>
      </c>
      <c r="J77" s="18">
        <v>352</v>
      </c>
      <c r="K77" s="18">
        <v>425.5</v>
      </c>
      <c r="L77" s="18">
        <v>92</v>
      </c>
      <c r="M77" s="18">
        <v>96.5</v>
      </c>
      <c r="N77" s="18">
        <v>393.5</v>
      </c>
      <c r="O77" s="18">
        <v>441</v>
      </c>
      <c r="P77" s="18">
        <v>116.5</v>
      </c>
      <c r="Q77" s="18">
        <v>101</v>
      </c>
      <c r="R77" s="18">
        <v>422.5</v>
      </c>
      <c r="S77" s="18">
        <v>376.5</v>
      </c>
      <c r="T77" s="18">
        <v>101.5</v>
      </c>
      <c r="U77" s="18">
        <v>109.5</v>
      </c>
      <c r="V77" s="18">
        <v>431.5</v>
      </c>
      <c r="W77" s="18">
        <v>384</v>
      </c>
      <c r="X77" s="18">
        <v>102.5</v>
      </c>
      <c r="Y77" s="18">
        <v>108</v>
      </c>
      <c r="Z77" s="18">
        <v>462</v>
      </c>
      <c r="AA77" s="18">
        <v>399</v>
      </c>
      <c r="AB77" s="18">
        <v>108</v>
      </c>
      <c r="AC77" s="18">
        <v>117</v>
      </c>
      <c r="AD77" s="18">
        <v>439</v>
      </c>
      <c r="AE77" s="18">
        <v>382.5</v>
      </c>
      <c r="AF77" s="18">
        <v>111</v>
      </c>
      <c r="AG77" s="18">
        <v>109.5</v>
      </c>
      <c r="AH77" s="18">
        <v>471</v>
      </c>
      <c r="AI77" s="18">
        <v>406.5</v>
      </c>
      <c r="AJ77" s="18">
        <v>117</v>
      </c>
      <c r="AK77" s="18">
        <v>109.5</v>
      </c>
      <c r="AL77" s="18">
        <v>456</v>
      </c>
      <c r="AM77" s="18">
        <v>374.00000299999999</v>
      </c>
      <c r="AN77" s="18">
        <v>108</v>
      </c>
      <c r="AO77" s="18">
        <v>64</v>
      </c>
      <c r="AP77" s="18">
        <v>442.5</v>
      </c>
      <c r="AQ77" s="18">
        <v>378.5</v>
      </c>
      <c r="AR77" s="18">
        <v>85.5</v>
      </c>
      <c r="AS77" s="18">
        <v>77.5</v>
      </c>
      <c r="AT77" s="18">
        <v>415</v>
      </c>
      <c r="AU77" s="18">
        <v>377</v>
      </c>
      <c r="AV77" s="18">
        <v>97</v>
      </c>
      <c r="AW77" s="18">
        <v>105</v>
      </c>
      <c r="AX77" s="18">
        <v>450.5</v>
      </c>
      <c r="AY77" s="18">
        <v>352</v>
      </c>
      <c r="AZ77" s="18">
        <v>115.5</v>
      </c>
      <c r="BA77" s="18">
        <v>92</v>
      </c>
      <c r="BB77" s="18">
        <v>478</v>
      </c>
      <c r="BC77" s="18">
        <v>400</v>
      </c>
      <c r="BD77" s="18">
        <v>110</v>
      </c>
      <c r="BE77" s="18">
        <v>92</v>
      </c>
      <c r="BF77" s="23">
        <v>28.718</v>
      </c>
      <c r="BG77" s="23">
        <v>77.110320000000002</v>
      </c>
      <c r="BH77" s="31">
        <f t="shared" si="62"/>
        <v>478</v>
      </c>
      <c r="BI77" s="31">
        <f t="shared" si="63"/>
        <v>400</v>
      </c>
      <c r="BJ77" s="37">
        <f t="shared" si="64"/>
        <v>78</v>
      </c>
      <c r="BK77" s="37">
        <f t="shared" si="65"/>
        <v>19.5</v>
      </c>
      <c r="BL77" s="36">
        <f t="shared" si="66"/>
        <v>110</v>
      </c>
      <c r="BM77" s="36">
        <f t="shared" si="67"/>
        <v>92</v>
      </c>
      <c r="BN77" s="37">
        <f t="shared" si="68"/>
        <v>18</v>
      </c>
      <c r="BO77" s="37">
        <f t="shared" si="69"/>
        <v>19.565217391304348</v>
      </c>
      <c r="BP77" s="38">
        <f t="shared" si="70"/>
        <v>5334.5</v>
      </c>
      <c r="BQ77" s="39">
        <f>J77+N77+S77+W77+AA77+AE77+AI77+AM77+AQ77+AU77+Table1[[#This Row],[MS-0225]]+Table1[[#This Row],[MS-0325]]</f>
        <v>4575.5000030000001</v>
      </c>
      <c r="BR77" s="37">
        <f t="shared" si="71"/>
        <v>758.99999699999989</v>
      </c>
      <c r="BS77" s="37">
        <f t="shared" si="72"/>
        <v>16.588350923447695</v>
      </c>
      <c r="BT77" s="36">
        <f t="shared" si="73"/>
        <v>1253.5</v>
      </c>
      <c r="BU77" s="36">
        <f t="shared" si="74"/>
        <v>1192.5</v>
      </c>
      <c r="BV77" s="37">
        <f t="shared" si="75"/>
        <v>61</v>
      </c>
      <c r="BW77" s="37">
        <f t="shared" si="76"/>
        <v>5.115303983228511</v>
      </c>
      <c r="BX77">
        <v>30</v>
      </c>
      <c r="BY77" s="83">
        <f t="shared" si="77"/>
        <v>6.2761506276150625E-2</v>
      </c>
      <c r="BZ77">
        <v>134</v>
      </c>
      <c r="CA77" s="83">
        <f t="shared" si="78"/>
        <v>2.511950510825757E-2</v>
      </c>
      <c r="CB77" s="96">
        <f t="shared" si="79"/>
        <v>0.15592888598923504</v>
      </c>
      <c r="CC77" s="96">
        <f t="shared" si="80"/>
        <v>0.15203344735841884</v>
      </c>
      <c r="CD77" s="97">
        <f t="shared" si="81"/>
        <v>3.8954386308162059E-3</v>
      </c>
      <c r="CE77" s="96">
        <f t="shared" si="82"/>
        <v>0.10541447053186392</v>
      </c>
      <c r="CF77" s="96">
        <f t="shared" si="83"/>
        <v>9.1269841269841265E-2</v>
      </c>
      <c r="CG77" s="96">
        <f t="shared" si="84"/>
        <v>1.4144629262022659E-2</v>
      </c>
      <c r="CH77" s="95">
        <f t="shared" si="85"/>
        <v>0.15227723620170419</v>
      </c>
      <c r="CI77" s="95">
        <f t="shared" si="86"/>
        <v>0.14536241331037164</v>
      </c>
      <c r="CJ77" s="98">
        <f t="shared" si="87"/>
        <v>6.9148228913325505E-3</v>
      </c>
      <c r="CK77" s="95">
        <f t="shared" si="88"/>
        <v>0.10679446219382321</v>
      </c>
      <c r="CL77" s="95">
        <f t="shared" si="89"/>
        <v>9.1762533184563885E-2</v>
      </c>
      <c r="CM77" s="98">
        <f t="shared" si="90"/>
        <v>1.5031929009259329E-2</v>
      </c>
      <c r="CN77" s="94">
        <f t="shared" si="91"/>
        <v>1.3704951258153377</v>
      </c>
      <c r="CO77" s="94">
        <f t="shared" si="92"/>
        <v>0.96115015974440898</v>
      </c>
    </row>
    <row r="78" spans="1:94" ht="36.5" x14ac:dyDescent="0.35">
      <c r="A78" s="103">
        <v>41057006</v>
      </c>
      <c r="B78" s="9" t="s">
        <v>380</v>
      </c>
      <c r="C78" s="48" t="s">
        <v>547</v>
      </c>
      <c r="D78" s="14" t="s">
        <v>548</v>
      </c>
      <c r="E78" s="10" t="s">
        <v>81</v>
      </c>
      <c r="F78" s="10" t="s">
        <v>184</v>
      </c>
      <c r="G78" s="12" t="s">
        <v>184</v>
      </c>
      <c r="H78" s="51" t="s">
        <v>141</v>
      </c>
      <c r="I78" s="25" t="s">
        <v>83</v>
      </c>
      <c r="J78" s="99">
        <v>469</v>
      </c>
      <c r="K78" s="99">
        <v>488</v>
      </c>
      <c r="L78" s="99">
        <v>87</v>
      </c>
      <c r="M78" s="99">
        <v>69</v>
      </c>
      <c r="N78" s="18">
        <v>494</v>
      </c>
      <c r="O78" s="18">
        <v>502</v>
      </c>
      <c r="P78" s="18">
        <v>103</v>
      </c>
      <c r="Q78" s="18">
        <v>92</v>
      </c>
      <c r="R78" s="99">
        <v>490</v>
      </c>
      <c r="S78" s="99">
        <v>465</v>
      </c>
      <c r="T78" s="99">
        <v>88</v>
      </c>
      <c r="U78" s="99">
        <v>85</v>
      </c>
      <c r="V78" s="99">
        <v>482</v>
      </c>
      <c r="W78" s="99">
        <v>491</v>
      </c>
      <c r="X78" s="99">
        <v>90</v>
      </c>
      <c r="Y78" s="99">
        <v>103</v>
      </c>
      <c r="Z78" s="99">
        <v>527</v>
      </c>
      <c r="AA78" s="99">
        <v>500</v>
      </c>
      <c r="AB78" s="99">
        <v>67</v>
      </c>
      <c r="AC78" s="99">
        <v>87</v>
      </c>
      <c r="AD78" s="99">
        <v>473</v>
      </c>
      <c r="AE78" s="99">
        <v>484</v>
      </c>
      <c r="AF78" s="99">
        <v>78</v>
      </c>
      <c r="AG78" s="99">
        <v>77</v>
      </c>
      <c r="AH78" s="99">
        <v>504</v>
      </c>
      <c r="AI78" s="99">
        <v>498</v>
      </c>
      <c r="AJ78" s="99">
        <v>62</v>
      </c>
      <c r="AK78" s="99">
        <v>99</v>
      </c>
      <c r="AL78" s="99">
        <v>472</v>
      </c>
      <c r="AM78" s="99">
        <v>484</v>
      </c>
      <c r="AN78" s="99">
        <v>78</v>
      </c>
      <c r="AO78" s="99">
        <v>77</v>
      </c>
      <c r="AP78" s="99">
        <v>457.5</v>
      </c>
      <c r="AQ78" s="99">
        <v>448</v>
      </c>
      <c r="AR78" s="99">
        <v>66.5</v>
      </c>
      <c r="AS78" s="99">
        <v>90</v>
      </c>
      <c r="AT78" s="99">
        <v>438</v>
      </c>
      <c r="AU78" s="99">
        <v>456</v>
      </c>
      <c r="AV78" s="99">
        <v>64</v>
      </c>
      <c r="AW78" s="99">
        <v>79</v>
      </c>
      <c r="AX78" s="99">
        <v>452</v>
      </c>
      <c r="AY78" s="99">
        <v>395</v>
      </c>
      <c r="AZ78" s="99">
        <v>72</v>
      </c>
      <c r="BA78" s="99">
        <v>89</v>
      </c>
      <c r="BB78" s="99">
        <v>476</v>
      </c>
      <c r="BC78" s="99">
        <v>473</v>
      </c>
      <c r="BD78" s="99">
        <v>52</v>
      </c>
      <c r="BE78" s="99">
        <v>77</v>
      </c>
      <c r="BF78" s="23">
        <v>28.611229000000002</v>
      </c>
      <c r="BG78" s="23">
        <v>76.979243999999994</v>
      </c>
      <c r="BH78" s="31">
        <f t="shared" si="62"/>
        <v>476</v>
      </c>
      <c r="BI78" s="31">
        <f t="shared" si="63"/>
        <v>473</v>
      </c>
      <c r="BJ78" s="37">
        <f t="shared" si="64"/>
        <v>3</v>
      </c>
      <c r="BK78" s="37">
        <f t="shared" si="65"/>
        <v>0.63424947145877375</v>
      </c>
      <c r="BL78" s="36">
        <f t="shared" si="66"/>
        <v>52</v>
      </c>
      <c r="BM78" s="36">
        <f t="shared" si="67"/>
        <v>77</v>
      </c>
      <c r="BN78" s="37">
        <f t="shared" si="68"/>
        <v>-25</v>
      </c>
      <c r="BO78" s="37">
        <f t="shared" si="69"/>
        <v>-32.467532467532465</v>
      </c>
      <c r="BP78" s="38">
        <f t="shared" si="70"/>
        <v>5761.5</v>
      </c>
      <c r="BQ78" s="39">
        <f>J78+N78+S78+W78+AA78+AE78+AI78+AM78+AQ78+AU78+Table1[[#This Row],[MS-0225]]+Table1[[#This Row],[MS-0325]]</f>
        <v>5657</v>
      </c>
      <c r="BR78" s="37">
        <f t="shared" si="71"/>
        <v>104.5</v>
      </c>
      <c r="BS78" s="37">
        <f t="shared" si="72"/>
        <v>1.8472688704260209</v>
      </c>
      <c r="BT78" s="36">
        <f t="shared" si="73"/>
        <v>878.5</v>
      </c>
      <c r="BU78" s="36">
        <f t="shared" si="74"/>
        <v>1053</v>
      </c>
      <c r="BV78" s="37">
        <f t="shared" si="75"/>
        <v>-174.5</v>
      </c>
      <c r="BW78" s="37">
        <f t="shared" si="76"/>
        <v>-16.571699905033238</v>
      </c>
      <c r="BX78">
        <v>0</v>
      </c>
      <c r="BY78" s="83">
        <f t="shared" si="77"/>
        <v>0</v>
      </c>
      <c r="BZ78">
        <v>0</v>
      </c>
      <c r="CA78" s="83">
        <f t="shared" si="78"/>
        <v>0</v>
      </c>
      <c r="CB78" s="96">
        <f t="shared" si="79"/>
        <v>0.34795321637426901</v>
      </c>
      <c r="CC78" s="96">
        <f t="shared" si="80"/>
        <v>0.3533806499813224</v>
      </c>
      <c r="CD78" s="97">
        <f t="shared" si="81"/>
        <v>-5.4274336070533891E-3</v>
      </c>
      <c r="CE78" s="96">
        <f t="shared" si="82"/>
        <v>0.12807881773399016</v>
      </c>
      <c r="CF78" s="96">
        <f t="shared" si="83"/>
        <v>0.16227608008429925</v>
      </c>
      <c r="CG78" s="96">
        <f t="shared" si="84"/>
        <v>-3.4197262350309093E-2</v>
      </c>
      <c r="CH78" s="95">
        <f t="shared" si="85"/>
        <v>0.36794712137177893</v>
      </c>
      <c r="CI78" s="95">
        <f t="shared" si="86"/>
        <v>0.34938084773843137</v>
      </c>
      <c r="CJ78" s="98">
        <f t="shared" si="87"/>
        <v>1.8566273633347563E-2</v>
      </c>
      <c r="CK78" s="95">
        <f t="shared" si="88"/>
        <v>0.19301329232121278</v>
      </c>
      <c r="CL78" s="95">
        <f t="shared" si="89"/>
        <v>0.19305160876340635</v>
      </c>
      <c r="CM78" s="98">
        <f t="shared" si="90"/>
        <v>-3.8316442193569999E-5</v>
      </c>
      <c r="CN78" s="94">
        <f t="shared" si="91"/>
        <v>2.5756298496024526</v>
      </c>
      <c r="CO78" s="94">
        <f t="shared" si="92"/>
        <v>1.3510930462484896</v>
      </c>
    </row>
    <row r="79" spans="1:94" ht="24.5" x14ac:dyDescent="0.35">
      <c r="A79" s="102">
        <v>112435</v>
      </c>
      <c r="B79" s="3" t="s">
        <v>72</v>
      </c>
      <c r="C79" s="43" t="s">
        <v>239</v>
      </c>
      <c r="D79" s="12" t="s">
        <v>240</v>
      </c>
      <c r="E79" s="4" t="s">
        <v>228</v>
      </c>
      <c r="F79" s="4" t="s">
        <v>241</v>
      </c>
      <c r="G79" s="12" t="s">
        <v>241</v>
      </c>
      <c r="H79" s="51" t="s">
        <v>230</v>
      </c>
      <c r="I79" s="23" t="s">
        <v>78</v>
      </c>
      <c r="J79" s="18">
        <v>427.5</v>
      </c>
      <c r="K79" s="18">
        <v>457</v>
      </c>
      <c r="L79" s="18">
        <v>22.5</v>
      </c>
      <c r="M79" s="18">
        <v>27</v>
      </c>
      <c r="N79" s="18">
        <v>409.5</v>
      </c>
      <c r="O79" s="18">
        <v>485.5</v>
      </c>
      <c r="P79" s="18">
        <v>22.5</v>
      </c>
      <c r="Q79" s="18">
        <v>26.5</v>
      </c>
      <c r="R79" s="18">
        <v>437</v>
      </c>
      <c r="S79" s="18">
        <v>411.5</v>
      </c>
      <c r="T79" s="18">
        <v>27</v>
      </c>
      <c r="U79" s="18">
        <v>22.5</v>
      </c>
      <c r="V79" s="18">
        <v>489</v>
      </c>
      <c r="W79" s="18">
        <v>443</v>
      </c>
      <c r="X79" s="18">
        <v>35</v>
      </c>
      <c r="Y79" s="18">
        <v>27</v>
      </c>
      <c r="Z79" s="18">
        <v>492.5</v>
      </c>
      <c r="AA79" s="18">
        <v>424.5</v>
      </c>
      <c r="AB79" s="18">
        <v>35.5</v>
      </c>
      <c r="AC79" s="18">
        <v>27.5</v>
      </c>
      <c r="AD79" s="18">
        <v>482.5</v>
      </c>
      <c r="AE79" s="18">
        <v>463</v>
      </c>
      <c r="AF79" s="18">
        <v>31.5</v>
      </c>
      <c r="AG79" s="18">
        <v>27</v>
      </c>
      <c r="AH79" s="18">
        <v>504.5</v>
      </c>
      <c r="AI79" s="18">
        <v>472.5</v>
      </c>
      <c r="AJ79" s="18">
        <v>31.5</v>
      </c>
      <c r="AK79" s="18">
        <v>31.5</v>
      </c>
      <c r="AL79" s="18">
        <v>505</v>
      </c>
      <c r="AM79" s="18">
        <v>473</v>
      </c>
      <c r="AN79" s="18">
        <v>33</v>
      </c>
      <c r="AO79" s="18">
        <v>27</v>
      </c>
      <c r="AP79" s="18">
        <v>431.5</v>
      </c>
      <c r="AQ79" s="18">
        <v>443</v>
      </c>
      <c r="AR79" s="18">
        <v>26.5</v>
      </c>
      <c r="AS79" s="18">
        <v>27</v>
      </c>
      <c r="AT79" s="18">
        <v>461.5</v>
      </c>
      <c r="AU79" s="18">
        <v>458.5</v>
      </c>
      <c r="AV79" s="18">
        <v>30.5</v>
      </c>
      <c r="AW79" s="18">
        <v>31.5</v>
      </c>
      <c r="AX79" s="18">
        <v>450.5</v>
      </c>
      <c r="AY79" s="18">
        <v>414</v>
      </c>
      <c r="AZ79" s="18">
        <v>31.5</v>
      </c>
      <c r="BA79" s="18">
        <v>26</v>
      </c>
      <c r="BB79" s="18">
        <v>471.5</v>
      </c>
      <c r="BC79" s="18">
        <v>443</v>
      </c>
      <c r="BD79" s="18">
        <v>26.5</v>
      </c>
      <c r="BE79" s="18">
        <v>27</v>
      </c>
      <c r="BF79" s="23">
        <v>28.697040000000001</v>
      </c>
      <c r="BG79" s="23">
        <v>77.271850000000001</v>
      </c>
      <c r="BH79" s="31">
        <f t="shared" si="62"/>
        <v>471.5</v>
      </c>
      <c r="BI79" s="31">
        <f t="shared" si="63"/>
        <v>443</v>
      </c>
      <c r="BJ79" s="37">
        <f t="shared" si="64"/>
        <v>28.5</v>
      </c>
      <c r="BK79" s="37">
        <f t="shared" si="65"/>
        <v>6.4334085778781036</v>
      </c>
      <c r="BL79" s="36">
        <f t="shared" si="66"/>
        <v>26.5</v>
      </c>
      <c r="BM79" s="36">
        <f t="shared" si="67"/>
        <v>27</v>
      </c>
      <c r="BN79" s="37">
        <f t="shared" si="68"/>
        <v>-0.5</v>
      </c>
      <c r="BO79" s="37">
        <f t="shared" si="69"/>
        <v>-1.8518518518518516</v>
      </c>
      <c r="BP79" s="38">
        <f t="shared" si="70"/>
        <v>5668</v>
      </c>
      <c r="BQ79" s="39">
        <f>J79+N79+S79+W79+AA79+AE79+AI79+AM79+AQ79+AU79+Table1[[#This Row],[MS-0225]]+Table1[[#This Row],[MS-0325]]</f>
        <v>5283</v>
      </c>
      <c r="BR79" s="37">
        <f t="shared" si="71"/>
        <v>385</v>
      </c>
      <c r="BS79" s="37">
        <f t="shared" si="72"/>
        <v>7.287526026878667</v>
      </c>
      <c r="BT79" s="36">
        <f t="shared" si="73"/>
        <v>362</v>
      </c>
      <c r="BU79" s="36">
        <f t="shared" si="74"/>
        <v>319</v>
      </c>
      <c r="BV79" s="37">
        <f t="shared" si="75"/>
        <v>43</v>
      </c>
      <c r="BW79" s="37">
        <f t="shared" si="76"/>
        <v>13.479623824451412</v>
      </c>
      <c r="BX79">
        <v>0</v>
      </c>
      <c r="BY79" s="83">
        <f t="shared" si="77"/>
        <v>0</v>
      </c>
      <c r="BZ79">
        <v>0</v>
      </c>
      <c r="CA79" s="83">
        <f t="shared" si="78"/>
        <v>0</v>
      </c>
      <c r="CB79" s="96">
        <f t="shared" si="79"/>
        <v>0.42268041237113402</v>
      </c>
      <c r="CC79" s="96">
        <f t="shared" si="80"/>
        <v>0.43219512195121951</v>
      </c>
      <c r="CD79" s="97">
        <f t="shared" si="81"/>
        <v>-9.5147095800854897E-3</v>
      </c>
      <c r="CE79" s="96">
        <f t="shared" si="82"/>
        <v>0.24423963133640553</v>
      </c>
      <c r="CF79" s="96">
        <f t="shared" si="83"/>
        <v>0.3253012048192771</v>
      </c>
      <c r="CG79" s="96">
        <f t="shared" si="84"/>
        <v>-8.1061573482871574E-2</v>
      </c>
      <c r="CH79" s="95">
        <f t="shared" si="85"/>
        <v>0.44013045503960241</v>
      </c>
      <c r="CI79" s="95">
        <f t="shared" si="86"/>
        <v>0.42791187429126842</v>
      </c>
      <c r="CJ79" s="98">
        <f t="shared" si="87"/>
        <v>1.2218580748333985E-2</v>
      </c>
      <c r="CK79" s="95">
        <f t="shared" si="88"/>
        <v>0.28730158730158728</v>
      </c>
      <c r="CL79" s="95">
        <f t="shared" si="89"/>
        <v>0.26627712854757929</v>
      </c>
      <c r="CM79" s="98">
        <f t="shared" si="90"/>
        <v>2.1024458754007991E-2</v>
      </c>
      <c r="CN79" s="94">
        <f t="shared" si="91"/>
        <v>0.88026091007920482</v>
      </c>
      <c r="CO79" s="94">
        <f t="shared" si="92"/>
        <v>0.57460317460317456</v>
      </c>
    </row>
    <row r="80" spans="1:94" ht="36.5" x14ac:dyDescent="0.35">
      <c r="A80" s="103">
        <v>41056821</v>
      </c>
      <c r="B80" s="9" t="s">
        <v>380</v>
      </c>
      <c r="C80" s="48" t="s">
        <v>452</v>
      </c>
      <c r="D80" s="14" t="s">
        <v>438</v>
      </c>
      <c r="E80" s="10" t="s">
        <v>81</v>
      </c>
      <c r="F80" s="10" t="s">
        <v>439</v>
      </c>
      <c r="G80" s="12" t="s">
        <v>439</v>
      </c>
      <c r="H80" s="51" t="s">
        <v>135</v>
      </c>
      <c r="I80" s="25" t="s">
        <v>83</v>
      </c>
      <c r="J80" s="99">
        <v>468</v>
      </c>
      <c r="K80" s="99">
        <v>464.5</v>
      </c>
      <c r="L80" s="99">
        <v>378</v>
      </c>
      <c r="M80" s="99">
        <v>396.5</v>
      </c>
      <c r="N80" s="18">
        <v>573</v>
      </c>
      <c r="O80" s="18">
        <v>589</v>
      </c>
      <c r="P80" s="18">
        <v>442</v>
      </c>
      <c r="Q80" s="18">
        <v>490</v>
      </c>
      <c r="R80" s="99">
        <v>577.5</v>
      </c>
      <c r="S80" s="99">
        <v>526.5</v>
      </c>
      <c r="T80" s="99">
        <v>404.5</v>
      </c>
      <c r="U80" s="99">
        <v>427.5</v>
      </c>
      <c r="V80" s="99">
        <v>543.5</v>
      </c>
      <c r="W80" s="99">
        <v>504</v>
      </c>
      <c r="X80" s="99">
        <v>371.5</v>
      </c>
      <c r="Y80" s="99">
        <v>324</v>
      </c>
      <c r="Z80" s="99">
        <v>597</v>
      </c>
      <c r="AA80" s="99">
        <v>527</v>
      </c>
      <c r="AB80" s="99">
        <v>443</v>
      </c>
      <c r="AC80" s="99">
        <v>421</v>
      </c>
      <c r="AD80" s="99">
        <v>528</v>
      </c>
      <c r="AE80" s="99">
        <v>545.5</v>
      </c>
      <c r="AF80" s="99">
        <v>441</v>
      </c>
      <c r="AG80" s="99">
        <v>361.5</v>
      </c>
      <c r="AH80" s="99">
        <v>572</v>
      </c>
      <c r="AI80" s="99">
        <v>503</v>
      </c>
      <c r="AJ80" s="99">
        <v>460</v>
      </c>
      <c r="AK80" s="99">
        <v>419</v>
      </c>
      <c r="AL80" s="99">
        <v>554</v>
      </c>
      <c r="AM80" s="99">
        <v>536</v>
      </c>
      <c r="AN80" s="99">
        <v>364</v>
      </c>
      <c r="AO80" s="99">
        <v>375</v>
      </c>
      <c r="AP80" s="99">
        <v>537.5</v>
      </c>
      <c r="AQ80" s="99">
        <v>535.5</v>
      </c>
      <c r="AR80" s="99">
        <v>380.5</v>
      </c>
      <c r="AS80" s="99">
        <v>383.5</v>
      </c>
      <c r="AT80" s="99">
        <v>513</v>
      </c>
      <c r="AU80" s="99">
        <v>535.5</v>
      </c>
      <c r="AV80" s="99">
        <v>343</v>
      </c>
      <c r="AW80" s="99">
        <v>412.5</v>
      </c>
      <c r="AX80" s="99">
        <v>465</v>
      </c>
      <c r="AY80" s="99">
        <v>465</v>
      </c>
      <c r="AZ80" s="99">
        <v>319</v>
      </c>
      <c r="BA80" s="99">
        <v>385</v>
      </c>
      <c r="BB80" s="99">
        <v>470</v>
      </c>
      <c r="BC80" s="99">
        <v>553.5</v>
      </c>
      <c r="BD80" s="99">
        <v>268</v>
      </c>
      <c r="BE80" s="99">
        <v>450.5</v>
      </c>
      <c r="BF80" s="23">
        <v>28.590260000000001</v>
      </c>
      <c r="BG80" s="23">
        <v>77.157510000000002</v>
      </c>
      <c r="BH80" s="31">
        <f t="shared" si="62"/>
        <v>470</v>
      </c>
      <c r="BI80" s="31">
        <f t="shared" si="63"/>
        <v>553.5</v>
      </c>
      <c r="BJ80" s="37">
        <f t="shared" si="64"/>
        <v>-83.5</v>
      </c>
      <c r="BK80" s="37">
        <f t="shared" si="65"/>
        <v>-15.085817524841916</v>
      </c>
      <c r="BL80" s="36">
        <f t="shared" si="66"/>
        <v>268</v>
      </c>
      <c r="BM80" s="36">
        <f t="shared" si="67"/>
        <v>450.5</v>
      </c>
      <c r="BN80" s="37">
        <f t="shared" si="68"/>
        <v>-182.5</v>
      </c>
      <c r="BO80" s="37">
        <f t="shared" si="69"/>
        <v>-40.510543840177583</v>
      </c>
      <c r="BP80" s="38">
        <f t="shared" si="70"/>
        <v>6411</v>
      </c>
      <c r="BQ80" s="39">
        <f>J80+N80+S80+W80+AA80+AE80+AI80+AM80+AQ80+AU80+Table1[[#This Row],[MS-0225]]+Table1[[#This Row],[MS-0325]]</f>
        <v>6272.5</v>
      </c>
      <c r="BR80" s="37">
        <f t="shared" si="71"/>
        <v>138.5</v>
      </c>
      <c r="BS80" s="37">
        <f t="shared" si="72"/>
        <v>2.2080510163411717</v>
      </c>
      <c r="BT80" s="36">
        <f t="shared" si="73"/>
        <v>4681</v>
      </c>
      <c r="BU80" s="36">
        <f t="shared" si="74"/>
        <v>4779.5</v>
      </c>
      <c r="BV80" s="37">
        <f t="shared" si="75"/>
        <v>-98.5</v>
      </c>
      <c r="BW80" s="37">
        <f t="shared" si="76"/>
        <v>-2.060885029814834</v>
      </c>
      <c r="BX80">
        <v>0</v>
      </c>
      <c r="BY80" s="83">
        <f t="shared" si="77"/>
        <v>0</v>
      </c>
      <c r="BZ80">
        <v>0</v>
      </c>
      <c r="CA80" s="83">
        <f t="shared" si="78"/>
        <v>0</v>
      </c>
      <c r="CB80" s="96">
        <f t="shared" si="79"/>
        <v>0.32959326788218796</v>
      </c>
      <c r="CC80" s="96">
        <f t="shared" si="80"/>
        <v>0.37487301049779886</v>
      </c>
      <c r="CD80" s="97">
        <f t="shared" si="81"/>
        <v>-4.5279742615610907E-2</v>
      </c>
      <c r="CE80" s="96">
        <f t="shared" si="82"/>
        <v>0.4243863816310372</v>
      </c>
      <c r="CF80" s="96">
        <f t="shared" si="83"/>
        <v>0.53855349671249253</v>
      </c>
      <c r="CG80" s="96">
        <f t="shared" si="84"/>
        <v>-0.11416711508145533</v>
      </c>
      <c r="CH80" s="95">
        <f t="shared" si="85"/>
        <v>0.35509152842781577</v>
      </c>
      <c r="CI80" s="95">
        <f t="shared" si="86"/>
        <v>0.36524296153958136</v>
      </c>
      <c r="CJ80" s="98">
        <f t="shared" si="87"/>
        <v>-1.0151433111765584E-2</v>
      </c>
      <c r="CK80" s="95">
        <f t="shared" si="88"/>
        <v>0.5165811399878607</v>
      </c>
      <c r="CL80" s="95">
        <f t="shared" si="89"/>
        <v>0.51232715189194988</v>
      </c>
      <c r="CM80" s="98">
        <f t="shared" si="90"/>
        <v>4.2539880959108212E-3</v>
      </c>
      <c r="CN80" s="94">
        <f t="shared" si="91"/>
        <v>1.0652745852834473</v>
      </c>
      <c r="CO80" s="94">
        <f t="shared" si="92"/>
        <v>1.549743419963582</v>
      </c>
    </row>
    <row r="81" spans="1:94" ht="24.5" x14ac:dyDescent="0.35">
      <c r="A81" s="102">
        <v>112383</v>
      </c>
      <c r="B81" s="3" t="s">
        <v>72</v>
      </c>
      <c r="C81" s="40" t="s">
        <v>173</v>
      </c>
      <c r="D81" s="12" t="s">
        <v>174</v>
      </c>
      <c r="E81" s="4" t="s">
        <v>111</v>
      </c>
      <c r="F81" s="4" t="s">
        <v>125</v>
      </c>
      <c r="G81" s="12" t="s">
        <v>125</v>
      </c>
      <c r="H81" s="51" t="s">
        <v>120</v>
      </c>
      <c r="I81" s="23" t="s">
        <v>78</v>
      </c>
      <c r="J81" s="18">
        <v>463.5</v>
      </c>
      <c r="K81" s="18">
        <v>499.5</v>
      </c>
      <c r="L81" s="18">
        <v>112.5</v>
      </c>
      <c r="M81" s="18">
        <v>112.5</v>
      </c>
      <c r="N81" s="18">
        <v>517.5</v>
      </c>
      <c r="O81" s="18">
        <v>517.5</v>
      </c>
      <c r="P81" s="18">
        <v>148.5</v>
      </c>
      <c r="Q81" s="18">
        <v>112.5</v>
      </c>
      <c r="R81" s="18">
        <v>486</v>
      </c>
      <c r="S81" s="18">
        <v>499.500001</v>
      </c>
      <c r="T81" s="18">
        <v>90</v>
      </c>
      <c r="U81" s="18">
        <v>130.5</v>
      </c>
      <c r="V81" s="18">
        <v>517.5</v>
      </c>
      <c r="W81" s="18">
        <v>526.5</v>
      </c>
      <c r="X81" s="18">
        <v>94.5</v>
      </c>
      <c r="Y81" s="18">
        <v>121.5</v>
      </c>
      <c r="Z81" s="18">
        <v>486</v>
      </c>
      <c r="AA81" s="18">
        <v>513</v>
      </c>
      <c r="AB81" s="18">
        <v>90</v>
      </c>
      <c r="AC81" s="18">
        <v>117</v>
      </c>
      <c r="AD81" s="18">
        <v>477</v>
      </c>
      <c r="AE81" s="18">
        <v>490.5</v>
      </c>
      <c r="AF81" s="18">
        <v>99</v>
      </c>
      <c r="AG81" s="18">
        <v>121.5</v>
      </c>
      <c r="AH81" s="18">
        <v>490.5</v>
      </c>
      <c r="AI81" s="18">
        <v>486</v>
      </c>
      <c r="AJ81" s="18">
        <v>85.5</v>
      </c>
      <c r="AK81" s="18">
        <v>108</v>
      </c>
      <c r="AL81" s="18">
        <v>445.5</v>
      </c>
      <c r="AM81" s="18">
        <v>450</v>
      </c>
      <c r="AN81" s="18">
        <v>76.5</v>
      </c>
      <c r="AO81" s="18">
        <v>90</v>
      </c>
      <c r="AP81" s="18">
        <v>445.5</v>
      </c>
      <c r="AQ81" s="18">
        <v>459</v>
      </c>
      <c r="AR81" s="18">
        <v>58.5</v>
      </c>
      <c r="AS81" s="18">
        <v>99</v>
      </c>
      <c r="AT81" s="18">
        <v>432</v>
      </c>
      <c r="AU81" s="18">
        <v>454.5</v>
      </c>
      <c r="AV81" s="18">
        <v>90</v>
      </c>
      <c r="AW81" s="18">
        <v>85.5</v>
      </c>
      <c r="AX81" s="18">
        <v>463.5</v>
      </c>
      <c r="AY81" s="18">
        <v>423</v>
      </c>
      <c r="AZ81" s="18">
        <v>94.5</v>
      </c>
      <c r="BA81" s="18">
        <v>99</v>
      </c>
      <c r="BB81" s="18">
        <v>468</v>
      </c>
      <c r="BC81" s="18">
        <v>486</v>
      </c>
      <c r="BD81" s="18">
        <v>90</v>
      </c>
      <c r="BE81" s="18">
        <v>108</v>
      </c>
      <c r="BF81" s="23">
        <v>28.548020000000001</v>
      </c>
      <c r="BG81" s="23">
        <v>77.256140000000002</v>
      </c>
      <c r="BH81" s="31">
        <f t="shared" si="62"/>
        <v>468</v>
      </c>
      <c r="BI81" s="31">
        <f t="shared" si="63"/>
        <v>486</v>
      </c>
      <c r="BJ81" s="37">
        <f t="shared" si="64"/>
        <v>-18</v>
      </c>
      <c r="BK81" s="37">
        <f t="shared" si="65"/>
        <v>-3.7037037037037033</v>
      </c>
      <c r="BL81" s="36">
        <f t="shared" si="66"/>
        <v>90</v>
      </c>
      <c r="BM81" s="36">
        <f t="shared" si="67"/>
        <v>108</v>
      </c>
      <c r="BN81" s="37">
        <f t="shared" si="68"/>
        <v>-18</v>
      </c>
      <c r="BO81" s="37">
        <f t="shared" si="69"/>
        <v>-16.666666666666664</v>
      </c>
      <c r="BP81" s="38">
        <f t="shared" si="70"/>
        <v>5728.5</v>
      </c>
      <c r="BQ81" s="39">
        <f>J81+N81+S81+W81+AA81+AE81+AI81+AM81+AQ81+AU81+Table1[[#This Row],[MS-0225]]+Table1[[#This Row],[MS-0325]]</f>
        <v>5769.0000010000003</v>
      </c>
      <c r="BR81" s="37">
        <f t="shared" si="71"/>
        <v>-40.500001000000339</v>
      </c>
      <c r="BS81" s="37">
        <f t="shared" si="72"/>
        <v>-0.70202809833558766</v>
      </c>
      <c r="BT81" s="36">
        <f t="shared" si="73"/>
        <v>1093.5</v>
      </c>
      <c r="BU81" s="36">
        <f t="shared" si="74"/>
        <v>1341</v>
      </c>
      <c r="BV81" s="37">
        <f t="shared" si="75"/>
        <v>-247.5</v>
      </c>
      <c r="BW81" s="37">
        <f t="shared" si="76"/>
        <v>-18.456375838926174</v>
      </c>
      <c r="BX81">
        <v>40.5</v>
      </c>
      <c r="BY81" s="83">
        <f t="shared" si="77"/>
        <v>8.6538461538461536E-2</v>
      </c>
      <c r="BZ81">
        <v>198</v>
      </c>
      <c r="CA81" s="83">
        <f t="shared" si="78"/>
        <v>3.4564021995286721E-2</v>
      </c>
      <c r="CB81" s="96">
        <f t="shared" si="79"/>
        <v>0.22429906542056074</v>
      </c>
      <c r="CC81" s="96">
        <f t="shared" si="80"/>
        <v>0.24884792626728111</v>
      </c>
      <c r="CD81" s="97">
        <f t="shared" si="81"/>
        <v>-2.4548860846720366E-2</v>
      </c>
      <c r="CE81" s="96">
        <f t="shared" si="82"/>
        <v>0.22304832713754646</v>
      </c>
      <c r="CF81" s="96">
        <f t="shared" si="83"/>
        <v>0.24827586206896551</v>
      </c>
      <c r="CG81" s="96">
        <f t="shared" si="84"/>
        <v>-2.5227534931419049E-2</v>
      </c>
      <c r="CH81" s="95">
        <f t="shared" si="85"/>
        <v>0.23435678196657597</v>
      </c>
      <c r="CI81" s="95">
        <f t="shared" si="86"/>
        <v>0.24266004814078895</v>
      </c>
      <c r="CJ81" s="98">
        <f t="shared" si="87"/>
        <v>-8.303266174212981E-3</v>
      </c>
      <c r="CK81" s="95">
        <f t="shared" si="88"/>
        <v>0.23738196027352654</v>
      </c>
      <c r="CL81" s="95">
        <f t="shared" si="89"/>
        <v>0.24058127018299247</v>
      </c>
      <c r="CM81" s="98">
        <f t="shared" si="90"/>
        <v>-3.1993099094659305E-3</v>
      </c>
      <c r="CN81" s="94">
        <f t="shared" si="91"/>
        <v>1.1717839098328799</v>
      </c>
      <c r="CO81" s="94">
        <f t="shared" si="92"/>
        <v>1.1869098013676327</v>
      </c>
    </row>
    <row r="82" spans="1:94" ht="24.5" x14ac:dyDescent="0.35">
      <c r="A82" s="102">
        <v>112454</v>
      </c>
      <c r="B82" s="3" t="s">
        <v>72</v>
      </c>
      <c r="C82" s="43" t="s">
        <v>164</v>
      </c>
      <c r="D82" s="12" t="s">
        <v>165</v>
      </c>
      <c r="E82" s="4" t="s">
        <v>94</v>
      </c>
      <c r="F82" s="4" t="s">
        <v>166</v>
      </c>
      <c r="G82" s="12" t="s">
        <v>166</v>
      </c>
      <c r="H82" s="51" t="s">
        <v>120</v>
      </c>
      <c r="I82" s="23" t="s">
        <v>83</v>
      </c>
      <c r="J82" s="18">
        <v>427.50000399999999</v>
      </c>
      <c r="K82" s="18">
        <v>440</v>
      </c>
      <c r="L82" s="18">
        <v>112.5</v>
      </c>
      <c r="M82" s="18">
        <v>100</v>
      </c>
      <c r="N82" s="18">
        <v>468.00000199999999</v>
      </c>
      <c r="O82" s="18">
        <v>485</v>
      </c>
      <c r="P82" s="18">
        <v>126</v>
      </c>
      <c r="Q82" s="18">
        <v>95</v>
      </c>
      <c r="R82" s="18">
        <v>435</v>
      </c>
      <c r="S82" s="18">
        <v>427.50000199999999</v>
      </c>
      <c r="T82" s="18">
        <v>85</v>
      </c>
      <c r="U82" s="18">
        <v>112.5</v>
      </c>
      <c r="V82" s="18">
        <v>490</v>
      </c>
      <c r="W82" s="18">
        <v>477.000001</v>
      </c>
      <c r="X82" s="18">
        <v>90</v>
      </c>
      <c r="Y82" s="18">
        <v>117</v>
      </c>
      <c r="Z82" s="18">
        <v>475</v>
      </c>
      <c r="AA82" s="18">
        <v>450</v>
      </c>
      <c r="AB82" s="18">
        <v>85</v>
      </c>
      <c r="AC82" s="18">
        <v>108</v>
      </c>
      <c r="AD82" s="18">
        <v>484.5</v>
      </c>
      <c r="AE82" s="18">
        <v>436.500001</v>
      </c>
      <c r="AF82" s="18">
        <v>93.5</v>
      </c>
      <c r="AG82" s="18">
        <v>121.5</v>
      </c>
      <c r="AH82" s="18">
        <v>465</v>
      </c>
      <c r="AI82" s="18">
        <v>432</v>
      </c>
      <c r="AJ82" s="18">
        <v>95</v>
      </c>
      <c r="AK82" s="18">
        <v>126</v>
      </c>
      <c r="AL82" s="18">
        <v>435</v>
      </c>
      <c r="AM82" s="18">
        <v>409.500001</v>
      </c>
      <c r="AN82" s="18">
        <v>85</v>
      </c>
      <c r="AO82" s="18">
        <v>94.5</v>
      </c>
      <c r="AP82" s="18">
        <v>460</v>
      </c>
      <c r="AQ82" s="18">
        <v>443.5</v>
      </c>
      <c r="AR82" s="18">
        <v>80</v>
      </c>
      <c r="AS82" s="18">
        <v>76.5</v>
      </c>
      <c r="AT82" s="18">
        <v>423</v>
      </c>
      <c r="AU82" s="18">
        <v>439</v>
      </c>
      <c r="AV82" s="18">
        <v>75</v>
      </c>
      <c r="AW82" s="18">
        <v>99</v>
      </c>
      <c r="AX82" s="18">
        <v>400</v>
      </c>
      <c r="AY82" s="18">
        <v>383.5</v>
      </c>
      <c r="AZ82" s="18">
        <v>80</v>
      </c>
      <c r="BA82" s="18">
        <v>94.5</v>
      </c>
      <c r="BB82" s="18">
        <v>465</v>
      </c>
      <c r="BC82" s="18">
        <v>420</v>
      </c>
      <c r="BD82" s="18">
        <v>95</v>
      </c>
      <c r="BE82" s="18">
        <v>100</v>
      </c>
      <c r="BF82" s="23">
        <v>28.542210000000001</v>
      </c>
      <c r="BG82" s="23">
        <v>77.221019999999996</v>
      </c>
      <c r="BH82" s="31">
        <f t="shared" si="62"/>
        <v>465</v>
      </c>
      <c r="BI82" s="31">
        <f t="shared" si="63"/>
        <v>420</v>
      </c>
      <c r="BJ82" s="37">
        <f t="shared" si="64"/>
        <v>45</v>
      </c>
      <c r="BK82" s="37">
        <f t="shared" si="65"/>
        <v>10.714285714285714</v>
      </c>
      <c r="BL82" s="36">
        <f t="shared" si="66"/>
        <v>95</v>
      </c>
      <c r="BM82" s="36">
        <f t="shared" si="67"/>
        <v>100</v>
      </c>
      <c r="BN82" s="37">
        <f t="shared" si="68"/>
        <v>-5</v>
      </c>
      <c r="BO82" s="37">
        <f t="shared" si="69"/>
        <v>-5</v>
      </c>
      <c r="BP82" s="38">
        <f t="shared" si="70"/>
        <v>5457.5</v>
      </c>
      <c r="BQ82" s="39">
        <f>J82+N82+S82+W82+AA82+AE82+AI82+AM82+AQ82+AU82+Table1[[#This Row],[MS-0225]]+Table1[[#This Row],[MS-0325]]</f>
        <v>5214.0000110000001</v>
      </c>
      <c r="BR82" s="37">
        <f t="shared" si="71"/>
        <v>243.49998899999991</v>
      </c>
      <c r="BS82" s="37">
        <f t="shared" si="72"/>
        <v>4.6701186898022033</v>
      </c>
      <c r="BT82" s="36">
        <f t="shared" si="73"/>
        <v>1058.5</v>
      </c>
      <c r="BU82" s="36">
        <f t="shared" si="74"/>
        <v>1288</v>
      </c>
      <c r="BV82" s="37">
        <f t="shared" si="75"/>
        <v>-229.5</v>
      </c>
      <c r="BW82" s="37">
        <f t="shared" si="76"/>
        <v>-17.81832298136646</v>
      </c>
      <c r="BX82">
        <v>40</v>
      </c>
      <c r="BY82" s="83">
        <f t="shared" si="77"/>
        <v>8.6021505376344093E-2</v>
      </c>
      <c r="BZ82">
        <v>229.5</v>
      </c>
      <c r="CA82" s="83">
        <f t="shared" si="78"/>
        <v>4.2052221713238663E-2</v>
      </c>
      <c r="CB82" s="96">
        <f t="shared" si="79"/>
        <v>0.26211950394588501</v>
      </c>
      <c r="CC82" s="96">
        <f t="shared" si="80"/>
        <v>0.26095060577819196</v>
      </c>
      <c r="CD82" s="97">
        <f t="shared" si="81"/>
        <v>1.1688981676930554E-3</v>
      </c>
      <c r="CE82" s="96">
        <f t="shared" si="82"/>
        <v>0.31879194630872482</v>
      </c>
      <c r="CF82" s="96">
        <f t="shared" si="83"/>
        <v>0.30257186081694404</v>
      </c>
      <c r="CG82" s="96">
        <f t="shared" si="84"/>
        <v>1.6220085491780778E-2</v>
      </c>
      <c r="CH82" s="95">
        <f t="shared" si="85"/>
        <v>0.2565880721220527</v>
      </c>
      <c r="CI82" s="95">
        <f t="shared" si="86"/>
        <v>0.25790176624440225</v>
      </c>
      <c r="CJ82" s="98">
        <f t="shared" si="87"/>
        <v>-1.3136941223495513E-3</v>
      </c>
      <c r="CK82" s="95">
        <f t="shared" si="88"/>
        <v>0.28043449463505099</v>
      </c>
      <c r="CL82" s="95">
        <f t="shared" si="89"/>
        <v>0.29133680162859082</v>
      </c>
      <c r="CM82" s="98">
        <f t="shared" si="90"/>
        <v>-1.0902306993539834E-2</v>
      </c>
      <c r="CN82" s="94">
        <f t="shared" si="91"/>
        <v>0.7697642163661581</v>
      </c>
      <c r="CO82" s="94">
        <f t="shared" si="92"/>
        <v>0.84130348390515297</v>
      </c>
    </row>
    <row r="83" spans="1:94" ht="48.5" x14ac:dyDescent="0.35">
      <c r="A83" s="104">
        <v>231563</v>
      </c>
      <c r="B83" s="5" t="s">
        <v>581</v>
      </c>
      <c r="C83" s="46" t="s">
        <v>751</v>
      </c>
      <c r="D83" s="13" t="s">
        <v>752</v>
      </c>
      <c r="E83" s="6" t="s">
        <v>103</v>
      </c>
      <c r="F83" s="6" t="s">
        <v>526</v>
      </c>
      <c r="G83" s="12" t="s">
        <v>526</v>
      </c>
      <c r="H83" s="51" t="s">
        <v>248</v>
      </c>
      <c r="I83" s="24" t="s">
        <v>78</v>
      </c>
      <c r="J83" s="100">
        <v>465</v>
      </c>
      <c r="K83" s="100">
        <v>508</v>
      </c>
      <c r="L83" s="100">
        <v>315</v>
      </c>
      <c r="M83" s="100">
        <v>240</v>
      </c>
      <c r="N83" s="18">
        <v>520</v>
      </c>
      <c r="O83" s="18">
        <v>539</v>
      </c>
      <c r="P83" s="18">
        <v>300</v>
      </c>
      <c r="Q83" s="18">
        <v>253</v>
      </c>
      <c r="R83" s="100">
        <v>531</v>
      </c>
      <c r="S83" s="100">
        <v>510</v>
      </c>
      <c r="T83" s="100">
        <v>261</v>
      </c>
      <c r="U83" s="100">
        <v>290</v>
      </c>
      <c r="V83" s="100">
        <v>512.5</v>
      </c>
      <c r="W83" s="100">
        <v>475</v>
      </c>
      <c r="X83" s="100">
        <v>223.5</v>
      </c>
      <c r="Y83" s="100">
        <v>265</v>
      </c>
      <c r="Z83" s="100">
        <v>504</v>
      </c>
      <c r="AA83" s="100">
        <v>490</v>
      </c>
      <c r="AB83" s="100">
        <v>200</v>
      </c>
      <c r="AC83" s="100">
        <v>270</v>
      </c>
      <c r="AD83" s="100">
        <v>484</v>
      </c>
      <c r="AE83" s="100">
        <v>475</v>
      </c>
      <c r="AF83" s="100">
        <v>212</v>
      </c>
      <c r="AG83" s="100">
        <v>245</v>
      </c>
      <c r="AH83" s="100">
        <v>529</v>
      </c>
      <c r="AI83" s="100">
        <v>515</v>
      </c>
      <c r="AJ83" s="100">
        <v>232</v>
      </c>
      <c r="AK83" s="100">
        <v>245</v>
      </c>
      <c r="AL83" s="100">
        <v>520</v>
      </c>
      <c r="AM83" s="100">
        <v>510</v>
      </c>
      <c r="AN83" s="100">
        <v>216</v>
      </c>
      <c r="AO83" s="100">
        <v>210</v>
      </c>
      <c r="AP83" s="100">
        <v>494</v>
      </c>
      <c r="AQ83" s="100">
        <v>504.5</v>
      </c>
      <c r="AR83" s="100">
        <v>198</v>
      </c>
      <c r="AS83" s="100">
        <v>203.5</v>
      </c>
      <c r="AT83" s="100">
        <v>470</v>
      </c>
      <c r="AU83" s="100">
        <v>482</v>
      </c>
      <c r="AV83" s="100">
        <v>216</v>
      </c>
      <c r="AW83" s="100">
        <v>200</v>
      </c>
      <c r="AX83" s="100">
        <v>461</v>
      </c>
      <c r="AY83" s="100">
        <v>494</v>
      </c>
      <c r="AZ83" s="100">
        <v>208</v>
      </c>
      <c r="BA83" s="100">
        <v>254</v>
      </c>
      <c r="BB83" s="100">
        <v>461</v>
      </c>
      <c r="BC83" s="100">
        <v>494</v>
      </c>
      <c r="BD83" s="100">
        <v>225</v>
      </c>
      <c r="BE83" s="100">
        <v>232</v>
      </c>
      <c r="BF83" s="23">
        <v>28.571300000000001</v>
      </c>
      <c r="BG83" s="23">
        <v>77.186599999999999</v>
      </c>
      <c r="BH83" s="31">
        <f t="shared" si="62"/>
        <v>461</v>
      </c>
      <c r="BI83" s="31">
        <f t="shared" si="63"/>
        <v>494</v>
      </c>
      <c r="BJ83" s="37">
        <f t="shared" si="64"/>
        <v>-33</v>
      </c>
      <c r="BK83" s="37">
        <f t="shared" si="65"/>
        <v>-6.6801619433198383</v>
      </c>
      <c r="BL83" s="36">
        <f t="shared" si="66"/>
        <v>225</v>
      </c>
      <c r="BM83" s="36">
        <f t="shared" si="67"/>
        <v>232</v>
      </c>
      <c r="BN83" s="37">
        <f t="shared" si="68"/>
        <v>-7</v>
      </c>
      <c r="BO83" s="37">
        <f t="shared" si="69"/>
        <v>-3.0172413793103448</v>
      </c>
      <c r="BP83" s="38">
        <f t="shared" si="70"/>
        <v>6013.5</v>
      </c>
      <c r="BQ83" s="39">
        <f>J83+N83+S83+W83+AA83+AE83+AI83+AM83+AQ83+AU83+Table1[[#This Row],[MS-0225]]+Table1[[#This Row],[MS-0325]]</f>
        <v>5934.5</v>
      </c>
      <c r="BR83" s="37">
        <f t="shared" si="71"/>
        <v>79</v>
      </c>
      <c r="BS83" s="37">
        <f t="shared" si="72"/>
        <v>1.3311989215603675</v>
      </c>
      <c r="BT83" s="36">
        <f t="shared" si="73"/>
        <v>2684.5</v>
      </c>
      <c r="BU83" s="36">
        <f t="shared" si="74"/>
        <v>3029.5</v>
      </c>
      <c r="BV83" s="37">
        <f t="shared" si="75"/>
        <v>-345</v>
      </c>
      <c r="BW83" s="37">
        <f t="shared" si="76"/>
        <v>-11.388017824723553</v>
      </c>
      <c r="BX83">
        <v>0</v>
      </c>
      <c r="BY83" s="83">
        <f t="shared" si="77"/>
        <v>0</v>
      </c>
      <c r="BZ83">
        <v>0</v>
      </c>
      <c r="CA83" s="83">
        <f t="shared" si="78"/>
        <v>0</v>
      </c>
      <c r="CB83" s="96">
        <f t="shared" si="79"/>
        <v>0.4550839091806515</v>
      </c>
      <c r="CC83" s="96">
        <f t="shared" si="80"/>
        <v>0.46559849198868991</v>
      </c>
      <c r="CD83" s="97">
        <f t="shared" si="81"/>
        <v>-1.0514582808038409E-2</v>
      </c>
      <c r="CE83" s="96">
        <f t="shared" si="82"/>
        <v>0.44554455445544555</v>
      </c>
      <c r="CF83" s="96">
        <f t="shared" si="83"/>
        <v>0.42028985507246375</v>
      </c>
      <c r="CG83" s="96">
        <f t="shared" si="84"/>
        <v>2.5254699382981805E-2</v>
      </c>
      <c r="CH83" s="95">
        <f t="shared" si="85"/>
        <v>0.46659683426443205</v>
      </c>
      <c r="CI83" s="95">
        <f t="shared" si="86"/>
        <v>0.47485497099419882</v>
      </c>
      <c r="CJ83" s="98">
        <f t="shared" si="87"/>
        <v>-8.258136729766774E-3</v>
      </c>
      <c r="CK83" s="95">
        <f t="shared" si="88"/>
        <v>0.45662527640755229</v>
      </c>
      <c r="CL83" s="95">
        <f t="shared" si="89"/>
        <v>0.46661532537543321</v>
      </c>
      <c r="CM83" s="98">
        <f t="shared" si="90"/>
        <v>-9.9900489678809157E-3</v>
      </c>
      <c r="CN83" s="94">
        <f t="shared" si="91"/>
        <v>1.3997905027932962</v>
      </c>
      <c r="CO83" s="94">
        <f t="shared" si="92"/>
        <v>1.3698758292226569</v>
      </c>
    </row>
    <row r="84" spans="1:94" ht="24.5" x14ac:dyDescent="0.35">
      <c r="A84" s="104">
        <v>186864</v>
      </c>
      <c r="B84" s="5" t="s">
        <v>581</v>
      </c>
      <c r="C84" s="46" t="s">
        <v>624</v>
      </c>
      <c r="D84" s="13" t="s">
        <v>625</v>
      </c>
      <c r="E84" s="6" t="s">
        <v>89</v>
      </c>
      <c r="F84" s="6" t="s">
        <v>237</v>
      </c>
      <c r="G84" s="12" t="s">
        <v>237</v>
      </c>
      <c r="H84" s="51" t="s">
        <v>205</v>
      </c>
      <c r="I84" s="24" t="s">
        <v>86</v>
      </c>
      <c r="J84" s="100">
        <v>276</v>
      </c>
      <c r="K84" s="100">
        <v>316</v>
      </c>
      <c r="L84" s="100">
        <v>48</v>
      </c>
      <c r="M84" s="100">
        <v>56</v>
      </c>
      <c r="N84" s="18">
        <v>288</v>
      </c>
      <c r="O84" s="18">
        <v>332</v>
      </c>
      <c r="P84" s="18">
        <v>72</v>
      </c>
      <c r="Q84" s="18">
        <v>52</v>
      </c>
      <c r="R84" s="100">
        <v>308</v>
      </c>
      <c r="S84" s="100">
        <v>280</v>
      </c>
      <c r="T84" s="100">
        <v>52</v>
      </c>
      <c r="U84" s="100">
        <v>68</v>
      </c>
      <c r="V84" s="100">
        <v>332</v>
      </c>
      <c r="W84" s="100">
        <v>304</v>
      </c>
      <c r="X84" s="100">
        <v>76</v>
      </c>
      <c r="Y84" s="100">
        <v>68</v>
      </c>
      <c r="Z84" s="100">
        <v>360</v>
      </c>
      <c r="AA84" s="100">
        <v>292</v>
      </c>
      <c r="AB84" s="100">
        <v>60</v>
      </c>
      <c r="AC84" s="100">
        <v>68</v>
      </c>
      <c r="AD84" s="100">
        <v>316</v>
      </c>
      <c r="AE84" s="100">
        <v>300</v>
      </c>
      <c r="AF84" s="100">
        <v>68</v>
      </c>
      <c r="AG84" s="100">
        <v>60</v>
      </c>
      <c r="AH84" s="100">
        <v>368</v>
      </c>
      <c r="AI84" s="100">
        <v>308</v>
      </c>
      <c r="AJ84" s="100">
        <v>64</v>
      </c>
      <c r="AK84" s="100">
        <v>76</v>
      </c>
      <c r="AL84" s="100">
        <v>338</v>
      </c>
      <c r="AM84" s="100">
        <v>308</v>
      </c>
      <c r="AN84" s="100">
        <v>52</v>
      </c>
      <c r="AO84" s="100">
        <v>64</v>
      </c>
      <c r="AP84" s="100">
        <v>340</v>
      </c>
      <c r="AQ84" s="100">
        <v>292</v>
      </c>
      <c r="AR84" s="100">
        <v>56</v>
      </c>
      <c r="AS84" s="100">
        <v>80</v>
      </c>
      <c r="AT84" s="100">
        <v>320</v>
      </c>
      <c r="AU84" s="100">
        <v>288</v>
      </c>
      <c r="AV84" s="100">
        <v>64</v>
      </c>
      <c r="AW84" s="100">
        <v>84</v>
      </c>
      <c r="AX84" s="100">
        <v>312</v>
      </c>
      <c r="AY84" s="100">
        <v>280</v>
      </c>
      <c r="AZ84" s="100">
        <v>60</v>
      </c>
      <c r="BA84" s="100">
        <v>68</v>
      </c>
      <c r="BB84" s="100">
        <v>352</v>
      </c>
      <c r="BC84" s="100">
        <v>322</v>
      </c>
      <c r="BD84" s="100">
        <v>92</v>
      </c>
      <c r="BE84" s="100">
        <v>52</v>
      </c>
      <c r="BF84" s="23">
        <v>28.688199999999998</v>
      </c>
      <c r="BG84" s="23">
        <v>77.089600000000004</v>
      </c>
      <c r="BH84" s="31">
        <f t="shared" si="62"/>
        <v>352</v>
      </c>
      <c r="BI84" s="31">
        <f t="shared" si="63"/>
        <v>322</v>
      </c>
      <c r="BJ84" s="37">
        <f t="shared" si="64"/>
        <v>30</v>
      </c>
      <c r="BK84" s="37">
        <f t="shared" si="65"/>
        <v>9.316770186335404</v>
      </c>
      <c r="BL84" s="36">
        <f t="shared" si="66"/>
        <v>92</v>
      </c>
      <c r="BM84" s="36">
        <f t="shared" si="67"/>
        <v>52</v>
      </c>
      <c r="BN84" s="37">
        <f t="shared" si="68"/>
        <v>40</v>
      </c>
      <c r="BO84" s="37">
        <f t="shared" si="69"/>
        <v>76.923076923076934</v>
      </c>
      <c r="BP84" s="38">
        <f t="shared" si="70"/>
        <v>3994</v>
      </c>
      <c r="BQ84" s="39">
        <f>J84+N84+S84+W84+AA84+AE84+AI84+AM84+AQ84+AU84+Table1[[#This Row],[MS-0225]]+Table1[[#This Row],[MS-0325]]</f>
        <v>3538</v>
      </c>
      <c r="BR84" s="37">
        <f t="shared" si="71"/>
        <v>456</v>
      </c>
      <c r="BS84" s="37">
        <f t="shared" si="72"/>
        <v>12.88863764838892</v>
      </c>
      <c r="BT84" s="36">
        <f t="shared" si="73"/>
        <v>752</v>
      </c>
      <c r="BU84" s="36">
        <f t="shared" si="74"/>
        <v>808</v>
      </c>
      <c r="BV84" s="37">
        <f t="shared" si="75"/>
        <v>-56</v>
      </c>
      <c r="BW84" s="37">
        <f t="shared" si="76"/>
        <v>-6.9306930693069315</v>
      </c>
      <c r="BX84">
        <v>0</v>
      </c>
      <c r="BY84" s="83">
        <f t="shared" si="77"/>
        <v>0</v>
      </c>
      <c r="BZ84">
        <v>0</v>
      </c>
      <c r="CA84" s="83">
        <f t="shared" si="78"/>
        <v>0</v>
      </c>
      <c r="CB84" s="96">
        <f t="shared" si="79"/>
        <v>0.4032073310423826</v>
      </c>
      <c r="CC84" s="96">
        <f t="shared" si="80"/>
        <v>0.35404068169323805</v>
      </c>
      <c r="CD84" s="97">
        <f t="shared" si="81"/>
        <v>4.9166649349144553E-2</v>
      </c>
      <c r="CE84" s="96">
        <f t="shared" si="82"/>
        <v>0.19287211740041929</v>
      </c>
      <c r="CF84" s="96">
        <f t="shared" si="83"/>
        <v>0.12855377008652658</v>
      </c>
      <c r="CG84" s="96">
        <f t="shared" si="84"/>
        <v>6.4318347313892715E-2</v>
      </c>
      <c r="CH84" s="95">
        <f t="shared" si="85"/>
        <v>0.39836425294234989</v>
      </c>
      <c r="CI84" s="95">
        <f t="shared" si="86"/>
        <v>0.35403011957772551</v>
      </c>
      <c r="CJ84" s="98">
        <f t="shared" si="87"/>
        <v>4.4334133364624384E-2</v>
      </c>
      <c r="CK84" s="95">
        <f t="shared" si="88"/>
        <v>0.14986050219210842</v>
      </c>
      <c r="CL84" s="95">
        <f t="shared" si="89"/>
        <v>0.14422132976349844</v>
      </c>
      <c r="CM84" s="98">
        <f t="shared" si="90"/>
        <v>5.6391724286099787E-3</v>
      </c>
      <c r="CN84" s="94">
        <f t="shared" si="91"/>
        <v>1.1950927588270497</v>
      </c>
      <c r="CO84" s="94">
        <f t="shared" si="92"/>
        <v>0.44958150657632523</v>
      </c>
    </row>
    <row r="85" spans="1:94" ht="24.5" x14ac:dyDescent="0.35">
      <c r="A85" s="102">
        <v>163741</v>
      </c>
      <c r="B85" s="3" t="s">
        <v>72</v>
      </c>
      <c r="C85" s="41" t="s">
        <v>152</v>
      </c>
      <c r="D85" s="12" t="s">
        <v>153</v>
      </c>
      <c r="E85" s="4" t="s">
        <v>81</v>
      </c>
      <c r="F85" s="4" t="s">
        <v>154</v>
      </c>
      <c r="G85" s="12" t="s">
        <v>154</v>
      </c>
      <c r="H85" s="51" t="s">
        <v>135</v>
      </c>
      <c r="I85" s="23" t="s">
        <v>83</v>
      </c>
      <c r="J85" s="18">
        <v>372</v>
      </c>
      <c r="K85" s="18">
        <v>436</v>
      </c>
      <c r="L85" s="18">
        <v>84</v>
      </c>
      <c r="M85" s="18">
        <v>92</v>
      </c>
      <c r="N85" s="18">
        <v>432</v>
      </c>
      <c r="O85" s="18">
        <v>440</v>
      </c>
      <c r="P85" s="18">
        <v>108</v>
      </c>
      <c r="Q85" s="18">
        <v>88</v>
      </c>
      <c r="R85" s="18">
        <v>404</v>
      </c>
      <c r="S85" s="18">
        <v>364</v>
      </c>
      <c r="T85" s="18">
        <v>88</v>
      </c>
      <c r="U85" s="18">
        <v>104</v>
      </c>
      <c r="V85" s="18">
        <v>468</v>
      </c>
      <c r="W85" s="18">
        <v>404</v>
      </c>
      <c r="X85" s="18">
        <v>84</v>
      </c>
      <c r="Y85" s="18">
        <v>100</v>
      </c>
      <c r="Z85" s="18">
        <v>476</v>
      </c>
      <c r="AA85" s="18">
        <v>432</v>
      </c>
      <c r="AB85" s="18">
        <v>88</v>
      </c>
      <c r="AC85" s="18">
        <v>96</v>
      </c>
      <c r="AD85" s="18">
        <v>428</v>
      </c>
      <c r="AE85" s="18">
        <v>396</v>
      </c>
      <c r="AF85" s="18">
        <v>88</v>
      </c>
      <c r="AG85" s="18">
        <v>96</v>
      </c>
      <c r="AH85" s="18">
        <v>448</v>
      </c>
      <c r="AI85" s="18">
        <v>416</v>
      </c>
      <c r="AJ85" s="18">
        <v>80</v>
      </c>
      <c r="AK85" s="18">
        <v>100</v>
      </c>
      <c r="AL85" s="18">
        <v>416</v>
      </c>
      <c r="AM85" s="18">
        <v>368</v>
      </c>
      <c r="AN85" s="18">
        <v>76</v>
      </c>
      <c r="AO85" s="18">
        <v>76</v>
      </c>
      <c r="AP85" s="18">
        <v>428</v>
      </c>
      <c r="AQ85" s="18">
        <v>412</v>
      </c>
      <c r="AR85" s="18">
        <v>64</v>
      </c>
      <c r="AS85" s="18">
        <v>80</v>
      </c>
      <c r="AT85" s="18">
        <v>412</v>
      </c>
      <c r="AU85" s="18">
        <v>388</v>
      </c>
      <c r="AV85" s="18">
        <v>68</v>
      </c>
      <c r="AW85" s="18">
        <v>80</v>
      </c>
      <c r="AX85" s="18">
        <v>400</v>
      </c>
      <c r="AY85" s="18">
        <v>340</v>
      </c>
      <c r="AZ85" s="18">
        <v>80</v>
      </c>
      <c r="BA85" s="18">
        <v>80</v>
      </c>
      <c r="BB85" s="18">
        <v>460</v>
      </c>
      <c r="BC85" s="18">
        <v>400</v>
      </c>
      <c r="BD85" s="18">
        <v>80</v>
      </c>
      <c r="BE85" s="18">
        <v>80</v>
      </c>
      <c r="BF85" s="23">
        <v>28.591270000000002</v>
      </c>
      <c r="BG85" s="23">
        <v>77.046989999999994</v>
      </c>
      <c r="BH85" s="31">
        <f t="shared" si="62"/>
        <v>460</v>
      </c>
      <c r="BI85" s="31">
        <f t="shared" si="63"/>
        <v>400</v>
      </c>
      <c r="BJ85" s="37">
        <f t="shared" si="64"/>
        <v>60</v>
      </c>
      <c r="BK85" s="37">
        <f t="shared" si="65"/>
        <v>15</v>
      </c>
      <c r="BL85" s="36">
        <f t="shared" si="66"/>
        <v>80</v>
      </c>
      <c r="BM85" s="36">
        <f t="shared" si="67"/>
        <v>80</v>
      </c>
      <c r="BN85" s="37">
        <f t="shared" si="68"/>
        <v>0</v>
      </c>
      <c r="BO85" s="37">
        <f t="shared" si="69"/>
        <v>0</v>
      </c>
      <c r="BP85" s="38">
        <f t="shared" si="70"/>
        <v>5216</v>
      </c>
      <c r="BQ85" s="39">
        <f>J85+N85+S85+W85+AA85+AE85+AI85+AM85+AQ85+AU85+Table1[[#This Row],[MS-0225]]+Table1[[#This Row],[MS-0325]]</f>
        <v>4724</v>
      </c>
      <c r="BR85" s="37">
        <f t="shared" si="71"/>
        <v>492</v>
      </c>
      <c r="BS85" s="37">
        <f t="shared" si="72"/>
        <v>10.414902624894157</v>
      </c>
      <c r="BT85" s="36">
        <f t="shared" si="73"/>
        <v>976</v>
      </c>
      <c r="BU85" s="36">
        <f t="shared" si="74"/>
        <v>1084</v>
      </c>
      <c r="BV85" s="37">
        <f t="shared" si="75"/>
        <v>-108</v>
      </c>
      <c r="BW85" s="37">
        <f t="shared" si="76"/>
        <v>-9.9630996309963091</v>
      </c>
      <c r="BX85">
        <v>40</v>
      </c>
      <c r="BY85" s="83">
        <f t="shared" si="77"/>
        <v>8.6956521739130432E-2</v>
      </c>
      <c r="BZ85">
        <v>204</v>
      </c>
      <c r="CA85" s="83">
        <f t="shared" si="78"/>
        <v>3.9110429447852764E-2</v>
      </c>
      <c r="CB85" s="96">
        <f t="shared" si="79"/>
        <v>0.26467203682393559</v>
      </c>
      <c r="CC85" s="96">
        <f t="shared" si="80"/>
        <v>0.26024723487312945</v>
      </c>
      <c r="CD85" s="97">
        <f t="shared" si="81"/>
        <v>4.4248019508061343E-3</v>
      </c>
      <c r="CE85" s="96">
        <f t="shared" si="82"/>
        <v>0.24691358024691357</v>
      </c>
      <c r="CF85" s="96">
        <f t="shared" si="83"/>
        <v>0.26229508196721313</v>
      </c>
      <c r="CG85" s="96">
        <f t="shared" si="84"/>
        <v>-1.5381501720299562E-2</v>
      </c>
      <c r="CH85" s="95">
        <f t="shared" si="85"/>
        <v>0.26279725916968966</v>
      </c>
      <c r="CI85" s="95">
        <f t="shared" si="86"/>
        <v>0.26155081250173018</v>
      </c>
      <c r="CJ85" s="98">
        <f t="shared" si="87"/>
        <v>1.2464466679594777E-3</v>
      </c>
      <c r="CK85" s="95">
        <f t="shared" si="88"/>
        <v>0.265073329712113</v>
      </c>
      <c r="CL85" s="95">
        <f t="shared" si="89"/>
        <v>0.28818290575568256</v>
      </c>
      <c r="CM85" s="98">
        <f t="shared" si="90"/>
        <v>-2.3109576043569557E-2</v>
      </c>
      <c r="CN85" s="94">
        <f t="shared" si="91"/>
        <v>1.0511890366787586</v>
      </c>
      <c r="CO85" s="94">
        <f t="shared" si="92"/>
        <v>1.060293318848452</v>
      </c>
    </row>
    <row r="86" spans="1:94" ht="24.5" x14ac:dyDescent="0.35">
      <c r="A86" s="103">
        <v>41056845</v>
      </c>
      <c r="B86" s="9" t="s">
        <v>380</v>
      </c>
      <c r="C86" s="47" t="s">
        <v>544</v>
      </c>
      <c r="D86" s="14" t="s">
        <v>545</v>
      </c>
      <c r="E86" s="10" t="s">
        <v>169</v>
      </c>
      <c r="F86" s="10" t="s">
        <v>170</v>
      </c>
      <c r="G86" s="12" t="s">
        <v>170</v>
      </c>
      <c r="H86" s="51" t="s">
        <v>172</v>
      </c>
      <c r="I86" s="25" t="s">
        <v>78</v>
      </c>
      <c r="J86" s="99">
        <v>448</v>
      </c>
      <c r="K86" s="99">
        <v>456.5</v>
      </c>
      <c r="L86" s="99">
        <v>363</v>
      </c>
      <c r="M86" s="99">
        <v>312.5</v>
      </c>
      <c r="N86" s="18">
        <v>439</v>
      </c>
      <c r="O86" s="18">
        <v>505</v>
      </c>
      <c r="P86" s="18">
        <v>398</v>
      </c>
      <c r="Q86" s="18">
        <v>330</v>
      </c>
      <c r="R86" s="99">
        <v>486</v>
      </c>
      <c r="S86" s="99">
        <v>470</v>
      </c>
      <c r="T86" s="99">
        <v>301</v>
      </c>
      <c r="U86" s="99">
        <v>354</v>
      </c>
      <c r="V86" s="99">
        <v>451</v>
      </c>
      <c r="W86" s="99">
        <v>452.5</v>
      </c>
      <c r="X86" s="99">
        <v>300</v>
      </c>
      <c r="Y86" s="99">
        <v>352.5</v>
      </c>
      <c r="Z86" s="99">
        <v>450.5</v>
      </c>
      <c r="AA86" s="99">
        <v>445.5</v>
      </c>
      <c r="AB86" s="99">
        <v>291.5</v>
      </c>
      <c r="AC86" s="99">
        <v>325.5</v>
      </c>
      <c r="AD86" s="99">
        <v>431</v>
      </c>
      <c r="AE86" s="99">
        <v>445.5</v>
      </c>
      <c r="AF86" s="99">
        <v>286</v>
      </c>
      <c r="AG86" s="99">
        <v>332.5</v>
      </c>
      <c r="AH86" s="99">
        <v>472</v>
      </c>
      <c r="AI86" s="99">
        <v>424</v>
      </c>
      <c r="AJ86" s="99">
        <v>356</v>
      </c>
      <c r="AK86" s="99">
        <v>364</v>
      </c>
      <c r="AL86" s="99">
        <v>477</v>
      </c>
      <c r="AM86" s="99">
        <v>462</v>
      </c>
      <c r="AN86" s="99">
        <v>310</v>
      </c>
      <c r="AO86" s="99">
        <v>338</v>
      </c>
      <c r="AP86" s="99">
        <v>457</v>
      </c>
      <c r="AQ86" s="99">
        <v>404</v>
      </c>
      <c r="AR86" s="99">
        <v>302</v>
      </c>
      <c r="AS86" s="99">
        <v>360</v>
      </c>
      <c r="AT86" s="99">
        <v>427.5</v>
      </c>
      <c r="AU86" s="99">
        <v>422</v>
      </c>
      <c r="AV86" s="99">
        <v>253.5</v>
      </c>
      <c r="AW86" s="99">
        <v>319</v>
      </c>
      <c r="AX86" s="99">
        <v>425</v>
      </c>
      <c r="AY86" s="99">
        <v>406.5</v>
      </c>
      <c r="AZ86" s="99">
        <v>278</v>
      </c>
      <c r="BA86" s="99">
        <v>303.5</v>
      </c>
      <c r="BB86" s="99">
        <v>456.5</v>
      </c>
      <c r="BC86" s="99">
        <v>449.5</v>
      </c>
      <c r="BD86" s="99">
        <v>267.5</v>
      </c>
      <c r="BE86" s="99">
        <v>331.5</v>
      </c>
      <c r="BF86" s="23">
        <v>28.676600000000001</v>
      </c>
      <c r="BG86" s="23">
        <v>77.316689999999994</v>
      </c>
      <c r="BH86" s="31">
        <f t="shared" si="62"/>
        <v>456.5</v>
      </c>
      <c r="BI86" s="31">
        <f t="shared" si="63"/>
        <v>449.5</v>
      </c>
      <c r="BJ86" s="37">
        <f t="shared" si="64"/>
        <v>7</v>
      </c>
      <c r="BK86" s="37">
        <f t="shared" si="65"/>
        <v>1.5572858731924359</v>
      </c>
      <c r="BL86" s="36">
        <f t="shared" si="66"/>
        <v>267.5</v>
      </c>
      <c r="BM86" s="36">
        <f t="shared" si="67"/>
        <v>331.5</v>
      </c>
      <c r="BN86" s="37">
        <f t="shared" si="68"/>
        <v>-64</v>
      </c>
      <c r="BO86" s="37">
        <f t="shared" si="69"/>
        <v>-19.306184012066367</v>
      </c>
      <c r="BP86" s="38">
        <f t="shared" si="70"/>
        <v>5495</v>
      </c>
      <c r="BQ86" s="39">
        <f>J86+N86+S86+W86+AA86+AE86+AI86+AM86+AQ86+AU86+Table1[[#This Row],[MS-0225]]+Table1[[#This Row],[MS-0325]]</f>
        <v>5268.5</v>
      </c>
      <c r="BR86" s="37">
        <f t="shared" si="71"/>
        <v>226.5</v>
      </c>
      <c r="BS86" s="37">
        <f t="shared" si="72"/>
        <v>4.2991363765777741</v>
      </c>
      <c r="BT86" s="36">
        <f t="shared" si="73"/>
        <v>3588</v>
      </c>
      <c r="BU86" s="36">
        <f t="shared" si="74"/>
        <v>4141.5</v>
      </c>
      <c r="BV86" s="37">
        <f t="shared" si="75"/>
        <v>-553.5</v>
      </c>
      <c r="BW86" s="37">
        <f t="shared" si="76"/>
        <v>-13.364722926475913</v>
      </c>
      <c r="BX86">
        <v>0</v>
      </c>
      <c r="BY86" s="83">
        <f t="shared" si="77"/>
        <v>0</v>
      </c>
      <c r="BZ86">
        <v>0</v>
      </c>
      <c r="CA86" s="83">
        <f t="shared" si="78"/>
        <v>0</v>
      </c>
      <c r="CB86" s="96">
        <f t="shared" si="79"/>
        <v>0.31668400971210542</v>
      </c>
      <c r="CC86" s="96">
        <f t="shared" si="80"/>
        <v>0.31566011235955055</v>
      </c>
      <c r="CD86" s="97">
        <f t="shared" si="81"/>
        <v>1.02389735255487E-3</v>
      </c>
      <c r="CE86" s="96">
        <f t="shared" si="82"/>
        <v>0.38351254480286739</v>
      </c>
      <c r="CF86" s="96">
        <f t="shared" si="83"/>
        <v>0.34567257559958292</v>
      </c>
      <c r="CG86" s="96">
        <f t="shared" si="84"/>
        <v>3.7839969203284474E-2</v>
      </c>
      <c r="CH86" s="95">
        <f t="shared" si="85"/>
        <v>0.315008025682183</v>
      </c>
      <c r="CI86" s="95">
        <f t="shared" si="86"/>
        <v>0.30933857851627866</v>
      </c>
      <c r="CJ86" s="98">
        <f t="shared" si="87"/>
        <v>5.6694471659043399E-3</v>
      </c>
      <c r="CK86" s="95">
        <f t="shared" si="88"/>
        <v>0.35528270125755024</v>
      </c>
      <c r="CL86" s="95">
        <f t="shared" si="89"/>
        <v>0.33215703573003968</v>
      </c>
      <c r="CM86" s="98">
        <f t="shared" si="90"/>
        <v>2.3125665527510553E-2</v>
      </c>
      <c r="CN86" s="94">
        <f t="shared" si="91"/>
        <v>1.575040128410915</v>
      </c>
      <c r="CO86" s="94">
        <f t="shared" si="92"/>
        <v>1.7764135062877511</v>
      </c>
    </row>
    <row r="87" spans="1:94" ht="24.5" x14ac:dyDescent="0.35">
      <c r="A87" s="102">
        <v>112417</v>
      </c>
      <c r="B87" s="3" t="s">
        <v>72</v>
      </c>
      <c r="C87" s="41" t="s">
        <v>324</v>
      </c>
      <c r="D87" s="12" t="s">
        <v>325</v>
      </c>
      <c r="E87" s="4" t="s">
        <v>85</v>
      </c>
      <c r="F87" s="4" t="s">
        <v>326</v>
      </c>
      <c r="G87" s="12" t="s">
        <v>326</v>
      </c>
      <c r="H87" s="51" t="s">
        <v>304</v>
      </c>
      <c r="I87" s="23" t="s">
        <v>86</v>
      </c>
      <c r="J87" s="18">
        <v>435.00000599999998</v>
      </c>
      <c r="K87" s="18">
        <v>442</v>
      </c>
      <c r="L87" s="18">
        <v>45</v>
      </c>
      <c r="M87" s="18">
        <v>40</v>
      </c>
      <c r="N87" s="18">
        <v>424.50000599999998</v>
      </c>
      <c r="O87" s="18">
        <v>434</v>
      </c>
      <c r="P87" s="18">
        <v>49.5</v>
      </c>
      <c r="Q87" s="18">
        <v>40</v>
      </c>
      <c r="R87" s="18">
        <v>447.5</v>
      </c>
      <c r="S87" s="18">
        <v>435.00000799999998</v>
      </c>
      <c r="T87" s="18">
        <v>40.5</v>
      </c>
      <c r="U87" s="18">
        <v>45</v>
      </c>
      <c r="V87" s="18">
        <v>479.5</v>
      </c>
      <c r="W87" s="18">
        <v>455.00000199999999</v>
      </c>
      <c r="X87" s="18">
        <v>40.5</v>
      </c>
      <c r="Y87" s="18">
        <v>49</v>
      </c>
      <c r="Z87" s="18">
        <v>490.5</v>
      </c>
      <c r="AA87" s="18">
        <v>459.500001</v>
      </c>
      <c r="AB87" s="18">
        <v>35.5</v>
      </c>
      <c r="AC87" s="18">
        <v>44.5</v>
      </c>
      <c r="AD87" s="18">
        <v>458</v>
      </c>
      <c r="AE87" s="18">
        <v>421.50000199999999</v>
      </c>
      <c r="AF87" s="18">
        <v>40</v>
      </c>
      <c r="AG87" s="18">
        <v>40.5</v>
      </c>
      <c r="AH87" s="18">
        <v>494</v>
      </c>
      <c r="AI87" s="18">
        <v>441</v>
      </c>
      <c r="AJ87" s="18">
        <v>36</v>
      </c>
      <c r="AK87" s="18">
        <v>45</v>
      </c>
      <c r="AL87" s="18">
        <v>434.5</v>
      </c>
      <c r="AM87" s="18">
        <v>418.50000799999998</v>
      </c>
      <c r="AN87" s="18">
        <v>35.5</v>
      </c>
      <c r="AO87" s="18">
        <v>31.5</v>
      </c>
      <c r="AP87" s="18">
        <v>449</v>
      </c>
      <c r="AQ87" s="18">
        <v>426</v>
      </c>
      <c r="AR87" s="18">
        <v>27</v>
      </c>
      <c r="AS87" s="18">
        <v>36</v>
      </c>
      <c r="AT87" s="18">
        <v>414.5</v>
      </c>
      <c r="AU87" s="18">
        <v>410</v>
      </c>
      <c r="AV87" s="18">
        <v>31.5</v>
      </c>
      <c r="AW87" s="18">
        <v>36</v>
      </c>
      <c r="AX87" s="18">
        <v>425.5</v>
      </c>
      <c r="AY87" s="18">
        <v>376</v>
      </c>
      <c r="AZ87" s="18">
        <v>36.5</v>
      </c>
      <c r="BA87" s="18">
        <v>36</v>
      </c>
      <c r="BB87" s="18">
        <v>446.5</v>
      </c>
      <c r="BC87" s="18">
        <v>422.5</v>
      </c>
      <c r="BD87" s="18">
        <v>36</v>
      </c>
      <c r="BE87" s="18">
        <v>35.5</v>
      </c>
      <c r="BF87" s="23">
        <v>28.640250000000002</v>
      </c>
      <c r="BG87" s="23">
        <v>77.074910000000003</v>
      </c>
      <c r="BH87" s="31">
        <f t="shared" si="62"/>
        <v>446.5</v>
      </c>
      <c r="BI87" s="31">
        <f t="shared" si="63"/>
        <v>422.5</v>
      </c>
      <c r="BJ87" s="37">
        <f t="shared" si="64"/>
        <v>24</v>
      </c>
      <c r="BK87" s="37">
        <f t="shared" si="65"/>
        <v>5.6804733727810648</v>
      </c>
      <c r="BL87" s="36">
        <f t="shared" si="66"/>
        <v>36</v>
      </c>
      <c r="BM87" s="36">
        <f t="shared" si="67"/>
        <v>35.5</v>
      </c>
      <c r="BN87" s="37">
        <f t="shared" si="68"/>
        <v>0.5</v>
      </c>
      <c r="BO87" s="37">
        <f t="shared" si="69"/>
        <v>1.4084507042253522</v>
      </c>
      <c r="BP87" s="38">
        <f t="shared" si="70"/>
        <v>5415.5</v>
      </c>
      <c r="BQ87" s="39">
        <f>J87+N87+S87+W87+AA87+AE87+AI87+AM87+AQ87+AU87+Table1[[#This Row],[MS-0225]]+Table1[[#This Row],[MS-0325]]</f>
        <v>5124.5000330000003</v>
      </c>
      <c r="BR87" s="37">
        <f t="shared" si="71"/>
        <v>290.99996699999974</v>
      </c>
      <c r="BS87" s="37">
        <f t="shared" si="72"/>
        <v>5.6786021099826529</v>
      </c>
      <c r="BT87" s="36">
        <f t="shared" si="73"/>
        <v>439</v>
      </c>
      <c r="BU87" s="36">
        <f t="shared" si="74"/>
        <v>493.5</v>
      </c>
      <c r="BV87" s="37">
        <f t="shared" si="75"/>
        <v>-54.5</v>
      </c>
      <c r="BW87" s="37">
        <f t="shared" si="76"/>
        <v>-11.043566362715298</v>
      </c>
      <c r="BX87">
        <v>51</v>
      </c>
      <c r="BY87" s="83">
        <f t="shared" si="77"/>
        <v>0.11422172452407615</v>
      </c>
      <c r="BZ87">
        <v>317.5</v>
      </c>
      <c r="CA87" s="83">
        <f t="shared" si="78"/>
        <v>5.8628012187240328E-2</v>
      </c>
      <c r="CB87" s="96">
        <f t="shared" si="79"/>
        <v>0.18128298822574096</v>
      </c>
      <c r="CC87" s="96">
        <f t="shared" si="80"/>
        <v>0.17917726887192537</v>
      </c>
      <c r="CD87" s="97">
        <f t="shared" si="81"/>
        <v>2.1057193538155938E-3</v>
      </c>
      <c r="CE87" s="96">
        <f t="shared" si="82"/>
        <v>0.13980582524271845</v>
      </c>
      <c r="CF87" s="96">
        <f t="shared" si="83"/>
        <v>0.11093749999999999</v>
      </c>
      <c r="CG87" s="96">
        <f t="shared" si="84"/>
        <v>2.8868325242718457E-2</v>
      </c>
      <c r="CH87" s="95">
        <f t="shared" si="85"/>
        <v>0.18345500431917885</v>
      </c>
      <c r="CI87" s="95">
        <f t="shared" si="86"/>
        <v>0.17952670458396247</v>
      </c>
      <c r="CJ87" s="98">
        <f t="shared" si="87"/>
        <v>3.928299735216384E-3</v>
      </c>
      <c r="CK87" s="95">
        <f t="shared" si="88"/>
        <v>0.12651296829971181</v>
      </c>
      <c r="CL87" s="95">
        <f t="shared" si="89"/>
        <v>0.12296000996636353</v>
      </c>
      <c r="CM87" s="98">
        <f t="shared" si="90"/>
        <v>3.5529583333482884E-3</v>
      </c>
      <c r="CN87" s="94">
        <f t="shared" si="91"/>
        <v>0.73382001727671542</v>
      </c>
      <c r="CO87" s="94">
        <f t="shared" si="92"/>
        <v>0.50605187319884726</v>
      </c>
    </row>
    <row r="88" spans="1:94" ht="24.5" x14ac:dyDescent="0.35">
      <c r="A88" s="104">
        <v>102106</v>
      </c>
      <c r="B88" s="5" t="s">
        <v>581</v>
      </c>
      <c r="C88" s="46" t="s">
        <v>636</v>
      </c>
      <c r="D88" s="13" t="s">
        <v>637</v>
      </c>
      <c r="E88" s="6" t="s">
        <v>187</v>
      </c>
      <c r="F88" s="6" t="s">
        <v>356</v>
      </c>
      <c r="G88" s="12" t="s">
        <v>603</v>
      </c>
      <c r="H88" s="51" t="s">
        <v>120</v>
      </c>
      <c r="I88" s="24" t="s">
        <v>86</v>
      </c>
      <c r="J88" s="100">
        <v>409.5</v>
      </c>
      <c r="K88" s="100">
        <v>435</v>
      </c>
      <c r="L88" s="100">
        <v>256.5</v>
      </c>
      <c r="M88" s="100">
        <v>283</v>
      </c>
      <c r="N88" s="18">
        <v>477</v>
      </c>
      <c r="O88" s="18">
        <v>477</v>
      </c>
      <c r="P88" s="18">
        <v>333</v>
      </c>
      <c r="Q88" s="18">
        <v>281</v>
      </c>
      <c r="R88" s="100">
        <v>456</v>
      </c>
      <c r="S88" s="100">
        <v>447.5</v>
      </c>
      <c r="T88" s="100">
        <v>264</v>
      </c>
      <c r="U88" s="100">
        <v>292.5</v>
      </c>
      <c r="V88" s="100">
        <v>514.5</v>
      </c>
      <c r="W88" s="100">
        <v>445</v>
      </c>
      <c r="X88" s="100">
        <v>167.5</v>
      </c>
      <c r="Y88" s="100">
        <v>221</v>
      </c>
      <c r="Z88" s="100">
        <v>508.5</v>
      </c>
      <c r="AA88" s="100">
        <v>464.5</v>
      </c>
      <c r="AB88" s="100">
        <v>229.5</v>
      </c>
      <c r="AC88" s="100">
        <v>235.5</v>
      </c>
      <c r="AD88" s="100">
        <v>465.5</v>
      </c>
      <c r="AE88" s="100">
        <v>443.5</v>
      </c>
      <c r="AF88" s="100">
        <v>270.5</v>
      </c>
      <c r="AG88" s="100">
        <v>210.5</v>
      </c>
      <c r="AH88" s="100">
        <v>546</v>
      </c>
      <c r="AI88" s="100">
        <v>471</v>
      </c>
      <c r="AJ88" s="100">
        <v>330</v>
      </c>
      <c r="AK88" s="100">
        <v>249</v>
      </c>
      <c r="AL88" s="100">
        <v>488</v>
      </c>
      <c r="AM88" s="100">
        <v>457</v>
      </c>
      <c r="AN88" s="100">
        <v>246</v>
      </c>
      <c r="AO88" s="100">
        <v>241</v>
      </c>
      <c r="AP88" s="100">
        <v>418</v>
      </c>
      <c r="AQ88" s="100">
        <v>426.5</v>
      </c>
      <c r="AR88" s="100">
        <v>300</v>
      </c>
      <c r="AS88" s="100">
        <v>247.5</v>
      </c>
      <c r="AT88" s="100">
        <v>394</v>
      </c>
      <c r="AU88" s="100">
        <v>456</v>
      </c>
      <c r="AV88" s="100">
        <v>286</v>
      </c>
      <c r="AW88" s="100">
        <v>274</v>
      </c>
      <c r="AX88" s="100">
        <v>369.5</v>
      </c>
      <c r="AY88" s="100">
        <v>393</v>
      </c>
      <c r="AZ88" s="100">
        <v>214.5</v>
      </c>
      <c r="BA88" s="100">
        <v>297</v>
      </c>
      <c r="BB88" s="100">
        <v>396</v>
      </c>
      <c r="BC88" s="100">
        <v>436</v>
      </c>
      <c r="BD88" s="100">
        <v>244</v>
      </c>
      <c r="BE88" s="100">
        <v>210</v>
      </c>
      <c r="BF88" s="23">
        <v>28.701000000000001</v>
      </c>
      <c r="BG88" s="23">
        <v>77.227099999999993</v>
      </c>
      <c r="BH88" s="31">
        <f t="shared" si="62"/>
        <v>396</v>
      </c>
      <c r="BI88" s="31">
        <f t="shared" si="63"/>
        <v>436</v>
      </c>
      <c r="BJ88" s="37">
        <f t="shared" si="64"/>
        <v>-40</v>
      </c>
      <c r="BK88" s="37">
        <f t="shared" si="65"/>
        <v>-9.1743119266055047</v>
      </c>
      <c r="BL88" s="36">
        <f t="shared" si="66"/>
        <v>244</v>
      </c>
      <c r="BM88" s="36">
        <f t="shared" si="67"/>
        <v>210</v>
      </c>
      <c r="BN88" s="37">
        <f t="shared" si="68"/>
        <v>34</v>
      </c>
      <c r="BO88" s="37">
        <f t="shared" si="69"/>
        <v>16.19047619047619</v>
      </c>
      <c r="BP88" s="38">
        <f t="shared" si="70"/>
        <v>5468</v>
      </c>
      <c r="BQ88" s="39">
        <f>J88+N88+S88+W88+AA88+AE88+AI88+AM88+AQ88+AU88+Table1[[#This Row],[MS-0225]]+Table1[[#This Row],[MS-0325]]</f>
        <v>5326.5</v>
      </c>
      <c r="BR88" s="37">
        <f t="shared" si="71"/>
        <v>141.5</v>
      </c>
      <c r="BS88" s="37">
        <f t="shared" si="72"/>
        <v>2.6565286773678776</v>
      </c>
      <c r="BT88" s="36">
        <f t="shared" si="73"/>
        <v>3116</v>
      </c>
      <c r="BU88" s="36">
        <f t="shared" si="74"/>
        <v>3067.5</v>
      </c>
      <c r="BV88" s="37">
        <f t="shared" si="75"/>
        <v>48.5</v>
      </c>
      <c r="BW88" s="37">
        <f t="shared" si="76"/>
        <v>1.5810920945395273</v>
      </c>
      <c r="BX88">
        <v>0</v>
      </c>
      <c r="BY88" s="83">
        <f t="shared" si="77"/>
        <v>0</v>
      </c>
      <c r="BZ88">
        <v>0</v>
      </c>
      <c r="CA88" s="83">
        <f t="shared" si="78"/>
        <v>0</v>
      </c>
      <c r="CB88" s="96">
        <f t="shared" si="79"/>
        <v>0.29988640666414235</v>
      </c>
      <c r="CC88" s="96">
        <f t="shared" si="80"/>
        <v>0.33118116217242688</v>
      </c>
      <c r="CD88" s="97">
        <f t="shared" si="81"/>
        <v>-3.1294755508284533E-2</v>
      </c>
      <c r="CE88" s="96">
        <f t="shared" si="82"/>
        <v>0.31626701231367466</v>
      </c>
      <c r="CF88" s="96">
        <f t="shared" si="83"/>
        <v>0.27504911591355602</v>
      </c>
      <c r="CG88" s="96">
        <f t="shared" si="84"/>
        <v>4.1217896400118637E-2</v>
      </c>
      <c r="CH88" s="95">
        <f t="shared" si="85"/>
        <v>0.3237418590882179</v>
      </c>
      <c r="CI88" s="95">
        <f t="shared" si="86"/>
        <v>0.34584293737622956</v>
      </c>
      <c r="CJ88" s="98">
        <f t="shared" si="87"/>
        <v>-2.2101078288011666E-2</v>
      </c>
      <c r="CK88" s="95">
        <f t="shared" si="88"/>
        <v>0.31945868361697766</v>
      </c>
      <c r="CL88" s="95">
        <f t="shared" si="89"/>
        <v>0.32172636215847711</v>
      </c>
      <c r="CM88" s="98">
        <f t="shared" si="90"/>
        <v>-2.2676785414994516E-3</v>
      </c>
      <c r="CN88" s="94">
        <f t="shared" si="91"/>
        <v>1.2949674363528716</v>
      </c>
      <c r="CO88" s="94">
        <f t="shared" si="92"/>
        <v>1.2778347344679106</v>
      </c>
    </row>
    <row r="89" spans="1:94" ht="36.5" x14ac:dyDescent="0.35">
      <c r="A89" s="104">
        <v>186840</v>
      </c>
      <c r="B89" s="5" t="s">
        <v>581</v>
      </c>
      <c r="C89" s="46" t="s">
        <v>830</v>
      </c>
      <c r="D89" s="13" t="s">
        <v>682</v>
      </c>
      <c r="E89" s="6" t="s">
        <v>200</v>
      </c>
      <c r="F89" s="6" t="s">
        <v>683</v>
      </c>
      <c r="G89" s="12" t="s">
        <v>683</v>
      </c>
      <c r="H89" s="51" t="s">
        <v>248</v>
      </c>
      <c r="I89" s="24" t="s">
        <v>83</v>
      </c>
      <c r="J89" s="100">
        <v>387</v>
      </c>
      <c r="K89" s="100">
        <v>445</v>
      </c>
      <c r="L89" s="100">
        <v>81</v>
      </c>
      <c r="M89" s="100">
        <v>75</v>
      </c>
      <c r="N89" s="18">
        <v>441</v>
      </c>
      <c r="O89" s="18">
        <v>425</v>
      </c>
      <c r="P89" s="18">
        <v>99</v>
      </c>
      <c r="Q89" s="18">
        <v>75</v>
      </c>
      <c r="R89" s="100">
        <v>405</v>
      </c>
      <c r="S89" s="100">
        <v>423</v>
      </c>
      <c r="T89" s="100">
        <v>75</v>
      </c>
      <c r="U89" s="100">
        <v>99</v>
      </c>
      <c r="V89" s="100">
        <v>425</v>
      </c>
      <c r="W89" s="100">
        <v>436.5</v>
      </c>
      <c r="X89" s="100">
        <v>75</v>
      </c>
      <c r="Y89" s="100">
        <v>103.5</v>
      </c>
      <c r="Z89" s="100">
        <v>425</v>
      </c>
      <c r="AA89" s="100">
        <v>418.5</v>
      </c>
      <c r="AB89" s="100">
        <v>75</v>
      </c>
      <c r="AC89" s="100">
        <v>85.5</v>
      </c>
      <c r="AD89" s="100">
        <v>400</v>
      </c>
      <c r="AE89" s="100">
        <v>400.5</v>
      </c>
      <c r="AF89" s="100">
        <v>80</v>
      </c>
      <c r="AG89" s="100">
        <v>85.5</v>
      </c>
      <c r="AH89" s="100">
        <v>435</v>
      </c>
      <c r="AI89" s="100">
        <v>414</v>
      </c>
      <c r="AJ89" s="100">
        <v>65</v>
      </c>
      <c r="AK89" s="100">
        <v>90</v>
      </c>
      <c r="AL89" s="100">
        <v>380</v>
      </c>
      <c r="AM89" s="100">
        <v>365.5</v>
      </c>
      <c r="AN89" s="100">
        <v>60</v>
      </c>
      <c r="AO89" s="100">
        <v>68.5</v>
      </c>
      <c r="AP89" s="100">
        <v>380</v>
      </c>
      <c r="AQ89" s="100">
        <v>380</v>
      </c>
      <c r="AR89" s="100">
        <v>60</v>
      </c>
      <c r="AS89" s="100">
        <v>60</v>
      </c>
      <c r="AT89" s="100">
        <v>375</v>
      </c>
      <c r="AU89" s="100">
        <v>325</v>
      </c>
      <c r="AV89" s="100">
        <v>65</v>
      </c>
      <c r="AW89" s="100">
        <v>55</v>
      </c>
      <c r="AX89" s="100">
        <v>360</v>
      </c>
      <c r="AY89" s="100">
        <v>340</v>
      </c>
      <c r="AZ89" s="100">
        <v>60</v>
      </c>
      <c r="BA89" s="100">
        <v>60</v>
      </c>
      <c r="BB89" s="100">
        <v>445</v>
      </c>
      <c r="BC89" s="100">
        <v>370</v>
      </c>
      <c r="BD89" s="100">
        <v>75</v>
      </c>
      <c r="BE89" s="100">
        <v>70</v>
      </c>
      <c r="BF89" s="23">
        <v>28.702999999999999</v>
      </c>
      <c r="BG89" s="23">
        <v>77.192599999999999</v>
      </c>
      <c r="BH89" s="31">
        <f t="shared" si="62"/>
        <v>445</v>
      </c>
      <c r="BI89" s="31">
        <f t="shared" si="63"/>
        <v>370</v>
      </c>
      <c r="BJ89" s="37">
        <f t="shared" si="64"/>
        <v>75</v>
      </c>
      <c r="BK89" s="37">
        <f t="shared" si="65"/>
        <v>20.27027027027027</v>
      </c>
      <c r="BL89" s="36">
        <f t="shared" si="66"/>
        <v>75</v>
      </c>
      <c r="BM89" s="36">
        <f t="shared" si="67"/>
        <v>70</v>
      </c>
      <c r="BN89" s="37">
        <f t="shared" si="68"/>
        <v>5</v>
      </c>
      <c r="BO89" s="37">
        <f t="shared" si="69"/>
        <v>7.1428571428571423</v>
      </c>
      <c r="BP89" s="38">
        <f t="shared" si="70"/>
        <v>4900</v>
      </c>
      <c r="BQ89" s="39">
        <f>J89+N89+S89+W89+AA89+AE89+AI89+AM89+AQ89+AU89+Table1[[#This Row],[MS-0225]]+Table1[[#This Row],[MS-0325]]</f>
        <v>4701</v>
      </c>
      <c r="BR89" s="37">
        <f t="shared" si="71"/>
        <v>199</v>
      </c>
      <c r="BS89" s="37">
        <f t="shared" si="72"/>
        <v>4.2331418847053817</v>
      </c>
      <c r="BT89" s="36">
        <f t="shared" si="73"/>
        <v>840</v>
      </c>
      <c r="BU89" s="36">
        <f t="shared" si="74"/>
        <v>957</v>
      </c>
      <c r="BV89" s="37">
        <f t="shared" si="75"/>
        <v>-117</v>
      </c>
      <c r="BW89" s="37">
        <f t="shared" si="76"/>
        <v>-12.225705329153605</v>
      </c>
      <c r="BX89">
        <v>0</v>
      </c>
      <c r="BY89" s="83">
        <f t="shared" si="77"/>
        <v>0</v>
      </c>
      <c r="BZ89">
        <v>0</v>
      </c>
      <c r="CA89" s="83">
        <f t="shared" si="78"/>
        <v>0</v>
      </c>
      <c r="CB89" s="96">
        <f t="shared" si="79"/>
        <v>0.33333333333333331</v>
      </c>
      <c r="CC89" s="96">
        <f t="shared" si="80"/>
        <v>0.2992317023857663</v>
      </c>
      <c r="CD89" s="97">
        <f t="shared" si="81"/>
        <v>3.4101630947567019E-2</v>
      </c>
      <c r="CE89" s="96">
        <f t="shared" si="82"/>
        <v>0.18203883495145631</v>
      </c>
      <c r="CF89" s="96">
        <f t="shared" si="83"/>
        <v>0.18252933507170796</v>
      </c>
      <c r="CG89" s="96">
        <f t="shared" si="84"/>
        <v>-4.905001202516468E-4</v>
      </c>
      <c r="CH89" s="95">
        <f t="shared" si="85"/>
        <v>0.30742204655248134</v>
      </c>
      <c r="CI89" s="95">
        <f t="shared" si="86"/>
        <v>0.30529938953110791</v>
      </c>
      <c r="CJ89" s="98">
        <f t="shared" si="87"/>
        <v>2.1226570213734308E-3</v>
      </c>
      <c r="CK89" s="95">
        <f t="shared" si="88"/>
        <v>0.17142857142857143</v>
      </c>
      <c r="CL89" s="95">
        <f t="shared" si="89"/>
        <v>0.20198395947657238</v>
      </c>
      <c r="CM89" s="98">
        <f t="shared" si="90"/>
        <v>-3.0555388048000953E-2</v>
      </c>
      <c r="CN89" s="94">
        <f t="shared" si="91"/>
        <v>0.92226613965744408</v>
      </c>
      <c r="CO89" s="94">
        <f t="shared" si="92"/>
        <v>0.51428571428571423</v>
      </c>
    </row>
    <row r="90" spans="1:94" ht="36.5" x14ac:dyDescent="0.35">
      <c r="A90" s="104">
        <v>186861</v>
      </c>
      <c r="B90" s="5" t="s">
        <v>581</v>
      </c>
      <c r="C90" s="46" t="s">
        <v>645</v>
      </c>
      <c r="D90" s="13" t="s">
        <v>591</v>
      </c>
      <c r="E90" s="6" t="s">
        <v>89</v>
      </c>
      <c r="F90" s="6" t="s">
        <v>294</v>
      </c>
      <c r="G90" s="12" t="s">
        <v>294</v>
      </c>
      <c r="H90" s="51" t="s">
        <v>91</v>
      </c>
      <c r="I90" s="24" t="s">
        <v>86</v>
      </c>
      <c r="J90" s="100">
        <v>136</v>
      </c>
      <c r="K90" s="100">
        <v>140</v>
      </c>
      <c r="L90" s="100">
        <v>152</v>
      </c>
      <c r="M90" s="100">
        <v>220</v>
      </c>
      <c r="N90" s="18">
        <v>156</v>
      </c>
      <c r="O90" s="18">
        <v>164</v>
      </c>
      <c r="P90" s="18">
        <v>108</v>
      </c>
      <c r="Q90" s="18">
        <v>136</v>
      </c>
      <c r="R90" s="100">
        <v>152</v>
      </c>
      <c r="S90" s="100">
        <v>156</v>
      </c>
      <c r="T90" s="100">
        <v>100</v>
      </c>
      <c r="U90" s="100">
        <v>120</v>
      </c>
      <c r="V90" s="100">
        <v>148</v>
      </c>
      <c r="W90" s="100">
        <v>152</v>
      </c>
      <c r="X90" s="100">
        <v>92</v>
      </c>
      <c r="Y90" s="100">
        <v>256</v>
      </c>
      <c r="Z90" s="100">
        <v>168</v>
      </c>
      <c r="AA90" s="100">
        <v>164</v>
      </c>
      <c r="AB90" s="100">
        <v>96</v>
      </c>
      <c r="AC90" s="100">
        <v>88</v>
      </c>
      <c r="AD90" s="100">
        <v>144</v>
      </c>
      <c r="AE90" s="100">
        <v>152</v>
      </c>
      <c r="AF90" s="100">
        <v>96</v>
      </c>
      <c r="AG90" s="100">
        <v>88</v>
      </c>
      <c r="AH90" s="100">
        <v>156</v>
      </c>
      <c r="AI90" s="100">
        <v>152</v>
      </c>
      <c r="AJ90" s="100">
        <v>120</v>
      </c>
      <c r="AK90" s="100">
        <v>124</v>
      </c>
      <c r="AL90" s="100">
        <v>160</v>
      </c>
      <c r="AM90" s="100">
        <v>152</v>
      </c>
      <c r="AN90" s="100">
        <v>164</v>
      </c>
      <c r="AO90" s="100">
        <v>160</v>
      </c>
      <c r="AP90" s="100">
        <v>152</v>
      </c>
      <c r="AQ90" s="100">
        <v>151</v>
      </c>
      <c r="AR90" s="100">
        <v>88</v>
      </c>
      <c r="AS90" s="100">
        <v>101</v>
      </c>
      <c r="AT90" s="100">
        <v>140</v>
      </c>
      <c r="AU90" s="100">
        <v>136</v>
      </c>
      <c r="AV90" s="100">
        <v>76</v>
      </c>
      <c r="AW90" s="100">
        <v>80</v>
      </c>
      <c r="AX90" s="100">
        <v>144</v>
      </c>
      <c r="AY90" s="100">
        <v>136</v>
      </c>
      <c r="AZ90" s="100">
        <v>108</v>
      </c>
      <c r="BA90" s="100">
        <v>116</v>
      </c>
      <c r="BB90" s="100">
        <v>152</v>
      </c>
      <c r="BC90" s="100">
        <v>156</v>
      </c>
      <c r="BD90" s="100">
        <v>140</v>
      </c>
      <c r="BE90" s="100">
        <v>108</v>
      </c>
      <c r="BF90" s="23">
        <v>28.734999999999999</v>
      </c>
      <c r="BG90" s="23">
        <v>77.012426700000006</v>
      </c>
      <c r="BH90" s="31">
        <f t="shared" si="62"/>
        <v>152</v>
      </c>
      <c r="BI90" s="31">
        <f t="shared" si="63"/>
        <v>156</v>
      </c>
      <c r="BJ90" s="37">
        <f t="shared" si="64"/>
        <v>-4</v>
      </c>
      <c r="BK90" s="37">
        <f t="shared" si="65"/>
        <v>-2.5641025641025639</v>
      </c>
      <c r="BL90" s="36">
        <f t="shared" si="66"/>
        <v>140</v>
      </c>
      <c r="BM90" s="36">
        <f t="shared" si="67"/>
        <v>108</v>
      </c>
      <c r="BN90" s="37">
        <f t="shared" si="68"/>
        <v>32</v>
      </c>
      <c r="BO90" s="37">
        <f t="shared" si="69"/>
        <v>29.629629629629626</v>
      </c>
      <c r="BP90" s="38">
        <f t="shared" si="70"/>
        <v>1820</v>
      </c>
      <c r="BQ90" s="39">
        <f>J90+N90+S90+W90+AA90+AE90+AI90+AM90+AQ90+AU90+Table1[[#This Row],[MS-0225]]+Table1[[#This Row],[MS-0325]]</f>
        <v>1799</v>
      </c>
      <c r="BR90" s="37">
        <f t="shared" si="71"/>
        <v>21</v>
      </c>
      <c r="BS90" s="37">
        <f t="shared" si="72"/>
        <v>1.1673151750972763</v>
      </c>
      <c r="BT90" s="36">
        <f t="shared" si="73"/>
        <v>1436</v>
      </c>
      <c r="BU90" s="36">
        <f t="shared" si="74"/>
        <v>1501</v>
      </c>
      <c r="BV90" s="37">
        <f t="shared" si="75"/>
        <v>-65</v>
      </c>
      <c r="BW90" s="37">
        <f t="shared" si="76"/>
        <v>-4.3304463690872748</v>
      </c>
      <c r="BX90">
        <v>0</v>
      </c>
      <c r="BY90" s="83">
        <f t="shared" si="77"/>
        <v>0</v>
      </c>
      <c r="BZ90">
        <v>0</v>
      </c>
      <c r="CA90" s="83">
        <f t="shared" si="78"/>
        <v>0</v>
      </c>
      <c r="CB90" s="96">
        <f t="shared" si="79"/>
        <v>0.34272829763246898</v>
      </c>
      <c r="CC90" s="96">
        <f t="shared" si="80"/>
        <v>0.30799605133267521</v>
      </c>
      <c r="CD90" s="97">
        <f t="shared" si="81"/>
        <v>3.4732246299793768E-2</v>
      </c>
      <c r="CE90" s="96">
        <f t="shared" si="82"/>
        <v>0.27317073170731709</v>
      </c>
      <c r="CF90" s="96">
        <f t="shared" si="83"/>
        <v>0.24351747463359638</v>
      </c>
      <c r="CG90" s="96">
        <f t="shared" si="84"/>
        <v>2.9653257073720712E-2</v>
      </c>
      <c r="CH90" s="95">
        <f t="shared" si="85"/>
        <v>0.329859537834164</v>
      </c>
      <c r="CI90" s="95">
        <f t="shared" si="86"/>
        <v>0.30574439157036032</v>
      </c>
      <c r="CJ90" s="98">
        <f t="shared" si="87"/>
        <v>2.4115146263803677E-2</v>
      </c>
      <c r="CK90" s="95">
        <f t="shared" si="88"/>
        <v>0.24620660094299185</v>
      </c>
      <c r="CL90" s="95">
        <f t="shared" si="89"/>
        <v>0.25570698466780239</v>
      </c>
      <c r="CM90" s="98">
        <f t="shared" si="90"/>
        <v>-9.500383724810546E-3</v>
      </c>
      <c r="CN90" s="94">
        <f t="shared" si="91"/>
        <v>2.3090167648391482</v>
      </c>
      <c r="CO90" s="94">
        <f t="shared" si="92"/>
        <v>1.7234462066009431</v>
      </c>
    </row>
    <row r="91" spans="1:94" ht="36.5" x14ac:dyDescent="0.35">
      <c r="A91" s="104">
        <v>153271</v>
      </c>
      <c r="B91" s="5" t="s">
        <v>581</v>
      </c>
      <c r="C91" s="46" t="s">
        <v>773</v>
      </c>
      <c r="D91" s="13" t="s">
        <v>774</v>
      </c>
      <c r="E91" s="6" t="s">
        <v>111</v>
      </c>
      <c r="F91" s="6" t="s">
        <v>129</v>
      </c>
      <c r="G91" s="12" t="s">
        <v>129</v>
      </c>
      <c r="H91" s="51" t="s">
        <v>126</v>
      </c>
      <c r="I91" s="24" t="s">
        <v>78</v>
      </c>
      <c r="J91" s="100">
        <v>391.42999999999989</v>
      </c>
      <c r="K91" s="100">
        <v>428.495</v>
      </c>
      <c r="L91" s="100">
        <v>91.23</v>
      </c>
      <c r="M91" s="100">
        <v>81.783999999999907</v>
      </c>
      <c r="N91" s="18">
        <v>414.64400000000012</v>
      </c>
      <c r="O91" s="18">
        <v>451.03600000000006</v>
      </c>
      <c r="P91" s="18">
        <v>97.300000000000011</v>
      </c>
      <c r="Q91" s="18">
        <v>83.8</v>
      </c>
      <c r="R91" s="100">
        <v>390.5</v>
      </c>
      <c r="S91" s="100">
        <v>358.96899999999994</v>
      </c>
      <c r="T91" s="100">
        <v>73.5</v>
      </c>
      <c r="U91" s="100">
        <v>85.855999999999995</v>
      </c>
      <c r="V91" s="100">
        <v>461.66500000000002</v>
      </c>
      <c r="W91" s="100">
        <v>425.36099999999999</v>
      </c>
      <c r="X91" s="100">
        <v>80.192999999999998</v>
      </c>
      <c r="Y91" s="100">
        <v>120.76</v>
      </c>
      <c r="Z91" s="100">
        <v>502.22699999999986</v>
      </c>
      <c r="AA91" s="100">
        <v>431.79299999999989</v>
      </c>
      <c r="AB91" s="100">
        <v>92.352000000000004</v>
      </c>
      <c r="AC91" s="100">
        <v>96.382999999999896</v>
      </c>
      <c r="AD91" s="100">
        <v>443.33199999999999</v>
      </c>
      <c r="AE91" s="100">
        <v>422.48099999999994</v>
      </c>
      <c r="AF91" s="100">
        <v>72.248000000000005</v>
      </c>
      <c r="AG91" s="100">
        <v>89.777000000000015</v>
      </c>
      <c r="AH91" s="100">
        <v>437.7759999999999</v>
      </c>
      <c r="AI91" s="100">
        <v>443.5</v>
      </c>
      <c r="AJ91" s="100">
        <v>72.637999999999991</v>
      </c>
      <c r="AK91" s="100">
        <v>86.5</v>
      </c>
      <c r="AL91" s="100">
        <v>415.30500000000001</v>
      </c>
      <c r="AM91" s="100">
        <v>396.678</v>
      </c>
      <c r="AN91" s="100">
        <v>59.32800000000001</v>
      </c>
      <c r="AO91" s="100">
        <v>66.044999999999902</v>
      </c>
      <c r="AP91" s="100">
        <v>414.16699999999997</v>
      </c>
      <c r="AQ91" s="100">
        <v>411.88099999999991</v>
      </c>
      <c r="AR91" s="100">
        <v>61.125</v>
      </c>
      <c r="AS91" s="100">
        <v>67.181000000000012</v>
      </c>
      <c r="AT91" s="100">
        <v>410.37299999999999</v>
      </c>
      <c r="AU91" s="100">
        <v>389.5</v>
      </c>
      <c r="AV91" s="100">
        <v>66.114999999999995</v>
      </c>
      <c r="AW91" s="100">
        <v>70</v>
      </c>
      <c r="AX91" s="100">
        <v>382.01900000000001</v>
      </c>
      <c r="AY91" s="100">
        <v>381.17</v>
      </c>
      <c r="AZ91" s="100">
        <v>60.531999999999897</v>
      </c>
      <c r="BA91" s="100">
        <v>68.861000000000004</v>
      </c>
      <c r="BB91" s="100">
        <v>439.77999999999901</v>
      </c>
      <c r="BC91" s="100">
        <v>415.09300000000002</v>
      </c>
      <c r="BD91" s="100">
        <v>72.349000000000004</v>
      </c>
      <c r="BE91" s="100">
        <v>77.147999999999996</v>
      </c>
      <c r="BF91" s="23">
        <v>28.5871</v>
      </c>
      <c r="BG91" s="23">
        <v>77.241399999999999</v>
      </c>
      <c r="BH91" s="31">
        <f t="shared" si="62"/>
        <v>439.77999999999901</v>
      </c>
      <c r="BI91" s="31">
        <f t="shared" si="63"/>
        <v>415.09300000000002</v>
      </c>
      <c r="BJ91" s="37">
        <f t="shared" si="64"/>
        <v>24.686999999998989</v>
      </c>
      <c r="BK91" s="37">
        <f t="shared" si="65"/>
        <v>5.9473419209668652</v>
      </c>
      <c r="BL91" s="36">
        <f t="shared" si="66"/>
        <v>72.349000000000004</v>
      </c>
      <c r="BM91" s="36">
        <f t="shared" si="67"/>
        <v>77.147999999999996</v>
      </c>
      <c r="BN91" s="37">
        <f t="shared" si="68"/>
        <v>-4.7989999999999924</v>
      </c>
      <c r="BO91" s="37">
        <f t="shared" si="69"/>
        <v>-6.2205112251775709</v>
      </c>
      <c r="BP91" s="38">
        <f t="shared" si="70"/>
        <v>5176.6749999999984</v>
      </c>
      <c r="BQ91" s="39">
        <f>J91+N91+S91+W91+AA91+AE91+AI91+AM91+AQ91+AU91+Table1[[#This Row],[MS-0225]]+Table1[[#This Row],[MS-0325]]</f>
        <v>4882.4999999999991</v>
      </c>
      <c r="BR91" s="37">
        <f t="shared" si="71"/>
        <v>294.17499999999927</v>
      </c>
      <c r="BS91" s="37">
        <f t="shared" si="72"/>
        <v>6.0250896057347534</v>
      </c>
      <c r="BT91" s="36">
        <f t="shared" si="73"/>
        <v>875.96399999999983</v>
      </c>
      <c r="BU91" s="36">
        <f t="shared" si="74"/>
        <v>1017.0409999999999</v>
      </c>
      <c r="BV91" s="37">
        <f t="shared" si="75"/>
        <v>-141.07700000000011</v>
      </c>
      <c r="BW91" s="37">
        <f t="shared" si="76"/>
        <v>-13.87131885538539</v>
      </c>
      <c r="BX91">
        <v>0</v>
      </c>
      <c r="BY91" s="83">
        <f t="shared" si="77"/>
        <v>0</v>
      </c>
      <c r="BZ91">
        <v>0</v>
      </c>
      <c r="CA91" s="83">
        <f t="shared" si="78"/>
        <v>0</v>
      </c>
      <c r="CB91" s="96">
        <f t="shared" si="79"/>
        <v>0.12597190108779571</v>
      </c>
      <c r="CC91" s="96">
        <f t="shared" si="80"/>
        <v>0.12124424218880073</v>
      </c>
      <c r="CD91" s="97">
        <f t="shared" si="81"/>
        <v>4.7276588989949853E-3</v>
      </c>
      <c r="CE91" s="96">
        <f t="shared" si="82"/>
        <v>8.5858795634254276E-2</v>
      </c>
      <c r="CF91" s="96">
        <f t="shared" si="83"/>
        <v>9.1350651134482541E-2</v>
      </c>
      <c r="CG91" s="96">
        <f t="shared" si="84"/>
        <v>-5.4918555002282654E-3</v>
      </c>
      <c r="CH91" s="95">
        <f t="shared" si="85"/>
        <v>0.12223574500528074</v>
      </c>
      <c r="CI91" s="95">
        <f t="shared" si="86"/>
        <v>0.11922088206396997</v>
      </c>
      <c r="CJ91" s="98">
        <f t="shared" si="87"/>
        <v>3.0148629413107725E-3</v>
      </c>
      <c r="CK91" s="95">
        <f t="shared" si="88"/>
        <v>9.1408213929055529E-2</v>
      </c>
      <c r="CL91" s="95">
        <f t="shared" si="89"/>
        <v>9.4119194146373777E-2</v>
      </c>
      <c r="CM91" s="98">
        <f t="shared" si="90"/>
        <v>-2.7109802173182485E-3</v>
      </c>
      <c r="CN91" s="94">
        <f t="shared" si="91"/>
        <v>0.85565021503696514</v>
      </c>
      <c r="CO91" s="94">
        <f t="shared" si="92"/>
        <v>0.63985749750338872</v>
      </c>
    </row>
    <row r="92" spans="1:94" ht="24.5" x14ac:dyDescent="0.35">
      <c r="A92" s="103">
        <v>41056991</v>
      </c>
      <c r="B92" s="9" t="s">
        <v>380</v>
      </c>
      <c r="C92" s="47" t="s">
        <v>479</v>
      </c>
      <c r="D92" s="14" t="s">
        <v>480</v>
      </c>
      <c r="E92" s="10" t="s">
        <v>228</v>
      </c>
      <c r="F92" s="10" t="s">
        <v>462</v>
      </c>
      <c r="G92" s="12" t="s">
        <v>462</v>
      </c>
      <c r="H92" s="51" t="s">
        <v>172</v>
      </c>
      <c r="I92" s="25" t="s">
        <v>78</v>
      </c>
      <c r="J92" s="99">
        <v>468</v>
      </c>
      <c r="K92" s="99">
        <v>368</v>
      </c>
      <c r="L92" s="99">
        <v>90</v>
      </c>
      <c r="M92" s="99">
        <v>20</v>
      </c>
      <c r="N92" s="18">
        <v>475</v>
      </c>
      <c r="O92" s="18">
        <v>446</v>
      </c>
      <c r="P92" s="18">
        <v>72</v>
      </c>
      <c r="Q92" s="18">
        <v>62</v>
      </c>
      <c r="R92" s="99">
        <v>418</v>
      </c>
      <c r="S92" s="99">
        <v>432</v>
      </c>
      <c r="T92" s="99">
        <v>44</v>
      </c>
      <c r="U92" s="99">
        <v>72</v>
      </c>
      <c r="V92" s="99">
        <v>458</v>
      </c>
      <c r="W92" s="99">
        <v>468</v>
      </c>
      <c r="X92" s="99">
        <v>42</v>
      </c>
      <c r="Y92" s="99">
        <v>72</v>
      </c>
      <c r="Z92" s="99">
        <v>460</v>
      </c>
      <c r="AA92" s="99">
        <v>421</v>
      </c>
      <c r="AB92" s="99">
        <v>40</v>
      </c>
      <c r="AC92" s="99">
        <v>36</v>
      </c>
      <c r="AD92" s="99">
        <v>438</v>
      </c>
      <c r="AE92" s="99">
        <v>419</v>
      </c>
      <c r="AF92" s="99">
        <v>44</v>
      </c>
      <c r="AG92" s="99">
        <v>36</v>
      </c>
      <c r="AH92" s="99">
        <v>440</v>
      </c>
      <c r="AI92" s="99">
        <v>450</v>
      </c>
      <c r="AJ92" s="99">
        <v>42</v>
      </c>
      <c r="AK92" s="99">
        <v>90</v>
      </c>
      <c r="AL92" s="99">
        <v>438</v>
      </c>
      <c r="AM92" s="99">
        <v>422</v>
      </c>
      <c r="AN92" s="99">
        <v>64</v>
      </c>
      <c r="AO92" s="99">
        <v>48</v>
      </c>
      <c r="AP92" s="99">
        <v>458</v>
      </c>
      <c r="AQ92" s="99">
        <v>425</v>
      </c>
      <c r="AR92" s="99">
        <v>44</v>
      </c>
      <c r="AS92" s="99">
        <v>61</v>
      </c>
      <c r="AT92" s="99">
        <v>418</v>
      </c>
      <c r="AU92" s="99">
        <v>426</v>
      </c>
      <c r="AV92" s="99">
        <v>45</v>
      </c>
      <c r="AW92" s="99">
        <v>38</v>
      </c>
      <c r="AX92" s="99">
        <v>396</v>
      </c>
      <c r="AY92" s="99">
        <v>365</v>
      </c>
      <c r="AZ92" s="99">
        <v>44</v>
      </c>
      <c r="BA92" s="99">
        <v>56</v>
      </c>
      <c r="BB92" s="99">
        <v>436</v>
      </c>
      <c r="BC92" s="99">
        <v>414</v>
      </c>
      <c r="BD92" s="99">
        <v>44</v>
      </c>
      <c r="BE92" s="99">
        <v>58</v>
      </c>
      <c r="BF92" s="23">
        <v>28.672802000000001</v>
      </c>
      <c r="BG92" s="23">
        <v>77.252780000000001</v>
      </c>
      <c r="BH92" s="31">
        <f t="shared" si="62"/>
        <v>436</v>
      </c>
      <c r="BI92" s="31">
        <f t="shared" si="63"/>
        <v>414</v>
      </c>
      <c r="BJ92" s="37">
        <f t="shared" si="64"/>
        <v>22</v>
      </c>
      <c r="BK92" s="37">
        <f t="shared" si="65"/>
        <v>5.3140096618357484</v>
      </c>
      <c r="BL92" s="36">
        <f t="shared" si="66"/>
        <v>44</v>
      </c>
      <c r="BM92" s="36">
        <f t="shared" si="67"/>
        <v>58</v>
      </c>
      <c r="BN92" s="37">
        <f t="shared" si="68"/>
        <v>-14</v>
      </c>
      <c r="BO92" s="37">
        <f t="shared" si="69"/>
        <v>-24.137931034482758</v>
      </c>
      <c r="BP92" s="38">
        <f t="shared" si="70"/>
        <v>5174</v>
      </c>
      <c r="BQ92" s="39">
        <f>J92+N92+S92+W92+AA92+AE92+AI92+AM92+AQ92+AU92+Table1[[#This Row],[MS-0225]]+Table1[[#This Row],[MS-0325]]</f>
        <v>5185</v>
      </c>
      <c r="BR92" s="37">
        <f t="shared" si="71"/>
        <v>-11</v>
      </c>
      <c r="BS92" s="37">
        <f t="shared" si="72"/>
        <v>-0.21215043394406946</v>
      </c>
      <c r="BT92" s="36">
        <f t="shared" si="73"/>
        <v>535</v>
      </c>
      <c r="BU92" s="36">
        <f t="shared" si="74"/>
        <v>729</v>
      </c>
      <c r="BV92" s="37">
        <f t="shared" si="75"/>
        <v>-194</v>
      </c>
      <c r="BW92" s="37">
        <f t="shared" si="76"/>
        <v>-26.611796982167352</v>
      </c>
      <c r="BX92">
        <v>0</v>
      </c>
      <c r="BY92" s="83">
        <f t="shared" si="77"/>
        <v>0</v>
      </c>
      <c r="BZ92">
        <v>0</v>
      </c>
      <c r="CA92" s="83">
        <f t="shared" si="78"/>
        <v>0</v>
      </c>
      <c r="CB92" s="96">
        <f t="shared" si="79"/>
        <v>0.22555613036730471</v>
      </c>
      <c r="CC92" s="96">
        <f t="shared" si="80"/>
        <v>0.20983274201723265</v>
      </c>
      <c r="CD92" s="97">
        <f t="shared" si="81"/>
        <v>1.5723388350072059E-2</v>
      </c>
      <c r="CE92" s="96">
        <f t="shared" si="82"/>
        <v>0.17813765182186234</v>
      </c>
      <c r="CF92" s="96">
        <f t="shared" si="83"/>
        <v>0.2196969696969697</v>
      </c>
      <c r="CG92" s="96">
        <f t="shared" si="84"/>
        <v>-4.155931787510736E-2</v>
      </c>
      <c r="CH92" s="95">
        <f t="shared" si="85"/>
        <v>0.21687100492507597</v>
      </c>
      <c r="CI92" s="95">
        <f t="shared" si="86"/>
        <v>0.22253218884120171</v>
      </c>
      <c r="CJ92" s="98">
        <f t="shared" si="87"/>
        <v>-5.6611839161257449E-3</v>
      </c>
      <c r="CK92" s="95">
        <f t="shared" si="88"/>
        <v>0.17238601578862575</v>
      </c>
      <c r="CL92" s="95">
        <f t="shared" si="89"/>
        <v>0.20160398230088494</v>
      </c>
      <c r="CM92" s="98">
        <f t="shared" si="90"/>
        <v>-2.9217966512259191E-2</v>
      </c>
      <c r="CN92" s="94">
        <f t="shared" si="91"/>
        <v>1.0843550246253799</v>
      </c>
      <c r="CO92" s="94">
        <f t="shared" si="92"/>
        <v>0.86193007894312879</v>
      </c>
    </row>
    <row r="93" spans="1:94" ht="24.5" x14ac:dyDescent="0.35">
      <c r="A93" s="102">
        <v>112386</v>
      </c>
      <c r="B93" s="3" t="s">
        <v>72</v>
      </c>
      <c r="C93" s="40" t="s">
        <v>330</v>
      </c>
      <c r="D93" s="12" t="s">
        <v>331</v>
      </c>
      <c r="E93" s="4" t="s">
        <v>85</v>
      </c>
      <c r="F93" s="4" t="s">
        <v>332</v>
      </c>
      <c r="G93" s="12" t="s">
        <v>332</v>
      </c>
      <c r="H93" s="51" t="s">
        <v>304</v>
      </c>
      <c r="I93" s="23" t="s">
        <v>86</v>
      </c>
      <c r="J93" s="18">
        <v>382.5</v>
      </c>
      <c r="K93" s="18">
        <v>418.5</v>
      </c>
      <c r="L93" s="18">
        <v>67.5</v>
      </c>
      <c r="M93" s="18">
        <v>67.5</v>
      </c>
      <c r="N93" s="18">
        <v>427.5</v>
      </c>
      <c r="O93" s="18">
        <v>423</v>
      </c>
      <c r="P93" s="18">
        <v>76.5</v>
      </c>
      <c r="Q93" s="18">
        <v>63</v>
      </c>
      <c r="R93" s="18">
        <v>414</v>
      </c>
      <c r="S93" s="18">
        <v>400.5</v>
      </c>
      <c r="T93" s="18">
        <v>64</v>
      </c>
      <c r="U93" s="18">
        <v>67.5</v>
      </c>
      <c r="V93" s="18">
        <v>435</v>
      </c>
      <c r="W93" s="18">
        <v>429.5</v>
      </c>
      <c r="X93" s="18">
        <v>65</v>
      </c>
      <c r="Y93" s="18">
        <v>76.5</v>
      </c>
      <c r="Z93" s="18">
        <v>420</v>
      </c>
      <c r="AA93" s="18">
        <v>423</v>
      </c>
      <c r="AB93" s="18">
        <v>60</v>
      </c>
      <c r="AC93" s="18">
        <v>81</v>
      </c>
      <c r="AD93" s="18">
        <v>435</v>
      </c>
      <c r="AE93" s="18">
        <v>418.5</v>
      </c>
      <c r="AF93" s="18">
        <v>65</v>
      </c>
      <c r="AG93" s="18">
        <v>67.5</v>
      </c>
      <c r="AH93" s="18">
        <v>440</v>
      </c>
      <c r="AI93" s="18">
        <v>432</v>
      </c>
      <c r="AJ93" s="18">
        <v>60</v>
      </c>
      <c r="AK93" s="18">
        <v>72</v>
      </c>
      <c r="AL93" s="18">
        <v>390</v>
      </c>
      <c r="AM93" s="18">
        <v>378</v>
      </c>
      <c r="AN93" s="18">
        <v>50</v>
      </c>
      <c r="AO93" s="18">
        <v>54</v>
      </c>
      <c r="AP93" s="18">
        <v>390</v>
      </c>
      <c r="AQ93" s="18">
        <v>382.5</v>
      </c>
      <c r="AR93" s="18">
        <v>50</v>
      </c>
      <c r="AS93" s="18">
        <v>49.5</v>
      </c>
      <c r="AT93" s="18">
        <v>370</v>
      </c>
      <c r="AU93" s="18">
        <v>387</v>
      </c>
      <c r="AV93" s="18">
        <v>50</v>
      </c>
      <c r="AW93" s="18">
        <v>63</v>
      </c>
      <c r="AX93" s="18">
        <v>370</v>
      </c>
      <c r="AY93" s="18">
        <v>342</v>
      </c>
      <c r="AZ93" s="18">
        <v>50</v>
      </c>
      <c r="BA93" s="18">
        <v>54</v>
      </c>
      <c r="BB93" s="18">
        <v>435</v>
      </c>
      <c r="BC93" s="18">
        <v>387</v>
      </c>
      <c r="BD93" s="18">
        <v>65</v>
      </c>
      <c r="BE93" s="18">
        <v>63</v>
      </c>
      <c r="BF93" s="23">
        <v>28.670480000000001</v>
      </c>
      <c r="BG93" s="23">
        <v>77.102310000000003</v>
      </c>
      <c r="BH93" s="31">
        <f t="shared" si="62"/>
        <v>435</v>
      </c>
      <c r="BI93" s="31">
        <f t="shared" si="63"/>
        <v>387</v>
      </c>
      <c r="BJ93" s="37">
        <f t="shared" si="64"/>
        <v>48</v>
      </c>
      <c r="BK93" s="37">
        <f t="shared" si="65"/>
        <v>12.403100775193799</v>
      </c>
      <c r="BL93" s="36">
        <f t="shared" si="66"/>
        <v>65</v>
      </c>
      <c r="BM93" s="36">
        <f t="shared" si="67"/>
        <v>63</v>
      </c>
      <c r="BN93" s="37">
        <f t="shared" si="68"/>
        <v>2</v>
      </c>
      <c r="BO93" s="37">
        <f t="shared" si="69"/>
        <v>3.1746031746031744</v>
      </c>
      <c r="BP93" s="38">
        <f t="shared" si="70"/>
        <v>4940.5</v>
      </c>
      <c r="BQ93" s="39">
        <f>J93+N93+S93+W93+AA93+AE93+AI93+AM93+AQ93+AU93+Table1[[#This Row],[MS-0225]]+Table1[[#This Row],[MS-0325]]</f>
        <v>4790</v>
      </c>
      <c r="BR93" s="37">
        <f t="shared" si="71"/>
        <v>150.5</v>
      </c>
      <c r="BS93" s="37">
        <f t="shared" si="72"/>
        <v>3.1419624217118995</v>
      </c>
      <c r="BT93" s="36">
        <f t="shared" si="73"/>
        <v>709.5</v>
      </c>
      <c r="BU93" s="36">
        <f t="shared" si="74"/>
        <v>792</v>
      </c>
      <c r="BV93" s="37">
        <f t="shared" si="75"/>
        <v>-82.5</v>
      </c>
      <c r="BW93" s="37">
        <f t="shared" si="76"/>
        <v>-10.416666666666668</v>
      </c>
      <c r="BX93">
        <v>0</v>
      </c>
      <c r="BY93" s="83">
        <f t="shared" si="77"/>
        <v>0</v>
      </c>
      <c r="BZ93">
        <v>0</v>
      </c>
      <c r="CA93" s="83">
        <f t="shared" si="78"/>
        <v>0</v>
      </c>
      <c r="CB93" s="96">
        <f t="shared" si="79"/>
        <v>0.29753761969904241</v>
      </c>
      <c r="CC93" s="96">
        <f t="shared" si="80"/>
        <v>0.28330893118594436</v>
      </c>
      <c r="CD93" s="97">
        <f t="shared" si="81"/>
        <v>1.4228688513098053E-2</v>
      </c>
      <c r="CE93" s="96">
        <f t="shared" si="82"/>
        <v>0.25390625</v>
      </c>
      <c r="CF93" s="96">
        <f t="shared" si="83"/>
        <v>0.23076923076923078</v>
      </c>
      <c r="CG93" s="96">
        <f t="shared" si="84"/>
        <v>2.3137019230769218E-2</v>
      </c>
      <c r="CH93" s="95">
        <f t="shared" si="85"/>
        <v>0.28750581936685288</v>
      </c>
      <c r="CI93" s="95">
        <f t="shared" si="86"/>
        <v>0.29182405263799194</v>
      </c>
      <c r="CJ93" s="98">
        <f t="shared" si="87"/>
        <v>-4.3182332711390603E-3</v>
      </c>
      <c r="CK93" s="95">
        <f t="shared" si="88"/>
        <v>0.22206572769953051</v>
      </c>
      <c r="CL93" s="95">
        <f t="shared" si="89"/>
        <v>0.23349056603773585</v>
      </c>
      <c r="CM93" s="98">
        <f t="shared" si="90"/>
        <v>-1.1424838338205345E-2</v>
      </c>
      <c r="CN93" s="94">
        <f t="shared" si="91"/>
        <v>0.86251745810055858</v>
      </c>
      <c r="CO93" s="94">
        <f t="shared" si="92"/>
        <v>0.66619718309859155</v>
      </c>
    </row>
    <row r="94" spans="1:94" ht="24.5" x14ac:dyDescent="0.35">
      <c r="A94" s="102">
        <v>112400</v>
      </c>
      <c r="B94" s="3" t="s">
        <v>72</v>
      </c>
      <c r="C94" s="41" t="s">
        <v>170</v>
      </c>
      <c r="D94" s="12" t="s">
        <v>171</v>
      </c>
      <c r="E94" s="4" t="s">
        <v>169</v>
      </c>
      <c r="F94" s="4" t="s">
        <v>170</v>
      </c>
      <c r="G94" s="12" t="s">
        <v>170</v>
      </c>
      <c r="H94" s="51" t="s">
        <v>172</v>
      </c>
      <c r="I94" s="23" t="s">
        <v>78</v>
      </c>
      <c r="J94" s="18">
        <v>415</v>
      </c>
      <c r="K94" s="18">
        <v>415</v>
      </c>
      <c r="L94" s="18">
        <v>459</v>
      </c>
      <c r="M94" s="18">
        <v>383</v>
      </c>
      <c r="N94" s="18">
        <v>452</v>
      </c>
      <c r="O94" s="18">
        <v>419</v>
      </c>
      <c r="P94" s="18">
        <v>399</v>
      </c>
      <c r="Q94" s="18">
        <v>442</v>
      </c>
      <c r="R94" s="18">
        <v>451</v>
      </c>
      <c r="S94" s="18">
        <v>427</v>
      </c>
      <c r="T94" s="18">
        <v>456</v>
      </c>
      <c r="U94" s="18">
        <v>401</v>
      </c>
      <c r="V94" s="18">
        <v>445</v>
      </c>
      <c r="W94" s="18">
        <v>439</v>
      </c>
      <c r="X94" s="18">
        <v>416</v>
      </c>
      <c r="Y94" s="18">
        <v>412</v>
      </c>
      <c r="Z94" s="18">
        <v>440</v>
      </c>
      <c r="AA94" s="18">
        <v>425</v>
      </c>
      <c r="AB94" s="18">
        <v>401</v>
      </c>
      <c r="AC94" s="18">
        <v>402</v>
      </c>
      <c r="AD94" s="18">
        <v>426</v>
      </c>
      <c r="AE94" s="18">
        <v>424</v>
      </c>
      <c r="AF94" s="18">
        <v>392</v>
      </c>
      <c r="AG94" s="18">
        <v>380</v>
      </c>
      <c r="AH94" s="18">
        <v>456</v>
      </c>
      <c r="AI94" s="18">
        <v>456</v>
      </c>
      <c r="AJ94" s="18">
        <v>360</v>
      </c>
      <c r="AK94" s="18">
        <v>441</v>
      </c>
      <c r="AL94" s="18">
        <v>415</v>
      </c>
      <c r="AM94" s="18">
        <v>438</v>
      </c>
      <c r="AN94" s="18">
        <v>401</v>
      </c>
      <c r="AO94" s="18">
        <v>344</v>
      </c>
      <c r="AP94" s="18">
        <v>400</v>
      </c>
      <c r="AQ94" s="18">
        <v>410</v>
      </c>
      <c r="AR94" s="18">
        <v>379</v>
      </c>
      <c r="AS94" s="18">
        <v>367</v>
      </c>
      <c r="AT94" s="18">
        <v>367</v>
      </c>
      <c r="AU94" s="18">
        <v>404</v>
      </c>
      <c r="AV94" s="18">
        <v>318</v>
      </c>
      <c r="AW94" s="18">
        <v>354</v>
      </c>
      <c r="AX94" s="18">
        <v>375</v>
      </c>
      <c r="AY94" s="18">
        <v>390</v>
      </c>
      <c r="AZ94" s="18">
        <v>376</v>
      </c>
      <c r="BA94" s="18">
        <v>300</v>
      </c>
      <c r="BB94" s="18">
        <v>434</v>
      </c>
      <c r="BC94" s="18">
        <v>422</v>
      </c>
      <c r="BD94" s="18">
        <v>318</v>
      </c>
      <c r="BE94" s="18">
        <v>428</v>
      </c>
      <c r="BF94" s="23">
        <v>28.676449999999999</v>
      </c>
      <c r="BG94" s="23">
        <v>77.315799999999996</v>
      </c>
      <c r="BH94" s="31">
        <f t="shared" si="62"/>
        <v>434</v>
      </c>
      <c r="BI94" s="31">
        <f t="shared" si="63"/>
        <v>422</v>
      </c>
      <c r="BJ94" s="37">
        <f t="shared" si="64"/>
        <v>12</v>
      </c>
      <c r="BK94" s="37">
        <f t="shared" si="65"/>
        <v>2.8436018957345972</v>
      </c>
      <c r="BL94" s="36">
        <f t="shared" si="66"/>
        <v>318</v>
      </c>
      <c r="BM94" s="36">
        <f t="shared" si="67"/>
        <v>428</v>
      </c>
      <c r="BN94" s="37">
        <f t="shared" si="68"/>
        <v>-110</v>
      </c>
      <c r="BO94" s="37">
        <f t="shared" si="69"/>
        <v>-25.700934579439249</v>
      </c>
      <c r="BP94" s="38">
        <f t="shared" si="70"/>
        <v>5043</v>
      </c>
      <c r="BQ94" s="39">
        <f>J94+N94+S94+W94+AA94+AE94+AI94+AM94+AQ94+AU94+Table1[[#This Row],[MS-0225]]+Table1[[#This Row],[MS-0325]]</f>
        <v>5102</v>
      </c>
      <c r="BR94" s="37">
        <f t="shared" si="71"/>
        <v>-59</v>
      </c>
      <c r="BS94" s="37">
        <f t="shared" si="72"/>
        <v>-1.1564092512740103</v>
      </c>
      <c r="BT94" s="36">
        <f t="shared" si="73"/>
        <v>4642</v>
      </c>
      <c r="BU94" s="36">
        <f t="shared" si="74"/>
        <v>4687</v>
      </c>
      <c r="BV94" s="37">
        <f t="shared" si="75"/>
        <v>-45</v>
      </c>
      <c r="BW94" s="37">
        <f t="shared" si="76"/>
        <v>-0.96010241092383197</v>
      </c>
      <c r="BX94">
        <v>38</v>
      </c>
      <c r="BY94" s="83">
        <f t="shared" si="77"/>
        <v>8.755760368663594E-2</v>
      </c>
      <c r="BZ94">
        <v>108</v>
      </c>
      <c r="CA94" s="83">
        <f t="shared" si="78"/>
        <v>2.1415823914336704E-2</v>
      </c>
      <c r="CB94" s="96">
        <f t="shared" si="79"/>
        <v>0.30107526881720431</v>
      </c>
      <c r="CC94" s="96">
        <f t="shared" si="80"/>
        <v>0.29634831460674155</v>
      </c>
      <c r="CD94" s="97">
        <f t="shared" si="81"/>
        <v>4.7269542104627638E-3</v>
      </c>
      <c r="CE94" s="96">
        <f t="shared" si="82"/>
        <v>0.45591397849462367</v>
      </c>
      <c r="CF94" s="96">
        <f t="shared" si="83"/>
        <v>0.44629822732012514</v>
      </c>
      <c r="CG94" s="96">
        <f t="shared" si="84"/>
        <v>9.6157511744985324E-3</v>
      </c>
      <c r="CH94" s="95">
        <f t="shared" si="85"/>
        <v>0.28909653749140107</v>
      </c>
      <c r="CI94" s="95">
        <f t="shared" si="86"/>
        <v>0.29956257522825352</v>
      </c>
      <c r="CJ94" s="98">
        <f t="shared" si="87"/>
        <v>-1.0466037736852452E-2</v>
      </c>
      <c r="CK94" s="95">
        <f t="shared" si="88"/>
        <v>0.4596494702445787</v>
      </c>
      <c r="CL94" s="95">
        <f t="shared" si="89"/>
        <v>0.37590728636163129</v>
      </c>
      <c r="CM94" s="98">
        <f t="shared" si="90"/>
        <v>8.3742183882947407E-2</v>
      </c>
      <c r="CN94" s="94">
        <f t="shared" si="91"/>
        <v>1.4454826874570053</v>
      </c>
      <c r="CO94" s="94">
        <f t="shared" si="92"/>
        <v>2.2982473512228934</v>
      </c>
    </row>
    <row r="95" spans="1:94" x14ac:dyDescent="0.35">
      <c r="A95" s="104">
        <v>102104</v>
      </c>
      <c r="B95" s="5" t="s">
        <v>581</v>
      </c>
      <c r="C95" s="46" t="s">
        <v>635</v>
      </c>
      <c r="D95" s="13" t="s">
        <v>389</v>
      </c>
      <c r="E95" s="6" t="s">
        <v>89</v>
      </c>
      <c r="F95" s="6" t="s">
        <v>237</v>
      </c>
      <c r="G95" s="12" t="s">
        <v>345</v>
      </c>
      <c r="H95" s="51" t="s">
        <v>205</v>
      </c>
      <c r="I95" s="24" t="s">
        <v>86</v>
      </c>
      <c r="J95" s="100">
        <v>297.5</v>
      </c>
      <c r="K95" s="100">
        <v>318</v>
      </c>
      <c r="L95" s="100">
        <v>38.5</v>
      </c>
      <c r="M95" s="100">
        <v>36</v>
      </c>
      <c r="N95" s="18">
        <v>344.5</v>
      </c>
      <c r="O95" s="18">
        <v>325.5</v>
      </c>
      <c r="P95" s="18">
        <v>53.5</v>
      </c>
      <c r="Q95" s="18">
        <v>40.5</v>
      </c>
      <c r="R95" s="100">
        <v>332</v>
      </c>
      <c r="S95" s="100">
        <v>331</v>
      </c>
      <c r="T95" s="100">
        <v>40</v>
      </c>
      <c r="U95" s="100">
        <v>37</v>
      </c>
      <c r="V95" s="100">
        <v>360</v>
      </c>
      <c r="W95" s="100">
        <v>338</v>
      </c>
      <c r="X95" s="100">
        <v>36</v>
      </c>
      <c r="Y95" s="100">
        <v>40</v>
      </c>
      <c r="Z95" s="100">
        <v>376</v>
      </c>
      <c r="AA95" s="100">
        <v>338</v>
      </c>
      <c r="AB95" s="100">
        <v>32</v>
      </c>
      <c r="AC95" s="100">
        <v>40</v>
      </c>
      <c r="AD95" s="100">
        <v>380</v>
      </c>
      <c r="AE95" s="100">
        <v>340</v>
      </c>
      <c r="AF95" s="100">
        <v>40</v>
      </c>
      <c r="AG95" s="100">
        <v>36</v>
      </c>
      <c r="AH95" s="100">
        <v>404</v>
      </c>
      <c r="AI95" s="100">
        <v>344</v>
      </c>
      <c r="AJ95" s="100">
        <v>40</v>
      </c>
      <c r="AK95" s="100">
        <v>40</v>
      </c>
      <c r="AL95" s="100">
        <v>372</v>
      </c>
      <c r="AM95" s="100">
        <v>348</v>
      </c>
      <c r="AN95" s="100">
        <v>36</v>
      </c>
      <c r="AO95" s="100">
        <v>36</v>
      </c>
      <c r="AP95" s="100">
        <v>352</v>
      </c>
      <c r="AQ95" s="100">
        <v>330</v>
      </c>
      <c r="AR95" s="100">
        <v>32</v>
      </c>
      <c r="AS95" s="100">
        <v>36</v>
      </c>
      <c r="AT95" s="100">
        <v>340</v>
      </c>
      <c r="AU95" s="100">
        <v>288</v>
      </c>
      <c r="AV95" s="100">
        <v>32</v>
      </c>
      <c r="AW95" s="100">
        <v>36</v>
      </c>
      <c r="AX95" s="100">
        <v>333.5</v>
      </c>
      <c r="AY95" s="100">
        <v>264</v>
      </c>
      <c r="AZ95" s="100">
        <v>44.5</v>
      </c>
      <c r="BA95" s="100">
        <v>24</v>
      </c>
      <c r="BB95" s="100">
        <v>368</v>
      </c>
      <c r="BC95" s="100">
        <v>57.5</v>
      </c>
      <c r="BD95" s="100">
        <v>40</v>
      </c>
      <c r="BE95" s="100">
        <v>8.5</v>
      </c>
      <c r="BF95" s="23">
        <v>28.7013</v>
      </c>
      <c r="BG95" s="23">
        <v>77.092100000000002</v>
      </c>
      <c r="BH95" s="31">
        <f t="shared" si="62"/>
        <v>368</v>
      </c>
      <c r="BI95" s="31">
        <f t="shared" si="63"/>
        <v>57.5</v>
      </c>
      <c r="BJ95" s="37">
        <f t="shared" si="64"/>
        <v>310.5</v>
      </c>
      <c r="BK95" s="37">
        <f t="shared" si="65"/>
        <v>540</v>
      </c>
      <c r="BL95" s="36">
        <f t="shared" si="66"/>
        <v>40</v>
      </c>
      <c r="BM95" s="36">
        <f t="shared" si="67"/>
        <v>8.5</v>
      </c>
      <c r="BN95" s="37">
        <f t="shared" si="68"/>
        <v>31.5</v>
      </c>
      <c r="BO95" s="37">
        <f t="shared" si="69"/>
        <v>370.58823529411768</v>
      </c>
      <c r="BP95" s="38">
        <f t="shared" si="70"/>
        <v>4261</v>
      </c>
      <c r="BQ95" s="39">
        <f>J95+N95+S95+W95+AA95+AE95+AI95+AM95+AQ95+AU95+Table1[[#This Row],[MS-0225]]+Table1[[#This Row],[MS-0325]]</f>
        <v>3620.5</v>
      </c>
      <c r="BR95" s="37">
        <f t="shared" si="71"/>
        <v>640.5</v>
      </c>
      <c r="BS95" s="37">
        <f t="shared" si="72"/>
        <v>17.690926667587352</v>
      </c>
      <c r="BT95" s="36">
        <f t="shared" si="73"/>
        <v>449</v>
      </c>
      <c r="BU95" s="36">
        <f t="shared" si="74"/>
        <v>425.5</v>
      </c>
      <c r="BV95" s="37">
        <f t="shared" si="75"/>
        <v>23.5</v>
      </c>
      <c r="BW95" s="37">
        <f t="shared" si="76"/>
        <v>5.5229142185663926</v>
      </c>
      <c r="BX95">
        <v>0</v>
      </c>
      <c r="BY95" s="83">
        <f t="shared" si="77"/>
        <v>0</v>
      </c>
      <c r="BZ95">
        <v>0</v>
      </c>
      <c r="CA95" s="83">
        <f t="shared" si="78"/>
        <v>0</v>
      </c>
      <c r="CB95" s="96">
        <f t="shared" si="79"/>
        <v>0.14451207539760455</v>
      </c>
      <c r="CC95" s="96">
        <f t="shared" si="80"/>
        <v>2.9291900152827306E-2</v>
      </c>
      <c r="CD95" s="97">
        <f t="shared" si="81"/>
        <v>0.11522017524477725</v>
      </c>
      <c r="CE95" s="96">
        <f t="shared" si="82"/>
        <v>0.10376134889753567</v>
      </c>
      <c r="CF95" s="96">
        <f t="shared" si="83"/>
        <v>2.823920265780731E-2</v>
      </c>
      <c r="CG95" s="96">
        <f t="shared" si="84"/>
        <v>7.552214623972836E-2</v>
      </c>
      <c r="CH95" s="95">
        <f t="shared" si="85"/>
        <v>0.15260094905542126</v>
      </c>
      <c r="CI95" s="95">
        <f t="shared" si="86"/>
        <v>0.13913227264956352</v>
      </c>
      <c r="CJ95" s="98">
        <f t="shared" si="87"/>
        <v>1.3468676405857749E-2</v>
      </c>
      <c r="CK95" s="95">
        <f t="shared" si="88"/>
        <v>0.11076847169113112</v>
      </c>
      <c r="CL95" s="95">
        <f t="shared" si="89"/>
        <v>9.7035347776510836E-2</v>
      </c>
      <c r="CM95" s="98">
        <f t="shared" si="90"/>
        <v>1.3733123914620282E-2</v>
      </c>
      <c r="CN95" s="94">
        <f t="shared" si="91"/>
        <v>1.0682066433879489</v>
      </c>
      <c r="CO95" s="94">
        <f t="shared" si="92"/>
        <v>0.77537930183791781</v>
      </c>
    </row>
    <row r="96" spans="1:94" x14ac:dyDescent="0.35">
      <c r="A96" s="103">
        <v>41032594</v>
      </c>
      <c r="B96" s="9" t="s">
        <v>380</v>
      </c>
      <c r="C96" s="47" t="s">
        <v>388</v>
      </c>
      <c r="D96" s="14" t="s">
        <v>389</v>
      </c>
      <c r="E96" s="10" t="s">
        <v>89</v>
      </c>
      <c r="F96" s="10" t="s">
        <v>204</v>
      </c>
      <c r="G96" s="12" t="s">
        <v>204</v>
      </c>
      <c r="H96" s="51" t="s">
        <v>205</v>
      </c>
      <c r="I96" s="25" t="s">
        <v>86</v>
      </c>
      <c r="J96" s="99">
        <v>229.5</v>
      </c>
      <c r="K96" s="99">
        <v>294.5</v>
      </c>
      <c r="L96" s="99">
        <v>76.5</v>
      </c>
      <c r="M96" s="99">
        <v>72.5</v>
      </c>
      <c r="N96" s="18">
        <v>261</v>
      </c>
      <c r="O96" s="18">
        <v>321</v>
      </c>
      <c r="P96" s="18">
        <v>81</v>
      </c>
      <c r="Q96" s="18">
        <v>80</v>
      </c>
      <c r="R96" s="99">
        <v>324</v>
      </c>
      <c r="S96" s="99">
        <v>265.5</v>
      </c>
      <c r="T96" s="99">
        <v>72</v>
      </c>
      <c r="U96" s="99">
        <v>76.5</v>
      </c>
      <c r="V96" s="99">
        <v>325.5</v>
      </c>
      <c r="W96" s="99">
        <v>256.5</v>
      </c>
      <c r="X96" s="99">
        <v>75.5</v>
      </c>
      <c r="Y96" s="99">
        <v>67.5</v>
      </c>
      <c r="Z96" s="99">
        <v>336</v>
      </c>
      <c r="AA96" s="99">
        <v>256.5</v>
      </c>
      <c r="AB96" s="99">
        <v>85</v>
      </c>
      <c r="AC96" s="99">
        <v>67.5</v>
      </c>
      <c r="AD96" s="99">
        <v>317.5</v>
      </c>
      <c r="AE96" s="99">
        <v>234</v>
      </c>
      <c r="AF96" s="99">
        <v>84.5</v>
      </c>
      <c r="AG96" s="99">
        <v>72</v>
      </c>
      <c r="AH96" s="99">
        <v>319.5</v>
      </c>
      <c r="AI96" s="99">
        <v>243.5</v>
      </c>
      <c r="AJ96" s="99">
        <v>88.5</v>
      </c>
      <c r="AK96" s="99">
        <v>66.5</v>
      </c>
      <c r="AL96" s="99">
        <v>329</v>
      </c>
      <c r="AM96" s="99">
        <v>262.5</v>
      </c>
      <c r="AN96" s="99">
        <v>74</v>
      </c>
      <c r="AO96" s="99">
        <v>78.5</v>
      </c>
      <c r="AP96" s="99">
        <v>306.5</v>
      </c>
      <c r="AQ96" s="99">
        <v>234</v>
      </c>
      <c r="AR96" s="99">
        <v>93.5</v>
      </c>
      <c r="AS96" s="99">
        <v>72</v>
      </c>
      <c r="AT96" s="99">
        <v>307.5</v>
      </c>
      <c r="AU96" s="99">
        <v>241.5</v>
      </c>
      <c r="AV96" s="99">
        <v>85.5</v>
      </c>
      <c r="AW96" s="99">
        <v>67.5</v>
      </c>
      <c r="AX96" s="99">
        <v>282</v>
      </c>
      <c r="AY96" s="99">
        <v>213.5</v>
      </c>
      <c r="AZ96" s="99">
        <v>81</v>
      </c>
      <c r="BA96" s="99">
        <v>63.5</v>
      </c>
      <c r="BB96" s="99">
        <v>322.5</v>
      </c>
      <c r="BC96" s="99">
        <v>238.5</v>
      </c>
      <c r="BD96" s="99">
        <v>96.5</v>
      </c>
      <c r="BE96" s="99">
        <v>54.5</v>
      </c>
      <c r="BF96" s="23">
        <v>28.715920000000001</v>
      </c>
      <c r="BG96" s="23">
        <v>77.115009999999998</v>
      </c>
      <c r="BH96" s="31">
        <f t="shared" si="62"/>
        <v>322.5</v>
      </c>
      <c r="BI96" s="31">
        <f t="shared" si="63"/>
        <v>238.5</v>
      </c>
      <c r="BJ96" s="37">
        <f t="shared" si="64"/>
        <v>84</v>
      </c>
      <c r="BK96" s="37">
        <f t="shared" si="65"/>
        <v>35.220125786163521</v>
      </c>
      <c r="BL96" s="36">
        <f t="shared" si="66"/>
        <v>96.5</v>
      </c>
      <c r="BM96" s="36">
        <f t="shared" si="67"/>
        <v>54.5</v>
      </c>
      <c r="BN96" s="37">
        <f t="shared" si="68"/>
        <v>42</v>
      </c>
      <c r="BO96" s="37">
        <f t="shared" si="69"/>
        <v>77.064220183486242</v>
      </c>
      <c r="BP96" s="38">
        <f t="shared" si="70"/>
        <v>3785.5</v>
      </c>
      <c r="BQ96" s="39">
        <f>J96+N96+S96+W96+AA96+AE96+AI96+AM96+AQ96+AU96+Table1[[#This Row],[MS-0225]]+Table1[[#This Row],[MS-0325]]</f>
        <v>2936.5</v>
      </c>
      <c r="BR96" s="37">
        <f t="shared" si="71"/>
        <v>849</v>
      </c>
      <c r="BS96" s="37">
        <f t="shared" si="72"/>
        <v>28.911970032351437</v>
      </c>
      <c r="BT96" s="36">
        <f t="shared" si="73"/>
        <v>988.5</v>
      </c>
      <c r="BU96" s="36">
        <f t="shared" si="74"/>
        <v>843.5</v>
      </c>
      <c r="BV96" s="37">
        <f t="shared" si="75"/>
        <v>145</v>
      </c>
      <c r="BW96" s="37">
        <f t="shared" si="76"/>
        <v>17.190278601066982</v>
      </c>
      <c r="BX96">
        <v>0</v>
      </c>
      <c r="BY96" s="83">
        <f t="shared" si="77"/>
        <v>0</v>
      </c>
      <c r="BZ96">
        <v>0</v>
      </c>
      <c r="CA96" s="83">
        <f t="shared" si="78"/>
        <v>0</v>
      </c>
      <c r="CB96" s="96">
        <f t="shared" si="79"/>
        <v>0.10520306638395041</v>
      </c>
      <c r="CC96" s="96">
        <f t="shared" si="80"/>
        <v>9.0649942987457238E-2</v>
      </c>
      <c r="CD96" s="97">
        <f t="shared" si="81"/>
        <v>1.4553123396493173E-2</v>
      </c>
      <c r="CE96" s="96">
        <f t="shared" si="82"/>
        <v>9.24772400574988E-2</v>
      </c>
      <c r="CF96" s="96">
        <f t="shared" si="83"/>
        <v>5.406746031746032E-2</v>
      </c>
      <c r="CG96" s="96">
        <f t="shared" si="84"/>
        <v>3.840977974003848E-2</v>
      </c>
      <c r="CH96" s="95">
        <f t="shared" si="85"/>
        <v>0.10805988895708149</v>
      </c>
      <c r="CI96" s="95">
        <f t="shared" si="86"/>
        <v>9.3291820873353914E-2</v>
      </c>
      <c r="CJ96" s="98">
        <f t="shared" si="87"/>
        <v>1.4768068083727576E-2</v>
      </c>
      <c r="CK96" s="95">
        <f t="shared" si="88"/>
        <v>8.4217252396166134E-2</v>
      </c>
      <c r="CL96" s="95">
        <f t="shared" si="89"/>
        <v>6.4907083221115006E-2</v>
      </c>
      <c r="CM96" s="98">
        <f t="shared" si="90"/>
        <v>1.9310169175051128E-2</v>
      </c>
      <c r="CN96" s="94">
        <f t="shared" si="91"/>
        <v>0.97253900061373344</v>
      </c>
      <c r="CO96" s="94">
        <f t="shared" si="92"/>
        <v>0.75795527156549525</v>
      </c>
      <c r="CP96" s="141">
        <f>BD96-AZ96</f>
        <v>15.5</v>
      </c>
    </row>
    <row r="97" spans="1:94" ht="24.5" x14ac:dyDescent="0.35">
      <c r="A97" s="102">
        <v>123784</v>
      </c>
      <c r="B97" s="3" t="s">
        <v>72</v>
      </c>
      <c r="C97" s="41" t="s">
        <v>130</v>
      </c>
      <c r="D97" s="12" t="s">
        <v>131</v>
      </c>
      <c r="E97" s="4" t="s">
        <v>103</v>
      </c>
      <c r="F97" s="4" t="s">
        <v>130</v>
      </c>
      <c r="G97" s="12" t="s">
        <v>130</v>
      </c>
      <c r="H97" s="51" t="s">
        <v>105</v>
      </c>
      <c r="I97" s="23" t="s">
        <v>78</v>
      </c>
      <c r="J97" s="18">
        <v>368.58600000000001</v>
      </c>
      <c r="K97" s="18">
        <v>420</v>
      </c>
      <c r="L97" s="18">
        <v>121.54300000000001</v>
      </c>
      <c r="M97" s="18">
        <v>116</v>
      </c>
      <c r="N97" s="18">
        <v>406.12900000000002</v>
      </c>
      <c r="O97" s="18">
        <v>422</v>
      </c>
      <c r="P97" s="18">
        <v>128.565</v>
      </c>
      <c r="Q97" s="18">
        <v>112</v>
      </c>
      <c r="R97" s="18">
        <v>397.5</v>
      </c>
      <c r="S97" s="18">
        <v>369.13099999999997</v>
      </c>
      <c r="T97" s="18">
        <v>100</v>
      </c>
      <c r="U97" s="18">
        <v>117.611</v>
      </c>
      <c r="V97" s="18">
        <v>438</v>
      </c>
      <c r="W97" s="18">
        <v>416</v>
      </c>
      <c r="X97" s="18">
        <v>107</v>
      </c>
      <c r="Y97" s="18">
        <v>119.646</v>
      </c>
      <c r="Z97" s="18">
        <v>448</v>
      </c>
      <c r="AA97" s="18">
        <v>409</v>
      </c>
      <c r="AB97" s="18">
        <v>105</v>
      </c>
      <c r="AC97" s="18">
        <v>120.364</v>
      </c>
      <c r="AD97" s="18">
        <v>416</v>
      </c>
      <c r="AE97" s="18">
        <v>381</v>
      </c>
      <c r="AF97" s="18">
        <v>110</v>
      </c>
      <c r="AG97" s="18">
        <v>120.23699999999999</v>
      </c>
      <c r="AH97" s="18">
        <v>431</v>
      </c>
      <c r="AI97" s="18">
        <v>404.07</v>
      </c>
      <c r="AJ97" s="18">
        <v>119</v>
      </c>
      <c r="AK97" s="18">
        <v>131.99299999999999</v>
      </c>
      <c r="AL97" s="18">
        <v>413</v>
      </c>
      <c r="AM97" s="18">
        <v>373.291</v>
      </c>
      <c r="AN97" s="18">
        <v>98</v>
      </c>
      <c r="AO97" s="18">
        <v>105.008</v>
      </c>
      <c r="AP97" s="18">
        <v>392</v>
      </c>
      <c r="AQ97" s="18">
        <v>372.18599999999998</v>
      </c>
      <c r="AR97" s="18">
        <v>99</v>
      </c>
      <c r="AS97" s="18">
        <v>97.498990000000006</v>
      </c>
      <c r="AT97" s="18">
        <v>397.70600000000002</v>
      </c>
      <c r="AU97" s="18">
        <v>380.214</v>
      </c>
      <c r="AV97" s="18">
        <v>96.081000000000003</v>
      </c>
      <c r="AW97" s="18">
        <v>101.58</v>
      </c>
      <c r="AX97" s="18">
        <v>396.01</v>
      </c>
      <c r="AY97" s="18">
        <v>366.06700000000001</v>
      </c>
      <c r="AZ97" s="18">
        <v>107.426</v>
      </c>
      <c r="BA97" s="18">
        <v>116.824</v>
      </c>
      <c r="BB97" s="18">
        <v>428.33300000000003</v>
      </c>
      <c r="BC97" s="18">
        <v>382.24200000000002</v>
      </c>
      <c r="BD97" s="18">
        <v>108.511</v>
      </c>
      <c r="BE97" s="18">
        <v>116.31</v>
      </c>
      <c r="BF97" s="23">
        <v>28.580494000000002</v>
      </c>
      <c r="BG97" s="23">
        <v>77.179270000000002</v>
      </c>
      <c r="BH97" s="31">
        <f t="shared" si="62"/>
        <v>428.33300000000003</v>
      </c>
      <c r="BI97" s="31">
        <f t="shared" si="63"/>
        <v>382.24200000000002</v>
      </c>
      <c r="BJ97" s="37">
        <f t="shared" si="64"/>
        <v>46.091000000000008</v>
      </c>
      <c r="BK97" s="37">
        <f t="shared" si="65"/>
        <v>12.058067925555015</v>
      </c>
      <c r="BL97" s="36">
        <f t="shared" si="66"/>
        <v>108.511</v>
      </c>
      <c r="BM97" s="36">
        <f t="shared" si="67"/>
        <v>116.31</v>
      </c>
      <c r="BN97" s="37">
        <f t="shared" si="68"/>
        <v>-7.7990000000000066</v>
      </c>
      <c r="BO97" s="37">
        <f t="shared" si="69"/>
        <v>-6.7053563752042011</v>
      </c>
      <c r="BP97" s="38">
        <f t="shared" si="70"/>
        <v>4999.549</v>
      </c>
      <c r="BQ97" s="39">
        <f>J97+N97+S97+W97+AA97+AE97+AI97+AM97+AQ97+AU97+Table1[[#This Row],[MS-0225]]+Table1[[#This Row],[MS-0325]]</f>
        <v>4627.9160000000011</v>
      </c>
      <c r="BR97" s="37">
        <f t="shared" si="71"/>
        <v>371.6329999999989</v>
      </c>
      <c r="BS97" s="37">
        <f t="shared" si="72"/>
        <v>8.0302451470596878</v>
      </c>
      <c r="BT97" s="36">
        <f t="shared" si="73"/>
        <v>1278.0179999999998</v>
      </c>
      <c r="BU97" s="36">
        <f t="shared" si="74"/>
        <v>1397.1799900000001</v>
      </c>
      <c r="BV97" s="37">
        <f t="shared" si="75"/>
        <v>-119.16199000000029</v>
      </c>
      <c r="BW97" s="37">
        <f t="shared" si="76"/>
        <v>-8.5287501147221754</v>
      </c>
      <c r="BX97">
        <v>46.920999999999999</v>
      </c>
      <c r="BY97" s="83">
        <f t="shared" si="77"/>
        <v>0.10954327590916413</v>
      </c>
      <c r="BZ97">
        <v>295.27500000000003</v>
      </c>
      <c r="CA97" s="83">
        <f t="shared" si="78"/>
        <v>5.9060327241517191E-2</v>
      </c>
      <c r="CB97" s="96">
        <f t="shared" si="79"/>
        <v>0.42563743810448429</v>
      </c>
      <c r="CC97" s="96">
        <f t="shared" si="80"/>
        <v>0.40827264745653369</v>
      </c>
      <c r="CD97" s="97">
        <f t="shared" si="81"/>
        <v>1.7364790647950601E-2</v>
      </c>
      <c r="CE97" s="96">
        <f t="shared" si="82"/>
        <v>0.41023246670270808</v>
      </c>
      <c r="CF97" s="96">
        <f t="shared" si="83"/>
        <v>0.40341992993652664</v>
      </c>
      <c r="CG97" s="96">
        <f t="shared" si="84"/>
        <v>6.8125367661814318E-3</v>
      </c>
      <c r="CH97" s="95">
        <f t="shared" si="85"/>
        <v>0.42011078648556471</v>
      </c>
      <c r="CI97" s="95">
        <f t="shared" si="86"/>
        <v>0.41035205440437761</v>
      </c>
      <c r="CJ97" s="98">
        <f t="shared" si="87"/>
        <v>9.7587320811871048E-3</v>
      </c>
      <c r="CK97" s="95">
        <f t="shared" si="88"/>
        <v>0.40507470955791686</v>
      </c>
      <c r="CL97" s="95">
        <f t="shared" si="89"/>
        <v>0.38099574981592327</v>
      </c>
      <c r="CM97" s="98">
        <f t="shared" si="90"/>
        <v>2.4078959741993589E-2</v>
      </c>
      <c r="CN97" s="94">
        <f t="shared" si="91"/>
        <v>0.84022157297112943</v>
      </c>
      <c r="CO97" s="94">
        <f t="shared" si="92"/>
        <v>0.81014941911583371</v>
      </c>
    </row>
    <row r="98" spans="1:94" ht="36.5" x14ac:dyDescent="0.35">
      <c r="A98" s="104">
        <v>102107</v>
      </c>
      <c r="B98" s="5" t="s">
        <v>581</v>
      </c>
      <c r="C98" s="46" t="s">
        <v>914</v>
      </c>
      <c r="D98" s="13" t="s">
        <v>666</v>
      </c>
      <c r="E98" s="6" t="s">
        <v>75</v>
      </c>
      <c r="F98" s="6" t="s">
        <v>667</v>
      </c>
      <c r="G98" s="12" t="s">
        <v>667</v>
      </c>
      <c r="H98" s="51" t="s">
        <v>77</v>
      </c>
      <c r="I98" s="24" t="s">
        <v>78</v>
      </c>
      <c r="J98" s="100">
        <v>311</v>
      </c>
      <c r="K98" s="100">
        <v>441.5</v>
      </c>
      <c r="L98" s="100">
        <v>85</v>
      </c>
      <c r="M98" s="100">
        <v>104.5</v>
      </c>
      <c r="N98" s="18">
        <v>345.5</v>
      </c>
      <c r="O98" s="18">
        <v>504</v>
      </c>
      <c r="P98" s="18">
        <v>98.5</v>
      </c>
      <c r="Q98" s="18">
        <v>108</v>
      </c>
      <c r="R98" s="100">
        <v>436.5</v>
      </c>
      <c r="S98" s="100">
        <v>346.5</v>
      </c>
      <c r="T98" s="100">
        <v>103.5</v>
      </c>
      <c r="U98" s="100">
        <v>85.5</v>
      </c>
      <c r="V98" s="100">
        <v>408</v>
      </c>
      <c r="W98" s="100">
        <v>319.5</v>
      </c>
      <c r="X98" s="100">
        <v>82</v>
      </c>
      <c r="Y98" s="100">
        <v>94.5</v>
      </c>
      <c r="Z98" s="100">
        <v>414</v>
      </c>
      <c r="AA98" s="100">
        <v>366.5</v>
      </c>
      <c r="AB98" s="100">
        <v>72</v>
      </c>
      <c r="AC98" s="100">
        <v>85.5</v>
      </c>
      <c r="AD98" s="100">
        <v>400.5</v>
      </c>
      <c r="AE98" s="100">
        <v>316.5</v>
      </c>
      <c r="AF98" s="100">
        <v>85.5</v>
      </c>
      <c r="AG98" s="100">
        <v>81.5</v>
      </c>
      <c r="AH98" s="100">
        <v>373.5</v>
      </c>
      <c r="AI98" s="100">
        <v>369</v>
      </c>
      <c r="AJ98" s="100">
        <v>76.5</v>
      </c>
      <c r="AK98" s="100">
        <v>81</v>
      </c>
      <c r="AL98" s="100">
        <v>382.5</v>
      </c>
      <c r="AM98" s="100">
        <v>324</v>
      </c>
      <c r="AN98" s="100">
        <v>67.5</v>
      </c>
      <c r="AO98" s="100">
        <v>72</v>
      </c>
      <c r="AP98" s="100">
        <v>384.5</v>
      </c>
      <c r="AQ98" s="100">
        <v>345</v>
      </c>
      <c r="AR98" s="100">
        <v>67.5</v>
      </c>
      <c r="AS98" s="100">
        <v>67</v>
      </c>
      <c r="AT98" s="100">
        <v>404</v>
      </c>
      <c r="AU98" s="100">
        <v>328.5</v>
      </c>
      <c r="AV98" s="100">
        <v>72</v>
      </c>
      <c r="AW98" s="100">
        <v>67.5</v>
      </c>
      <c r="AX98" s="100">
        <v>420.5</v>
      </c>
      <c r="AY98" s="100">
        <v>307.5</v>
      </c>
      <c r="AZ98" s="100">
        <v>67.5</v>
      </c>
      <c r="BA98" s="100">
        <v>72.5</v>
      </c>
      <c r="BB98" s="100">
        <v>425.5</v>
      </c>
      <c r="BC98" s="100">
        <v>414</v>
      </c>
      <c r="BD98" s="100">
        <v>76.5</v>
      </c>
      <c r="BE98" s="100">
        <v>90</v>
      </c>
      <c r="BF98" s="23">
        <v>28.621700000000001</v>
      </c>
      <c r="BG98" s="23">
        <v>77.301599999999993</v>
      </c>
      <c r="BH98" s="31">
        <f t="shared" si="62"/>
        <v>425.5</v>
      </c>
      <c r="BI98" s="31">
        <f t="shared" si="63"/>
        <v>414</v>
      </c>
      <c r="BJ98" s="37">
        <f t="shared" si="64"/>
        <v>11.5</v>
      </c>
      <c r="BK98" s="37">
        <f t="shared" si="65"/>
        <v>2.7777777777777777</v>
      </c>
      <c r="BL98" s="36">
        <f t="shared" si="66"/>
        <v>76.5</v>
      </c>
      <c r="BM98" s="36">
        <f t="shared" si="67"/>
        <v>90</v>
      </c>
      <c r="BN98" s="37">
        <f t="shared" si="68"/>
        <v>-13.5</v>
      </c>
      <c r="BO98" s="37">
        <f t="shared" si="69"/>
        <v>-15</v>
      </c>
      <c r="BP98" s="38">
        <f t="shared" si="70"/>
        <v>4995</v>
      </c>
      <c r="BQ98" s="39">
        <f>J98+N98+S98+W98+AA98+AE98+AI98+AM98+AQ98+AU98+Table1[[#This Row],[MS-0225]]+Table1[[#This Row],[MS-0325]]</f>
        <v>4093.5</v>
      </c>
      <c r="BR98" s="37">
        <f t="shared" si="71"/>
        <v>901.5</v>
      </c>
      <c r="BS98" s="37">
        <f t="shared" si="72"/>
        <v>22.022718944668377</v>
      </c>
      <c r="BT98" s="36">
        <f t="shared" si="73"/>
        <v>983</v>
      </c>
      <c r="BU98" s="36">
        <f t="shared" si="74"/>
        <v>980.5</v>
      </c>
      <c r="BV98" s="37">
        <f t="shared" si="75"/>
        <v>2.5</v>
      </c>
      <c r="BW98" s="37">
        <f t="shared" si="76"/>
        <v>0.25497195308516063</v>
      </c>
      <c r="BX98">
        <v>0</v>
      </c>
      <c r="BY98" s="83">
        <f t="shared" si="77"/>
        <v>0</v>
      </c>
      <c r="BZ98">
        <v>0</v>
      </c>
      <c r="CA98" s="83">
        <f t="shared" si="78"/>
        <v>0</v>
      </c>
      <c r="CB98" s="96">
        <f t="shared" si="79"/>
        <v>0.23245015023217699</v>
      </c>
      <c r="CC98" s="96">
        <f t="shared" si="80"/>
        <v>0.24790419161676647</v>
      </c>
      <c r="CD98" s="97">
        <f t="shared" si="81"/>
        <v>-1.5454041384589473E-2</v>
      </c>
      <c r="CE98" s="96">
        <f t="shared" si="82"/>
        <v>0.19844357976653695</v>
      </c>
      <c r="CF98" s="96">
        <f t="shared" si="83"/>
        <v>0.21951219512195122</v>
      </c>
      <c r="CG98" s="96">
        <f t="shared" si="84"/>
        <v>-2.1068615355414266E-2</v>
      </c>
      <c r="CH98" s="95">
        <f t="shared" si="85"/>
        <v>0.23815199771145226</v>
      </c>
      <c r="CI98" s="95">
        <f t="shared" si="86"/>
        <v>0.20591564174149249</v>
      </c>
      <c r="CJ98" s="98">
        <f t="shared" si="87"/>
        <v>3.2236355969959773E-2</v>
      </c>
      <c r="CK98" s="95">
        <f t="shared" si="88"/>
        <v>0.20977379428083653</v>
      </c>
      <c r="CL98" s="95">
        <f t="shared" si="89"/>
        <v>0.19284098731438687</v>
      </c>
      <c r="CM98" s="98">
        <f t="shared" si="90"/>
        <v>1.6932806966449665E-2</v>
      </c>
      <c r="CN98" s="94">
        <f t="shared" si="91"/>
        <v>1.1907599885572613</v>
      </c>
      <c r="CO98" s="94">
        <f t="shared" si="92"/>
        <v>1.0488689714041826</v>
      </c>
    </row>
    <row r="99" spans="1:94" ht="36.5" x14ac:dyDescent="0.35">
      <c r="A99" s="102">
        <v>244099</v>
      </c>
      <c r="B99" s="3" t="s">
        <v>72</v>
      </c>
      <c r="C99" s="43" t="s">
        <v>335</v>
      </c>
      <c r="D99" s="12" t="s">
        <v>336</v>
      </c>
      <c r="E99" s="4" t="s">
        <v>85</v>
      </c>
      <c r="F99" s="4" t="s">
        <v>337</v>
      </c>
      <c r="G99" s="12" t="s">
        <v>337</v>
      </c>
      <c r="H99" s="51" t="s">
        <v>304</v>
      </c>
      <c r="I99" s="23" t="s">
        <v>86</v>
      </c>
      <c r="J99" s="18">
        <v>430.5</v>
      </c>
      <c r="K99" s="18">
        <v>423</v>
      </c>
      <c r="L99" s="18">
        <v>67.5</v>
      </c>
      <c r="M99" s="18">
        <v>55</v>
      </c>
      <c r="N99" s="18">
        <v>445.5</v>
      </c>
      <c r="O99" s="18">
        <v>445</v>
      </c>
      <c r="P99" s="18">
        <v>76.5</v>
      </c>
      <c r="Q99" s="18">
        <v>55</v>
      </c>
      <c r="R99" s="18">
        <v>462</v>
      </c>
      <c r="S99" s="18">
        <v>417</v>
      </c>
      <c r="T99" s="18">
        <v>50</v>
      </c>
      <c r="U99" s="18">
        <v>63</v>
      </c>
      <c r="V99" s="18">
        <v>433</v>
      </c>
      <c r="W99" s="18">
        <v>430.5</v>
      </c>
      <c r="X99" s="18">
        <v>59</v>
      </c>
      <c r="Y99" s="18">
        <v>67.5</v>
      </c>
      <c r="Z99" s="18">
        <v>424</v>
      </c>
      <c r="AA99" s="18">
        <v>471.5</v>
      </c>
      <c r="AB99" s="18">
        <v>38</v>
      </c>
      <c r="AC99" s="18">
        <v>62.5</v>
      </c>
      <c r="AD99" s="18">
        <v>427.5</v>
      </c>
      <c r="AE99" s="18">
        <v>426</v>
      </c>
      <c r="AF99" s="18">
        <v>58.5</v>
      </c>
      <c r="AG99" s="18">
        <v>72</v>
      </c>
      <c r="AH99" s="18">
        <v>433</v>
      </c>
      <c r="AI99" s="18">
        <v>459</v>
      </c>
      <c r="AJ99" s="18">
        <v>53</v>
      </c>
      <c r="AK99" s="18">
        <v>63</v>
      </c>
      <c r="AL99" s="18">
        <v>403</v>
      </c>
      <c r="AM99" s="18">
        <v>396</v>
      </c>
      <c r="AN99" s="18">
        <v>45</v>
      </c>
      <c r="AO99" s="18">
        <v>54</v>
      </c>
      <c r="AP99" s="18">
        <v>407</v>
      </c>
      <c r="AQ99" s="18">
        <v>405</v>
      </c>
      <c r="AR99" s="18">
        <v>41</v>
      </c>
      <c r="AS99" s="18">
        <v>45</v>
      </c>
      <c r="AT99" s="18">
        <v>379</v>
      </c>
      <c r="AU99" s="18">
        <v>400.5</v>
      </c>
      <c r="AV99" s="18">
        <v>41</v>
      </c>
      <c r="AW99" s="18">
        <v>49.5</v>
      </c>
      <c r="AX99" s="18">
        <v>364</v>
      </c>
      <c r="AY99" s="18">
        <v>358</v>
      </c>
      <c r="AZ99" s="18">
        <v>42</v>
      </c>
      <c r="BA99" s="18">
        <v>42</v>
      </c>
      <c r="BB99" s="18">
        <v>425</v>
      </c>
      <c r="BC99" s="18">
        <v>413</v>
      </c>
      <c r="BD99" s="18">
        <v>54</v>
      </c>
      <c r="BE99" s="18">
        <v>55</v>
      </c>
      <c r="BF99" s="23">
        <v>28.637229999999999</v>
      </c>
      <c r="BG99" s="23">
        <v>77.119659999999996</v>
      </c>
      <c r="BH99" s="31">
        <f t="shared" si="62"/>
        <v>425</v>
      </c>
      <c r="BI99" s="31">
        <f t="shared" si="63"/>
        <v>413</v>
      </c>
      <c r="BJ99" s="37">
        <f t="shared" si="64"/>
        <v>12</v>
      </c>
      <c r="BK99" s="37">
        <f t="shared" si="65"/>
        <v>2.9055690072639226</v>
      </c>
      <c r="BL99" s="36">
        <f t="shared" si="66"/>
        <v>54</v>
      </c>
      <c r="BM99" s="36">
        <f t="shared" si="67"/>
        <v>55</v>
      </c>
      <c r="BN99" s="37">
        <f t="shared" si="68"/>
        <v>-1</v>
      </c>
      <c r="BO99" s="37">
        <f t="shared" si="69"/>
        <v>-1.8181818181818181</v>
      </c>
      <c r="BP99" s="38">
        <f t="shared" si="70"/>
        <v>5025.5</v>
      </c>
      <c r="BQ99" s="39">
        <f>J99+N99+S99+W99+AA99+AE99+AI99+AM99+AQ99+AU99+Table1[[#This Row],[MS-0225]]+Table1[[#This Row],[MS-0325]]</f>
        <v>5052.5</v>
      </c>
      <c r="BR99" s="37">
        <f t="shared" si="71"/>
        <v>-27</v>
      </c>
      <c r="BS99" s="37">
        <f t="shared" si="72"/>
        <v>-0.53438891637803076</v>
      </c>
      <c r="BT99" s="36">
        <f t="shared" si="73"/>
        <v>591.5</v>
      </c>
      <c r="BU99" s="36">
        <f t="shared" si="74"/>
        <v>717.5</v>
      </c>
      <c r="BV99" s="37">
        <f t="shared" si="75"/>
        <v>-126</v>
      </c>
      <c r="BW99" s="37">
        <f t="shared" si="76"/>
        <v>-17.560975609756095</v>
      </c>
      <c r="BX99">
        <v>0</v>
      </c>
      <c r="BY99" s="83">
        <f t="shared" si="77"/>
        <v>0</v>
      </c>
      <c r="BZ99">
        <v>0</v>
      </c>
      <c r="CA99" s="83">
        <f t="shared" si="78"/>
        <v>0</v>
      </c>
      <c r="CB99" s="96">
        <f t="shared" si="79"/>
        <v>0.14728816496274477</v>
      </c>
      <c r="CC99" s="96">
        <f t="shared" si="80"/>
        <v>0.15175454712474737</v>
      </c>
      <c r="CD99" s="97">
        <f t="shared" si="81"/>
        <v>-4.4663821620025967E-3</v>
      </c>
      <c r="CE99" s="96">
        <f t="shared" si="82"/>
        <v>0.14117647058823529</v>
      </c>
      <c r="CF99" s="96">
        <f t="shared" si="83"/>
        <v>0.13530135301353013</v>
      </c>
      <c r="CG99" s="96">
        <f t="shared" si="84"/>
        <v>5.8751175747051576E-3</v>
      </c>
      <c r="CH99" s="95">
        <f t="shared" si="85"/>
        <v>0.14609648676541129</v>
      </c>
      <c r="CI99" s="95">
        <f t="shared" si="86"/>
        <v>0.15454378606540808</v>
      </c>
      <c r="CJ99" s="98">
        <f t="shared" si="87"/>
        <v>-8.4472992999967966E-3</v>
      </c>
      <c r="CK99" s="95">
        <f t="shared" si="88"/>
        <v>0.12893732970027247</v>
      </c>
      <c r="CL99" s="95">
        <f t="shared" si="89"/>
        <v>0.13491914253478751</v>
      </c>
      <c r="CM99" s="98">
        <f t="shared" si="90"/>
        <v>-5.9818128345150434E-3</v>
      </c>
      <c r="CN99" s="94">
        <f t="shared" si="91"/>
        <v>0.73048243382705647</v>
      </c>
      <c r="CO99" s="94">
        <f t="shared" si="92"/>
        <v>0.64468664850136237</v>
      </c>
    </row>
    <row r="100" spans="1:94" ht="24.5" x14ac:dyDescent="0.35">
      <c r="A100" s="102">
        <v>112404</v>
      </c>
      <c r="B100" s="3" t="s">
        <v>72</v>
      </c>
      <c r="C100" s="41" t="s">
        <v>231</v>
      </c>
      <c r="D100" s="12" t="s">
        <v>227</v>
      </c>
      <c r="E100" s="4" t="s">
        <v>228</v>
      </c>
      <c r="F100" s="4" t="s">
        <v>232</v>
      </c>
      <c r="G100" s="12" t="s">
        <v>232</v>
      </c>
      <c r="H100" s="51" t="s">
        <v>230</v>
      </c>
      <c r="I100" s="23" t="s">
        <v>78</v>
      </c>
      <c r="J100" s="18">
        <v>423.000001</v>
      </c>
      <c r="K100" s="18">
        <v>427.5</v>
      </c>
      <c r="L100" s="18">
        <v>261</v>
      </c>
      <c r="M100" s="18">
        <v>292.5</v>
      </c>
      <c r="N100" s="18">
        <v>454.50000199999999</v>
      </c>
      <c r="O100" s="18">
        <v>459</v>
      </c>
      <c r="P100" s="18">
        <v>247.5</v>
      </c>
      <c r="Q100" s="18">
        <v>297</v>
      </c>
      <c r="R100" s="18">
        <v>444</v>
      </c>
      <c r="S100" s="18">
        <v>440.50000199999999</v>
      </c>
      <c r="T100" s="18">
        <v>324</v>
      </c>
      <c r="U100" s="18">
        <v>309.5</v>
      </c>
      <c r="V100" s="18">
        <v>432</v>
      </c>
      <c r="W100" s="18">
        <v>432</v>
      </c>
      <c r="X100" s="18">
        <v>306</v>
      </c>
      <c r="Y100" s="18">
        <v>306</v>
      </c>
      <c r="Z100" s="18">
        <v>441</v>
      </c>
      <c r="AA100" s="18">
        <v>441.000001</v>
      </c>
      <c r="AB100" s="18">
        <v>297</v>
      </c>
      <c r="AC100" s="18">
        <v>315</v>
      </c>
      <c r="AD100" s="18">
        <v>418.5</v>
      </c>
      <c r="AE100" s="18">
        <v>418.500001</v>
      </c>
      <c r="AF100" s="18">
        <v>283.5</v>
      </c>
      <c r="AG100" s="18">
        <v>283.5</v>
      </c>
      <c r="AH100" s="18">
        <v>451.5</v>
      </c>
      <c r="AI100" s="18">
        <v>441</v>
      </c>
      <c r="AJ100" s="18">
        <v>288.5</v>
      </c>
      <c r="AK100" s="18">
        <v>333</v>
      </c>
      <c r="AL100" s="18">
        <v>432</v>
      </c>
      <c r="AM100" s="18">
        <v>446.00000199999999</v>
      </c>
      <c r="AN100" s="18">
        <v>288</v>
      </c>
      <c r="AO100" s="18">
        <v>263</v>
      </c>
      <c r="AP100" s="18">
        <v>432</v>
      </c>
      <c r="AQ100" s="18">
        <v>428</v>
      </c>
      <c r="AR100" s="18">
        <v>342</v>
      </c>
      <c r="AS100" s="18">
        <v>288</v>
      </c>
      <c r="AT100" s="18">
        <v>405</v>
      </c>
      <c r="AU100" s="18">
        <v>405</v>
      </c>
      <c r="AV100" s="18">
        <v>261</v>
      </c>
      <c r="AW100" s="18">
        <v>237</v>
      </c>
      <c r="AX100" s="18">
        <v>387</v>
      </c>
      <c r="AY100" s="18">
        <v>400.5</v>
      </c>
      <c r="AZ100" s="18">
        <v>315</v>
      </c>
      <c r="BA100" s="18">
        <v>229.5</v>
      </c>
      <c r="BB100" s="18">
        <v>423</v>
      </c>
      <c r="BC100" s="18">
        <v>400</v>
      </c>
      <c r="BD100" s="18">
        <v>261</v>
      </c>
      <c r="BE100" s="18">
        <v>296</v>
      </c>
      <c r="BF100" s="23">
        <v>28.705629999999999</v>
      </c>
      <c r="BG100" s="23">
        <v>77.291849999999997</v>
      </c>
      <c r="BH100" s="31">
        <f t="shared" si="62"/>
        <v>423</v>
      </c>
      <c r="BI100" s="31">
        <f t="shared" si="63"/>
        <v>400</v>
      </c>
      <c r="BJ100" s="37">
        <f t="shared" si="64"/>
        <v>23</v>
      </c>
      <c r="BK100" s="37">
        <f t="shared" si="65"/>
        <v>5.75</v>
      </c>
      <c r="BL100" s="36">
        <f t="shared" si="66"/>
        <v>261</v>
      </c>
      <c r="BM100" s="36">
        <f t="shared" si="67"/>
        <v>296</v>
      </c>
      <c r="BN100" s="37">
        <f t="shared" si="68"/>
        <v>-35</v>
      </c>
      <c r="BO100" s="37">
        <f t="shared" si="69"/>
        <v>-11.824324324324325</v>
      </c>
      <c r="BP100" s="38">
        <f t="shared" si="70"/>
        <v>5152.5</v>
      </c>
      <c r="BQ100" s="39">
        <f>J100+N100+S100+W100+AA100+AE100+AI100+AM100+AQ100+AU100+Table1[[#This Row],[MS-0225]]+Table1[[#This Row],[MS-0325]]</f>
        <v>5130.0000089999994</v>
      </c>
      <c r="BR100" s="37">
        <f t="shared" si="71"/>
        <v>22.499991000000591</v>
      </c>
      <c r="BS100" s="37">
        <f t="shared" si="72"/>
        <v>0.438596315020018</v>
      </c>
      <c r="BT100" s="36">
        <f t="shared" si="73"/>
        <v>3555.5</v>
      </c>
      <c r="BU100" s="36">
        <f t="shared" si="74"/>
        <v>3369</v>
      </c>
      <c r="BV100" s="37">
        <f t="shared" si="75"/>
        <v>186.5</v>
      </c>
      <c r="BW100" s="37">
        <f t="shared" si="76"/>
        <v>5.5357672899970316</v>
      </c>
      <c r="BX100">
        <v>9</v>
      </c>
      <c r="BY100" s="83">
        <f t="shared" si="77"/>
        <v>2.1276595744680851E-2</v>
      </c>
      <c r="BZ100">
        <v>58.5</v>
      </c>
      <c r="CA100" s="83">
        <f t="shared" si="78"/>
        <v>1.1353711790393014E-2</v>
      </c>
      <c r="CB100" s="96">
        <f t="shared" si="79"/>
        <v>0.52093596059113301</v>
      </c>
      <c r="CC100" s="96">
        <f t="shared" si="80"/>
        <v>0.55555555555555558</v>
      </c>
      <c r="CD100" s="97">
        <f t="shared" si="81"/>
        <v>-3.4619594964422573E-2</v>
      </c>
      <c r="CE100" s="96">
        <f t="shared" si="82"/>
        <v>0.70540540540540542</v>
      </c>
      <c r="CF100" s="96">
        <f t="shared" si="83"/>
        <v>0.71497584541062797</v>
      </c>
      <c r="CG100" s="96">
        <f t="shared" si="84"/>
        <v>-9.570440005222558E-3</v>
      </c>
      <c r="CH100" s="95">
        <f t="shared" si="85"/>
        <v>0.56271501119423362</v>
      </c>
      <c r="CI100" s="95">
        <f t="shared" si="86"/>
        <v>0.55712424022435725</v>
      </c>
      <c r="CJ100" s="98">
        <f t="shared" si="87"/>
        <v>5.5907709698763686E-3</v>
      </c>
      <c r="CK100" s="95">
        <f t="shared" si="88"/>
        <v>0.74781785676727308</v>
      </c>
      <c r="CL100" s="95">
        <f t="shared" si="89"/>
        <v>0.71604675876726886</v>
      </c>
      <c r="CM100" s="98">
        <f t="shared" si="90"/>
        <v>3.1771098000004216E-2</v>
      </c>
      <c r="CN100" s="94">
        <f t="shared" si="91"/>
        <v>1.1254300223884672</v>
      </c>
      <c r="CO100" s="94">
        <f t="shared" si="92"/>
        <v>1.4956357135345462</v>
      </c>
    </row>
    <row r="101" spans="1:94" ht="24.5" x14ac:dyDescent="0.35">
      <c r="A101" s="103">
        <v>41056986</v>
      </c>
      <c r="B101" s="9" t="s">
        <v>380</v>
      </c>
      <c r="C101" s="47" t="s">
        <v>487</v>
      </c>
      <c r="D101" s="14" t="s">
        <v>480</v>
      </c>
      <c r="E101" s="10" t="s">
        <v>228</v>
      </c>
      <c r="F101" s="10" t="s">
        <v>488</v>
      </c>
      <c r="G101" s="12" t="s">
        <v>488</v>
      </c>
      <c r="H101" s="51" t="s">
        <v>172</v>
      </c>
      <c r="I101" s="25" t="s">
        <v>78</v>
      </c>
      <c r="J101" s="99">
        <v>342</v>
      </c>
      <c r="K101" s="99">
        <v>377</v>
      </c>
      <c r="L101" s="99">
        <v>36</v>
      </c>
      <c r="M101" s="99">
        <v>41</v>
      </c>
      <c r="N101" s="18">
        <v>378</v>
      </c>
      <c r="O101" s="18">
        <v>399</v>
      </c>
      <c r="P101" s="18">
        <v>36</v>
      </c>
      <c r="Q101" s="18">
        <v>41</v>
      </c>
      <c r="R101" s="99">
        <v>395</v>
      </c>
      <c r="S101" s="99">
        <v>361</v>
      </c>
      <c r="T101" s="99">
        <v>50</v>
      </c>
      <c r="U101" s="99">
        <v>36</v>
      </c>
      <c r="V101" s="99">
        <v>357</v>
      </c>
      <c r="W101" s="99">
        <v>360</v>
      </c>
      <c r="X101" s="99">
        <v>22</v>
      </c>
      <c r="Y101" s="99">
        <v>36</v>
      </c>
      <c r="Z101" s="99">
        <v>418</v>
      </c>
      <c r="AA101" s="99">
        <v>414</v>
      </c>
      <c r="AB101" s="99">
        <v>44</v>
      </c>
      <c r="AC101" s="99">
        <v>54</v>
      </c>
      <c r="AD101" s="99">
        <v>408</v>
      </c>
      <c r="AE101" s="99">
        <v>414</v>
      </c>
      <c r="AF101" s="99">
        <v>44</v>
      </c>
      <c r="AG101" s="99">
        <v>36</v>
      </c>
      <c r="AH101" s="99">
        <v>443</v>
      </c>
      <c r="AI101" s="99">
        <v>432</v>
      </c>
      <c r="AJ101" s="99">
        <v>44</v>
      </c>
      <c r="AK101" s="99">
        <v>36</v>
      </c>
      <c r="AL101" s="99">
        <v>399</v>
      </c>
      <c r="AM101" s="99">
        <v>400</v>
      </c>
      <c r="AN101" s="99">
        <v>22</v>
      </c>
      <c r="AO101" s="99">
        <v>41</v>
      </c>
      <c r="AP101" s="99">
        <v>375</v>
      </c>
      <c r="AQ101" s="99">
        <v>396</v>
      </c>
      <c r="AR101" s="99">
        <v>44</v>
      </c>
      <c r="AS101" s="99">
        <v>38</v>
      </c>
      <c r="AT101" s="99">
        <v>351</v>
      </c>
      <c r="AU101" s="99">
        <v>366</v>
      </c>
      <c r="AV101" s="99">
        <v>22</v>
      </c>
      <c r="AW101" s="99">
        <v>38</v>
      </c>
      <c r="AX101" s="99">
        <v>354</v>
      </c>
      <c r="AY101" s="99">
        <v>355</v>
      </c>
      <c r="AZ101" s="99">
        <v>44</v>
      </c>
      <c r="BA101" s="99">
        <v>46</v>
      </c>
      <c r="BB101" s="99">
        <v>422</v>
      </c>
      <c r="BC101" s="99">
        <v>405</v>
      </c>
      <c r="BD101" s="99">
        <v>25</v>
      </c>
      <c r="BE101" s="99">
        <v>28</v>
      </c>
      <c r="BF101" s="23">
        <v>28.672789999999999</v>
      </c>
      <c r="BG101" s="23">
        <v>77.252330000000001</v>
      </c>
      <c r="BH101" s="31">
        <f t="shared" si="62"/>
        <v>422</v>
      </c>
      <c r="BI101" s="31">
        <f t="shared" si="63"/>
        <v>405</v>
      </c>
      <c r="BJ101" s="37">
        <f t="shared" si="64"/>
        <v>17</v>
      </c>
      <c r="BK101" s="37">
        <f t="shared" si="65"/>
        <v>4.1975308641975309</v>
      </c>
      <c r="BL101" s="36">
        <f t="shared" si="66"/>
        <v>25</v>
      </c>
      <c r="BM101" s="36">
        <f t="shared" si="67"/>
        <v>28</v>
      </c>
      <c r="BN101" s="37">
        <f t="shared" si="68"/>
        <v>-3</v>
      </c>
      <c r="BO101" s="37">
        <f t="shared" si="69"/>
        <v>-10.714285714285714</v>
      </c>
      <c r="BP101" s="38">
        <f t="shared" si="70"/>
        <v>4698</v>
      </c>
      <c r="BQ101" s="39">
        <f>J101+N101+S101+W101+AA101+AE101+AI101+AM101+AQ101+AU101+Table1[[#This Row],[MS-0225]]+Table1[[#This Row],[MS-0325]]</f>
        <v>4623</v>
      </c>
      <c r="BR101" s="37">
        <f t="shared" si="71"/>
        <v>75</v>
      </c>
      <c r="BS101" s="37">
        <f t="shared" si="72"/>
        <v>1.6223231667748215</v>
      </c>
      <c r="BT101" s="36">
        <f t="shared" si="73"/>
        <v>443</v>
      </c>
      <c r="BU101" s="36">
        <f t="shared" si="74"/>
        <v>461</v>
      </c>
      <c r="BV101" s="37">
        <f t="shared" si="75"/>
        <v>-18</v>
      </c>
      <c r="BW101" s="37">
        <f t="shared" si="76"/>
        <v>-3.9045553145336225</v>
      </c>
      <c r="BX101">
        <v>0</v>
      </c>
      <c r="BY101" s="83">
        <f t="shared" si="77"/>
        <v>0</v>
      </c>
      <c r="BZ101">
        <v>0</v>
      </c>
      <c r="CA101" s="83">
        <f t="shared" si="78"/>
        <v>0</v>
      </c>
      <c r="CB101" s="96">
        <f t="shared" si="79"/>
        <v>0.18623124448367168</v>
      </c>
      <c r="CC101" s="96">
        <f t="shared" si="80"/>
        <v>0.18951801591015444</v>
      </c>
      <c r="CD101" s="97">
        <f t="shared" si="81"/>
        <v>-3.2867714264827597E-3</v>
      </c>
      <c r="CE101" s="96">
        <f t="shared" si="82"/>
        <v>0.10964912280701754</v>
      </c>
      <c r="CF101" s="96">
        <f t="shared" si="83"/>
        <v>0.112</v>
      </c>
      <c r="CG101" s="96">
        <f t="shared" si="84"/>
        <v>-2.3508771929824646E-3</v>
      </c>
      <c r="CH101" s="95">
        <f t="shared" si="85"/>
        <v>0.18065756585272064</v>
      </c>
      <c r="CI101" s="95">
        <f t="shared" si="86"/>
        <v>0.18702212872689025</v>
      </c>
      <c r="CJ101" s="98">
        <f t="shared" si="87"/>
        <v>-6.3645628741696159E-3</v>
      </c>
      <c r="CK101" s="95">
        <f t="shared" si="88"/>
        <v>0.15403337969401948</v>
      </c>
      <c r="CL101" s="95">
        <f t="shared" si="89"/>
        <v>0.14842240824211203</v>
      </c>
      <c r="CM101" s="98">
        <f t="shared" si="90"/>
        <v>5.6109714519074483E-3</v>
      </c>
      <c r="CN101" s="94">
        <f t="shared" si="91"/>
        <v>0.90328782926360318</v>
      </c>
      <c r="CO101" s="94">
        <f t="shared" si="92"/>
        <v>0.77016689847009734</v>
      </c>
    </row>
    <row r="102" spans="1:94" ht="24.5" x14ac:dyDescent="0.35">
      <c r="A102" s="102">
        <v>112459</v>
      </c>
      <c r="B102" s="3" t="s">
        <v>72</v>
      </c>
      <c r="C102" s="43" t="s">
        <v>155</v>
      </c>
      <c r="D102" s="12" t="s">
        <v>146</v>
      </c>
      <c r="E102" s="4" t="s">
        <v>103</v>
      </c>
      <c r="F102" s="4" t="s">
        <v>145</v>
      </c>
      <c r="G102" s="12" t="s">
        <v>145</v>
      </c>
      <c r="H102" s="51" t="s">
        <v>96</v>
      </c>
      <c r="I102" s="23" t="s">
        <v>83</v>
      </c>
      <c r="J102" s="18">
        <v>370.000001</v>
      </c>
      <c r="K102" s="18">
        <v>410</v>
      </c>
      <c r="L102" s="18">
        <v>74</v>
      </c>
      <c r="M102" s="18">
        <v>90</v>
      </c>
      <c r="N102" s="18">
        <v>394.00000199999999</v>
      </c>
      <c r="O102" s="18">
        <v>363</v>
      </c>
      <c r="P102" s="18">
        <v>98</v>
      </c>
      <c r="Q102" s="18">
        <v>85</v>
      </c>
      <c r="R102" s="18">
        <v>326.5</v>
      </c>
      <c r="S102" s="18">
        <v>374.00000399999999</v>
      </c>
      <c r="T102" s="18">
        <v>81.5</v>
      </c>
      <c r="U102" s="18">
        <v>88</v>
      </c>
      <c r="V102" s="18">
        <v>381.5</v>
      </c>
      <c r="W102" s="18">
        <v>420.000001</v>
      </c>
      <c r="X102" s="18">
        <v>112.5</v>
      </c>
      <c r="Y102" s="18">
        <v>102</v>
      </c>
      <c r="Z102" s="18">
        <v>392</v>
      </c>
      <c r="AA102" s="18">
        <v>392.5</v>
      </c>
      <c r="AB102" s="18">
        <v>102</v>
      </c>
      <c r="AC102" s="18">
        <v>107.5</v>
      </c>
      <c r="AD102" s="18">
        <v>415</v>
      </c>
      <c r="AE102" s="18">
        <v>366.5</v>
      </c>
      <c r="AF102" s="18">
        <v>127</v>
      </c>
      <c r="AG102" s="18">
        <v>101.5</v>
      </c>
      <c r="AH102" s="18">
        <v>351.5</v>
      </c>
      <c r="AI102" s="18">
        <v>409</v>
      </c>
      <c r="AJ102" s="18">
        <v>96.5</v>
      </c>
      <c r="AK102" s="18">
        <v>97</v>
      </c>
      <c r="AL102" s="18">
        <v>360</v>
      </c>
      <c r="AM102" s="18">
        <v>327.5</v>
      </c>
      <c r="AN102" s="18">
        <v>76</v>
      </c>
      <c r="AO102" s="18">
        <v>52.5</v>
      </c>
      <c r="AP102" s="18">
        <v>374</v>
      </c>
      <c r="AQ102" s="18">
        <v>378</v>
      </c>
      <c r="AR102" s="18">
        <v>66</v>
      </c>
      <c r="AS102" s="18">
        <v>80</v>
      </c>
      <c r="AT102" s="18">
        <v>373</v>
      </c>
      <c r="AU102" s="18">
        <v>376</v>
      </c>
      <c r="AV102" s="18">
        <v>83</v>
      </c>
      <c r="AW102" s="18">
        <v>80</v>
      </c>
      <c r="AX102" s="18">
        <v>398</v>
      </c>
      <c r="AY102" s="18">
        <v>325</v>
      </c>
      <c r="AZ102" s="18">
        <v>70</v>
      </c>
      <c r="BA102" s="18">
        <v>65</v>
      </c>
      <c r="BB102" s="18">
        <v>416</v>
      </c>
      <c r="BC102" s="18">
        <v>379</v>
      </c>
      <c r="BD102" s="18">
        <v>84</v>
      </c>
      <c r="BE102" s="18">
        <v>79</v>
      </c>
      <c r="BF102" s="23">
        <v>28.526299999999999</v>
      </c>
      <c r="BG102" s="23">
        <v>77.156149999999997</v>
      </c>
      <c r="BH102" s="31">
        <f t="shared" si="62"/>
        <v>416</v>
      </c>
      <c r="BI102" s="31">
        <f t="shared" si="63"/>
        <v>379</v>
      </c>
      <c r="BJ102" s="37">
        <f t="shared" si="64"/>
        <v>37</v>
      </c>
      <c r="BK102" s="37">
        <f t="shared" si="65"/>
        <v>9.7625329815303434</v>
      </c>
      <c r="BL102" s="36">
        <f t="shared" si="66"/>
        <v>84</v>
      </c>
      <c r="BM102" s="36">
        <f t="shared" si="67"/>
        <v>79</v>
      </c>
      <c r="BN102" s="37">
        <f t="shared" si="68"/>
        <v>5</v>
      </c>
      <c r="BO102" s="37">
        <f t="shared" si="69"/>
        <v>6.3291139240506329</v>
      </c>
      <c r="BP102" s="38">
        <f t="shared" si="70"/>
        <v>4560.5</v>
      </c>
      <c r="BQ102" s="39">
        <f>J102+N102+S102+W102+AA102+AE102+AI102+AM102+AQ102+AU102+Table1[[#This Row],[MS-0225]]+Table1[[#This Row],[MS-0325]]</f>
        <v>4511.500008</v>
      </c>
      <c r="BR102" s="37">
        <f t="shared" si="71"/>
        <v>48.99999200000002</v>
      </c>
      <c r="BS102" s="37">
        <f t="shared" si="72"/>
        <v>1.0861130868471898</v>
      </c>
      <c r="BT102" s="36">
        <f t="shared" si="73"/>
        <v>1073.5</v>
      </c>
      <c r="BU102" s="36">
        <f t="shared" si="74"/>
        <v>1024.5</v>
      </c>
      <c r="BV102" s="37">
        <f t="shared" si="75"/>
        <v>49</v>
      </c>
      <c r="BW102" s="37">
        <f t="shared" si="76"/>
        <v>4.7828208882381649</v>
      </c>
      <c r="BX102">
        <v>31</v>
      </c>
      <c r="BY102" s="83">
        <f t="shared" si="77"/>
        <v>7.4519230769230768E-2</v>
      </c>
      <c r="BZ102">
        <v>159.5</v>
      </c>
      <c r="CA102" s="83">
        <f t="shared" si="78"/>
        <v>3.4974235281219165E-2</v>
      </c>
      <c r="CB102" s="96">
        <f t="shared" si="79"/>
        <v>0.27714856762158563</v>
      </c>
      <c r="CC102" s="96">
        <f t="shared" si="80"/>
        <v>0.27877896285399045</v>
      </c>
      <c r="CD102" s="97">
        <f t="shared" si="81"/>
        <v>-1.6303952324048243E-3</v>
      </c>
      <c r="CE102" s="96">
        <f t="shared" si="82"/>
        <v>0.20947630922693267</v>
      </c>
      <c r="CF102" s="96">
        <f t="shared" si="83"/>
        <v>0.18098510882016036</v>
      </c>
      <c r="CG102" s="96">
        <f t="shared" si="84"/>
        <v>2.8491200406772305E-2</v>
      </c>
      <c r="CH102" s="95">
        <f t="shared" si="85"/>
        <v>0.27171711153479505</v>
      </c>
      <c r="CI102" s="95">
        <f t="shared" si="86"/>
        <v>0.27932390195421614</v>
      </c>
      <c r="CJ102" s="98">
        <f t="shared" si="87"/>
        <v>-7.6067904194210834E-3</v>
      </c>
      <c r="CK102" s="95">
        <f t="shared" si="88"/>
        <v>0.2269556025369979</v>
      </c>
      <c r="CL102" s="95">
        <f t="shared" si="89"/>
        <v>0.1934296233361654</v>
      </c>
      <c r="CM102" s="98">
        <f t="shared" si="90"/>
        <v>3.3525979200832501E-2</v>
      </c>
      <c r="CN102" s="94">
        <f t="shared" si="91"/>
        <v>1.0868684461391802</v>
      </c>
      <c r="CO102" s="94">
        <f t="shared" si="92"/>
        <v>0.90782241014799159</v>
      </c>
    </row>
    <row r="103" spans="1:94" ht="36.5" x14ac:dyDescent="0.35">
      <c r="A103" s="104">
        <v>186862</v>
      </c>
      <c r="B103" s="5" t="s">
        <v>581</v>
      </c>
      <c r="C103" s="46" t="s">
        <v>875</v>
      </c>
      <c r="D103" s="13" t="s">
        <v>461</v>
      </c>
      <c r="E103" s="6" t="s">
        <v>228</v>
      </c>
      <c r="F103" s="6" t="s">
        <v>462</v>
      </c>
      <c r="G103" s="12" t="s">
        <v>462</v>
      </c>
      <c r="H103" s="51" t="s">
        <v>230</v>
      </c>
      <c r="I103" s="24" t="s">
        <v>78</v>
      </c>
      <c r="J103" s="100">
        <v>409</v>
      </c>
      <c r="K103" s="100">
        <v>450</v>
      </c>
      <c r="L103" s="100">
        <v>117</v>
      </c>
      <c r="M103" s="100">
        <v>130</v>
      </c>
      <c r="N103" s="18">
        <v>443</v>
      </c>
      <c r="O103" s="18">
        <v>425</v>
      </c>
      <c r="P103" s="18">
        <v>135</v>
      </c>
      <c r="Q103" s="18">
        <v>115</v>
      </c>
      <c r="R103" s="100">
        <v>443</v>
      </c>
      <c r="S103" s="100">
        <v>423</v>
      </c>
      <c r="T103" s="100">
        <v>109</v>
      </c>
      <c r="U103" s="100">
        <v>135</v>
      </c>
      <c r="V103" s="100">
        <v>432</v>
      </c>
      <c r="W103" s="100">
        <v>402.5</v>
      </c>
      <c r="X103" s="100">
        <v>84</v>
      </c>
      <c r="Y103" s="100">
        <v>121.5</v>
      </c>
      <c r="Z103" s="100">
        <v>447</v>
      </c>
      <c r="AA103" s="100">
        <v>412.5</v>
      </c>
      <c r="AB103" s="100">
        <v>107</v>
      </c>
      <c r="AC103" s="100">
        <v>97.5</v>
      </c>
      <c r="AD103" s="100">
        <v>404</v>
      </c>
      <c r="AE103" s="100">
        <v>337.5</v>
      </c>
      <c r="AF103" s="100">
        <v>114</v>
      </c>
      <c r="AG103" s="100">
        <v>112.5</v>
      </c>
      <c r="AH103" s="100">
        <v>439</v>
      </c>
      <c r="AI103" s="100">
        <v>391.5</v>
      </c>
      <c r="AJ103" s="100">
        <v>79</v>
      </c>
      <c r="AK103" s="100">
        <v>130.5</v>
      </c>
      <c r="AL103" s="100">
        <v>430</v>
      </c>
      <c r="AM103" s="100">
        <v>427.5</v>
      </c>
      <c r="AN103" s="100">
        <v>90</v>
      </c>
      <c r="AO103" s="100">
        <v>112.5</v>
      </c>
      <c r="AP103" s="100">
        <v>410</v>
      </c>
      <c r="AQ103" s="100">
        <v>432</v>
      </c>
      <c r="AR103" s="100">
        <v>90</v>
      </c>
      <c r="AS103" s="100">
        <v>90</v>
      </c>
      <c r="AT103" s="100">
        <v>411</v>
      </c>
      <c r="AU103" s="100">
        <v>378</v>
      </c>
      <c r="AV103" s="100">
        <v>103</v>
      </c>
      <c r="AW103" s="100">
        <v>126</v>
      </c>
      <c r="AX103" s="100">
        <v>397</v>
      </c>
      <c r="AY103" s="100">
        <v>379</v>
      </c>
      <c r="AZ103" s="100">
        <v>99</v>
      </c>
      <c r="BA103" s="100">
        <v>127</v>
      </c>
      <c r="BB103" s="100">
        <v>415</v>
      </c>
      <c r="BC103" s="100">
        <v>400.5</v>
      </c>
      <c r="BD103" s="100">
        <v>105</v>
      </c>
      <c r="BE103" s="100">
        <v>83.5</v>
      </c>
      <c r="BF103" s="23">
        <v>28.697700000000001</v>
      </c>
      <c r="BG103" s="23">
        <v>77.314099999999996</v>
      </c>
      <c r="BH103" s="31">
        <f t="shared" si="62"/>
        <v>415</v>
      </c>
      <c r="BI103" s="31">
        <f t="shared" si="63"/>
        <v>400.5</v>
      </c>
      <c r="BJ103" s="37">
        <f t="shared" si="64"/>
        <v>14.5</v>
      </c>
      <c r="BK103" s="37">
        <f t="shared" si="65"/>
        <v>3.6204744069912609</v>
      </c>
      <c r="BL103" s="36">
        <f t="shared" si="66"/>
        <v>105</v>
      </c>
      <c r="BM103" s="36">
        <f t="shared" si="67"/>
        <v>83.5</v>
      </c>
      <c r="BN103" s="37">
        <f t="shared" si="68"/>
        <v>21.5</v>
      </c>
      <c r="BO103" s="37">
        <f t="shared" si="69"/>
        <v>25.748502994011975</v>
      </c>
      <c r="BP103" s="38">
        <f t="shared" si="70"/>
        <v>5103</v>
      </c>
      <c r="BQ103" s="39">
        <f>J103+N103+S103+W103+AA103+AE103+AI103+AM103+AQ103+AU103+Table1[[#This Row],[MS-0225]]+Table1[[#This Row],[MS-0325]]</f>
        <v>4836</v>
      </c>
      <c r="BR103" s="37">
        <f t="shared" si="71"/>
        <v>267</v>
      </c>
      <c r="BS103" s="37">
        <f t="shared" si="72"/>
        <v>5.5210918114143919</v>
      </c>
      <c r="BT103" s="36">
        <f t="shared" si="73"/>
        <v>1225</v>
      </c>
      <c r="BU103" s="36">
        <f t="shared" si="74"/>
        <v>1388</v>
      </c>
      <c r="BV103" s="37">
        <f t="shared" si="75"/>
        <v>-163</v>
      </c>
      <c r="BW103" s="37">
        <f t="shared" si="76"/>
        <v>-11.743515850144092</v>
      </c>
      <c r="BX103">
        <v>0</v>
      </c>
      <c r="BY103" s="83">
        <f t="shared" si="77"/>
        <v>0</v>
      </c>
      <c r="BZ103">
        <v>0</v>
      </c>
      <c r="CA103" s="83">
        <f t="shared" si="78"/>
        <v>0</v>
      </c>
      <c r="CB103" s="96">
        <f t="shared" si="79"/>
        <v>0.21469218830832903</v>
      </c>
      <c r="CC103" s="96">
        <f t="shared" si="80"/>
        <v>0.20299036999493159</v>
      </c>
      <c r="CD103" s="97">
        <f t="shared" si="81"/>
        <v>1.170181831339745E-2</v>
      </c>
      <c r="CE103" s="96">
        <f t="shared" si="82"/>
        <v>0.4251012145748988</v>
      </c>
      <c r="CF103" s="96">
        <f t="shared" si="83"/>
        <v>0.31628787878787878</v>
      </c>
      <c r="CG103" s="96">
        <f t="shared" si="84"/>
        <v>0.10881333578702002</v>
      </c>
      <c r="CH103" s="95">
        <f t="shared" si="85"/>
        <v>0.21389500157183275</v>
      </c>
      <c r="CI103" s="95">
        <f t="shared" si="86"/>
        <v>0.20755364806866952</v>
      </c>
      <c r="CJ103" s="98">
        <f t="shared" si="87"/>
        <v>6.3413535031632273E-3</v>
      </c>
      <c r="CK103" s="95">
        <f t="shared" si="88"/>
        <v>0.39471564362816175</v>
      </c>
      <c r="CL103" s="95">
        <f t="shared" si="89"/>
        <v>0.38384955752212391</v>
      </c>
      <c r="CM103" s="98">
        <f t="shared" si="90"/>
        <v>1.0866086106037842E-2</v>
      </c>
      <c r="CN103" s="94">
        <f t="shared" si="91"/>
        <v>1.0694750078591637</v>
      </c>
      <c r="CO103" s="94">
        <f t="shared" si="92"/>
        <v>1.9735782181408088</v>
      </c>
    </row>
    <row r="104" spans="1:94" ht="24.5" x14ac:dyDescent="0.35">
      <c r="A104" s="104">
        <v>331623</v>
      </c>
      <c r="B104" s="5" t="s">
        <v>581</v>
      </c>
      <c r="C104" s="46" t="s">
        <v>586</v>
      </c>
      <c r="D104" s="13" t="s">
        <v>267</v>
      </c>
      <c r="E104" s="6" t="s">
        <v>89</v>
      </c>
      <c r="F104" s="6" t="s">
        <v>587</v>
      </c>
      <c r="G104" s="12" t="s">
        <v>587</v>
      </c>
      <c r="H104" s="51" t="s">
        <v>91</v>
      </c>
      <c r="I104" s="24" t="s">
        <v>86</v>
      </c>
      <c r="J104" s="100">
        <v>161.14299999999997</v>
      </c>
      <c r="K104" s="100">
        <v>181.09399999999999</v>
      </c>
      <c r="L104" s="100">
        <v>66.712999999999994</v>
      </c>
      <c r="M104" s="100">
        <v>64.208999999999904</v>
      </c>
      <c r="N104" s="18">
        <v>167</v>
      </c>
      <c r="O104" s="18">
        <v>191.59800000000001</v>
      </c>
      <c r="P104" s="18">
        <v>67.5</v>
      </c>
      <c r="Q104" s="18">
        <v>64.02600000000001</v>
      </c>
      <c r="R104" s="100">
        <v>198</v>
      </c>
      <c r="S104" s="100">
        <v>167.77</v>
      </c>
      <c r="T104" s="100">
        <v>60</v>
      </c>
      <c r="U104" s="100">
        <v>63.814999999999998</v>
      </c>
      <c r="V104" s="100">
        <v>199.47399999999999</v>
      </c>
      <c r="W104" s="100">
        <v>177.637</v>
      </c>
      <c r="X104" s="100">
        <v>55.045999999999907</v>
      </c>
      <c r="Y104" s="100">
        <v>84.655000000000001</v>
      </c>
      <c r="Z104" s="100">
        <v>256.40499999999997</v>
      </c>
      <c r="AA104" s="100">
        <v>181.5</v>
      </c>
      <c r="AB104" s="100">
        <v>74.921999999999997</v>
      </c>
      <c r="AC104" s="100">
        <v>54.5</v>
      </c>
      <c r="AD104" s="100">
        <v>262.08899999999988</v>
      </c>
      <c r="AE104" s="100">
        <v>183.54400000000001</v>
      </c>
      <c r="AF104" s="100">
        <v>106.91799999999989</v>
      </c>
      <c r="AG104" s="100">
        <v>55.605999999999895</v>
      </c>
      <c r="AH104" s="100">
        <v>232.95000000000002</v>
      </c>
      <c r="AI104" s="100">
        <v>202.5</v>
      </c>
      <c r="AJ104" s="100">
        <v>85.497999999999891</v>
      </c>
      <c r="AK104" s="100">
        <v>67.5</v>
      </c>
      <c r="AL104" s="100">
        <v>261.89699999999993</v>
      </c>
      <c r="AM104" s="100">
        <v>161.90199999999999</v>
      </c>
      <c r="AN104" s="100">
        <v>100.242</v>
      </c>
      <c r="AO104" s="100">
        <v>50.794000000000004</v>
      </c>
      <c r="AP104" s="100">
        <v>222.44</v>
      </c>
      <c r="AQ104" s="100">
        <v>161.178</v>
      </c>
      <c r="AR104" s="100">
        <v>71.116</v>
      </c>
      <c r="AS104" s="100">
        <v>49.412999999999997</v>
      </c>
      <c r="AT104" s="100">
        <v>218.32499999999999</v>
      </c>
      <c r="AU104" s="100">
        <v>162.14799999999988</v>
      </c>
      <c r="AV104" s="100">
        <v>72.9939999999999</v>
      </c>
      <c r="AW104" s="100">
        <v>62.476000000000006</v>
      </c>
      <c r="AX104" s="100">
        <v>216.40700000000001</v>
      </c>
      <c r="AY104" s="100">
        <v>150.453</v>
      </c>
      <c r="AZ104" s="100">
        <v>79.543000000000006</v>
      </c>
      <c r="BA104" s="100">
        <v>57.348000000000106</v>
      </c>
      <c r="BB104" s="100">
        <v>243.83500000000001</v>
      </c>
      <c r="BC104" s="100">
        <v>168.89399999999989</v>
      </c>
      <c r="BD104" s="100">
        <v>90.965000000000003</v>
      </c>
      <c r="BE104" s="100">
        <v>60.136999999999908</v>
      </c>
      <c r="BF104" s="23">
        <v>28.800177000000001</v>
      </c>
      <c r="BG104" s="23">
        <v>77.085522999999995</v>
      </c>
      <c r="BH104" s="31">
        <f t="shared" si="62"/>
        <v>243.83500000000001</v>
      </c>
      <c r="BI104" s="31">
        <f t="shared" si="63"/>
        <v>168.89399999999989</v>
      </c>
      <c r="BJ104" s="37">
        <f t="shared" si="64"/>
        <v>74.941000000000116</v>
      </c>
      <c r="BK104" s="37">
        <f t="shared" si="65"/>
        <v>44.371617701043355</v>
      </c>
      <c r="BL104" s="36">
        <f t="shared" si="66"/>
        <v>90.965000000000003</v>
      </c>
      <c r="BM104" s="36">
        <f t="shared" si="67"/>
        <v>60.136999999999908</v>
      </c>
      <c r="BN104" s="37">
        <f t="shared" si="68"/>
        <v>30.828000000000095</v>
      </c>
      <c r="BO104" s="37">
        <f t="shared" si="69"/>
        <v>51.262949598417187</v>
      </c>
      <c r="BP104" s="38">
        <f t="shared" si="70"/>
        <v>2684.5140000000001</v>
      </c>
      <c r="BQ104" s="39">
        <f>J104+N104+S104+W104+AA104+AE104+AI104+AM104+AQ104+AU104+Table1[[#This Row],[MS-0225]]+Table1[[#This Row],[MS-0325]]</f>
        <v>2045.6689999999999</v>
      </c>
      <c r="BR104" s="37">
        <f t="shared" si="71"/>
        <v>638.84500000000025</v>
      </c>
      <c r="BS104" s="37">
        <f t="shared" si="72"/>
        <v>31.229148019547655</v>
      </c>
      <c r="BT104" s="36">
        <f t="shared" si="73"/>
        <v>925.47899999999947</v>
      </c>
      <c r="BU104" s="36">
        <f t="shared" si="74"/>
        <v>740.45699999999988</v>
      </c>
      <c r="BV104" s="37">
        <f t="shared" si="75"/>
        <v>185.02199999999959</v>
      </c>
      <c r="BW104" s="37">
        <f t="shared" si="76"/>
        <v>24.987541477763006</v>
      </c>
      <c r="BX104">
        <v>0</v>
      </c>
      <c r="BY104" s="83">
        <f t="shared" si="77"/>
        <v>0</v>
      </c>
      <c r="BZ104">
        <v>0</v>
      </c>
      <c r="CA104" s="83">
        <f t="shared" si="78"/>
        <v>0</v>
      </c>
      <c r="CB104" s="96">
        <f t="shared" si="79"/>
        <v>0.56269658668968336</v>
      </c>
      <c r="CC104" s="96">
        <f t="shared" si="80"/>
        <v>0.49814479451165894</v>
      </c>
      <c r="CD104" s="97">
        <f t="shared" si="81"/>
        <v>6.4551792178024425E-2</v>
      </c>
      <c r="CE104" s="96">
        <f t="shared" si="82"/>
        <v>0.50826386250363187</v>
      </c>
      <c r="CF104" s="96">
        <f t="shared" si="83"/>
        <v>0.48261720944416764</v>
      </c>
      <c r="CG104" s="96">
        <f t="shared" si="84"/>
        <v>2.5646653059464231E-2</v>
      </c>
      <c r="CH104" s="95">
        <f t="shared" si="85"/>
        <v>0.54142292341845144</v>
      </c>
      <c r="CI104" s="95">
        <f t="shared" si="86"/>
        <v>0.49837611753834471</v>
      </c>
      <c r="CJ104" s="98">
        <f t="shared" si="87"/>
        <v>4.3046805880106731E-2</v>
      </c>
      <c r="CK104" s="95">
        <f t="shared" si="88"/>
        <v>0.51567107295448611</v>
      </c>
      <c r="CL104" s="95">
        <f t="shared" si="89"/>
        <v>0.47238146396359043</v>
      </c>
      <c r="CM104" s="98">
        <f t="shared" si="90"/>
        <v>4.3289608990895678E-2</v>
      </c>
      <c r="CN104" s="94">
        <f t="shared" si="91"/>
        <v>1.0828458468369029</v>
      </c>
      <c r="CO104" s="94">
        <f t="shared" si="92"/>
        <v>1.0313421459089722</v>
      </c>
    </row>
    <row r="105" spans="1:94" ht="36.5" x14ac:dyDescent="0.35">
      <c r="A105" s="103">
        <v>41056840</v>
      </c>
      <c r="B105" s="9" t="s">
        <v>380</v>
      </c>
      <c r="C105" s="48" t="s">
        <v>527</v>
      </c>
      <c r="D105" s="14" t="s">
        <v>528</v>
      </c>
      <c r="E105" s="10" t="s">
        <v>111</v>
      </c>
      <c r="F105" s="10" t="s">
        <v>529</v>
      </c>
      <c r="G105" s="12" t="s">
        <v>529</v>
      </c>
      <c r="H105" s="51" t="s">
        <v>113</v>
      </c>
      <c r="I105" s="25" t="s">
        <v>78</v>
      </c>
      <c r="J105" s="99">
        <v>375</v>
      </c>
      <c r="K105" s="99">
        <v>405</v>
      </c>
      <c r="L105" s="99">
        <v>200</v>
      </c>
      <c r="M105" s="99">
        <v>195</v>
      </c>
      <c r="N105" s="18">
        <v>395</v>
      </c>
      <c r="O105" s="18">
        <v>430</v>
      </c>
      <c r="P105" s="18">
        <v>205</v>
      </c>
      <c r="Q105" s="18">
        <v>195</v>
      </c>
      <c r="R105" s="99">
        <v>410</v>
      </c>
      <c r="S105" s="99">
        <v>405</v>
      </c>
      <c r="T105" s="99">
        <v>185</v>
      </c>
      <c r="U105" s="99">
        <v>195</v>
      </c>
      <c r="V105" s="99">
        <v>430</v>
      </c>
      <c r="W105" s="99">
        <v>430</v>
      </c>
      <c r="X105" s="99">
        <v>170</v>
      </c>
      <c r="Y105" s="99">
        <v>195</v>
      </c>
      <c r="Z105" s="99">
        <v>415</v>
      </c>
      <c r="AA105" s="99">
        <v>435</v>
      </c>
      <c r="AB105" s="99">
        <v>135</v>
      </c>
      <c r="AC105" s="99">
        <v>215</v>
      </c>
      <c r="AD105" s="99">
        <v>415</v>
      </c>
      <c r="AE105" s="99">
        <v>400</v>
      </c>
      <c r="AF105" s="99">
        <v>135</v>
      </c>
      <c r="AG105" s="99">
        <v>200</v>
      </c>
      <c r="AH105" s="99">
        <v>425</v>
      </c>
      <c r="AI105" s="99">
        <v>415</v>
      </c>
      <c r="AJ105" s="99">
        <v>150</v>
      </c>
      <c r="AK105" s="99">
        <v>210</v>
      </c>
      <c r="AL105" s="99">
        <v>420</v>
      </c>
      <c r="AM105" s="99">
        <v>430</v>
      </c>
      <c r="AN105" s="99">
        <v>128</v>
      </c>
      <c r="AO105" s="99">
        <v>170</v>
      </c>
      <c r="AP105" s="99">
        <v>397</v>
      </c>
      <c r="AQ105" s="99">
        <v>390</v>
      </c>
      <c r="AR105" s="99">
        <v>140</v>
      </c>
      <c r="AS105" s="99">
        <v>185</v>
      </c>
      <c r="AT105" s="99">
        <v>404</v>
      </c>
      <c r="AU105" s="99">
        <v>394</v>
      </c>
      <c r="AV105" s="99">
        <v>125</v>
      </c>
      <c r="AW105" s="99">
        <v>185</v>
      </c>
      <c r="AX105" s="99">
        <v>395</v>
      </c>
      <c r="AY105" s="99">
        <v>375</v>
      </c>
      <c r="AZ105" s="99">
        <v>130</v>
      </c>
      <c r="BA105" s="99">
        <v>175</v>
      </c>
      <c r="BB105" s="99">
        <v>410</v>
      </c>
      <c r="BC105" s="99">
        <v>398</v>
      </c>
      <c r="BD105" s="99">
        <v>165</v>
      </c>
      <c r="BE105" s="99">
        <v>201</v>
      </c>
      <c r="BF105" s="23">
        <v>28.571210000000001</v>
      </c>
      <c r="BG105" s="23">
        <v>77.259630000000001</v>
      </c>
      <c r="BH105" s="31">
        <f t="shared" si="62"/>
        <v>410</v>
      </c>
      <c r="BI105" s="31">
        <f t="shared" si="63"/>
        <v>398</v>
      </c>
      <c r="BJ105" s="37">
        <f t="shared" si="64"/>
        <v>12</v>
      </c>
      <c r="BK105" s="37">
        <f t="shared" si="65"/>
        <v>3.0150753768844218</v>
      </c>
      <c r="BL105" s="36">
        <f t="shared" si="66"/>
        <v>165</v>
      </c>
      <c r="BM105" s="36">
        <f t="shared" si="67"/>
        <v>201</v>
      </c>
      <c r="BN105" s="37">
        <f t="shared" si="68"/>
        <v>-36</v>
      </c>
      <c r="BO105" s="37">
        <f t="shared" si="69"/>
        <v>-17.910447761194028</v>
      </c>
      <c r="BP105" s="38">
        <f t="shared" si="70"/>
        <v>4956</v>
      </c>
      <c r="BQ105" s="39">
        <f>J105+N105+S105+W105+AA105+AE105+AI105+AM105+AQ105+AU105+Table1[[#This Row],[MS-0225]]+Table1[[#This Row],[MS-0325]]</f>
        <v>4842</v>
      </c>
      <c r="BR105" s="37">
        <f t="shared" si="71"/>
        <v>114</v>
      </c>
      <c r="BS105" s="37">
        <f t="shared" si="72"/>
        <v>2.3543990086741013</v>
      </c>
      <c r="BT105" s="36">
        <f t="shared" si="73"/>
        <v>1853</v>
      </c>
      <c r="BU105" s="36">
        <f t="shared" si="74"/>
        <v>2336</v>
      </c>
      <c r="BV105" s="37">
        <f t="shared" si="75"/>
        <v>-483</v>
      </c>
      <c r="BW105" s="37">
        <f t="shared" si="76"/>
        <v>-20.676369863013701</v>
      </c>
      <c r="BX105">
        <v>0</v>
      </c>
      <c r="BY105" s="83">
        <f t="shared" si="77"/>
        <v>0</v>
      </c>
      <c r="BZ105">
        <v>0</v>
      </c>
      <c r="CA105" s="83">
        <f t="shared" si="78"/>
        <v>0</v>
      </c>
      <c r="CB105" s="96">
        <f t="shared" si="79"/>
        <v>1</v>
      </c>
      <c r="CC105" s="96">
        <f t="shared" si="80"/>
        <v>1</v>
      </c>
      <c r="CD105" s="97">
        <f t="shared" si="81"/>
        <v>0</v>
      </c>
      <c r="CE105" s="96">
        <f t="shared" si="82"/>
        <v>1</v>
      </c>
      <c r="CF105" s="96">
        <f t="shared" si="83"/>
        <v>1</v>
      </c>
      <c r="CG105" s="96">
        <f t="shared" si="84"/>
        <v>0</v>
      </c>
      <c r="CH105" s="95">
        <f t="shared" si="85"/>
        <v>1</v>
      </c>
      <c r="CI105" s="95">
        <f t="shared" si="86"/>
        <v>1</v>
      </c>
      <c r="CJ105" s="98">
        <f t="shared" si="87"/>
        <v>0</v>
      </c>
      <c r="CK105" s="95">
        <f t="shared" si="88"/>
        <v>1</v>
      </c>
      <c r="CL105" s="95">
        <f t="shared" si="89"/>
        <v>1</v>
      </c>
      <c r="CM105" s="98">
        <f t="shared" si="90"/>
        <v>0</v>
      </c>
      <c r="CN105" s="94">
        <f t="shared" si="91"/>
        <v>1</v>
      </c>
      <c r="CO105" s="94">
        <f t="shared" si="92"/>
        <v>1</v>
      </c>
    </row>
    <row r="106" spans="1:94" ht="24.5" x14ac:dyDescent="0.35">
      <c r="A106" s="104">
        <v>179735</v>
      </c>
      <c r="B106" s="5" t="s">
        <v>581</v>
      </c>
      <c r="C106" s="46" t="s">
        <v>819</v>
      </c>
      <c r="D106" s="13" t="s">
        <v>820</v>
      </c>
      <c r="E106" s="6" t="s">
        <v>169</v>
      </c>
      <c r="F106" s="6" t="s">
        <v>100</v>
      </c>
      <c r="G106" s="12" t="s">
        <v>100</v>
      </c>
      <c r="H106" s="51" t="s">
        <v>77</v>
      </c>
      <c r="I106" s="24" t="s">
        <v>78</v>
      </c>
      <c r="J106" s="100">
        <v>328.5</v>
      </c>
      <c r="K106" s="100">
        <v>373.5</v>
      </c>
      <c r="L106" s="100">
        <v>103.5</v>
      </c>
      <c r="M106" s="100">
        <v>94.5</v>
      </c>
      <c r="N106" s="18">
        <v>373.5</v>
      </c>
      <c r="O106" s="18">
        <v>396</v>
      </c>
      <c r="P106" s="18">
        <v>112.5</v>
      </c>
      <c r="Q106" s="18">
        <v>90</v>
      </c>
      <c r="R106" s="100">
        <v>378</v>
      </c>
      <c r="S106" s="100">
        <v>351</v>
      </c>
      <c r="T106" s="100">
        <v>90</v>
      </c>
      <c r="U106" s="100">
        <v>99</v>
      </c>
      <c r="V106" s="100">
        <v>436.5</v>
      </c>
      <c r="W106" s="100">
        <v>387</v>
      </c>
      <c r="X106" s="100">
        <v>85.5</v>
      </c>
      <c r="Y106" s="100">
        <v>99</v>
      </c>
      <c r="Z106" s="100">
        <v>415.5</v>
      </c>
      <c r="AA106" s="100">
        <v>409.5</v>
      </c>
      <c r="AB106" s="100">
        <v>90.5</v>
      </c>
      <c r="AC106" s="100">
        <v>112.5</v>
      </c>
      <c r="AD106" s="100">
        <v>396</v>
      </c>
      <c r="AE106" s="100">
        <v>360</v>
      </c>
      <c r="AF106" s="100">
        <v>72</v>
      </c>
      <c r="AG106" s="100">
        <v>108</v>
      </c>
      <c r="AH106" s="100">
        <v>391.5</v>
      </c>
      <c r="AI106" s="100">
        <v>384.5</v>
      </c>
      <c r="AJ106" s="100">
        <v>76.5</v>
      </c>
      <c r="AK106" s="100">
        <v>103.5</v>
      </c>
      <c r="AL106" s="100">
        <v>381</v>
      </c>
      <c r="AM106" s="100">
        <v>363</v>
      </c>
      <c r="AN106" s="100">
        <v>99</v>
      </c>
      <c r="AO106" s="100">
        <v>109</v>
      </c>
      <c r="AP106" s="100">
        <v>368</v>
      </c>
      <c r="AQ106" s="100">
        <v>342</v>
      </c>
      <c r="AR106" s="100">
        <v>76</v>
      </c>
      <c r="AS106" s="100">
        <v>90</v>
      </c>
      <c r="AT106" s="100">
        <v>342</v>
      </c>
      <c r="AU106" s="100">
        <v>359.5</v>
      </c>
      <c r="AV106" s="100">
        <v>72</v>
      </c>
      <c r="AW106" s="100">
        <v>78.5</v>
      </c>
      <c r="AX106" s="100">
        <v>333</v>
      </c>
      <c r="AY106" s="100">
        <v>310.5</v>
      </c>
      <c r="AZ106" s="100">
        <v>81</v>
      </c>
      <c r="BA106" s="100">
        <v>103.5</v>
      </c>
      <c r="BB106" s="100">
        <v>409.5</v>
      </c>
      <c r="BC106" s="100">
        <v>364.5</v>
      </c>
      <c r="BD106" s="100">
        <v>76.5</v>
      </c>
      <c r="BE106" s="100">
        <v>103.5</v>
      </c>
      <c r="BF106" s="23">
        <v>28.627099999999999</v>
      </c>
      <c r="BG106" s="23">
        <v>77.312899999999999</v>
      </c>
      <c r="BH106" s="31">
        <f t="shared" si="62"/>
        <v>409.5</v>
      </c>
      <c r="BI106" s="31">
        <f t="shared" si="63"/>
        <v>364.5</v>
      </c>
      <c r="BJ106" s="37">
        <f t="shared" si="64"/>
        <v>45</v>
      </c>
      <c r="BK106" s="37">
        <f t="shared" si="65"/>
        <v>12.345679012345679</v>
      </c>
      <c r="BL106" s="36">
        <f t="shared" si="66"/>
        <v>76.5</v>
      </c>
      <c r="BM106" s="36">
        <f t="shared" si="67"/>
        <v>103.5</v>
      </c>
      <c r="BN106" s="37">
        <f t="shared" si="68"/>
        <v>-27</v>
      </c>
      <c r="BO106" s="37">
        <f t="shared" si="69"/>
        <v>-26.086956521739129</v>
      </c>
      <c r="BP106" s="38">
        <f t="shared" si="70"/>
        <v>4620.5</v>
      </c>
      <c r="BQ106" s="39">
        <f>J106+N106+S106+W106+AA106+AE106+AI106+AM106+AQ106+AU106+Table1[[#This Row],[MS-0225]]+Table1[[#This Row],[MS-0325]]</f>
        <v>4333.5</v>
      </c>
      <c r="BR106" s="37">
        <f t="shared" si="71"/>
        <v>287</v>
      </c>
      <c r="BS106" s="37">
        <f t="shared" si="72"/>
        <v>6.622822199146186</v>
      </c>
      <c r="BT106" s="36">
        <f t="shared" si="73"/>
        <v>1003.5</v>
      </c>
      <c r="BU106" s="36">
        <f t="shared" si="74"/>
        <v>1222.5</v>
      </c>
      <c r="BV106" s="37">
        <f t="shared" si="75"/>
        <v>-219</v>
      </c>
      <c r="BW106" s="37">
        <f t="shared" si="76"/>
        <v>-17.914110429447852</v>
      </c>
      <c r="BX106">
        <v>0</v>
      </c>
      <c r="BY106" s="83">
        <f t="shared" si="77"/>
        <v>0</v>
      </c>
      <c r="BZ106">
        <v>0</v>
      </c>
      <c r="CA106" s="83">
        <f t="shared" si="78"/>
        <v>0</v>
      </c>
      <c r="CB106" s="96">
        <f t="shared" si="79"/>
        <v>9.9164547766073377E-2</v>
      </c>
      <c r="CC106" s="96">
        <f t="shared" si="80"/>
        <v>9.6047430830039526E-2</v>
      </c>
      <c r="CD106" s="97">
        <f t="shared" si="81"/>
        <v>3.1171169360338508E-3</v>
      </c>
      <c r="CE106" s="96">
        <f t="shared" si="82"/>
        <v>0.12</v>
      </c>
      <c r="CF106" s="96">
        <f t="shared" si="83"/>
        <v>0.15447761194029852</v>
      </c>
      <c r="CG106" s="96">
        <f t="shared" si="84"/>
        <v>-3.4477611940298525E-2</v>
      </c>
      <c r="CH106" s="95">
        <f t="shared" si="85"/>
        <v>9.4129192400298656E-2</v>
      </c>
      <c r="CI106" s="95">
        <f t="shared" si="86"/>
        <v>9.4685092968267714E-2</v>
      </c>
      <c r="CJ106" s="98">
        <f t="shared" si="87"/>
        <v>-5.5590056796905873E-4</v>
      </c>
      <c r="CK106" s="95">
        <f t="shared" si="88"/>
        <v>0.12930954701547459</v>
      </c>
      <c r="CL106" s="95">
        <f t="shared" si="89"/>
        <v>0.14456506314743864</v>
      </c>
      <c r="CM106" s="98">
        <f t="shared" si="90"/>
        <v>-1.5255516131964048E-2</v>
      </c>
      <c r="CN106" s="94">
        <f t="shared" si="91"/>
        <v>0.75303353920238925</v>
      </c>
      <c r="CO106" s="94">
        <f t="shared" si="92"/>
        <v>1.0344763761237967</v>
      </c>
    </row>
    <row r="107" spans="1:94" ht="36.5" x14ac:dyDescent="0.35">
      <c r="A107" s="104">
        <v>194183</v>
      </c>
      <c r="B107" s="5" t="s">
        <v>581</v>
      </c>
      <c r="C107" s="46" t="s">
        <v>743</v>
      </c>
      <c r="D107" s="13" t="s">
        <v>744</v>
      </c>
      <c r="E107" s="6" t="s">
        <v>81</v>
      </c>
      <c r="F107" s="6" t="s">
        <v>719</v>
      </c>
      <c r="G107" s="12" t="s">
        <v>719</v>
      </c>
      <c r="H107" s="51" t="s">
        <v>135</v>
      </c>
      <c r="I107" s="24" t="s">
        <v>83</v>
      </c>
      <c r="J107" s="100">
        <v>300</v>
      </c>
      <c r="K107" s="100">
        <v>368</v>
      </c>
      <c r="L107" s="100">
        <v>72</v>
      </c>
      <c r="M107" s="100">
        <v>76</v>
      </c>
      <c r="N107" s="18">
        <v>316</v>
      </c>
      <c r="O107" s="18">
        <v>368</v>
      </c>
      <c r="P107" s="18">
        <v>80</v>
      </c>
      <c r="Q107" s="18">
        <v>72</v>
      </c>
      <c r="R107" s="100">
        <v>332</v>
      </c>
      <c r="S107" s="100">
        <v>320</v>
      </c>
      <c r="T107" s="100">
        <v>60</v>
      </c>
      <c r="U107" s="100">
        <v>76</v>
      </c>
      <c r="V107" s="100">
        <v>404</v>
      </c>
      <c r="W107" s="100">
        <v>348</v>
      </c>
      <c r="X107" s="100">
        <v>76</v>
      </c>
      <c r="Y107" s="100">
        <v>84</v>
      </c>
      <c r="Z107" s="100">
        <v>392</v>
      </c>
      <c r="AA107" s="100">
        <v>328</v>
      </c>
      <c r="AB107" s="100">
        <v>76</v>
      </c>
      <c r="AC107" s="100">
        <v>92</v>
      </c>
      <c r="AD107" s="100">
        <v>388</v>
      </c>
      <c r="AE107" s="100">
        <v>328</v>
      </c>
      <c r="AF107" s="100">
        <v>76</v>
      </c>
      <c r="AG107" s="100">
        <v>80</v>
      </c>
      <c r="AH107" s="100">
        <v>424</v>
      </c>
      <c r="AI107" s="100">
        <v>356</v>
      </c>
      <c r="AJ107" s="100">
        <v>80</v>
      </c>
      <c r="AK107" s="100">
        <v>88</v>
      </c>
      <c r="AL107" s="100">
        <v>388</v>
      </c>
      <c r="AM107" s="100">
        <v>312</v>
      </c>
      <c r="AN107" s="100">
        <v>68</v>
      </c>
      <c r="AO107" s="100">
        <v>60</v>
      </c>
      <c r="AP107" s="100">
        <v>384</v>
      </c>
      <c r="AQ107" s="100">
        <v>312</v>
      </c>
      <c r="AR107" s="100">
        <v>68</v>
      </c>
      <c r="AS107" s="100">
        <v>56</v>
      </c>
      <c r="AT107" s="100">
        <v>356</v>
      </c>
      <c r="AU107" s="100">
        <v>312</v>
      </c>
      <c r="AV107" s="100">
        <v>64</v>
      </c>
      <c r="AW107" s="100">
        <v>72</v>
      </c>
      <c r="AX107" s="100">
        <v>361</v>
      </c>
      <c r="AY107" s="100">
        <v>300</v>
      </c>
      <c r="AZ107" s="100">
        <v>73</v>
      </c>
      <c r="BA107" s="100">
        <v>68</v>
      </c>
      <c r="BB107" s="100">
        <v>408</v>
      </c>
      <c r="BC107" s="100">
        <v>341</v>
      </c>
      <c r="BD107" s="100">
        <v>84</v>
      </c>
      <c r="BE107" s="100">
        <v>69</v>
      </c>
      <c r="BF107" s="23">
        <v>28.5791</v>
      </c>
      <c r="BG107" s="23">
        <v>77.055199999999999</v>
      </c>
      <c r="BH107" s="31">
        <f t="shared" si="62"/>
        <v>408</v>
      </c>
      <c r="BI107" s="31">
        <f t="shared" si="63"/>
        <v>341</v>
      </c>
      <c r="BJ107" s="37">
        <f t="shared" si="64"/>
        <v>67</v>
      </c>
      <c r="BK107" s="37">
        <f t="shared" si="65"/>
        <v>19.648093841642229</v>
      </c>
      <c r="BL107" s="36">
        <f t="shared" si="66"/>
        <v>84</v>
      </c>
      <c r="BM107" s="36">
        <f t="shared" si="67"/>
        <v>69</v>
      </c>
      <c r="BN107" s="37">
        <f t="shared" si="68"/>
        <v>15</v>
      </c>
      <c r="BO107" s="37">
        <f t="shared" si="69"/>
        <v>21.739130434782609</v>
      </c>
      <c r="BP107" s="38">
        <f t="shared" si="70"/>
        <v>4573</v>
      </c>
      <c r="BQ107" s="39">
        <f>J107+N107+S107+W107+AA107+AE107+AI107+AM107+AQ107+AU107+Table1[[#This Row],[MS-0225]]+Table1[[#This Row],[MS-0325]]</f>
        <v>3873</v>
      </c>
      <c r="BR107" s="37">
        <f t="shared" si="71"/>
        <v>700</v>
      </c>
      <c r="BS107" s="37">
        <f t="shared" si="72"/>
        <v>18.073844564936742</v>
      </c>
      <c r="BT107" s="36">
        <f t="shared" si="73"/>
        <v>873</v>
      </c>
      <c r="BU107" s="36">
        <f t="shared" si="74"/>
        <v>897</v>
      </c>
      <c r="BV107" s="37">
        <f t="shared" si="75"/>
        <v>-24</v>
      </c>
      <c r="BW107" s="37">
        <f t="shared" si="76"/>
        <v>-2.6755852842809364</v>
      </c>
      <c r="BX107">
        <v>0</v>
      </c>
      <c r="BY107" s="83">
        <f t="shared" si="77"/>
        <v>0</v>
      </c>
      <c r="BZ107">
        <v>0</v>
      </c>
      <c r="CA107" s="83">
        <f t="shared" si="78"/>
        <v>0</v>
      </c>
      <c r="CB107" s="96">
        <f t="shared" si="79"/>
        <v>0.53160093968283817</v>
      </c>
      <c r="CC107" s="96">
        <f t="shared" si="80"/>
        <v>0.48947485520300288</v>
      </c>
      <c r="CD107" s="97">
        <f t="shared" si="81"/>
        <v>4.2126084479835291E-2</v>
      </c>
      <c r="CE107" s="96">
        <f t="shared" si="82"/>
        <v>0.50136981395598723</v>
      </c>
      <c r="CF107" s="96">
        <f t="shared" si="83"/>
        <v>0.43200060104431454</v>
      </c>
      <c r="CG107" s="96">
        <f t="shared" si="84"/>
        <v>6.9369212911672695E-2</v>
      </c>
      <c r="CH107" s="95">
        <f t="shared" si="85"/>
        <v>0.51313383614389974</v>
      </c>
      <c r="CI107" s="95">
        <f t="shared" si="86"/>
        <v>0.47950663187509507</v>
      </c>
      <c r="CJ107" s="98">
        <f t="shared" si="87"/>
        <v>3.3627204268804667E-2</v>
      </c>
      <c r="CK107" s="95">
        <f t="shared" si="88"/>
        <v>0.45743329097839908</v>
      </c>
      <c r="CL107" s="95">
        <f t="shared" si="89"/>
        <v>0.44778645228827868</v>
      </c>
      <c r="CM107" s="98">
        <f t="shared" si="90"/>
        <v>9.6468386901203962E-3</v>
      </c>
      <c r="CN107" s="94">
        <f t="shared" si="91"/>
        <v>1.0262676722877995</v>
      </c>
      <c r="CO107" s="94">
        <f t="shared" si="92"/>
        <v>0.91486658195679815</v>
      </c>
    </row>
    <row r="108" spans="1:94" ht="24.5" x14ac:dyDescent="0.35">
      <c r="A108" s="104">
        <v>106345</v>
      </c>
      <c r="B108" s="5" t="s">
        <v>581</v>
      </c>
      <c r="C108" s="46" t="s">
        <v>597</v>
      </c>
      <c r="D108" s="13" t="s">
        <v>598</v>
      </c>
      <c r="E108" s="6" t="s">
        <v>89</v>
      </c>
      <c r="F108" s="6" t="s">
        <v>204</v>
      </c>
      <c r="G108" s="12" t="s">
        <v>204</v>
      </c>
      <c r="H108" s="51" t="s">
        <v>205</v>
      </c>
      <c r="I108" s="24" t="s">
        <v>86</v>
      </c>
      <c r="J108" s="100">
        <v>456</v>
      </c>
      <c r="K108" s="100">
        <v>528</v>
      </c>
      <c r="L108" s="100">
        <v>144</v>
      </c>
      <c r="M108" s="100">
        <v>156</v>
      </c>
      <c r="N108" s="18">
        <v>476</v>
      </c>
      <c r="O108" s="18">
        <v>536</v>
      </c>
      <c r="P108" s="18">
        <v>148</v>
      </c>
      <c r="Q108" s="18">
        <v>148</v>
      </c>
      <c r="R108" s="100">
        <v>511</v>
      </c>
      <c r="S108" s="100">
        <v>456</v>
      </c>
      <c r="T108" s="100">
        <v>139</v>
      </c>
      <c r="U108" s="100">
        <v>132</v>
      </c>
      <c r="V108" s="100">
        <v>560</v>
      </c>
      <c r="W108" s="100">
        <v>496</v>
      </c>
      <c r="X108" s="100">
        <v>148</v>
      </c>
      <c r="Y108" s="100">
        <v>140</v>
      </c>
      <c r="Z108" s="100">
        <v>597</v>
      </c>
      <c r="AA108" s="100">
        <v>500</v>
      </c>
      <c r="AB108" s="100">
        <v>153</v>
      </c>
      <c r="AC108" s="100">
        <v>136</v>
      </c>
      <c r="AD108" s="100">
        <v>584</v>
      </c>
      <c r="AE108" s="100">
        <v>477.5</v>
      </c>
      <c r="AF108" s="100">
        <v>160</v>
      </c>
      <c r="AG108" s="100">
        <v>140.5</v>
      </c>
      <c r="AH108" s="100">
        <v>608</v>
      </c>
      <c r="AI108" s="100">
        <v>500</v>
      </c>
      <c r="AJ108" s="100">
        <v>148</v>
      </c>
      <c r="AK108" s="100">
        <v>136</v>
      </c>
      <c r="AL108" s="100">
        <v>600.5</v>
      </c>
      <c r="AM108" s="100">
        <v>468</v>
      </c>
      <c r="AN108" s="100">
        <v>137.5</v>
      </c>
      <c r="AO108" s="100">
        <v>108</v>
      </c>
      <c r="AP108" s="100">
        <v>592</v>
      </c>
      <c r="AQ108" s="100">
        <v>468</v>
      </c>
      <c r="AR108" s="100">
        <v>140</v>
      </c>
      <c r="AS108" s="100">
        <v>108</v>
      </c>
      <c r="AT108" s="100">
        <v>593</v>
      </c>
      <c r="AU108" s="100">
        <v>456</v>
      </c>
      <c r="AV108" s="100">
        <v>153</v>
      </c>
      <c r="AW108" s="100">
        <v>120</v>
      </c>
      <c r="AX108" s="100">
        <v>585</v>
      </c>
      <c r="AY108" s="100">
        <v>428</v>
      </c>
      <c r="AZ108" s="100">
        <v>153</v>
      </c>
      <c r="BA108" s="100">
        <v>124</v>
      </c>
      <c r="BB108" s="100">
        <v>682</v>
      </c>
      <c r="BC108" s="100">
        <v>488</v>
      </c>
      <c r="BD108" s="100">
        <v>176</v>
      </c>
      <c r="BE108" s="100">
        <v>148</v>
      </c>
      <c r="BF108" s="23">
        <v>28.729800000000001</v>
      </c>
      <c r="BG108" s="23">
        <v>77.092799999999997</v>
      </c>
      <c r="BH108" s="31">
        <f t="shared" si="62"/>
        <v>682</v>
      </c>
      <c r="BI108" s="31">
        <f t="shared" si="63"/>
        <v>488</v>
      </c>
      <c r="BJ108" s="37">
        <f t="shared" si="64"/>
        <v>194</v>
      </c>
      <c r="BK108" s="37">
        <f t="shared" si="65"/>
        <v>39.754098360655739</v>
      </c>
      <c r="BL108" s="36">
        <f t="shared" si="66"/>
        <v>176</v>
      </c>
      <c r="BM108" s="36">
        <f t="shared" si="67"/>
        <v>148</v>
      </c>
      <c r="BN108" s="37">
        <f t="shared" si="68"/>
        <v>28</v>
      </c>
      <c r="BO108" s="37">
        <f t="shared" si="69"/>
        <v>18.918918918918919</v>
      </c>
      <c r="BP108" s="38">
        <f t="shared" si="70"/>
        <v>6976.5</v>
      </c>
      <c r="BQ108" s="39">
        <f>J108+N108+S108+W108+AA108+AE108+AI108+AM108+AQ108+AU108+Table1[[#This Row],[MS-0225]]+Table1[[#This Row],[MS-0325]]</f>
        <v>5669.5</v>
      </c>
      <c r="BR108" s="37">
        <f t="shared" si="71"/>
        <v>1307</v>
      </c>
      <c r="BS108" s="37">
        <f t="shared" si="72"/>
        <v>23.053179292706588</v>
      </c>
      <c r="BT108" s="36">
        <f t="shared" si="73"/>
        <v>1811.5</v>
      </c>
      <c r="BU108" s="36">
        <f t="shared" si="74"/>
        <v>1584.5</v>
      </c>
      <c r="BV108" s="37">
        <f t="shared" si="75"/>
        <v>227</v>
      </c>
      <c r="BW108" s="37">
        <f t="shared" si="76"/>
        <v>14.326285894603977</v>
      </c>
      <c r="BX108">
        <v>0</v>
      </c>
      <c r="BY108" s="83">
        <f t="shared" si="77"/>
        <v>0</v>
      </c>
      <c r="BZ108">
        <v>0</v>
      </c>
      <c r="CA108" s="83">
        <f t="shared" si="78"/>
        <v>0</v>
      </c>
      <c r="CB108" s="96">
        <f t="shared" si="79"/>
        <v>0.22247594193443157</v>
      </c>
      <c r="CC108" s="96">
        <f t="shared" si="80"/>
        <v>0.185480805777271</v>
      </c>
      <c r="CD108" s="97">
        <f t="shared" si="81"/>
        <v>3.6995136157160574E-2</v>
      </c>
      <c r="CE108" s="96">
        <f t="shared" si="82"/>
        <v>0.16866315285098227</v>
      </c>
      <c r="CF108" s="96">
        <f t="shared" si="83"/>
        <v>0.14682539682539683</v>
      </c>
      <c r="CG108" s="96">
        <f t="shared" si="84"/>
        <v>2.1837756025585436E-2</v>
      </c>
      <c r="CH108" s="95">
        <f t="shared" si="85"/>
        <v>0.1991493370252487</v>
      </c>
      <c r="CI108" s="95">
        <f t="shared" si="86"/>
        <v>0.18011850108683128</v>
      </c>
      <c r="CJ108" s="98">
        <f t="shared" si="87"/>
        <v>1.9030835938417423E-2</v>
      </c>
      <c r="CK108" s="95">
        <f t="shared" si="88"/>
        <v>0.15433439829605963</v>
      </c>
      <c r="CL108" s="95">
        <f t="shared" si="89"/>
        <v>0.12192682082259243</v>
      </c>
      <c r="CM108" s="98">
        <f t="shared" si="90"/>
        <v>3.2407577473467203E-2</v>
      </c>
      <c r="CN108" s="94">
        <f t="shared" si="91"/>
        <v>1.7923440332272382</v>
      </c>
      <c r="CO108" s="94">
        <f t="shared" si="92"/>
        <v>1.3890095846645367</v>
      </c>
    </row>
    <row r="109" spans="1:94" ht="24.5" x14ac:dyDescent="0.35">
      <c r="A109" s="104">
        <v>193265</v>
      </c>
      <c r="B109" s="5" t="s">
        <v>581</v>
      </c>
      <c r="C109" s="46" t="s">
        <v>757</v>
      </c>
      <c r="D109" s="13" t="s">
        <v>758</v>
      </c>
      <c r="E109" s="6" t="s">
        <v>81</v>
      </c>
      <c r="F109" s="6" t="s">
        <v>154</v>
      </c>
      <c r="G109" s="12" t="s">
        <v>154</v>
      </c>
      <c r="H109" s="51" t="s">
        <v>135</v>
      </c>
      <c r="I109" s="24" t="s">
        <v>83</v>
      </c>
      <c r="J109" s="19">
        <v>280</v>
      </c>
      <c r="K109" s="19">
        <v>325</v>
      </c>
      <c r="L109" s="19">
        <v>56</v>
      </c>
      <c r="M109" s="19">
        <v>53</v>
      </c>
      <c r="N109" s="18">
        <v>316</v>
      </c>
      <c r="O109" s="18">
        <v>353</v>
      </c>
      <c r="P109" s="18">
        <v>56</v>
      </c>
      <c r="Q109" s="18">
        <v>53</v>
      </c>
      <c r="R109" s="19">
        <v>329</v>
      </c>
      <c r="S109" s="19">
        <v>313.5</v>
      </c>
      <c r="T109" s="19">
        <v>49</v>
      </c>
      <c r="U109" s="19">
        <v>58.5</v>
      </c>
      <c r="V109" s="19">
        <v>372</v>
      </c>
      <c r="W109" s="19">
        <v>334</v>
      </c>
      <c r="X109" s="19">
        <v>48</v>
      </c>
      <c r="Y109" s="19">
        <v>58</v>
      </c>
      <c r="Z109" s="19">
        <v>377</v>
      </c>
      <c r="AA109" s="19">
        <v>336</v>
      </c>
      <c r="AB109" s="19">
        <v>57</v>
      </c>
      <c r="AC109" s="19">
        <v>56</v>
      </c>
      <c r="AD109" s="19">
        <v>364</v>
      </c>
      <c r="AE109" s="19">
        <v>323</v>
      </c>
      <c r="AF109" s="19">
        <v>56</v>
      </c>
      <c r="AG109" s="19">
        <v>55</v>
      </c>
      <c r="AH109" s="19">
        <v>377</v>
      </c>
      <c r="AI109" s="19">
        <v>336</v>
      </c>
      <c r="AJ109" s="19">
        <v>57</v>
      </c>
      <c r="AK109" s="19">
        <v>60</v>
      </c>
      <c r="AL109" s="19">
        <v>355</v>
      </c>
      <c r="AM109" s="19">
        <v>312</v>
      </c>
      <c r="AN109" s="19">
        <v>65</v>
      </c>
      <c r="AO109" s="19">
        <v>52</v>
      </c>
      <c r="AP109" s="19">
        <v>349</v>
      </c>
      <c r="AQ109" s="19">
        <v>315</v>
      </c>
      <c r="AR109" s="19">
        <v>43</v>
      </c>
      <c r="AS109" s="19">
        <v>39</v>
      </c>
      <c r="AT109" s="19">
        <v>339</v>
      </c>
      <c r="AU109" s="19">
        <v>289</v>
      </c>
      <c r="AV109" s="19">
        <v>53</v>
      </c>
      <c r="AW109" s="19">
        <v>47</v>
      </c>
      <c r="AX109" s="19">
        <v>330</v>
      </c>
      <c r="AY109" s="19">
        <v>250</v>
      </c>
      <c r="AZ109" s="19">
        <v>56</v>
      </c>
      <c r="BA109" s="19">
        <v>44</v>
      </c>
      <c r="BB109" s="19">
        <v>406</v>
      </c>
      <c r="BC109" s="19">
        <v>313</v>
      </c>
      <c r="BD109" s="19">
        <v>54</v>
      </c>
      <c r="BE109" s="19">
        <v>51</v>
      </c>
      <c r="BF109" s="23">
        <v>28.591000000000001</v>
      </c>
      <c r="BG109" s="23">
        <v>77.037400000000005</v>
      </c>
      <c r="BH109" s="31">
        <f t="shared" si="62"/>
        <v>406</v>
      </c>
      <c r="BI109" s="31">
        <f t="shared" si="63"/>
        <v>313</v>
      </c>
      <c r="BJ109" s="37">
        <f t="shared" si="64"/>
        <v>93</v>
      </c>
      <c r="BK109" s="37">
        <f t="shared" si="65"/>
        <v>29.712460063897762</v>
      </c>
      <c r="BL109" s="36">
        <f t="shared" si="66"/>
        <v>54</v>
      </c>
      <c r="BM109" s="36">
        <f t="shared" si="67"/>
        <v>51</v>
      </c>
      <c r="BN109" s="37">
        <f t="shared" si="68"/>
        <v>3</v>
      </c>
      <c r="BO109" s="37">
        <f t="shared" si="69"/>
        <v>5.8823529411764701</v>
      </c>
      <c r="BP109" s="38">
        <f t="shared" si="70"/>
        <v>4276</v>
      </c>
      <c r="BQ109" s="39">
        <f>J109+N109+S109+W109+AA109+AE109+AI109+AM109+AQ109+AU109+Table1[[#This Row],[MS-0225]]+Table1[[#This Row],[MS-0325]]</f>
        <v>3717.5</v>
      </c>
      <c r="BR109" s="37">
        <f t="shared" si="71"/>
        <v>558.5</v>
      </c>
      <c r="BS109" s="37">
        <f t="shared" si="72"/>
        <v>15.023537323470073</v>
      </c>
      <c r="BT109" s="36">
        <f t="shared" si="73"/>
        <v>644</v>
      </c>
      <c r="BU109" s="36">
        <f t="shared" si="74"/>
        <v>632.5</v>
      </c>
      <c r="BV109" s="37">
        <f t="shared" si="75"/>
        <v>11.5</v>
      </c>
      <c r="BW109" s="37">
        <f t="shared" si="76"/>
        <v>1.8181818181818181</v>
      </c>
      <c r="BX109">
        <v>0</v>
      </c>
      <c r="BY109" s="83">
        <f t="shared" si="77"/>
        <v>0</v>
      </c>
      <c r="BZ109">
        <v>0</v>
      </c>
      <c r="CA109" s="83">
        <f t="shared" si="78"/>
        <v>0</v>
      </c>
      <c r="CB109" s="96">
        <f t="shared" si="79"/>
        <v>0.2336018411967779</v>
      </c>
      <c r="CC109" s="96">
        <f t="shared" si="80"/>
        <v>0.2036434612882238</v>
      </c>
      <c r="CD109" s="97">
        <f t="shared" si="81"/>
        <v>2.99583799085541E-2</v>
      </c>
      <c r="CE109" s="96">
        <f t="shared" si="82"/>
        <v>0.16666666666666666</v>
      </c>
      <c r="CF109" s="96">
        <f t="shared" si="83"/>
        <v>0.16721311475409836</v>
      </c>
      <c r="CG109" s="96">
        <f t="shared" si="84"/>
        <v>-5.464480874317057E-4</v>
      </c>
      <c r="CH109" s="95">
        <f t="shared" si="85"/>
        <v>0.21543732365981458</v>
      </c>
      <c r="CI109" s="95">
        <f t="shared" si="86"/>
        <v>0.20582454391938654</v>
      </c>
      <c r="CJ109" s="98">
        <f t="shared" si="87"/>
        <v>9.6127797404280402E-3</v>
      </c>
      <c r="CK109" s="95">
        <f t="shared" si="88"/>
        <v>0.17490494296577946</v>
      </c>
      <c r="CL109" s="95">
        <f t="shared" si="89"/>
        <v>0.16815100358899376</v>
      </c>
      <c r="CM109" s="98">
        <f t="shared" si="90"/>
        <v>6.7539393767857003E-3</v>
      </c>
      <c r="CN109" s="94">
        <f t="shared" si="91"/>
        <v>0.86174929463925831</v>
      </c>
      <c r="CO109" s="94">
        <f t="shared" si="92"/>
        <v>0.69961977186311786</v>
      </c>
    </row>
    <row r="110" spans="1:94" ht="24.5" x14ac:dyDescent="0.35">
      <c r="A110" s="104">
        <v>102120</v>
      </c>
      <c r="B110" s="5" t="s">
        <v>581</v>
      </c>
      <c r="C110" s="46" t="s">
        <v>929</v>
      </c>
      <c r="D110" s="13" t="s">
        <v>930</v>
      </c>
      <c r="E110" s="6" t="s">
        <v>200</v>
      </c>
      <c r="F110" s="6" t="s">
        <v>223</v>
      </c>
      <c r="G110" s="12" t="s">
        <v>223</v>
      </c>
      <c r="H110" s="51" t="s">
        <v>172</v>
      </c>
      <c r="I110" s="24" t="s">
        <v>83</v>
      </c>
      <c r="J110" s="19">
        <v>360</v>
      </c>
      <c r="K110" s="19">
        <v>346.5</v>
      </c>
      <c r="L110" s="19">
        <v>90</v>
      </c>
      <c r="M110" s="19">
        <v>67.5</v>
      </c>
      <c r="N110" s="18">
        <v>373.5</v>
      </c>
      <c r="O110" s="18">
        <v>351</v>
      </c>
      <c r="P110" s="18">
        <v>130.5</v>
      </c>
      <c r="Q110" s="18">
        <v>63</v>
      </c>
      <c r="R110" s="19">
        <v>381</v>
      </c>
      <c r="S110" s="19">
        <v>319.5</v>
      </c>
      <c r="T110" s="19">
        <v>83</v>
      </c>
      <c r="U110" s="19">
        <v>58.5</v>
      </c>
      <c r="V110" s="19">
        <v>372</v>
      </c>
      <c r="W110" s="19">
        <v>324</v>
      </c>
      <c r="X110" s="19">
        <v>56</v>
      </c>
      <c r="Y110" s="19">
        <v>90</v>
      </c>
      <c r="Z110" s="19">
        <v>360.5</v>
      </c>
      <c r="AA110" s="19">
        <v>319.5</v>
      </c>
      <c r="AB110" s="19">
        <v>63.5</v>
      </c>
      <c r="AC110" s="19">
        <v>76.5</v>
      </c>
      <c r="AD110" s="19">
        <v>357</v>
      </c>
      <c r="AE110" s="19">
        <v>324</v>
      </c>
      <c r="AF110" s="19">
        <v>59</v>
      </c>
      <c r="AG110" s="19">
        <v>72</v>
      </c>
      <c r="AH110" s="19">
        <v>349.5</v>
      </c>
      <c r="AI110" s="19">
        <v>324</v>
      </c>
      <c r="AJ110" s="19">
        <v>56.5</v>
      </c>
      <c r="AK110" s="19">
        <v>72</v>
      </c>
      <c r="AL110" s="19">
        <v>360.5</v>
      </c>
      <c r="AM110" s="19">
        <v>288</v>
      </c>
      <c r="AN110" s="19">
        <v>59.5</v>
      </c>
      <c r="AO110" s="19">
        <v>54</v>
      </c>
      <c r="AP110" s="19">
        <v>346</v>
      </c>
      <c r="AQ110" s="19">
        <v>279</v>
      </c>
      <c r="AR110" s="19">
        <v>28</v>
      </c>
      <c r="AS110" s="19">
        <v>45</v>
      </c>
      <c r="AT110" s="19">
        <v>324</v>
      </c>
      <c r="AU110" s="19">
        <v>288</v>
      </c>
      <c r="AV110" s="19">
        <v>36</v>
      </c>
      <c r="AW110" s="19">
        <v>54</v>
      </c>
      <c r="AX110" s="19">
        <v>306</v>
      </c>
      <c r="AY110" s="19">
        <v>270</v>
      </c>
      <c r="AZ110" s="19">
        <v>54</v>
      </c>
      <c r="BA110" s="19">
        <v>54</v>
      </c>
      <c r="BB110" s="19">
        <v>405</v>
      </c>
      <c r="BC110" s="19">
        <v>319.5</v>
      </c>
      <c r="BD110" s="19">
        <v>59</v>
      </c>
      <c r="BE110" s="19">
        <v>58.5</v>
      </c>
      <c r="BF110" s="23">
        <v>28.6934</v>
      </c>
      <c r="BG110" s="23">
        <v>77.189499999999995</v>
      </c>
      <c r="BH110" s="31">
        <f t="shared" si="62"/>
        <v>405</v>
      </c>
      <c r="BI110" s="31">
        <f t="shared" si="63"/>
        <v>319.5</v>
      </c>
      <c r="BJ110" s="37">
        <f t="shared" si="64"/>
        <v>85.5</v>
      </c>
      <c r="BK110" s="37">
        <f t="shared" si="65"/>
        <v>26.760563380281688</v>
      </c>
      <c r="BL110" s="36">
        <f t="shared" si="66"/>
        <v>59</v>
      </c>
      <c r="BM110" s="36">
        <f t="shared" si="67"/>
        <v>58.5</v>
      </c>
      <c r="BN110" s="37">
        <f t="shared" si="68"/>
        <v>0.5</v>
      </c>
      <c r="BO110" s="37">
        <f t="shared" si="69"/>
        <v>0.85470085470085477</v>
      </c>
      <c r="BP110" s="38">
        <f t="shared" si="70"/>
        <v>4259</v>
      </c>
      <c r="BQ110" s="39">
        <f>J110+N110+S110+W110+AA110+AE110+AI110+AM110+AQ110+AU110+Table1[[#This Row],[MS-0225]]+Table1[[#This Row],[MS-0325]]</f>
        <v>3789</v>
      </c>
      <c r="BR110" s="37">
        <f t="shared" si="71"/>
        <v>470</v>
      </c>
      <c r="BS110" s="37">
        <f t="shared" si="72"/>
        <v>12.40432831881763</v>
      </c>
      <c r="BT110" s="36">
        <f t="shared" si="73"/>
        <v>685</v>
      </c>
      <c r="BU110" s="36">
        <f t="shared" si="74"/>
        <v>855</v>
      </c>
      <c r="BV110" s="37">
        <f t="shared" si="75"/>
        <v>-170</v>
      </c>
      <c r="BW110" s="37">
        <f t="shared" si="76"/>
        <v>-19.883040935672515</v>
      </c>
      <c r="BX110">
        <v>0</v>
      </c>
      <c r="BY110" s="83">
        <f t="shared" si="77"/>
        <v>0</v>
      </c>
      <c r="BZ110">
        <v>0</v>
      </c>
      <c r="CA110" s="83">
        <f t="shared" si="78"/>
        <v>0</v>
      </c>
      <c r="CB110" s="96">
        <f t="shared" si="79"/>
        <v>0.57692307692307687</v>
      </c>
      <c r="CC110" s="96">
        <f t="shared" si="80"/>
        <v>0.54336734693877553</v>
      </c>
      <c r="CD110" s="97">
        <f t="shared" si="81"/>
        <v>3.3555729984301341E-2</v>
      </c>
      <c r="CE110" s="96">
        <f t="shared" si="82"/>
        <v>0.15284974093264247</v>
      </c>
      <c r="CF110" s="96">
        <f t="shared" si="83"/>
        <v>0.10299295774647887</v>
      </c>
      <c r="CG110" s="96">
        <f t="shared" si="84"/>
        <v>4.98567831861636E-2</v>
      </c>
      <c r="CH110" s="95">
        <f t="shared" si="85"/>
        <v>0.55991586143429961</v>
      </c>
      <c r="CI110" s="95">
        <f t="shared" si="86"/>
        <v>0.55704204645692446</v>
      </c>
      <c r="CJ110" s="98">
        <f t="shared" si="87"/>
        <v>2.8738149773751553E-3</v>
      </c>
      <c r="CK110" s="95">
        <f t="shared" si="88"/>
        <v>0.11126451717696743</v>
      </c>
      <c r="CL110" s="95">
        <f t="shared" si="89"/>
        <v>0.12258064516129032</v>
      </c>
      <c r="CM110" s="98">
        <f t="shared" si="90"/>
        <v>-1.1316127984322882E-2</v>
      </c>
      <c r="CN110" s="94">
        <f t="shared" si="91"/>
        <v>2.2396634457371984</v>
      </c>
      <c r="CO110" s="94">
        <f t="shared" si="92"/>
        <v>0.44505806870786974</v>
      </c>
    </row>
    <row r="111" spans="1:94" ht="24.5" x14ac:dyDescent="0.35">
      <c r="A111" s="104">
        <v>106364</v>
      </c>
      <c r="B111" s="5" t="s">
        <v>581</v>
      </c>
      <c r="C111" s="46" t="s">
        <v>936</v>
      </c>
      <c r="D111" s="13" t="s">
        <v>937</v>
      </c>
      <c r="E111" s="6" t="s">
        <v>81</v>
      </c>
      <c r="F111" s="6" t="s">
        <v>195</v>
      </c>
      <c r="G111" s="12" t="s">
        <v>195</v>
      </c>
      <c r="H111" s="51" t="s">
        <v>135</v>
      </c>
      <c r="I111" s="24" t="s">
        <v>83</v>
      </c>
      <c r="J111" s="19">
        <v>373</v>
      </c>
      <c r="K111" s="19">
        <v>408</v>
      </c>
      <c r="L111" s="19">
        <v>59</v>
      </c>
      <c r="M111" s="19">
        <v>62</v>
      </c>
      <c r="N111" s="18">
        <v>422.5</v>
      </c>
      <c r="O111" s="18">
        <v>444</v>
      </c>
      <c r="P111" s="18">
        <v>71.5</v>
      </c>
      <c r="Q111" s="18">
        <v>58</v>
      </c>
      <c r="R111" s="19">
        <v>391</v>
      </c>
      <c r="S111" s="19">
        <v>381.5</v>
      </c>
      <c r="T111" s="19">
        <v>49</v>
      </c>
      <c r="U111" s="19">
        <v>60.5</v>
      </c>
      <c r="V111" s="19">
        <v>458</v>
      </c>
      <c r="W111" s="19">
        <v>428</v>
      </c>
      <c r="X111" s="19">
        <v>56</v>
      </c>
      <c r="Y111" s="19">
        <v>64</v>
      </c>
      <c r="Z111" s="19">
        <v>448</v>
      </c>
      <c r="AA111" s="19">
        <v>450.5</v>
      </c>
      <c r="AB111" s="19">
        <v>56</v>
      </c>
      <c r="AC111" s="19">
        <v>61.5</v>
      </c>
      <c r="AD111" s="19">
        <v>413.5</v>
      </c>
      <c r="AE111" s="19">
        <v>386</v>
      </c>
      <c r="AF111" s="19">
        <v>48.5</v>
      </c>
      <c r="AG111" s="19">
        <v>54</v>
      </c>
      <c r="AH111" s="19">
        <v>428.5</v>
      </c>
      <c r="AI111" s="19">
        <v>450</v>
      </c>
      <c r="AJ111" s="19">
        <v>49.5</v>
      </c>
      <c r="AK111" s="19">
        <v>72</v>
      </c>
      <c r="AL111" s="19">
        <v>407.5</v>
      </c>
      <c r="AM111" s="19">
        <v>342</v>
      </c>
      <c r="AN111" s="19">
        <v>52.5</v>
      </c>
      <c r="AO111" s="19">
        <v>54</v>
      </c>
      <c r="AP111" s="19">
        <v>385</v>
      </c>
      <c r="AQ111" s="19">
        <v>396</v>
      </c>
      <c r="AR111" s="19">
        <v>41</v>
      </c>
      <c r="AS111" s="19">
        <v>44</v>
      </c>
      <c r="AT111" s="19">
        <v>372</v>
      </c>
      <c r="AU111" s="19">
        <v>374</v>
      </c>
      <c r="AV111" s="19">
        <v>38</v>
      </c>
      <c r="AW111" s="19">
        <v>44</v>
      </c>
      <c r="AX111" s="19">
        <v>364</v>
      </c>
      <c r="AY111" s="19">
        <v>328</v>
      </c>
      <c r="AZ111" s="19">
        <v>48</v>
      </c>
      <c r="BA111" s="19">
        <v>42</v>
      </c>
      <c r="BB111" s="19">
        <v>403</v>
      </c>
      <c r="BC111" s="19">
        <v>410.5</v>
      </c>
      <c r="BD111" s="19">
        <v>51</v>
      </c>
      <c r="BE111" s="19">
        <v>57.5</v>
      </c>
      <c r="BF111" s="23">
        <v>28.592700000000001</v>
      </c>
      <c r="BG111" s="23">
        <v>77.065899999999999</v>
      </c>
      <c r="BH111" s="31">
        <f t="shared" si="62"/>
        <v>403</v>
      </c>
      <c r="BI111" s="31">
        <f t="shared" si="63"/>
        <v>410.5</v>
      </c>
      <c r="BJ111" s="37">
        <f t="shared" si="64"/>
        <v>-7.5</v>
      </c>
      <c r="BK111" s="37">
        <f t="shared" si="65"/>
        <v>-1.8270401948842874</v>
      </c>
      <c r="BL111" s="36">
        <f t="shared" si="66"/>
        <v>51</v>
      </c>
      <c r="BM111" s="36">
        <f t="shared" si="67"/>
        <v>57.5</v>
      </c>
      <c r="BN111" s="37">
        <f t="shared" si="68"/>
        <v>-6.5</v>
      </c>
      <c r="BO111" s="37">
        <f t="shared" si="69"/>
        <v>-11.304347826086957</v>
      </c>
      <c r="BP111" s="38">
        <f t="shared" si="70"/>
        <v>4922.5</v>
      </c>
      <c r="BQ111" s="39">
        <f>J111+N111+S111+W111+AA111+AE111+AI111+AM111+AQ111+AU111+Table1[[#This Row],[MS-0225]]+Table1[[#This Row],[MS-0325]]</f>
        <v>4742</v>
      </c>
      <c r="BR111" s="37">
        <f t="shared" si="71"/>
        <v>180.5</v>
      </c>
      <c r="BS111" s="37">
        <f t="shared" si="72"/>
        <v>3.806410797132012</v>
      </c>
      <c r="BT111" s="36">
        <f t="shared" si="73"/>
        <v>609.5</v>
      </c>
      <c r="BU111" s="36">
        <f t="shared" si="74"/>
        <v>684</v>
      </c>
      <c r="BV111" s="37">
        <f t="shared" si="75"/>
        <v>-74.5</v>
      </c>
      <c r="BW111" s="37">
        <f t="shared" si="76"/>
        <v>-10.891812865497077</v>
      </c>
      <c r="BX111">
        <v>0</v>
      </c>
      <c r="BY111" s="83">
        <f t="shared" si="77"/>
        <v>0</v>
      </c>
      <c r="BZ111">
        <v>0</v>
      </c>
      <c r="CA111" s="83">
        <f t="shared" si="78"/>
        <v>0</v>
      </c>
      <c r="CB111" s="96">
        <f t="shared" si="79"/>
        <v>0.10552500654621629</v>
      </c>
      <c r="CC111" s="96">
        <f t="shared" si="80"/>
        <v>0.11333517393705135</v>
      </c>
      <c r="CD111" s="97">
        <f t="shared" si="81"/>
        <v>-7.8101673908350655E-3</v>
      </c>
      <c r="CE111" s="96">
        <f t="shared" si="82"/>
        <v>9.4972067039106142E-2</v>
      </c>
      <c r="CF111" s="96">
        <f t="shared" si="83"/>
        <v>0.10087719298245613</v>
      </c>
      <c r="CG111" s="96">
        <f t="shared" si="84"/>
        <v>-5.9051259433499925E-3</v>
      </c>
      <c r="CH111" s="95">
        <f t="shared" si="85"/>
        <v>0.10895548816928219</v>
      </c>
      <c r="CI111" s="95">
        <f t="shared" si="86"/>
        <v>0.10856227099267986</v>
      </c>
      <c r="CJ111" s="98">
        <f t="shared" si="87"/>
        <v>3.9321717660233124E-4</v>
      </c>
      <c r="CK111" s="95">
        <f t="shared" si="88"/>
        <v>9.5070971767274998E-2</v>
      </c>
      <c r="CL111" s="95">
        <f t="shared" si="89"/>
        <v>9.6774193548387094E-2</v>
      </c>
      <c r="CM111" s="98">
        <f t="shared" si="90"/>
        <v>-1.7032217811120964E-3</v>
      </c>
      <c r="CN111" s="94">
        <f t="shared" si="91"/>
        <v>0.76268841718497526</v>
      </c>
      <c r="CO111" s="94">
        <f t="shared" si="92"/>
        <v>0.66549680237092501</v>
      </c>
    </row>
    <row r="112" spans="1:94" x14ac:dyDescent="0.35">
      <c r="A112" s="103">
        <v>41057000</v>
      </c>
      <c r="B112" s="9" t="s">
        <v>380</v>
      </c>
      <c r="C112" s="47" t="s">
        <v>558</v>
      </c>
      <c r="D112" s="14" t="s">
        <v>559</v>
      </c>
      <c r="E112" s="10" t="s">
        <v>187</v>
      </c>
      <c r="F112" s="10" t="s">
        <v>560</v>
      </c>
      <c r="G112" s="12" t="s">
        <v>315</v>
      </c>
      <c r="H112" s="51" t="s">
        <v>178</v>
      </c>
      <c r="I112" s="25" t="s">
        <v>86</v>
      </c>
      <c r="J112" s="20">
        <v>347.5</v>
      </c>
      <c r="K112" s="20">
        <v>342</v>
      </c>
      <c r="L112" s="20">
        <v>59.5</v>
      </c>
      <c r="M112" s="20">
        <v>42</v>
      </c>
      <c r="N112" s="18">
        <v>346</v>
      </c>
      <c r="O112" s="18">
        <v>356</v>
      </c>
      <c r="P112" s="18">
        <v>69</v>
      </c>
      <c r="Q112" s="18">
        <v>50</v>
      </c>
      <c r="R112" s="20">
        <v>338.5</v>
      </c>
      <c r="S112" s="20">
        <v>349</v>
      </c>
      <c r="T112" s="20">
        <v>45.5</v>
      </c>
      <c r="U112" s="20">
        <v>32</v>
      </c>
      <c r="V112" s="20">
        <v>361</v>
      </c>
      <c r="W112" s="20">
        <v>389</v>
      </c>
      <c r="X112" s="20">
        <v>45</v>
      </c>
      <c r="Y112" s="20">
        <v>64</v>
      </c>
      <c r="Z112" s="20">
        <v>389</v>
      </c>
      <c r="AA112" s="20">
        <v>351</v>
      </c>
      <c r="AB112" s="20">
        <v>46</v>
      </c>
      <c r="AC112" s="20">
        <v>45</v>
      </c>
      <c r="AD112" s="20">
        <v>366</v>
      </c>
      <c r="AE112" s="20">
        <v>348.5</v>
      </c>
      <c r="AF112" s="20">
        <v>40</v>
      </c>
      <c r="AG112" s="20">
        <v>54.5</v>
      </c>
      <c r="AH112" s="20">
        <v>385</v>
      </c>
      <c r="AI112" s="20">
        <v>360</v>
      </c>
      <c r="AJ112" s="20">
        <v>46</v>
      </c>
      <c r="AK112" s="20">
        <v>54</v>
      </c>
      <c r="AL112" s="20">
        <v>337</v>
      </c>
      <c r="AM112" s="20">
        <v>337.5</v>
      </c>
      <c r="AN112" s="20">
        <v>40</v>
      </c>
      <c r="AO112" s="20">
        <v>40.5</v>
      </c>
      <c r="AP112" s="20">
        <v>362</v>
      </c>
      <c r="AQ112" s="20">
        <v>319</v>
      </c>
      <c r="AR112" s="20">
        <v>44</v>
      </c>
      <c r="AS112" s="20">
        <v>37</v>
      </c>
      <c r="AT112" s="20">
        <v>335</v>
      </c>
      <c r="AU112" s="20">
        <v>325.5</v>
      </c>
      <c r="AV112" s="20">
        <v>38</v>
      </c>
      <c r="AW112" s="20">
        <v>39.5</v>
      </c>
      <c r="AX112" s="20">
        <v>309</v>
      </c>
      <c r="AY112" s="20">
        <v>307</v>
      </c>
      <c r="AZ112" s="20">
        <v>39</v>
      </c>
      <c r="BA112" s="20">
        <v>44</v>
      </c>
      <c r="BB112" s="20">
        <v>353</v>
      </c>
      <c r="BC112" s="20">
        <v>337</v>
      </c>
      <c r="BD112" s="20">
        <v>53</v>
      </c>
      <c r="BE112" s="20">
        <v>48</v>
      </c>
      <c r="BF112" s="23">
        <v>28.659569999999999</v>
      </c>
      <c r="BG112" s="23">
        <v>77.189419999999998</v>
      </c>
      <c r="BH112" s="31">
        <f t="shared" si="62"/>
        <v>353</v>
      </c>
      <c r="BI112" s="31">
        <f t="shared" si="63"/>
        <v>337</v>
      </c>
      <c r="BJ112" s="37">
        <f t="shared" si="64"/>
        <v>16</v>
      </c>
      <c r="BK112" s="37">
        <f t="shared" si="65"/>
        <v>4.7477744807121667</v>
      </c>
      <c r="BL112" s="36">
        <f t="shared" si="66"/>
        <v>53</v>
      </c>
      <c r="BM112" s="36">
        <f t="shared" si="67"/>
        <v>48</v>
      </c>
      <c r="BN112" s="37">
        <f t="shared" si="68"/>
        <v>5</v>
      </c>
      <c r="BO112" s="37">
        <f t="shared" si="69"/>
        <v>10.416666666666668</v>
      </c>
      <c r="BP112" s="38">
        <f t="shared" si="70"/>
        <v>4233.5</v>
      </c>
      <c r="BQ112" s="39">
        <f>J112+N112+S112+W112+AA112+AE112+AI112+AM112+AQ112+AU112+Table1[[#This Row],[MS-0225]]+Table1[[#This Row],[MS-0325]]</f>
        <v>4117</v>
      </c>
      <c r="BR112" s="37">
        <f t="shared" si="71"/>
        <v>116.5</v>
      </c>
      <c r="BS112" s="37">
        <f t="shared" si="72"/>
        <v>2.8297303862035461</v>
      </c>
      <c r="BT112" s="36">
        <f t="shared" si="73"/>
        <v>528.5</v>
      </c>
      <c r="BU112" s="36">
        <f t="shared" si="74"/>
        <v>587</v>
      </c>
      <c r="BV112" s="37">
        <f t="shared" si="75"/>
        <v>-58.5</v>
      </c>
      <c r="BW112" s="37">
        <f t="shared" si="76"/>
        <v>-9.965928449744462</v>
      </c>
      <c r="BX112">
        <v>0</v>
      </c>
      <c r="BY112" s="83">
        <f t="shared" si="77"/>
        <v>0</v>
      </c>
      <c r="BZ112">
        <v>0</v>
      </c>
      <c r="CA112" s="83">
        <f t="shared" si="78"/>
        <v>0</v>
      </c>
      <c r="CB112" s="96">
        <f t="shared" si="79"/>
        <v>0.27018752391886719</v>
      </c>
      <c r="CC112" s="96">
        <f t="shared" si="80"/>
        <v>0.2782824112303881</v>
      </c>
      <c r="CD112" s="97">
        <f t="shared" si="81"/>
        <v>-8.0948873115209152E-3</v>
      </c>
      <c r="CE112" s="96">
        <f t="shared" si="82"/>
        <v>0.12282734646581692</v>
      </c>
      <c r="CF112" s="96">
        <f t="shared" si="83"/>
        <v>8.3333333333333329E-2</v>
      </c>
      <c r="CG112" s="96">
        <f t="shared" si="84"/>
        <v>3.9494013132483588E-2</v>
      </c>
      <c r="CH112" s="95">
        <f t="shared" si="85"/>
        <v>0.27371177345315834</v>
      </c>
      <c r="CI112" s="95">
        <f t="shared" si="86"/>
        <v>0.28344234045999861</v>
      </c>
      <c r="CJ112" s="98">
        <f t="shared" si="87"/>
        <v>-9.7305670068402739E-3</v>
      </c>
      <c r="CK112" s="95">
        <f t="shared" si="88"/>
        <v>8.6074918566775238E-2</v>
      </c>
      <c r="CL112" s="95">
        <f t="shared" si="89"/>
        <v>8.8430250075323888E-2</v>
      </c>
      <c r="CM112" s="98">
        <f t="shared" si="90"/>
        <v>-2.3553315085486498E-3</v>
      </c>
      <c r="CN112" s="94">
        <f t="shared" si="91"/>
        <v>1.0948470938126333</v>
      </c>
      <c r="CO112" s="94">
        <f t="shared" si="92"/>
        <v>0.34429967426710095</v>
      </c>
      <c r="CP112" s="141">
        <f>BD112-AZ112</f>
        <v>14</v>
      </c>
    </row>
    <row r="113" spans="1:94" ht="24.5" x14ac:dyDescent="0.35">
      <c r="A113" s="103">
        <v>41056499</v>
      </c>
      <c r="B113" s="9" t="s">
        <v>380</v>
      </c>
      <c r="C113" s="48" t="s">
        <v>401</v>
      </c>
      <c r="D113" s="14" t="s">
        <v>402</v>
      </c>
      <c r="E113" s="10" t="s">
        <v>187</v>
      </c>
      <c r="F113" s="10" t="s">
        <v>315</v>
      </c>
      <c r="G113" s="12" t="s">
        <v>315</v>
      </c>
      <c r="H113" s="51" t="s">
        <v>189</v>
      </c>
      <c r="I113" s="25" t="s">
        <v>86</v>
      </c>
      <c r="J113" s="20">
        <v>214.5</v>
      </c>
      <c r="K113" s="20">
        <v>234</v>
      </c>
      <c r="L113" s="20">
        <v>107.5</v>
      </c>
      <c r="M113" s="20">
        <v>102</v>
      </c>
      <c r="N113" s="18">
        <v>243</v>
      </c>
      <c r="O113" s="18">
        <v>267</v>
      </c>
      <c r="P113" s="18">
        <v>137</v>
      </c>
      <c r="Q113" s="18">
        <v>139</v>
      </c>
      <c r="R113" s="20">
        <v>226</v>
      </c>
      <c r="S113" s="20">
        <v>227</v>
      </c>
      <c r="T113" s="20">
        <v>93</v>
      </c>
      <c r="U113" s="20">
        <v>109</v>
      </c>
      <c r="V113" s="20">
        <v>273</v>
      </c>
      <c r="W113" s="20">
        <v>250</v>
      </c>
      <c r="X113" s="20">
        <v>129</v>
      </c>
      <c r="Y113" s="20">
        <v>106</v>
      </c>
      <c r="Z113" s="20">
        <v>280</v>
      </c>
      <c r="AA113" s="20">
        <v>245</v>
      </c>
      <c r="AB113" s="20">
        <v>126</v>
      </c>
      <c r="AC113" s="20">
        <v>112</v>
      </c>
      <c r="AD113" s="20">
        <v>269</v>
      </c>
      <c r="AE113" s="20">
        <v>235.5</v>
      </c>
      <c r="AF113" s="20">
        <v>137</v>
      </c>
      <c r="AG113" s="20">
        <v>133.5</v>
      </c>
      <c r="AH113" s="20">
        <v>259</v>
      </c>
      <c r="AI113" s="20">
        <v>256</v>
      </c>
      <c r="AJ113" s="20">
        <v>118</v>
      </c>
      <c r="AK113" s="20">
        <v>132</v>
      </c>
      <c r="AL113" s="20">
        <v>247</v>
      </c>
      <c r="AM113" s="20">
        <v>218.5</v>
      </c>
      <c r="AN113" s="20">
        <v>101</v>
      </c>
      <c r="AO113" s="20">
        <v>111.5</v>
      </c>
      <c r="AP113" s="20">
        <v>241</v>
      </c>
      <c r="AQ113" s="20">
        <v>229</v>
      </c>
      <c r="AR113" s="20">
        <v>107</v>
      </c>
      <c r="AS113" s="20">
        <v>111</v>
      </c>
      <c r="AT113" s="20">
        <v>235</v>
      </c>
      <c r="AU113" s="20">
        <v>223.5</v>
      </c>
      <c r="AV113" s="20">
        <v>103</v>
      </c>
      <c r="AW113" s="20">
        <v>128.5</v>
      </c>
      <c r="AX113" s="20">
        <v>220</v>
      </c>
      <c r="AY113" s="20">
        <v>205</v>
      </c>
      <c r="AZ113" s="20">
        <v>93</v>
      </c>
      <c r="BA113" s="20">
        <v>120</v>
      </c>
      <c r="BB113" s="20">
        <v>242</v>
      </c>
      <c r="BC113" s="20">
        <v>231</v>
      </c>
      <c r="BD113" s="20">
        <v>106</v>
      </c>
      <c r="BE113" s="20">
        <v>113</v>
      </c>
      <c r="BF113" s="23">
        <v>28.64451</v>
      </c>
      <c r="BG113" s="23">
        <v>77.194559999999996</v>
      </c>
      <c r="BH113" s="31">
        <f t="shared" si="62"/>
        <v>242</v>
      </c>
      <c r="BI113" s="31">
        <f t="shared" si="63"/>
        <v>231</v>
      </c>
      <c r="BJ113" s="37">
        <f t="shared" si="64"/>
        <v>11</v>
      </c>
      <c r="BK113" s="37">
        <f t="shared" si="65"/>
        <v>4.7619047619047619</v>
      </c>
      <c r="BL113" s="36">
        <f t="shared" si="66"/>
        <v>106</v>
      </c>
      <c r="BM113" s="36">
        <f t="shared" si="67"/>
        <v>113</v>
      </c>
      <c r="BN113" s="37">
        <f t="shared" si="68"/>
        <v>-7</v>
      </c>
      <c r="BO113" s="37">
        <f t="shared" si="69"/>
        <v>-6.1946902654867255</v>
      </c>
      <c r="BP113" s="38">
        <f t="shared" si="70"/>
        <v>2993</v>
      </c>
      <c r="BQ113" s="39">
        <f>J113+N113+S113+W113+AA113+AE113+AI113+AM113+AQ113+AU113+Table1[[#This Row],[MS-0225]]+Table1[[#This Row],[MS-0325]]</f>
        <v>2778</v>
      </c>
      <c r="BR113" s="37">
        <f t="shared" si="71"/>
        <v>215</v>
      </c>
      <c r="BS113" s="37">
        <f t="shared" si="72"/>
        <v>7.7393808495320373</v>
      </c>
      <c r="BT113" s="36">
        <f t="shared" si="73"/>
        <v>1354</v>
      </c>
      <c r="BU113" s="36">
        <f t="shared" si="74"/>
        <v>1421</v>
      </c>
      <c r="BV113" s="37">
        <f t="shared" si="75"/>
        <v>-67</v>
      </c>
      <c r="BW113" s="37">
        <f t="shared" si="76"/>
        <v>-4.7149894440534839</v>
      </c>
      <c r="BX113">
        <v>0</v>
      </c>
      <c r="BY113" s="83">
        <f t="shared" si="77"/>
        <v>0</v>
      </c>
      <c r="BZ113">
        <v>0</v>
      </c>
      <c r="CA113" s="83">
        <f t="shared" si="78"/>
        <v>0</v>
      </c>
      <c r="CB113" s="96">
        <f t="shared" si="79"/>
        <v>0.18522770761576732</v>
      </c>
      <c r="CC113" s="96">
        <f t="shared" si="80"/>
        <v>0.19075144508670519</v>
      </c>
      <c r="CD113" s="97">
        <f t="shared" si="81"/>
        <v>-5.5237374709378728E-3</v>
      </c>
      <c r="CE113" s="96">
        <f t="shared" si="82"/>
        <v>0.24565469293163383</v>
      </c>
      <c r="CF113" s="96">
        <f t="shared" si="83"/>
        <v>0.19618055555555555</v>
      </c>
      <c r="CG113" s="96">
        <f t="shared" si="84"/>
        <v>4.9474137376078281E-2</v>
      </c>
      <c r="CH113" s="95">
        <f t="shared" si="85"/>
        <v>0.19350876058705632</v>
      </c>
      <c r="CI113" s="95">
        <f t="shared" si="86"/>
        <v>0.19125645416513873</v>
      </c>
      <c r="CJ113" s="98">
        <f t="shared" si="87"/>
        <v>2.2523064219175937E-3</v>
      </c>
      <c r="CK113" s="95">
        <f t="shared" si="88"/>
        <v>0.22052117263843649</v>
      </c>
      <c r="CL113" s="95">
        <f t="shared" si="89"/>
        <v>0.21407050316360349</v>
      </c>
      <c r="CM113" s="98">
        <f t="shared" si="90"/>
        <v>6.4506694748329985E-3</v>
      </c>
      <c r="CN113" s="94">
        <f t="shared" si="91"/>
        <v>0.77403504234822529</v>
      </c>
      <c r="CO113" s="94">
        <f t="shared" si="92"/>
        <v>0.88208469055374594</v>
      </c>
      <c r="CP113" s="141">
        <f>BD113-AZ113</f>
        <v>13</v>
      </c>
    </row>
    <row r="114" spans="1:94" ht="24.5" x14ac:dyDescent="0.35">
      <c r="A114" s="103">
        <v>41032431</v>
      </c>
      <c r="B114" s="9" t="s">
        <v>380</v>
      </c>
      <c r="C114" s="47" t="s">
        <v>400</v>
      </c>
      <c r="D114" s="14" t="s">
        <v>391</v>
      </c>
      <c r="E114" s="10" t="s">
        <v>89</v>
      </c>
      <c r="F114" s="10" t="s">
        <v>310</v>
      </c>
      <c r="G114" s="12" t="s">
        <v>392</v>
      </c>
      <c r="H114" s="51" t="s">
        <v>178</v>
      </c>
      <c r="I114" s="25" t="s">
        <v>86</v>
      </c>
      <c r="J114" s="20">
        <v>342</v>
      </c>
      <c r="K114" s="20">
        <v>373</v>
      </c>
      <c r="L114" s="20">
        <v>72</v>
      </c>
      <c r="M114" s="20">
        <v>70</v>
      </c>
      <c r="N114" s="18">
        <v>418.5</v>
      </c>
      <c r="O114" s="18">
        <v>405</v>
      </c>
      <c r="P114" s="18">
        <v>103.5</v>
      </c>
      <c r="Q114" s="18">
        <v>75</v>
      </c>
      <c r="R114" s="20">
        <v>358</v>
      </c>
      <c r="S114" s="20">
        <v>371.5</v>
      </c>
      <c r="T114" s="20">
        <v>85</v>
      </c>
      <c r="U114" s="20">
        <v>85.5</v>
      </c>
      <c r="V114" s="20">
        <v>397</v>
      </c>
      <c r="W114" s="20">
        <v>396</v>
      </c>
      <c r="X114" s="20">
        <v>80</v>
      </c>
      <c r="Y114" s="20">
        <v>90</v>
      </c>
      <c r="Z114" s="20">
        <v>416</v>
      </c>
      <c r="AA114" s="20">
        <v>405</v>
      </c>
      <c r="AB114" s="20">
        <v>70</v>
      </c>
      <c r="AC114" s="20">
        <v>81</v>
      </c>
      <c r="AD114" s="20">
        <v>410</v>
      </c>
      <c r="AE114" s="20">
        <v>382.5</v>
      </c>
      <c r="AF114" s="20">
        <v>80</v>
      </c>
      <c r="AG114" s="20">
        <v>85.5</v>
      </c>
      <c r="AH114" s="20">
        <v>408</v>
      </c>
      <c r="AI114" s="20">
        <v>397</v>
      </c>
      <c r="AJ114" s="20">
        <v>85</v>
      </c>
      <c r="AK114" s="20">
        <v>74</v>
      </c>
      <c r="AL114" s="20">
        <v>388</v>
      </c>
      <c r="AM114" s="20">
        <v>339</v>
      </c>
      <c r="AN114" s="20">
        <v>60</v>
      </c>
      <c r="AO114" s="20">
        <v>72</v>
      </c>
      <c r="AP114" s="20">
        <v>368</v>
      </c>
      <c r="AQ114" s="20">
        <v>351</v>
      </c>
      <c r="AR114" s="20">
        <v>55</v>
      </c>
      <c r="AS114" s="20">
        <v>63</v>
      </c>
      <c r="AT114" s="20">
        <v>375</v>
      </c>
      <c r="AU114" s="20">
        <v>352.5</v>
      </c>
      <c r="AV114" s="20">
        <v>68</v>
      </c>
      <c r="AW114" s="20">
        <v>53.5</v>
      </c>
      <c r="AX114" s="20">
        <v>350</v>
      </c>
      <c r="AY114" s="20">
        <v>315</v>
      </c>
      <c r="AZ114" s="20">
        <v>65</v>
      </c>
      <c r="BA114" s="20">
        <v>53</v>
      </c>
      <c r="BB114" s="20">
        <v>374</v>
      </c>
      <c r="BC114" s="20">
        <v>348</v>
      </c>
      <c r="BD114" s="20">
        <v>77</v>
      </c>
      <c r="BE114" s="20">
        <v>70</v>
      </c>
      <c r="BF114" s="23">
        <v>28.705030000000001</v>
      </c>
      <c r="BG114" s="23">
        <v>77.141189999999995</v>
      </c>
      <c r="BH114" s="31">
        <f t="shared" si="62"/>
        <v>374</v>
      </c>
      <c r="BI114" s="31">
        <f t="shared" si="63"/>
        <v>348</v>
      </c>
      <c r="BJ114" s="37">
        <f t="shared" si="64"/>
        <v>26</v>
      </c>
      <c r="BK114" s="37">
        <f t="shared" si="65"/>
        <v>7.4712643678160928</v>
      </c>
      <c r="BL114" s="36">
        <f t="shared" si="66"/>
        <v>77</v>
      </c>
      <c r="BM114" s="36">
        <f t="shared" si="67"/>
        <v>70</v>
      </c>
      <c r="BN114" s="37">
        <f t="shared" si="68"/>
        <v>7</v>
      </c>
      <c r="BO114" s="37">
        <f t="shared" si="69"/>
        <v>10</v>
      </c>
      <c r="BP114" s="38">
        <f t="shared" si="70"/>
        <v>4622</v>
      </c>
      <c r="BQ114" s="39">
        <f>J114+N114+S114+W114+AA114+AE114+AI114+AM114+AQ114+AU114+Table1[[#This Row],[MS-0225]]+Table1[[#This Row],[MS-0325]]</f>
        <v>4418</v>
      </c>
      <c r="BR114" s="37">
        <f t="shared" si="71"/>
        <v>204</v>
      </c>
      <c r="BS114" s="37">
        <f t="shared" si="72"/>
        <v>4.6174739701222274</v>
      </c>
      <c r="BT114" s="36">
        <f t="shared" si="73"/>
        <v>870</v>
      </c>
      <c r="BU114" s="36">
        <f t="shared" si="74"/>
        <v>903</v>
      </c>
      <c r="BV114" s="37">
        <f t="shared" si="75"/>
        <v>-33</v>
      </c>
      <c r="BW114" s="37">
        <f t="shared" si="76"/>
        <v>-3.6544850498338874</v>
      </c>
      <c r="BX114">
        <v>0</v>
      </c>
      <c r="BY114" s="83">
        <f t="shared" si="77"/>
        <v>0</v>
      </c>
      <c r="BZ114">
        <v>0</v>
      </c>
      <c r="CA114" s="83">
        <f t="shared" si="78"/>
        <v>0</v>
      </c>
      <c r="CB114" s="96">
        <f t="shared" si="79"/>
        <v>0.24735449735449735</v>
      </c>
      <c r="CC114" s="96">
        <f t="shared" si="80"/>
        <v>0.2196969696969697</v>
      </c>
      <c r="CD114" s="97">
        <f t="shared" si="81"/>
        <v>2.7657527657527659E-2</v>
      </c>
      <c r="CE114" s="96">
        <f t="shared" si="82"/>
        <v>0.16666666666666666</v>
      </c>
      <c r="CF114" s="96">
        <f t="shared" si="83"/>
        <v>0.11308562197092084</v>
      </c>
      <c r="CG114" s="96">
        <f t="shared" si="84"/>
        <v>5.3581044695745816E-2</v>
      </c>
      <c r="CH114" s="95">
        <f t="shared" si="85"/>
        <v>0.2483744424740717</v>
      </c>
      <c r="CI114" s="95">
        <f t="shared" si="86"/>
        <v>0.24162523543146949</v>
      </c>
      <c r="CJ114" s="98">
        <f t="shared" si="87"/>
        <v>6.7492070426022066E-3</v>
      </c>
      <c r="CK114" s="95">
        <f t="shared" si="88"/>
        <v>0.14981918374375752</v>
      </c>
      <c r="CL114" s="95">
        <f t="shared" si="89"/>
        <v>0.11920005280179526</v>
      </c>
      <c r="CM114" s="98">
        <f t="shared" si="90"/>
        <v>3.0619130941962266E-2</v>
      </c>
      <c r="CN114" s="94">
        <f t="shared" si="91"/>
        <v>1.2418722123703585</v>
      </c>
      <c r="CO114" s="94">
        <f t="shared" si="92"/>
        <v>0.74909591871878756</v>
      </c>
      <c r="CP114" s="141">
        <f>BD114-AZ114</f>
        <v>12</v>
      </c>
    </row>
    <row r="115" spans="1:94" ht="24.5" x14ac:dyDescent="0.35">
      <c r="A115" s="102">
        <v>112427</v>
      </c>
      <c r="B115" s="3" t="s">
        <v>72</v>
      </c>
      <c r="C115" s="40" t="s">
        <v>226</v>
      </c>
      <c r="D115" s="12" t="s">
        <v>227</v>
      </c>
      <c r="E115" s="4" t="s">
        <v>228</v>
      </c>
      <c r="F115" s="4" t="s">
        <v>229</v>
      </c>
      <c r="G115" s="12" t="s">
        <v>229</v>
      </c>
      <c r="H115" s="51" t="s">
        <v>230</v>
      </c>
      <c r="I115" s="23" t="s">
        <v>78</v>
      </c>
      <c r="J115" s="90">
        <v>337.5</v>
      </c>
      <c r="K115" s="90">
        <v>388.5</v>
      </c>
      <c r="L115" s="90">
        <v>130.5</v>
      </c>
      <c r="M115" s="90">
        <v>85.5</v>
      </c>
      <c r="N115" s="18">
        <v>344</v>
      </c>
      <c r="O115" s="18">
        <v>393</v>
      </c>
      <c r="P115" s="18">
        <v>130</v>
      </c>
      <c r="Q115" s="18">
        <v>99</v>
      </c>
      <c r="R115" s="90">
        <v>331</v>
      </c>
      <c r="S115" s="90">
        <v>327.5</v>
      </c>
      <c r="T115" s="90">
        <v>107</v>
      </c>
      <c r="U115" s="90">
        <v>98.5</v>
      </c>
      <c r="V115" s="90">
        <v>405</v>
      </c>
      <c r="W115" s="90">
        <v>333</v>
      </c>
      <c r="X115" s="90">
        <v>81</v>
      </c>
      <c r="Y115" s="90">
        <v>99</v>
      </c>
      <c r="Z115" s="90">
        <v>408</v>
      </c>
      <c r="AA115" s="90">
        <v>357</v>
      </c>
      <c r="AB115" s="90">
        <v>90</v>
      </c>
      <c r="AC115" s="90">
        <v>81</v>
      </c>
      <c r="AD115" s="90">
        <v>373.5</v>
      </c>
      <c r="AE115" s="90">
        <v>351</v>
      </c>
      <c r="AF115" s="90">
        <v>94.5</v>
      </c>
      <c r="AG115" s="90">
        <v>81</v>
      </c>
      <c r="AH115" s="90">
        <v>418.5</v>
      </c>
      <c r="AI115" s="90">
        <v>364.5</v>
      </c>
      <c r="AJ115" s="90">
        <v>103.5</v>
      </c>
      <c r="AK115" s="90">
        <v>103.5</v>
      </c>
      <c r="AL115" s="90">
        <v>400.5</v>
      </c>
      <c r="AM115" s="90">
        <v>367.5</v>
      </c>
      <c r="AN115" s="90">
        <v>103.5</v>
      </c>
      <c r="AO115" s="90">
        <v>58.5</v>
      </c>
      <c r="AP115" s="90">
        <v>328.5</v>
      </c>
      <c r="AQ115" s="90">
        <v>324</v>
      </c>
      <c r="AR115" s="90">
        <v>103.5</v>
      </c>
      <c r="AS115" s="90">
        <v>72</v>
      </c>
      <c r="AT115" s="90">
        <v>319.5</v>
      </c>
      <c r="AU115" s="90">
        <v>324</v>
      </c>
      <c r="AV115" s="90">
        <v>148.5</v>
      </c>
      <c r="AW115" s="90">
        <v>90</v>
      </c>
      <c r="AX115" s="90">
        <v>333</v>
      </c>
      <c r="AY115" s="90">
        <v>310.5</v>
      </c>
      <c r="AZ115" s="90">
        <v>153</v>
      </c>
      <c r="BA115" s="90">
        <v>103.5</v>
      </c>
      <c r="BB115" s="90">
        <v>400.5</v>
      </c>
      <c r="BC115" s="90">
        <v>336</v>
      </c>
      <c r="BD115" s="90">
        <v>175.5</v>
      </c>
      <c r="BE115" s="90">
        <v>90</v>
      </c>
      <c r="BF115" s="23">
        <v>28.701650000000001</v>
      </c>
      <c r="BG115" s="23">
        <v>77.289619999999999</v>
      </c>
      <c r="BH115" s="31">
        <f t="shared" si="62"/>
        <v>400.5</v>
      </c>
      <c r="BI115" s="31">
        <f t="shared" si="63"/>
        <v>336</v>
      </c>
      <c r="BJ115" s="37">
        <f t="shared" si="64"/>
        <v>64.5</v>
      </c>
      <c r="BK115" s="37">
        <f t="shared" si="65"/>
        <v>19.196428571428573</v>
      </c>
      <c r="BL115" s="36">
        <f t="shared" si="66"/>
        <v>175.5</v>
      </c>
      <c r="BM115" s="36">
        <f t="shared" si="67"/>
        <v>90</v>
      </c>
      <c r="BN115" s="37">
        <f t="shared" si="68"/>
        <v>85.5</v>
      </c>
      <c r="BO115" s="37">
        <f t="shared" si="69"/>
        <v>95</v>
      </c>
      <c r="BP115" s="38">
        <f t="shared" si="70"/>
        <v>4499.5</v>
      </c>
      <c r="BQ115" s="39">
        <f>J115+N115+S115+W115+AA115+AE115+AI115+AM115+AQ115+AU115+Table1[[#This Row],[MS-0225]]+Table1[[#This Row],[MS-0325]]</f>
        <v>4076.5</v>
      </c>
      <c r="BR115" s="37">
        <f t="shared" si="71"/>
        <v>423</v>
      </c>
      <c r="BS115" s="37">
        <f t="shared" si="72"/>
        <v>10.376548509751011</v>
      </c>
      <c r="BT115" s="36">
        <f t="shared" si="73"/>
        <v>1344.5</v>
      </c>
      <c r="BU115" s="36">
        <f t="shared" si="74"/>
        <v>1137.5</v>
      </c>
      <c r="BV115" s="37">
        <f t="shared" si="75"/>
        <v>207</v>
      </c>
      <c r="BW115" s="37">
        <f t="shared" si="76"/>
        <v>18.197802197802197</v>
      </c>
      <c r="BX115">
        <v>9</v>
      </c>
      <c r="BY115" s="83">
        <f t="shared" si="77"/>
        <v>2.247191011235955E-2</v>
      </c>
      <c r="BZ115">
        <v>44</v>
      </c>
      <c r="CA115" s="83">
        <f t="shared" si="78"/>
        <v>9.7788643182575834E-3</v>
      </c>
      <c r="CB115" s="96">
        <f t="shared" si="79"/>
        <v>0.31106796116504853</v>
      </c>
      <c r="CC115" s="96">
        <f t="shared" si="80"/>
        <v>0.28414376321353063</v>
      </c>
      <c r="CD115" s="97">
        <f t="shared" si="81"/>
        <v>2.6924197951517903E-2</v>
      </c>
      <c r="CE115" s="96">
        <f t="shared" si="82"/>
        <v>0.42962056303549573</v>
      </c>
      <c r="CF115" s="96">
        <f t="shared" si="83"/>
        <v>0.29079159935379645</v>
      </c>
      <c r="CG115" s="96">
        <f t="shared" si="84"/>
        <v>0.13882896368169928</v>
      </c>
      <c r="CH115" s="95">
        <f t="shared" si="85"/>
        <v>0.29691830539791475</v>
      </c>
      <c r="CI115" s="95">
        <f t="shared" si="86"/>
        <v>0.29555918071415627</v>
      </c>
      <c r="CJ115" s="98">
        <f t="shared" si="87"/>
        <v>1.3591246837584836E-3</v>
      </c>
      <c r="CK115" s="95">
        <f t="shared" si="88"/>
        <v>0.33926318445622006</v>
      </c>
      <c r="CL115" s="95">
        <f t="shared" si="89"/>
        <v>0.28830313014827019</v>
      </c>
      <c r="CM115" s="98">
        <f t="shared" si="90"/>
        <v>5.0960054307949865E-2</v>
      </c>
      <c r="CN115" s="94">
        <f t="shared" si="91"/>
        <v>0.89075491619374425</v>
      </c>
      <c r="CO115" s="94">
        <f t="shared" si="92"/>
        <v>1.0177895533686603</v>
      </c>
    </row>
    <row r="116" spans="1:94" ht="24.5" x14ac:dyDescent="0.35">
      <c r="A116" s="104">
        <v>106276</v>
      </c>
      <c r="B116" s="5" t="s">
        <v>581</v>
      </c>
      <c r="C116" s="46" t="s">
        <v>783</v>
      </c>
      <c r="D116" s="13" t="s">
        <v>784</v>
      </c>
      <c r="E116" s="6" t="s">
        <v>111</v>
      </c>
      <c r="F116" s="6" t="s">
        <v>112</v>
      </c>
      <c r="G116" s="12" t="s">
        <v>112</v>
      </c>
      <c r="H116" s="51" t="s">
        <v>113</v>
      </c>
      <c r="I116" s="24" t="s">
        <v>78</v>
      </c>
      <c r="J116" s="19">
        <v>386.5</v>
      </c>
      <c r="K116" s="19">
        <v>390</v>
      </c>
      <c r="L116" s="19">
        <v>121.5</v>
      </c>
      <c r="M116" s="19">
        <v>90</v>
      </c>
      <c r="N116" s="18">
        <v>418.5</v>
      </c>
      <c r="O116" s="18">
        <v>405</v>
      </c>
      <c r="P116" s="18">
        <v>121.5</v>
      </c>
      <c r="Q116" s="18">
        <v>95</v>
      </c>
      <c r="R116" s="19">
        <v>405</v>
      </c>
      <c r="S116" s="19">
        <v>405</v>
      </c>
      <c r="T116" s="19">
        <v>95</v>
      </c>
      <c r="U116" s="19">
        <v>117</v>
      </c>
      <c r="V116" s="19">
        <v>445</v>
      </c>
      <c r="W116" s="19">
        <v>400.5</v>
      </c>
      <c r="X116" s="19">
        <v>95</v>
      </c>
      <c r="Y116" s="19">
        <v>103.5</v>
      </c>
      <c r="Z116" s="19">
        <v>440</v>
      </c>
      <c r="AA116" s="19">
        <v>451</v>
      </c>
      <c r="AB116" s="19">
        <v>100</v>
      </c>
      <c r="AC116" s="19">
        <v>113</v>
      </c>
      <c r="AD116" s="19">
        <v>410</v>
      </c>
      <c r="AE116" s="19">
        <v>393.5</v>
      </c>
      <c r="AF116" s="19">
        <v>90</v>
      </c>
      <c r="AG116" s="19">
        <v>104.5</v>
      </c>
      <c r="AH116" s="19">
        <v>428</v>
      </c>
      <c r="AI116" s="19">
        <v>410</v>
      </c>
      <c r="AJ116" s="19">
        <v>90</v>
      </c>
      <c r="AK116" s="19">
        <v>110</v>
      </c>
      <c r="AL116" s="19">
        <v>400</v>
      </c>
      <c r="AM116" s="19">
        <v>414.5</v>
      </c>
      <c r="AN116" s="19">
        <v>80</v>
      </c>
      <c r="AO116" s="19">
        <v>90</v>
      </c>
      <c r="AP116" s="19">
        <v>400</v>
      </c>
      <c r="AQ116" s="19">
        <v>385</v>
      </c>
      <c r="AR116" s="19">
        <v>80</v>
      </c>
      <c r="AS116" s="19">
        <v>95</v>
      </c>
      <c r="AT116" s="19">
        <v>360</v>
      </c>
      <c r="AU116" s="19">
        <v>370</v>
      </c>
      <c r="AV116" s="19">
        <v>80</v>
      </c>
      <c r="AW116" s="19">
        <v>90</v>
      </c>
      <c r="AX116" s="19">
        <v>395</v>
      </c>
      <c r="AY116" s="19">
        <v>370</v>
      </c>
      <c r="AZ116" s="19">
        <v>85</v>
      </c>
      <c r="BA116" s="19">
        <v>90</v>
      </c>
      <c r="BB116" s="19">
        <v>400</v>
      </c>
      <c r="BC116" s="19">
        <v>420</v>
      </c>
      <c r="BD116" s="19">
        <v>80</v>
      </c>
      <c r="BE116" s="19">
        <v>100</v>
      </c>
      <c r="BF116" s="23">
        <v>28.5623</v>
      </c>
      <c r="BG116" s="23">
        <v>77.266300000000001</v>
      </c>
      <c r="BH116" s="31">
        <f t="shared" si="62"/>
        <v>400</v>
      </c>
      <c r="BI116" s="31">
        <f t="shared" si="63"/>
        <v>420</v>
      </c>
      <c r="BJ116" s="37">
        <f t="shared" si="64"/>
        <v>-20</v>
      </c>
      <c r="BK116" s="37">
        <f t="shared" si="65"/>
        <v>-4.7619047619047619</v>
      </c>
      <c r="BL116" s="36">
        <f t="shared" si="66"/>
        <v>80</v>
      </c>
      <c r="BM116" s="36">
        <f t="shared" si="67"/>
        <v>100</v>
      </c>
      <c r="BN116" s="37">
        <f t="shared" si="68"/>
        <v>-20</v>
      </c>
      <c r="BO116" s="37">
        <f t="shared" si="69"/>
        <v>-20</v>
      </c>
      <c r="BP116" s="38">
        <f t="shared" si="70"/>
        <v>4878</v>
      </c>
      <c r="BQ116" s="39">
        <f>J116+N116+S116+W116+AA116+AE116+AI116+AM116+AQ116+AU116+Table1[[#This Row],[MS-0225]]+Table1[[#This Row],[MS-0325]]</f>
        <v>4824.5</v>
      </c>
      <c r="BR116" s="37">
        <f t="shared" si="71"/>
        <v>53.5</v>
      </c>
      <c r="BS116" s="37">
        <f t="shared" si="72"/>
        <v>1.108923204477148</v>
      </c>
      <c r="BT116" s="36">
        <f t="shared" si="73"/>
        <v>1060</v>
      </c>
      <c r="BU116" s="36">
        <f t="shared" si="74"/>
        <v>1256</v>
      </c>
      <c r="BV116" s="37">
        <f t="shared" si="75"/>
        <v>-196</v>
      </c>
      <c r="BW116" s="37">
        <f t="shared" si="76"/>
        <v>-15.605095541401273</v>
      </c>
      <c r="BX116">
        <v>0</v>
      </c>
      <c r="BY116" s="83">
        <f t="shared" si="77"/>
        <v>0</v>
      </c>
      <c r="BZ116">
        <v>0</v>
      </c>
      <c r="CA116" s="83">
        <f t="shared" si="78"/>
        <v>0</v>
      </c>
      <c r="CB116" s="96">
        <f t="shared" si="79"/>
        <v>7.2661217075386017E-2</v>
      </c>
      <c r="CC116" s="96">
        <f t="shared" si="80"/>
        <v>8.0444359318138287E-2</v>
      </c>
      <c r="CD116" s="97">
        <f t="shared" si="81"/>
        <v>-7.7831422427522695E-3</v>
      </c>
      <c r="CE116" s="96">
        <f t="shared" si="82"/>
        <v>5.5594162612925643E-2</v>
      </c>
      <c r="CF116" s="96">
        <f t="shared" si="83"/>
        <v>6.4308681672025719E-2</v>
      </c>
      <c r="CG116" s="96">
        <f t="shared" si="84"/>
        <v>-8.714519059100076E-3</v>
      </c>
      <c r="CH116" s="95">
        <f t="shared" si="85"/>
        <v>7.5958828384123073E-2</v>
      </c>
      <c r="CI116" s="95">
        <f t="shared" si="86"/>
        <v>7.5639869824011996E-2</v>
      </c>
      <c r="CJ116" s="98">
        <f t="shared" si="87"/>
        <v>3.1895856011107671E-4</v>
      </c>
      <c r="CK116" s="95">
        <f t="shared" si="88"/>
        <v>5.9046345811051691E-2</v>
      </c>
      <c r="CL116" s="95">
        <f t="shared" si="89"/>
        <v>6.0095693779904306E-2</v>
      </c>
      <c r="CM116" s="98">
        <f t="shared" si="90"/>
        <v>-1.0493479688526153E-3</v>
      </c>
      <c r="CN116" s="94">
        <f t="shared" si="91"/>
        <v>0.83554711222535383</v>
      </c>
      <c r="CO116" s="94">
        <f t="shared" si="92"/>
        <v>0.64950980392156865</v>
      </c>
    </row>
    <row r="117" spans="1:94" ht="24.5" x14ac:dyDescent="0.35">
      <c r="A117" s="102">
        <v>112392</v>
      </c>
      <c r="B117" s="3" t="s">
        <v>72</v>
      </c>
      <c r="C117" s="40" t="s">
        <v>156</v>
      </c>
      <c r="D117" s="12" t="s">
        <v>157</v>
      </c>
      <c r="E117" s="4" t="s">
        <v>111</v>
      </c>
      <c r="F117" s="4" t="s">
        <v>156</v>
      </c>
      <c r="G117" s="12" t="s">
        <v>156</v>
      </c>
      <c r="H117" s="51" t="s">
        <v>158</v>
      </c>
      <c r="I117" s="23" t="s">
        <v>78</v>
      </c>
      <c r="J117" s="90">
        <v>400.50000799999998</v>
      </c>
      <c r="K117" s="90">
        <v>414</v>
      </c>
      <c r="L117" s="90">
        <v>247.5</v>
      </c>
      <c r="M117" s="90">
        <v>198</v>
      </c>
      <c r="N117" s="18">
        <v>423.00000899999998</v>
      </c>
      <c r="O117" s="18">
        <v>427.5</v>
      </c>
      <c r="P117" s="18">
        <v>207</v>
      </c>
      <c r="Q117" s="18">
        <v>238.5</v>
      </c>
      <c r="R117" s="90">
        <v>418.5</v>
      </c>
      <c r="S117" s="90">
        <v>405.00000699999998</v>
      </c>
      <c r="T117" s="90">
        <v>229.5</v>
      </c>
      <c r="U117" s="90">
        <v>225</v>
      </c>
      <c r="V117" s="90">
        <v>423</v>
      </c>
      <c r="W117" s="90">
        <v>405.00000399999999</v>
      </c>
      <c r="X117" s="90">
        <v>207</v>
      </c>
      <c r="Y117" s="90">
        <v>279</v>
      </c>
      <c r="Z117" s="90">
        <v>414</v>
      </c>
      <c r="AA117" s="90">
        <v>423</v>
      </c>
      <c r="AB117" s="90">
        <v>216</v>
      </c>
      <c r="AC117" s="90">
        <v>243</v>
      </c>
      <c r="AD117" s="90">
        <v>373</v>
      </c>
      <c r="AE117" s="90">
        <v>400.5</v>
      </c>
      <c r="AF117" s="90">
        <v>229</v>
      </c>
      <c r="AG117" s="90">
        <v>229.5</v>
      </c>
      <c r="AH117" s="90">
        <v>405</v>
      </c>
      <c r="AI117" s="90">
        <v>418.5</v>
      </c>
      <c r="AJ117" s="90">
        <v>195</v>
      </c>
      <c r="AK117" s="90">
        <v>265.5</v>
      </c>
      <c r="AL117" s="90">
        <v>380</v>
      </c>
      <c r="AM117" s="90">
        <v>400.50000799999998</v>
      </c>
      <c r="AN117" s="90">
        <v>140</v>
      </c>
      <c r="AO117" s="90">
        <v>193.5</v>
      </c>
      <c r="AP117" s="90">
        <v>335</v>
      </c>
      <c r="AQ117" s="90">
        <v>391.5</v>
      </c>
      <c r="AR117" s="90">
        <v>145</v>
      </c>
      <c r="AS117" s="90">
        <v>220.5</v>
      </c>
      <c r="AT117" s="90">
        <v>380</v>
      </c>
      <c r="AU117" s="90">
        <v>400.5</v>
      </c>
      <c r="AV117" s="90">
        <v>180</v>
      </c>
      <c r="AW117" s="90">
        <v>247.5</v>
      </c>
      <c r="AX117" s="90">
        <v>365</v>
      </c>
      <c r="AY117" s="90">
        <v>387</v>
      </c>
      <c r="AZ117" s="90">
        <v>195</v>
      </c>
      <c r="BA117" s="90">
        <v>225</v>
      </c>
      <c r="BB117" s="90">
        <v>400</v>
      </c>
      <c r="BC117" s="90">
        <v>405</v>
      </c>
      <c r="BD117" s="90">
        <v>200</v>
      </c>
      <c r="BE117" s="90">
        <v>225</v>
      </c>
      <c r="BF117" s="23">
        <v>28.503039999999999</v>
      </c>
      <c r="BG117" s="23">
        <v>77.280709999999999</v>
      </c>
      <c r="BH117" s="31">
        <f t="shared" si="62"/>
        <v>400</v>
      </c>
      <c r="BI117" s="31">
        <f t="shared" si="63"/>
        <v>405</v>
      </c>
      <c r="BJ117" s="37">
        <f t="shared" si="64"/>
        <v>-5</v>
      </c>
      <c r="BK117" s="37">
        <f t="shared" si="65"/>
        <v>-1.2345679012345678</v>
      </c>
      <c r="BL117" s="36">
        <f t="shared" si="66"/>
        <v>200</v>
      </c>
      <c r="BM117" s="36">
        <f t="shared" si="67"/>
        <v>225</v>
      </c>
      <c r="BN117" s="37">
        <f t="shared" si="68"/>
        <v>-25</v>
      </c>
      <c r="BO117" s="37">
        <f t="shared" si="69"/>
        <v>-11.111111111111111</v>
      </c>
      <c r="BP117" s="38">
        <f t="shared" si="70"/>
        <v>4735</v>
      </c>
      <c r="BQ117" s="39">
        <f>J117+N117+S117+W117+AA117+AE117+AI117+AM117+AQ117+AU117+Table1[[#This Row],[MS-0225]]+Table1[[#This Row],[MS-0325]]</f>
        <v>4860.0000359999995</v>
      </c>
      <c r="BR117" s="37">
        <f t="shared" si="71"/>
        <v>-125.00003599999945</v>
      </c>
      <c r="BS117" s="37">
        <f t="shared" si="72"/>
        <v>-2.5720171825941005</v>
      </c>
      <c r="BT117" s="36">
        <f t="shared" si="73"/>
        <v>2373</v>
      </c>
      <c r="BU117" s="36">
        <f t="shared" si="74"/>
        <v>2808</v>
      </c>
      <c r="BV117" s="37">
        <f t="shared" si="75"/>
        <v>-435</v>
      </c>
      <c r="BW117" s="37">
        <f t="shared" si="76"/>
        <v>-15.491452991452991</v>
      </c>
      <c r="BX117">
        <v>35</v>
      </c>
      <c r="BY117" s="83">
        <f t="shared" si="77"/>
        <v>8.7499999999999994E-2</v>
      </c>
      <c r="BZ117">
        <v>280.5</v>
      </c>
      <c r="CA117" s="83">
        <f t="shared" si="78"/>
        <v>5.9239704329461455E-2</v>
      </c>
      <c r="CB117" s="96">
        <f t="shared" si="79"/>
        <v>0.67114093959731547</v>
      </c>
      <c r="CC117" s="96">
        <f t="shared" si="80"/>
        <v>0.70866141732283461</v>
      </c>
      <c r="CD117" s="97">
        <f t="shared" si="81"/>
        <v>-3.7520477725519141E-2</v>
      </c>
      <c r="CE117" s="96">
        <f t="shared" si="82"/>
        <v>0.67114093959731547</v>
      </c>
      <c r="CF117" s="96">
        <f t="shared" si="83"/>
        <v>0.64935064935064934</v>
      </c>
      <c r="CG117" s="96">
        <f t="shared" si="84"/>
        <v>2.1790290246666122E-2</v>
      </c>
      <c r="CH117" s="95">
        <f t="shared" si="85"/>
        <v>0.69428152492668627</v>
      </c>
      <c r="CI117" s="95">
        <f t="shared" si="86"/>
        <v>0.7013493052531099</v>
      </c>
      <c r="CJ117" s="98">
        <f t="shared" si="87"/>
        <v>-7.0677803264236339E-3</v>
      </c>
      <c r="CK117" s="95">
        <f t="shared" si="88"/>
        <v>0.64343817787418656</v>
      </c>
      <c r="CL117" s="95">
        <f t="shared" si="89"/>
        <v>0.62532012025386929</v>
      </c>
      <c r="CM117" s="98">
        <f t="shared" si="90"/>
        <v>1.8118057620317263E-2</v>
      </c>
      <c r="CN117" s="94">
        <f t="shared" si="91"/>
        <v>1.3885630498533725</v>
      </c>
      <c r="CO117" s="94">
        <f t="shared" si="92"/>
        <v>1.2868763557483731</v>
      </c>
    </row>
    <row r="118" spans="1:94" ht="24.5" x14ac:dyDescent="0.35">
      <c r="A118" s="104">
        <v>332207</v>
      </c>
      <c r="B118" s="5" t="s">
        <v>581</v>
      </c>
      <c r="C118" s="46" t="s">
        <v>592</v>
      </c>
      <c r="D118" s="13" t="s">
        <v>267</v>
      </c>
      <c r="E118" s="6" t="s">
        <v>89</v>
      </c>
      <c r="F118" s="6" t="s">
        <v>587</v>
      </c>
      <c r="G118" s="12" t="s">
        <v>587</v>
      </c>
      <c r="H118" s="51" t="s">
        <v>91</v>
      </c>
      <c r="I118" s="24" t="s">
        <v>86</v>
      </c>
      <c r="J118" s="19">
        <v>162.47299999999998</v>
      </c>
      <c r="K118" s="19">
        <v>174.72199999999992</v>
      </c>
      <c r="L118" s="19">
        <v>70.807000000000002</v>
      </c>
      <c r="M118" s="19">
        <v>60.501999999999896</v>
      </c>
      <c r="N118" s="18">
        <v>185</v>
      </c>
      <c r="O118" s="18">
        <v>178.2699999999999</v>
      </c>
      <c r="P118" s="18">
        <v>67.5</v>
      </c>
      <c r="Q118" s="18">
        <v>61.601999999999904</v>
      </c>
      <c r="R118" s="19">
        <v>198</v>
      </c>
      <c r="S118" s="19">
        <v>170.649</v>
      </c>
      <c r="T118" s="19">
        <v>72</v>
      </c>
      <c r="U118" s="19">
        <v>67.632999999999996</v>
      </c>
      <c r="V118" s="19">
        <v>182.40599999999989</v>
      </c>
      <c r="W118" s="19">
        <v>181.62399999999991</v>
      </c>
      <c r="X118" s="19">
        <v>63.183999999999997</v>
      </c>
      <c r="Y118" s="19">
        <v>92.050999999999902</v>
      </c>
      <c r="Z118" s="19">
        <v>215.779</v>
      </c>
      <c r="AA118" s="19">
        <v>168</v>
      </c>
      <c r="AB118" s="19">
        <v>85.172999999999902</v>
      </c>
      <c r="AC118" s="19">
        <v>66</v>
      </c>
      <c r="AD118" s="19">
        <v>222.20400000000001</v>
      </c>
      <c r="AE118" s="19">
        <v>182.334</v>
      </c>
      <c r="AF118" s="19">
        <v>99.870999999999896</v>
      </c>
      <c r="AG118" s="19">
        <v>74.377999999999901</v>
      </c>
      <c r="AH118" s="19">
        <v>180.97300000000001</v>
      </c>
      <c r="AI118" s="19">
        <v>175.5</v>
      </c>
      <c r="AJ118" s="19">
        <v>67.960999999999999</v>
      </c>
      <c r="AK118" s="19">
        <v>76.5</v>
      </c>
      <c r="AL118" s="19">
        <v>202.85699999999991</v>
      </c>
      <c r="AM118" s="19">
        <v>152.215</v>
      </c>
      <c r="AN118" s="19">
        <v>78.738</v>
      </c>
      <c r="AO118" s="19">
        <v>52.916000000000103</v>
      </c>
      <c r="AP118" s="19">
        <v>185.39099999999988</v>
      </c>
      <c r="AQ118" s="19">
        <v>171.65</v>
      </c>
      <c r="AR118" s="19">
        <v>62.575999999999993</v>
      </c>
      <c r="AS118" s="19">
        <v>64.401999999999902</v>
      </c>
      <c r="AT118" s="19">
        <v>173.02100000000002</v>
      </c>
      <c r="AU118" s="19">
        <v>184</v>
      </c>
      <c r="AV118" s="19">
        <v>65.358000000000004</v>
      </c>
      <c r="AW118" s="19">
        <v>70</v>
      </c>
      <c r="AX118" s="19">
        <v>170.62200000000001</v>
      </c>
      <c r="AY118" s="19">
        <v>155.40299999999991</v>
      </c>
      <c r="AZ118" s="19">
        <v>64.257000000000005</v>
      </c>
      <c r="BA118" s="19">
        <v>60.385000000000005</v>
      </c>
      <c r="BB118" s="19">
        <v>189.497999999999</v>
      </c>
      <c r="BC118" s="19">
        <v>170.15200000000002</v>
      </c>
      <c r="BD118" s="19">
        <v>88.007000000000005</v>
      </c>
      <c r="BE118" s="19">
        <v>64.468999999999994</v>
      </c>
      <c r="BF118" s="23">
        <v>28.785717000000002</v>
      </c>
      <c r="BG118" s="23">
        <v>77.049172999999996</v>
      </c>
      <c r="BH118" s="31">
        <f t="shared" si="62"/>
        <v>189.497999999999</v>
      </c>
      <c r="BI118" s="31">
        <f t="shared" si="63"/>
        <v>170.15200000000002</v>
      </c>
      <c r="BJ118" s="37">
        <f t="shared" si="64"/>
        <v>19.34599999999898</v>
      </c>
      <c r="BK118" s="37">
        <f t="shared" si="65"/>
        <v>11.369834030748377</v>
      </c>
      <c r="BL118" s="36">
        <f t="shared" si="66"/>
        <v>88.007000000000005</v>
      </c>
      <c r="BM118" s="36">
        <f t="shared" si="67"/>
        <v>64.468999999999994</v>
      </c>
      <c r="BN118" s="37">
        <f t="shared" si="68"/>
        <v>23.538000000000011</v>
      </c>
      <c r="BO118" s="37">
        <f t="shared" si="69"/>
        <v>36.510570972095138</v>
      </c>
      <c r="BP118" s="38">
        <f t="shared" si="70"/>
        <v>2273.7429999999986</v>
      </c>
      <c r="BQ118" s="39">
        <f>J118+N118+S118+W118+AA118+AE118+AI118+AM118+AQ118+AU118+Table1[[#This Row],[MS-0225]]+Table1[[#This Row],[MS-0325]]</f>
        <v>2059</v>
      </c>
      <c r="BR118" s="37">
        <f t="shared" si="71"/>
        <v>214.74299999999857</v>
      </c>
      <c r="BS118" s="37">
        <f t="shared" si="72"/>
        <v>10.429480330257338</v>
      </c>
      <c r="BT118" s="36">
        <f t="shared" si="73"/>
        <v>869.22899999999959</v>
      </c>
      <c r="BU118" s="36">
        <f t="shared" si="74"/>
        <v>827.04099999999971</v>
      </c>
      <c r="BV118" s="37">
        <f t="shared" si="75"/>
        <v>42.187999999999874</v>
      </c>
      <c r="BW118" s="37">
        <f t="shared" si="76"/>
        <v>5.1010772138261453</v>
      </c>
      <c r="BX118">
        <v>0</v>
      </c>
      <c r="BY118" s="83">
        <f t="shared" si="77"/>
        <v>0</v>
      </c>
      <c r="BZ118">
        <v>0</v>
      </c>
      <c r="CA118" s="83">
        <f t="shared" si="78"/>
        <v>0</v>
      </c>
      <c r="CB118" s="96">
        <f t="shared" si="79"/>
        <v>0.43730341331031664</v>
      </c>
      <c r="CC118" s="96">
        <f t="shared" si="80"/>
        <v>0.50185520548834095</v>
      </c>
      <c r="CD118" s="97">
        <f t="shared" si="81"/>
        <v>-6.4551792178024314E-2</v>
      </c>
      <c r="CE118" s="96">
        <f t="shared" si="82"/>
        <v>0.49173613749636813</v>
      </c>
      <c r="CF118" s="96">
        <f t="shared" si="83"/>
        <v>0.51738279055583236</v>
      </c>
      <c r="CG118" s="96">
        <f t="shared" si="84"/>
        <v>-2.5646653059464231E-2</v>
      </c>
      <c r="CH118" s="95">
        <f t="shared" si="85"/>
        <v>0.45857707658154856</v>
      </c>
      <c r="CI118" s="95">
        <f t="shared" si="86"/>
        <v>0.50162388246165523</v>
      </c>
      <c r="CJ118" s="98">
        <f t="shared" si="87"/>
        <v>-4.3046805880106676E-2</v>
      </c>
      <c r="CK118" s="95">
        <f t="shared" si="88"/>
        <v>0.48432892704551378</v>
      </c>
      <c r="CL118" s="95">
        <f t="shared" si="89"/>
        <v>0.52761853603640962</v>
      </c>
      <c r="CM118" s="98">
        <f t="shared" si="90"/>
        <v>-4.3289608990895845E-2</v>
      </c>
      <c r="CN118" s="94">
        <f t="shared" si="91"/>
        <v>0.91715415316309712</v>
      </c>
      <c r="CO118" s="94">
        <f t="shared" si="92"/>
        <v>0.96865785409102756</v>
      </c>
    </row>
    <row r="119" spans="1:94" ht="24.5" x14ac:dyDescent="0.35">
      <c r="A119" s="102">
        <v>112419</v>
      </c>
      <c r="B119" s="3" t="s">
        <v>72</v>
      </c>
      <c r="C119" s="41" t="s">
        <v>322</v>
      </c>
      <c r="D119" s="12" t="s">
        <v>323</v>
      </c>
      <c r="E119" s="4" t="s">
        <v>187</v>
      </c>
      <c r="F119" s="4" t="s">
        <v>315</v>
      </c>
      <c r="G119" s="12" t="s">
        <v>315</v>
      </c>
      <c r="H119" s="51" t="s">
        <v>189</v>
      </c>
      <c r="I119" s="23" t="s">
        <v>86</v>
      </c>
      <c r="J119" s="90">
        <v>346.50000199999999</v>
      </c>
      <c r="K119" s="90">
        <v>382.5</v>
      </c>
      <c r="L119" s="90">
        <v>157.5</v>
      </c>
      <c r="M119" s="90">
        <v>173.5</v>
      </c>
      <c r="N119" s="18">
        <v>378.00000199999999</v>
      </c>
      <c r="O119" s="18">
        <v>386</v>
      </c>
      <c r="P119" s="18">
        <v>180</v>
      </c>
      <c r="Q119" s="18">
        <v>226</v>
      </c>
      <c r="R119" s="90">
        <v>369</v>
      </c>
      <c r="S119" s="90">
        <v>382.50000199999999</v>
      </c>
      <c r="T119" s="90">
        <v>209</v>
      </c>
      <c r="U119" s="90">
        <v>139.5</v>
      </c>
      <c r="V119" s="90">
        <v>407</v>
      </c>
      <c r="W119" s="90">
        <v>382.5</v>
      </c>
      <c r="X119" s="90">
        <v>207</v>
      </c>
      <c r="Y119" s="90">
        <v>121.5</v>
      </c>
      <c r="Z119" s="90">
        <v>408</v>
      </c>
      <c r="AA119" s="90">
        <v>396</v>
      </c>
      <c r="AB119" s="90">
        <v>188</v>
      </c>
      <c r="AC119" s="90">
        <v>162</v>
      </c>
      <c r="AD119" s="90">
        <v>395</v>
      </c>
      <c r="AE119" s="90">
        <v>378</v>
      </c>
      <c r="AF119" s="90">
        <v>145</v>
      </c>
      <c r="AG119" s="90">
        <v>180</v>
      </c>
      <c r="AH119" s="90">
        <v>411</v>
      </c>
      <c r="AI119" s="90">
        <v>378</v>
      </c>
      <c r="AJ119" s="90">
        <v>139</v>
      </c>
      <c r="AK119" s="90">
        <v>198</v>
      </c>
      <c r="AL119" s="90">
        <v>365</v>
      </c>
      <c r="AM119" s="90">
        <v>351.5</v>
      </c>
      <c r="AN119" s="90">
        <v>75</v>
      </c>
      <c r="AO119" s="90">
        <v>150.5</v>
      </c>
      <c r="AP119" s="90">
        <v>398</v>
      </c>
      <c r="AQ119" s="90">
        <v>357.5</v>
      </c>
      <c r="AR119" s="90">
        <v>100</v>
      </c>
      <c r="AS119" s="90">
        <v>218.5</v>
      </c>
      <c r="AT119" s="90">
        <v>350</v>
      </c>
      <c r="AU119" s="90">
        <v>354</v>
      </c>
      <c r="AV119" s="90">
        <v>110</v>
      </c>
      <c r="AW119" s="90">
        <v>206</v>
      </c>
      <c r="AX119" s="90">
        <v>370</v>
      </c>
      <c r="AY119" s="90">
        <v>321</v>
      </c>
      <c r="AZ119" s="90">
        <v>110</v>
      </c>
      <c r="BA119" s="90">
        <v>191</v>
      </c>
      <c r="BB119" s="90">
        <v>399</v>
      </c>
      <c r="BC119" s="90">
        <v>356.5</v>
      </c>
      <c r="BD119" s="90">
        <v>119</v>
      </c>
      <c r="BE119" s="90">
        <v>157.5</v>
      </c>
      <c r="BF119" s="23">
        <v>28.645060000000001</v>
      </c>
      <c r="BG119" s="23">
        <v>77.198880000000003</v>
      </c>
      <c r="BH119" s="31">
        <f t="shared" si="62"/>
        <v>399</v>
      </c>
      <c r="BI119" s="31">
        <f t="shared" si="63"/>
        <v>356.5</v>
      </c>
      <c r="BJ119" s="37">
        <f t="shared" si="64"/>
        <v>42.5</v>
      </c>
      <c r="BK119" s="37">
        <f t="shared" si="65"/>
        <v>11.921458625525947</v>
      </c>
      <c r="BL119" s="36">
        <f t="shared" si="66"/>
        <v>119</v>
      </c>
      <c r="BM119" s="36">
        <f t="shared" si="67"/>
        <v>157.5</v>
      </c>
      <c r="BN119" s="37">
        <f t="shared" si="68"/>
        <v>-38.5</v>
      </c>
      <c r="BO119" s="37">
        <f t="shared" si="69"/>
        <v>-24.444444444444443</v>
      </c>
      <c r="BP119" s="38">
        <f t="shared" si="70"/>
        <v>4640.5</v>
      </c>
      <c r="BQ119" s="39">
        <f>J119+N119+S119+W119+AA119+AE119+AI119+AM119+AQ119+AU119+Table1[[#This Row],[MS-0225]]+Table1[[#This Row],[MS-0325]]</f>
        <v>4382.0000060000002</v>
      </c>
      <c r="BR119" s="37">
        <f t="shared" si="71"/>
        <v>258.49999399999979</v>
      </c>
      <c r="BS119" s="37">
        <f t="shared" si="72"/>
        <v>5.8991326710646241</v>
      </c>
      <c r="BT119" s="36">
        <f t="shared" si="73"/>
        <v>1801.5</v>
      </c>
      <c r="BU119" s="36">
        <f t="shared" si="74"/>
        <v>2062</v>
      </c>
      <c r="BV119" s="37">
        <f t="shared" si="75"/>
        <v>-260.5</v>
      </c>
      <c r="BW119" s="37">
        <f t="shared" si="76"/>
        <v>-12.633365664403492</v>
      </c>
      <c r="BX119">
        <v>24</v>
      </c>
      <c r="BY119" s="83">
        <f t="shared" si="77"/>
        <v>6.0150375939849621E-2</v>
      </c>
      <c r="BZ119">
        <v>118.5</v>
      </c>
      <c r="CA119" s="83">
        <f t="shared" si="78"/>
        <v>2.5536041374851846E-2</v>
      </c>
      <c r="CB119" s="96">
        <f t="shared" si="79"/>
        <v>0.30539609644087257</v>
      </c>
      <c r="CC119" s="96">
        <f t="shared" si="80"/>
        <v>0.29438480594549959</v>
      </c>
      <c r="CD119" s="97">
        <f t="shared" si="81"/>
        <v>1.1011290495372972E-2</v>
      </c>
      <c r="CE119" s="96">
        <f t="shared" si="82"/>
        <v>0.27578215527230593</v>
      </c>
      <c r="CF119" s="96">
        <f t="shared" si="83"/>
        <v>0.2734375</v>
      </c>
      <c r="CG119" s="96">
        <f t="shared" si="84"/>
        <v>2.3446552723059289E-3</v>
      </c>
      <c r="CH119" s="95">
        <f t="shared" si="85"/>
        <v>0.30002586151160537</v>
      </c>
      <c r="CI119" s="95">
        <f t="shared" si="86"/>
        <v>0.3016867470479398</v>
      </c>
      <c r="CJ119" s="98">
        <f t="shared" si="87"/>
        <v>-1.6608855363344222E-3</v>
      </c>
      <c r="CK119" s="95">
        <f t="shared" si="88"/>
        <v>0.29340390879478828</v>
      </c>
      <c r="CL119" s="95">
        <f t="shared" si="89"/>
        <v>0.31063573365471525</v>
      </c>
      <c r="CM119" s="98">
        <f t="shared" si="90"/>
        <v>-1.723182485992697E-2</v>
      </c>
      <c r="CN119" s="94">
        <f t="shared" si="91"/>
        <v>1.2001034460464215</v>
      </c>
      <c r="CO119" s="94">
        <f t="shared" si="92"/>
        <v>1.1736156351791531</v>
      </c>
    </row>
    <row r="120" spans="1:94" ht="36.5" x14ac:dyDescent="0.35">
      <c r="A120" s="103">
        <v>41026624</v>
      </c>
      <c r="B120" s="9" t="s">
        <v>380</v>
      </c>
      <c r="C120" s="47" t="s">
        <v>460</v>
      </c>
      <c r="D120" s="14" t="s">
        <v>461</v>
      </c>
      <c r="E120" s="10" t="s">
        <v>228</v>
      </c>
      <c r="F120" s="10" t="s">
        <v>462</v>
      </c>
      <c r="G120" s="12" t="s">
        <v>462</v>
      </c>
      <c r="H120" s="51" t="s">
        <v>230</v>
      </c>
      <c r="I120" s="25" t="s">
        <v>78</v>
      </c>
      <c r="J120" s="20">
        <v>360</v>
      </c>
      <c r="K120" s="20">
        <v>356</v>
      </c>
      <c r="L120" s="20">
        <v>54</v>
      </c>
      <c r="M120" s="20">
        <v>23</v>
      </c>
      <c r="N120" s="18">
        <v>360</v>
      </c>
      <c r="O120" s="18">
        <v>399.5</v>
      </c>
      <c r="P120" s="18">
        <v>72</v>
      </c>
      <c r="Q120" s="18">
        <v>53.5</v>
      </c>
      <c r="R120" s="20">
        <v>393.5</v>
      </c>
      <c r="S120" s="20">
        <v>315</v>
      </c>
      <c r="T120" s="20">
        <v>57.5</v>
      </c>
      <c r="U120" s="20">
        <v>45</v>
      </c>
      <c r="V120" s="20">
        <v>350</v>
      </c>
      <c r="W120" s="20">
        <v>354</v>
      </c>
      <c r="X120" s="20">
        <v>24</v>
      </c>
      <c r="Y120" s="20">
        <v>54</v>
      </c>
      <c r="Z120" s="20">
        <v>379.5</v>
      </c>
      <c r="AA120" s="20">
        <v>341</v>
      </c>
      <c r="AB120" s="20">
        <v>50.5</v>
      </c>
      <c r="AC120" s="20">
        <v>49</v>
      </c>
      <c r="AD120" s="20">
        <v>401.5</v>
      </c>
      <c r="AE120" s="20">
        <v>351</v>
      </c>
      <c r="AF120" s="20">
        <v>46.5</v>
      </c>
      <c r="AG120" s="20">
        <v>63</v>
      </c>
      <c r="AH120" s="20">
        <v>383</v>
      </c>
      <c r="AI120" s="20">
        <v>346.5</v>
      </c>
      <c r="AJ120" s="20">
        <v>49</v>
      </c>
      <c r="AK120" s="20">
        <v>67.5</v>
      </c>
      <c r="AL120" s="20">
        <v>389.5</v>
      </c>
      <c r="AM120" s="20">
        <v>382.5</v>
      </c>
      <c r="AN120" s="20">
        <v>59.5</v>
      </c>
      <c r="AO120" s="20">
        <v>49.5</v>
      </c>
      <c r="AP120" s="20">
        <v>377.5</v>
      </c>
      <c r="AQ120" s="20">
        <v>319.5</v>
      </c>
      <c r="AR120" s="20">
        <v>46.5</v>
      </c>
      <c r="AS120" s="20">
        <v>41.5</v>
      </c>
      <c r="AT120" s="20">
        <v>366</v>
      </c>
      <c r="AU120" s="20">
        <v>354.5</v>
      </c>
      <c r="AV120" s="20">
        <v>46</v>
      </c>
      <c r="AW120" s="20">
        <v>63.5</v>
      </c>
      <c r="AX120" s="20">
        <v>344.5</v>
      </c>
      <c r="AY120" s="20">
        <v>326</v>
      </c>
      <c r="AZ120" s="20">
        <v>47.5</v>
      </c>
      <c r="BA120" s="20">
        <v>34</v>
      </c>
      <c r="BB120" s="20">
        <v>397</v>
      </c>
      <c r="BC120" s="20">
        <v>391.5</v>
      </c>
      <c r="BD120" s="20">
        <v>27</v>
      </c>
      <c r="BE120" s="20">
        <v>59.5</v>
      </c>
      <c r="BF120" s="23">
        <v>28.701222000000001</v>
      </c>
      <c r="BG120" s="23">
        <v>77.285937000000004</v>
      </c>
      <c r="BH120" s="31">
        <f t="shared" si="62"/>
        <v>397</v>
      </c>
      <c r="BI120" s="31">
        <f t="shared" si="63"/>
        <v>391.5</v>
      </c>
      <c r="BJ120" s="37">
        <f t="shared" si="64"/>
        <v>5.5</v>
      </c>
      <c r="BK120" s="37">
        <f t="shared" si="65"/>
        <v>1.40485312899106</v>
      </c>
      <c r="BL120" s="36">
        <f t="shared" si="66"/>
        <v>27</v>
      </c>
      <c r="BM120" s="36">
        <f t="shared" si="67"/>
        <v>59.5</v>
      </c>
      <c r="BN120" s="37">
        <f t="shared" si="68"/>
        <v>-32.5</v>
      </c>
      <c r="BO120" s="37">
        <f t="shared" si="69"/>
        <v>-54.621848739495796</v>
      </c>
      <c r="BP120" s="38">
        <f t="shared" si="70"/>
        <v>4537.5</v>
      </c>
      <c r="BQ120" s="39">
        <f>J120+N120+S120+W120+AA120+AE120+AI120+AM120+AQ120+AU120+Table1[[#This Row],[MS-0225]]+Table1[[#This Row],[MS-0325]]</f>
        <v>4201.5</v>
      </c>
      <c r="BR120" s="37">
        <f t="shared" si="71"/>
        <v>336</v>
      </c>
      <c r="BS120" s="37">
        <f t="shared" si="72"/>
        <v>7.9971438771867192</v>
      </c>
      <c r="BT120" s="36">
        <f t="shared" si="73"/>
        <v>530.5</v>
      </c>
      <c r="BU120" s="36">
        <f t="shared" si="74"/>
        <v>652.5</v>
      </c>
      <c r="BV120" s="37">
        <f t="shared" si="75"/>
        <v>-122</v>
      </c>
      <c r="BW120" s="37">
        <f t="shared" si="76"/>
        <v>-18.697318007662837</v>
      </c>
      <c r="BX120">
        <v>0</v>
      </c>
      <c r="BY120" s="83">
        <f t="shared" si="77"/>
        <v>0</v>
      </c>
      <c r="BZ120">
        <v>0</v>
      </c>
      <c r="CA120" s="83">
        <f t="shared" si="78"/>
        <v>0</v>
      </c>
      <c r="CB120" s="96">
        <f t="shared" si="79"/>
        <v>0.20538023797206414</v>
      </c>
      <c r="CC120" s="96">
        <f t="shared" si="80"/>
        <v>0.19842878864673086</v>
      </c>
      <c r="CD120" s="97">
        <f t="shared" si="81"/>
        <v>6.9514493253332865E-3</v>
      </c>
      <c r="CE120" s="96">
        <f t="shared" si="82"/>
        <v>0.10931174089068826</v>
      </c>
      <c r="CF120" s="96">
        <f t="shared" si="83"/>
        <v>0.22537878787878787</v>
      </c>
      <c r="CG120" s="96">
        <f t="shared" si="84"/>
        <v>-0.11606704698809961</v>
      </c>
      <c r="CH120" s="95">
        <f t="shared" si="85"/>
        <v>0.19019176359635334</v>
      </c>
      <c r="CI120" s="95">
        <f t="shared" si="86"/>
        <v>0.18032188841201716</v>
      </c>
      <c r="CJ120" s="98">
        <f t="shared" si="87"/>
        <v>9.8698751843361854E-3</v>
      </c>
      <c r="CK120" s="95">
        <f t="shared" si="88"/>
        <v>0.17093603995488965</v>
      </c>
      <c r="CL120" s="95">
        <f t="shared" si="89"/>
        <v>0.18044800884955753</v>
      </c>
      <c r="CM120" s="98">
        <f t="shared" si="90"/>
        <v>-9.5119688946678771E-3</v>
      </c>
      <c r="CN120" s="94">
        <f t="shared" si="91"/>
        <v>0.95095881798176674</v>
      </c>
      <c r="CO120" s="94">
        <f t="shared" si="92"/>
        <v>0.8546801997744482</v>
      </c>
    </row>
    <row r="121" spans="1:94" ht="36.5" x14ac:dyDescent="0.35">
      <c r="A121" s="105">
        <v>150887</v>
      </c>
      <c r="B121" s="5" t="s">
        <v>581</v>
      </c>
      <c r="C121" s="46" t="s">
        <v>590</v>
      </c>
      <c r="D121" s="13" t="s">
        <v>591</v>
      </c>
      <c r="E121" s="6" t="s">
        <v>89</v>
      </c>
      <c r="F121" s="6" t="s">
        <v>294</v>
      </c>
      <c r="G121" s="12" t="s">
        <v>294</v>
      </c>
      <c r="H121" s="51" t="s">
        <v>91</v>
      </c>
      <c r="I121" s="24" t="s">
        <v>86</v>
      </c>
      <c r="J121" s="19">
        <v>36</v>
      </c>
      <c r="K121" s="19">
        <v>38</v>
      </c>
      <c r="L121" s="19">
        <v>48</v>
      </c>
      <c r="M121" s="19">
        <v>34</v>
      </c>
      <c r="N121" s="18">
        <v>40.5</v>
      </c>
      <c r="O121" s="18">
        <v>34</v>
      </c>
      <c r="P121" s="18">
        <v>49.5</v>
      </c>
      <c r="Q121" s="18">
        <v>26</v>
      </c>
      <c r="R121" s="19">
        <v>38.5</v>
      </c>
      <c r="S121" s="19">
        <v>40.5</v>
      </c>
      <c r="T121" s="19">
        <v>21.5</v>
      </c>
      <c r="U121" s="19">
        <v>31.5</v>
      </c>
      <c r="V121" s="19">
        <v>38</v>
      </c>
      <c r="W121" s="19">
        <v>41.5</v>
      </c>
      <c r="X121" s="19">
        <v>22</v>
      </c>
      <c r="Y121" s="19">
        <v>32.5</v>
      </c>
      <c r="Z121" s="19">
        <v>43.5</v>
      </c>
      <c r="AA121" s="19">
        <v>40.5</v>
      </c>
      <c r="AB121" s="19">
        <v>22.5</v>
      </c>
      <c r="AC121" s="19">
        <v>29.5</v>
      </c>
      <c r="AD121" s="19">
        <v>39</v>
      </c>
      <c r="AE121" s="19">
        <v>38</v>
      </c>
      <c r="AF121" s="19">
        <v>27</v>
      </c>
      <c r="AG121" s="19">
        <v>34</v>
      </c>
      <c r="AH121" s="19">
        <v>42</v>
      </c>
      <c r="AI121" s="19">
        <v>39</v>
      </c>
      <c r="AJ121" s="19">
        <v>48</v>
      </c>
      <c r="AK121" s="19">
        <v>27</v>
      </c>
      <c r="AL121" s="19">
        <v>40</v>
      </c>
      <c r="AM121" s="19">
        <v>30</v>
      </c>
      <c r="AN121" s="19">
        <v>26</v>
      </c>
      <c r="AO121" s="19">
        <v>18</v>
      </c>
      <c r="AP121" s="19">
        <v>42</v>
      </c>
      <c r="AQ121" s="19">
        <v>30</v>
      </c>
      <c r="AR121" s="19">
        <v>18</v>
      </c>
      <c r="AS121" s="19">
        <v>18</v>
      </c>
      <c r="AT121" s="19">
        <v>40</v>
      </c>
      <c r="AU121" s="19">
        <v>38</v>
      </c>
      <c r="AV121" s="19">
        <v>26</v>
      </c>
      <c r="AW121" s="19">
        <v>22</v>
      </c>
      <c r="AX121" s="19">
        <v>42</v>
      </c>
      <c r="AY121" s="19">
        <v>30</v>
      </c>
      <c r="AZ121" s="19">
        <v>18</v>
      </c>
      <c r="BA121" s="19">
        <v>18</v>
      </c>
      <c r="BB121" s="19">
        <v>36</v>
      </c>
      <c r="BC121" s="19">
        <v>41</v>
      </c>
      <c r="BD121" s="19">
        <v>48</v>
      </c>
      <c r="BE121" s="19">
        <v>25</v>
      </c>
      <c r="BF121" s="23">
        <v>28.719100000000001</v>
      </c>
      <c r="BG121" s="23">
        <v>77.004300000000001</v>
      </c>
      <c r="BH121" s="31">
        <f t="shared" si="62"/>
        <v>36</v>
      </c>
      <c r="BI121" s="31">
        <f t="shared" si="63"/>
        <v>41</v>
      </c>
      <c r="BJ121" s="37">
        <f t="shared" si="64"/>
        <v>-5</v>
      </c>
      <c r="BK121" s="37">
        <f t="shared" si="65"/>
        <v>-12.195121951219512</v>
      </c>
      <c r="BL121" s="36">
        <f t="shared" si="66"/>
        <v>48</v>
      </c>
      <c r="BM121" s="36">
        <f t="shared" si="67"/>
        <v>25</v>
      </c>
      <c r="BN121" s="37">
        <f t="shared" si="68"/>
        <v>23</v>
      </c>
      <c r="BO121" s="37">
        <f t="shared" si="69"/>
        <v>92</v>
      </c>
      <c r="BP121" s="38">
        <f t="shared" si="70"/>
        <v>473</v>
      </c>
      <c r="BQ121" s="39">
        <f>J121+N121+S121+W121+AA121+AE121+AI121+AM121+AQ121+AU121+Table1[[#This Row],[MS-0225]]+Table1[[#This Row],[MS-0325]]</f>
        <v>445</v>
      </c>
      <c r="BR121" s="37">
        <f t="shared" si="71"/>
        <v>28</v>
      </c>
      <c r="BS121" s="37">
        <f t="shared" si="72"/>
        <v>6.2921348314606744</v>
      </c>
      <c r="BT121" s="36">
        <f t="shared" si="73"/>
        <v>337</v>
      </c>
      <c r="BU121" s="36">
        <f t="shared" si="74"/>
        <v>353</v>
      </c>
      <c r="BV121" s="37">
        <f t="shared" si="75"/>
        <v>-16</v>
      </c>
      <c r="BW121" s="37">
        <f t="shared" si="76"/>
        <v>-4.5325779036827196</v>
      </c>
      <c r="BX121">
        <v>0</v>
      </c>
      <c r="BY121" s="83">
        <f t="shared" si="77"/>
        <v>0</v>
      </c>
      <c r="BZ121">
        <v>0</v>
      </c>
      <c r="CA121" s="83">
        <f t="shared" si="78"/>
        <v>0</v>
      </c>
      <c r="CB121" s="96">
        <f t="shared" si="79"/>
        <v>8.1172491544532127E-2</v>
      </c>
      <c r="CC121" s="96">
        <f t="shared" si="80"/>
        <v>8.0947680157946691E-2</v>
      </c>
      <c r="CD121" s="97">
        <f t="shared" si="81"/>
        <v>2.2481138658543565E-4</v>
      </c>
      <c r="CE121" s="96">
        <f t="shared" si="82"/>
        <v>9.3658536585365854E-2</v>
      </c>
      <c r="CF121" s="96">
        <f t="shared" si="83"/>
        <v>5.6369785794813977E-2</v>
      </c>
      <c r="CG121" s="96">
        <f t="shared" si="84"/>
        <v>3.7288750790551876E-2</v>
      </c>
      <c r="CH121" s="95">
        <f t="shared" si="85"/>
        <v>8.5727231536021756E-2</v>
      </c>
      <c r="CI121" s="95">
        <f t="shared" si="86"/>
        <v>7.5628823929299802E-2</v>
      </c>
      <c r="CJ121" s="98">
        <f t="shared" si="87"/>
        <v>1.0098407606721954E-2</v>
      </c>
      <c r="CK121" s="95">
        <f t="shared" si="88"/>
        <v>5.7779682811830262E-2</v>
      </c>
      <c r="CL121" s="95">
        <f t="shared" si="89"/>
        <v>6.0136286201022147E-2</v>
      </c>
      <c r="CM121" s="98">
        <f t="shared" si="90"/>
        <v>-2.3566033891918858E-3</v>
      </c>
      <c r="CN121" s="94">
        <f t="shared" si="91"/>
        <v>0.60009062075215225</v>
      </c>
      <c r="CO121" s="94">
        <f t="shared" si="92"/>
        <v>0.40445777968281182</v>
      </c>
    </row>
    <row r="122" spans="1:94" ht="24.5" x14ac:dyDescent="0.35">
      <c r="A122" s="102">
        <v>149238</v>
      </c>
      <c r="B122" s="3" t="s">
        <v>72</v>
      </c>
      <c r="C122" s="41" t="s">
        <v>117</v>
      </c>
      <c r="D122" s="12" t="s">
        <v>118</v>
      </c>
      <c r="E122" s="4" t="s">
        <v>103</v>
      </c>
      <c r="F122" s="4" t="s">
        <v>119</v>
      </c>
      <c r="G122" s="12" t="s">
        <v>119</v>
      </c>
      <c r="H122" s="51" t="s">
        <v>120</v>
      </c>
      <c r="I122" s="23" t="s">
        <v>83</v>
      </c>
      <c r="J122" s="90">
        <v>381.85</v>
      </c>
      <c r="K122" s="90">
        <v>391</v>
      </c>
      <c r="L122" s="90">
        <v>141.46700000000001</v>
      </c>
      <c r="M122" s="90">
        <v>136</v>
      </c>
      <c r="N122" s="18">
        <v>414.22</v>
      </c>
      <c r="O122" s="18">
        <v>405</v>
      </c>
      <c r="P122" s="18">
        <v>154.226</v>
      </c>
      <c r="Q122" s="18">
        <v>133</v>
      </c>
      <c r="R122" s="90">
        <v>366.8</v>
      </c>
      <c r="S122" s="90">
        <v>393.04399999999998</v>
      </c>
      <c r="T122" s="90">
        <v>123</v>
      </c>
      <c r="U122" s="90">
        <v>139.61099999999999</v>
      </c>
      <c r="V122" s="90">
        <v>417</v>
      </c>
      <c r="W122" s="90">
        <v>425.89100000000002</v>
      </c>
      <c r="X122" s="90">
        <v>115</v>
      </c>
      <c r="Y122" s="90">
        <v>128.30699999999999</v>
      </c>
      <c r="Z122" s="90">
        <v>415.09999999999997</v>
      </c>
      <c r="AA122" s="90">
        <v>422.68400000000003</v>
      </c>
      <c r="AB122" s="90">
        <v>91.399999999999991</v>
      </c>
      <c r="AC122" s="90">
        <v>136.01499999999999</v>
      </c>
      <c r="AD122" s="90">
        <v>393</v>
      </c>
      <c r="AE122" s="90">
        <v>409.62799999999999</v>
      </c>
      <c r="AF122" s="90">
        <v>92</v>
      </c>
      <c r="AG122" s="90">
        <v>139.71100000000001</v>
      </c>
      <c r="AH122" s="90">
        <v>397</v>
      </c>
      <c r="AI122" s="90">
        <v>424.48200000000003</v>
      </c>
      <c r="AJ122" s="90">
        <v>92</v>
      </c>
      <c r="AK122" s="90">
        <v>157.31700000000001</v>
      </c>
      <c r="AL122" s="90">
        <v>375</v>
      </c>
      <c r="AM122" s="90">
        <v>367.19499999999999</v>
      </c>
      <c r="AN122" s="90">
        <v>86</v>
      </c>
      <c r="AO122" s="90">
        <v>107.452</v>
      </c>
      <c r="AP122" s="90">
        <v>370</v>
      </c>
      <c r="AQ122" s="90">
        <v>390.78</v>
      </c>
      <c r="AR122" s="90">
        <v>82</v>
      </c>
      <c r="AS122" s="90">
        <v>128.59700000000001</v>
      </c>
      <c r="AT122" s="90">
        <v>345.46499999999997</v>
      </c>
      <c r="AU122" s="90">
        <v>355.41</v>
      </c>
      <c r="AV122" s="90">
        <v>82.879000000000005</v>
      </c>
      <c r="AW122" s="90">
        <v>113.96299999999999</v>
      </c>
      <c r="AX122" s="90">
        <v>355.3</v>
      </c>
      <c r="AY122" s="90">
        <v>322.79500000000002</v>
      </c>
      <c r="AZ122" s="90">
        <v>85.400999999999996</v>
      </c>
      <c r="BA122" s="90">
        <v>118.18</v>
      </c>
      <c r="BB122" s="90">
        <v>393.18</v>
      </c>
      <c r="BC122" s="90">
        <v>372.839</v>
      </c>
      <c r="BD122" s="90">
        <v>93.567999999999998</v>
      </c>
      <c r="BE122" s="90">
        <v>139.68799999999999</v>
      </c>
      <c r="BF122" s="23">
        <v>28.559360000000002</v>
      </c>
      <c r="BG122" s="23">
        <v>77.171009999999995</v>
      </c>
      <c r="BH122" s="31">
        <f t="shared" si="62"/>
        <v>393.18</v>
      </c>
      <c r="BI122" s="31">
        <f t="shared" si="63"/>
        <v>372.839</v>
      </c>
      <c r="BJ122" s="37">
        <f t="shared" si="64"/>
        <v>20.341000000000008</v>
      </c>
      <c r="BK122" s="37">
        <f t="shared" si="65"/>
        <v>5.4557060822499812</v>
      </c>
      <c r="BL122" s="36">
        <f t="shared" si="66"/>
        <v>93.567999999999998</v>
      </c>
      <c r="BM122" s="36">
        <f t="shared" si="67"/>
        <v>139.68799999999999</v>
      </c>
      <c r="BN122" s="37">
        <f t="shared" si="68"/>
        <v>-46.11999999999999</v>
      </c>
      <c r="BO122" s="37">
        <f t="shared" si="69"/>
        <v>-33.016436630204453</v>
      </c>
      <c r="BP122" s="38">
        <f t="shared" si="70"/>
        <v>4623.8450000000003</v>
      </c>
      <c r="BQ122" s="39">
        <f>J122+N122+S122+W122+AA122+AE122+AI122+AM122+AQ122+AU122+Table1[[#This Row],[MS-0225]]+Table1[[#This Row],[MS-0325]]</f>
        <v>4680.8180000000002</v>
      </c>
      <c r="BR122" s="37">
        <f t="shared" si="71"/>
        <v>-56.972999999999956</v>
      </c>
      <c r="BS122" s="37">
        <f t="shared" si="72"/>
        <v>-1.2171590521143942</v>
      </c>
      <c r="BT122" s="36">
        <f t="shared" si="73"/>
        <v>1212.248</v>
      </c>
      <c r="BU122" s="36">
        <f t="shared" si="74"/>
        <v>1604.5340000000001</v>
      </c>
      <c r="BV122" s="37">
        <f t="shared" si="75"/>
        <v>-392.28600000000006</v>
      </c>
      <c r="BW122" s="37">
        <f t="shared" si="76"/>
        <v>-24.448593797326826</v>
      </c>
      <c r="BX122">
        <v>46.563000000000002</v>
      </c>
      <c r="BY122" s="83">
        <f t="shared" si="77"/>
        <v>0.11842667480543263</v>
      </c>
      <c r="BZ122">
        <v>311.13600000000002</v>
      </c>
      <c r="CA122" s="83">
        <f t="shared" si="78"/>
        <v>6.7289452825516433E-2</v>
      </c>
      <c r="CB122" s="96">
        <f t="shared" si="79"/>
        <v>0.33556943875460876</v>
      </c>
      <c r="CC122" s="96">
        <f t="shared" si="80"/>
        <v>0.33458310262855379</v>
      </c>
      <c r="CD122" s="97">
        <f t="shared" si="81"/>
        <v>9.8633612605497634E-4</v>
      </c>
      <c r="CE122" s="96">
        <f t="shared" si="82"/>
        <v>0.27759383863196746</v>
      </c>
      <c r="CF122" s="96">
        <f t="shared" si="83"/>
        <v>0.4011855664181419</v>
      </c>
      <c r="CG122" s="96">
        <f t="shared" si="84"/>
        <v>-0.12359172778617444</v>
      </c>
      <c r="CH122" s="95">
        <f t="shared" si="85"/>
        <v>0.32999544314114237</v>
      </c>
      <c r="CI122" s="95">
        <f t="shared" si="86"/>
        <v>0.35075922354280142</v>
      </c>
      <c r="CJ122" s="98">
        <f t="shared" si="87"/>
        <v>-2.0763780401659049E-2</v>
      </c>
      <c r="CK122" s="95">
        <f t="shared" si="88"/>
        <v>0.31460419884731011</v>
      </c>
      <c r="CL122" s="95">
        <f t="shared" si="89"/>
        <v>0.38709791041521019</v>
      </c>
      <c r="CM122" s="98">
        <f t="shared" si="90"/>
        <v>-7.2493711567900077E-2</v>
      </c>
      <c r="CN122" s="94">
        <f t="shared" si="91"/>
        <v>1.3199817725645695</v>
      </c>
      <c r="CO122" s="94">
        <f t="shared" si="92"/>
        <v>1.2584167953892405</v>
      </c>
    </row>
    <row r="123" spans="1:94" ht="36.5" x14ac:dyDescent="0.35">
      <c r="A123" s="103">
        <v>41030511</v>
      </c>
      <c r="B123" s="9" t="s">
        <v>380</v>
      </c>
      <c r="C123" s="47" t="s">
        <v>413</v>
      </c>
      <c r="D123" s="14" t="s">
        <v>273</v>
      </c>
      <c r="E123" s="10" t="s">
        <v>111</v>
      </c>
      <c r="F123" s="10" t="s">
        <v>414</v>
      </c>
      <c r="G123" s="12" t="s">
        <v>414</v>
      </c>
      <c r="H123" s="51" t="s">
        <v>275</v>
      </c>
      <c r="I123" s="25" t="s">
        <v>78</v>
      </c>
      <c r="J123" s="20">
        <v>335</v>
      </c>
      <c r="K123" s="20">
        <v>355</v>
      </c>
      <c r="L123" s="20">
        <v>370</v>
      </c>
      <c r="M123" s="20">
        <v>405</v>
      </c>
      <c r="N123" s="18">
        <v>390</v>
      </c>
      <c r="O123" s="18">
        <v>375</v>
      </c>
      <c r="P123" s="18">
        <v>442</v>
      </c>
      <c r="Q123" s="18">
        <v>403</v>
      </c>
      <c r="R123" s="20">
        <v>364</v>
      </c>
      <c r="S123" s="20">
        <v>360</v>
      </c>
      <c r="T123" s="20">
        <v>409</v>
      </c>
      <c r="U123" s="20">
        <v>420</v>
      </c>
      <c r="V123" s="20">
        <v>393</v>
      </c>
      <c r="W123" s="20">
        <v>395</v>
      </c>
      <c r="X123" s="20">
        <v>394</v>
      </c>
      <c r="Y123" s="20">
        <v>423.03</v>
      </c>
      <c r="Z123" s="20">
        <v>401</v>
      </c>
      <c r="AA123" s="20">
        <v>380</v>
      </c>
      <c r="AB123" s="20">
        <v>387</v>
      </c>
      <c r="AC123" s="20">
        <v>430</v>
      </c>
      <c r="AD123" s="20">
        <v>389</v>
      </c>
      <c r="AE123" s="20">
        <v>365</v>
      </c>
      <c r="AF123" s="20">
        <v>365</v>
      </c>
      <c r="AG123" s="20">
        <v>420</v>
      </c>
      <c r="AH123" s="20">
        <v>378</v>
      </c>
      <c r="AI123" s="20">
        <v>375</v>
      </c>
      <c r="AJ123" s="20">
        <v>385</v>
      </c>
      <c r="AK123" s="20">
        <v>445</v>
      </c>
      <c r="AL123" s="20">
        <v>363</v>
      </c>
      <c r="AM123" s="20">
        <v>355</v>
      </c>
      <c r="AN123" s="20">
        <v>358</v>
      </c>
      <c r="AO123" s="20">
        <v>385</v>
      </c>
      <c r="AP123" s="20">
        <v>372</v>
      </c>
      <c r="AQ123" s="20">
        <v>360</v>
      </c>
      <c r="AR123" s="20">
        <v>396</v>
      </c>
      <c r="AS123" s="20">
        <v>363</v>
      </c>
      <c r="AT123" s="20">
        <v>355</v>
      </c>
      <c r="AU123" s="20">
        <v>340</v>
      </c>
      <c r="AV123" s="20">
        <v>401</v>
      </c>
      <c r="AW123" s="20">
        <v>380</v>
      </c>
      <c r="AX123" s="20">
        <v>345</v>
      </c>
      <c r="AY123" s="20">
        <v>330</v>
      </c>
      <c r="AZ123" s="20">
        <v>364</v>
      </c>
      <c r="BA123" s="20">
        <v>370</v>
      </c>
      <c r="BB123" s="20">
        <v>390</v>
      </c>
      <c r="BC123" s="20">
        <v>350</v>
      </c>
      <c r="BD123" s="20">
        <v>355</v>
      </c>
      <c r="BE123" s="20">
        <v>375</v>
      </c>
      <c r="BF123" s="23">
        <v>28.52947</v>
      </c>
      <c r="BG123" s="23">
        <v>77.272800000000004</v>
      </c>
      <c r="BH123" s="31">
        <f t="shared" si="62"/>
        <v>390</v>
      </c>
      <c r="BI123" s="31">
        <f t="shared" si="63"/>
        <v>350</v>
      </c>
      <c r="BJ123" s="37">
        <f t="shared" si="64"/>
        <v>40</v>
      </c>
      <c r="BK123" s="37">
        <f t="shared" si="65"/>
        <v>11.428571428571429</v>
      </c>
      <c r="BL123" s="36">
        <f t="shared" si="66"/>
        <v>355</v>
      </c>
      <c r="BM123" s="36">
        <f t="shared" si="67"/>
        <v>375</v>
      </c>
      <c r="BN123" s="37">
        <f t="shared" si="68"/>
        <v>-20</v>
      </c>
      <c r="BO123" s="37">
        <f t="shared" si="69"/>
        <v>-5.3333333333333339</v>
      </c>
      <c r="BP123" s="38">
        <f t="shared" si="70"/>
        <v>4480</v>
      </c>
      <c r="BQ123" s="39">
        <f>J123+N123+S123+W123+AA123+AE123+AI123+AM123+AQ123+AU123+Table1[[#This Row],[MS-0225]]+Table1[[#This Row],[MS-0325]]</f>
        <v>4335</v>
      </c>
      <c r="BR123" s="37">
        <f t="shared" si="71"/>
        <v>145</v>
      </c>
      <c r="BS123" s="37">
        <f t="shared" si="72"/>
        <v>3.3448673587081887</v>
      </c>
      <c r="BT123" s="36">
        <f t="shared" si="73"/>
        <v>4622</v>
      </c>
      <c r="BU123" s="36">
        <f t="shared" si="74"/>
        <v>4823.03</v>
      </c>
      <c r="BV123" s="37">
        <f t="shared" si="75"/>
        <v>-201.02999999999975</v>
      </c>
      <c r="BW123" s="37">
        <f t="shared" si="76"/>
        <v>-4.1681266755545741</v>
      </c>
      <c r="BX123">
        <v>0</v>
      </c>
      <c r="BY123" s="83">
        <f t="shared" si="77"/>
        <v>0</v>
      </c>
      <c r="BZ123">
        <v>0</v>
      </c>
      <c r="CA123" s="83">
        <f t="shared" si="78"/>
        <v>0</v>
      </c>
      <c r="CB123" s="96">
        <f t="shared" si="79"/>
        <v>0.43454038997214484</v>
      </c>
      <c r="CC123" s="96">
        <f t="shared" si="80"/>
        <v>0.40792540792540793</v>
      </c>
      <c r="CD123" s="97">
        <f t="shared" si="81"/>
        <v>2.6614982046736901E-2</v>
      </c>
      <c r="CE123" s="96">
        <f t="shared" si="82"/>
        <v>0.71789686552072796</v>
      </c>
      <c r="CF123" s="96">
        <f t="shared" si="83"/>
        <v>0.7225433526011561</v>
      </c>
      <c r="CG123" s="96">
        <f t="shared" si="84"/>
        <v>-4.6464870804281411E-3</v>
      </c>
      <c r="CH123" s="95">
        <f t="shared" si="85"/>
        <v>0.4084982219385429</v>
      </c>
      <c r="CI123" s="95">
        <f t="shared" si="86"/>
        <v>0.40468633308439134</v>
      </c>
      <c r="CJ123" s="98">
        <f t="shared" si="87"/>
        <v>3.8118888541515683E-3</v>
      </c>
      <c r="CK123" s="95">
        <f t="shared" si="88"/>
        <v>0.70500305064063451</v>
      </c>
      <c r="CL123" s="95">
        <f t="shared" si="89"/>
        <v>0.71813705418230711</v>
      </c>
      <c r="CM123" s="98">
        <f t="shared" si="90"/>
        <v>-1.3134003541672601E-2</v>
      </c>
      <c r="CN123" s="94">
        <f t="shared" si="91"/>
        <v>1.2254946658156287</v>
      </c>
      <c r="CO123" s="94">
        <f t="shared" si="92"/>
        <v>2.1150091519219036</v>
      </c>
    </row>
    <row r="124" spans="1:94" ht="24.5" x14ac:dyDescent="0.35">
      <c r="A124" s="102">
        <v>112385</v>
      </c>
      <c r="B124" s="3" t="s">
        <v>72</v>
      </c>
      <c r="C124" s="40" t="s">
        <v>351</v>
      </c>
      <c r="D124" s="12" t="s">
        <v>352</v>
      </c>
      <c r="E124" s="4" t="s">
        <v>187</v>
      </c>
      <c r="F124" s="4" t="s">
        <v>353</v>
      </c>
      <c r="G124" s="12" t="s">
        <v>353</v>
      </c>
      <c r="H124" s="51" t="s">
        <v>189</v>
      </c>
      <c r="I124" s="23" t="s">
        <v>86</v>
      </c>
      <c r="J124" s="90">
        <v>400</v>
      </c>
      <c r="K124" s="90">
        <v>410</v>
      </c>
      <c r="L124" s="90">
        <v>60</v>
      </c>
      <c r="M124" s="90">
        <v>50</v>
      </c>
      <c r="N124" s="18">
        <v>430</v>
      </c>
      <c r="O124" s="18">
        <v>415</v>
      </c>
      <c r="P124" s="18">
        <v>70</v>
      </c>
      <c r="Q124" s="18">
        <v>65</v>
      </c>
      <c r="R124" s="90">
        <v>400</v>
      </c>
      <c r="S124" s="90">
        <v>420</v>
      </c>
      <c r="T124" s="90">
        <v>60</v>
      </c>
      <c r="U124" s="90">
        <v>100</v>
      </c>
      <c r="V124" s="90">
        <v>420</v>
      </c>
      <c r="W124" s="90">
        <v>405</v>
      </c>
      <c r="X124" s="90">
        <v>60</v>
      </c>
      <c r="Y124" s="90">
        <v>75</v>
      </c>
      <c r="Z124" s="90">
        <v>460</v>
      </c>
      <c r="AA124" s="90">
        <v>460</v>
      </c>
      <c r="AB124" s="90">
        <v>60</v>
      </c>
      <c r="AC124" s="90">
        <v>80</v>
      </c>
      <c r="AD124" s="90">
        <v>450</v>
      </c>
      <c r="AE124" s="90">
        <v>425</v>
      </c>
      <c r="AF124" s="90">
        <v>70</v>
      </c>
      <c r="AG124" s="90">
        <v>75</v>
      </c>
      <c r="AH124" s="90">
        <v>455</v>
      </c>
      <c r="AI124" s="90">
        <v>440</v>
      </c>
      <c r="AJ124" s="90">
        <v>85</v>
      </c>
      <c r="AK124" s="90">
        <v>80</v>
      </c>
      <c r="AL124" s="90">
        <v>410</v>
      </c>
      <c r="AM124" s="90">
        <v>410</v>
      </c>
      <c r="AN124" s="90">
        <v>50</v>
      </c>
      <c r="AO124" s="90">
        <v>50</v>
      </c>
      <c r="AP124" s="90">
        <v>395</v>
      </c>
      <c r="AQ124" s="90">
        <v>380</v>
      </c>
      <c r="AR124" s="90">
        <v>45</v>
      </c>
      <c r="AS124" s="90">
        <v>45</v>
      </c>
      <c r="AT124" s="90">
        <v>370</v>
      </c>
      <c r="AU124" s="90">
        <v>400</v>
      </c>
      <c r="AV124" s="90">
        <v>30</v>
      </c>
      <c r="AW124" s="90">
        <v>60</v>
      </c>
      <c r="AX124" s="90">
        <v>400</v>
      </c>
      <c r="AY124" s="90">
        <v>330</v>
      </c>
      <c r="AZ124" s="90">
        <v>40</v>
      </c>
      <c r="BA124" s="90">
        <v>50</v>
      </c>
      <c r="BB124" s="90">
        <v>390</v>
      </c>
      <c r="BC124" s="90">
        <v>405</v>
      </c>
      <c r="BD124" s="90">
        <v>70</v>
      </c>
      <c r="BE124" s="90">
        <v>55</v>
      </c>
      <c r="BF124" s="23">
        <v>28.679469999999998</v>
      </c>
      <c r="BG124" s="23">
        <v>77.212040000000002</v>
      </c>
      <c r="BH124" s="31">
        <f t="shared" si="62"/>
        <v>390</v>
      </c>
      <c r="BI124" s="31">
        <f t="shared" si="63"/>
        <v>405</v>
      </c>
      <c r="BJ124" s="37">
        <f t="shared" si="64"/>
        <v>-15</v>
      </c>
      <c r="BK124" s="37">
        <f t="shared" si="65"/>
        <v>-3.7037037037037033</v>
      </c>
      <c r="BL124" s="36">
        <f t="shared" si="66"/>
        <v>70</v>
      </c>
      <c r="BM124" s="36">
        <f t="shared" si="67"/>
        <v>55</v>
      </c>
      <c r="BN124" s="37">
        <f t="shared" si="68"/>
        <v>15</v>
      </c>
      <c r="BO124" s="37">
        <f t="shared" si="69"/>
        <v>27.27272727272727</v>
      </c>
      <c r="BP124" s="38">
        <f t="shared" si="70"/>
        <v>4975</v>
      </c>
      <c r="BQ124" s="39">
        <f>J124+N124+S124+W124+AA124+AE124+AI124+AM124+AQ124+AU124+Table1[[#This Row],[MS-0225]]+Table1[[#This Row],[MS-0325]]</f>
        <v>4905</v>
      </c>
      <c r="BR124" s="37">
        <f t="shared" si="71"/>
        <v>70</v>
      </c>
      <c r="BS124" s="37">
        <f t="shared" si="72"/>
        <v>1.4271151885830784</v>
      </c>
      <c r="BT124" s="36">
        <f t="shared" si="73"/>
        <v>685</v>
      </c>
      <c r="BU124" s="36">
        <f t="shared" si="74"/>
        <v>800</v>
      </c>
      <c r="BV124" s="37">
        <f t="shared" si="75"/>
        <v>-115</v>
      </c>
      <c r="BW124" s="37">
        <f t="shared" si="76"/>
        <v>-14.374999999999998</v>
      </c>
      <c r="BX124">
        <v>25</v>
      </c>
      <c r="BY124" s="83">
        <f t="shared" si="77"/>
        <v>6.4102564102564097E-2</v>
      </c>
      <c r="BZ124">
        <v>85</v>
      </c>
      <c r="CA124" s="83">
        <f t="shared" si="78"/>
        <v>1.7085427135678392E-2</v>
      </c>
      <c r="CB124" s="96">
        <f t="shared" si="79"/>
        <v>1</v>
      </c>
      <c r="CC124" s="96">
        <f t="shared" si="80"/>
        <v>1</v>
      </c>
      <c r="CD124" s="97">
        <f t="shared" si="81"/>
        <v>0</v>
      </c>
      <c r="CE124" s="96">
        <f t="shared" si="82"/>
        <v>1</v>
      </c>
      <c r="CF124" s="96">
        <f t="shared" si="83"/>
        <v>1</v>
      </c>
      <c r="CG124" s="96">
        <f t="shared" si="84"/>
        <v>0</v>
      </c>
      <c r="CH124" s="95">
        <f t="shared" si="85"/>
        <v>1</v>
      </c>
      <c r="CI124" s="95">
        <f t="shared" si="86"/>
        <v>1</v>
      </c>
      <c r="CJ124" s="98">
        <f t="shared" si="87"/>
        <v>0</v>
      </c>
      <c r="CK124" s="95">
        <f t="shared" si="88"/>
        <v>1</v>
      </c>
      <c r="CL124" s="95">
        <f t="shared" si="89"/>
        <v>1</v>
      </c>
      <c r="CM124" s="98">
        <f t="shared" si="90"/>
        <v>0</v>
      </c>
      <c r="CN124" s="94">
        <f t="shared" si="91"/>
        <v>1</v>
      </c>
      <c r="CO124" s="94">
        <f t="shared" si="92"/>
        <v>1</v>
      </c>
    </row>
    <row r="125" spans="1:94" ht="36.5" x14ac:dyDescent="0.35">
      <c r="A125" s="104">
        <v>106229</v>
      </c>
      <c r="B125" s="5" t="s">
        <v>581</v>
      </c>
      <c r="C125" s="46" t="s">
        <v>681</v>
      </c>
      <c r="D125" s="13" t="s">
        <v>682</v>
      </c>
      <c r="E125" s="6" t="s">
        <v>200</v>
      </c>
      <c r="F125" s="6" t="s">
        <v>683</v>
      </c>
      <c r="G125" s="12" t="s">
        <v>683</v>
      </c>
      <c r="H125" s="51" t="s">
        <v>248</v>
      </c>
      <c r="I125" s="24" t="s">
        <v>83</v>
      </c>
      <c r="J125" s="19">
        <v>373.5</v>
      </c>
      <c r="K125" s="19">
        <v>405</v>
      </c>
      <c r="L125" s="19">
        <v>94.5</v>
      </c>
      <c r="M125" s="19">
        <v>75</v>
      </c>
      <c r="N125" s="18">
        <v>378</v>
      </c>
      <c r="O125" s="18">
        <v>415</v>
      </c>
      <c r="P125" s="18">
        <v>90</v>
      </c>
      <c r="Q125" s="18">
        <v>85</v>
      </c>
      <c r="R125" s="19">
        <v>408</v>
      </c>
      <c r="S125" s="19">
        <v>423</v>
      </c>
      <c r="T125" s="19">
        <v>84</v>
      </c>
      <c r="U125" s="19">
        <v>81</v>
      </c>
      <c r="V125" s="19">
        <v>425</v>
      </c>
      <c r="W125" s="19">
        <v>400.5</v>
      </c>
      <c r="X125" s="19">
        <v>75</v>
      </c>
      <c r="Y125" s="19">
        <v>85.5</v>
      </c>
      <c r="Z125" s="19">
        <v>440</v>
      </c>
      <c r="AA125" s="19">
        <v>418.5</v>
      </c>
      <c r="AB125" s="19">
        <v>80</v>
      </c>
      <c r="AC125" s="19">
        <v>85.5</v>
      </c>
      <c r="AD125" s="19">
        <v>395</v>
      </c>
      <c r="AE125" s="19">
        <v>409.5</v>
      </c>
      <c r="AF125" s="19">
        <v>85</v>
      </c>
      <c r="AG125" s="19">
        <v>94.5</v>
      </c>
      <c r="AH125" s="19">
        <v>430</v>
      </c>
      <c r="AI125" s="19">
        <v>409.5</v>
      </c>
      <c r="AJ125" s="19">
        <v>70</v>
      </c>
      <c r="AK125" s="19">
        <v>94.5</v>
      </c>
      <c r="AL125" s="19">
        <v>390</v>
      </c>
      <c r="AM125" s="19">
        <v>409.5</v>
      </c>
      <c r="AN125" s="19">
        <v>70</v>
      </c>
      <c r="AO125" s="19">
        <v>58.5</v>
      </c>
      <c r="AP125" s="19">
        <v>370</v>
      </c>
      <c r="AQ125" s="19">
        <v>355.5</v>
      </c>
      <c r="AR125" s="19">
        <v>50</v>
      </c>
      <c r="AS125" s="19">
        <v>76.5</v>
      </c>
      <c r="AT125" s="19">
        <v>360</v>
      </c>
      <c r="AU125" s="19">
        <v>364.5</v>
      </c>
      <c r="AV125" s="19">
        <v>60</v>
      </c>
      <c r="AW125" s="19">
        <v>67.5</v>
      </c>
      <c r="AX125" s="19">
        <v>340</v>
      </c>
      <c r="AY125" s="19">
        <v>342.5</v>
      </c>
      <c r="AZ125" s="19">
        <v>60</v>
      </c>
      <c r="BA125" s="19">
        <v>71.5</v>
      </c>
      <c r="BB125" s="19">
        <v>390</v>
      </c>
      <c r="BC125" s="19">
        <v>385</v>
      </c>
      <c r="BD125" s="19">
        <v>70</v>
      </c>
      <c r="BE125" s="19">
        <v>75</v>
      </c>
      <c r="BF125" s="23">
        <v>28.7028</v>
      </c>
      <c r="BG125" s="23">
        <v>77.192999999999998</v>
      </c>
      <c r="BH125" s="31">
        <f t="shared" si="62"/>
        <v>390</v>
      </c>
      <c r="BI125" s="31">
        <f t="shared" si="63"/>
        <v>385</v>
      </c>
      <c r="BJ125" s="37">
        <f t="shared" si="64"/>
        <v>5</v>
      </c>
      <c r="BK125" s="37">
        <f t="shared" si="65"/>
        <v>1.2987012987012987</v>
      </c>
      <c r="BL125" s="36">
        <f t="shared" si="66"/>
        <v>70</v>
      </c>
      <c r="BM125" s="36">
        <f t="shared" si="67"/>
        <v>75</v>
      </c>
      <c r="BN125" s="37">
        <f t="shared" si="68"/>
        <v>-5</v>
      </c>
      <c r="BO125" s="37">
        <f t="shared" si="69"/>
        <v>-6.666666666666667</v>
      </c>
      <c r="BP125" s="38">
        <f t="shared" si="70"/>
        <v>4768</v>
      </c>
      <c r="BQ125" s="39">
        <f>J125+N125+S125+W125+AA125+AE125+AI125+AM125+AQ125+AU125+Table1[[#This Row],[MS-0225]]+Table1[[#This Row],[MS-0325]]</f>
        <v>4669.5</v>
      </c>
      <c r="BR125" s="37">
        <f t="shared" si="71"/>
        <v>98.5</v>
      </c>
      <c r="BS125" s="37">
        <f t="shared" si="72"/>
        <v>2.1094335581968089</v>
      </c>
      <c r="BT125" s="36">
        <f t="shared" si="73"/>
        <v>864</v>
      </c>
      <c r="BU125" s="36">
        <f t="shared" si="74"/>
        <v>974.5</v>
      </c>
      <c r="BV125" s="37">
        <f t="shared" si="75"/>
        <v>-110.5</v>
      </c>
      <c r="BW125" s="37">
        <f t="shared" si="76"/>
        <v>-11.33914828116983</v>
      </c>
      <c r="BX125">
        <v>0</v>
      </c>
      <c r="BY125" s="83">
        <f t="shared" si="77"/>
        <v>0</v>
      </c>
      <c r="BZ125">
        <v>0</v>
      </c>
      <c r="CA125" s="83">
        <f t="shared" si="78"/>
        <v>0</v>
      </c>
      <c r="CB125" s="96">
        <f t="shared" si="79"/>
        <v>0.29213483146067415</v>
      </c>
      <c r="CC125" s="96">
        <f t="shared" si="80"/>
        <v>0.31136271734735138</v>
      </c>
      <c r="CD125" s="97">
        <f t="shared" si="81"/>
        <v>-1.9227885886677232E-2</v>
      </c>
      <c r="CE125" s="96">
        <f t="shared" si="82"/>
        <v>0.16990291262135923</v>
      </c>
      <c r="CF125" s="96">
        <f t="shared" si="83"/>
        <v>0.19556714471968709</v>
      </c>
      <c r="CG125" s="96">
        <f t="shared" si="84"/>
        <v>-2.5664232098327855E-2</v>
      </c>
      <c r="CH125" s="95">
        <f t="shared" si="85"/>
        <v>0.29914047305351654</v>
      </c>
      <c r="CI125" s="95">
        <f t="shared" si="86"/>
        <v>0.30325366930770231</v>
      </c>
      <c r="CJ125" s="98">
        <f t="shared" si="87"/>
        <v>-4.1131962541857692E-3</v>
      </c>
      <c r="CK125" s="95">
        <f t="shared" si="88"/>
        <v>0.1763265306122449</v>
      </c>
      <c r="CL125" s="95">
        <f t="shared" si="89"/>
        <v>0.20567750105529758</v>
      </c>
      <c r="CM125" s="98">
        <f t="shared" si="90"/>
        <v>-2.9350970443052682E-2</v>
      </c>
      <c r="CN125" s="94">
        <f t="shared" si="91"/>
        <v>0.89742141916054963</v>
      </c>
      <c r="CO125" s="94">
        <f t="shared" si="92"/>
        <v>0.52897959183673471</v>
      </c>
    </row>
    <row r="126" spans="1:94" x14ac:dyDescent="0.35">
      <c r="A126" s="103">
        <v>41031838</v>
      </c>
      <c r="B126" s="9" t="s">
        <v>380</v>
      </c>
      <c r="C126" s="47" t="s">
        <v>456</v>
      </c>
      <c r="D126" s="14" t="s">
        <v>457</v>
      </c>
      <c r="E126" s="10" t="s">
        <v>81</v>
      </c>
      <c r="F126" s="10" t="s">
        <v>134</v>
      </c>
      <c r="G126" s="12" t="s">
        <v>134</v>
      </c>
      <c r="H126" s="51" t="s">
        <v>135</v>
      </c>
      <c r="I126" s="25" t="s">
        <v>83</v>
      </c>
      <c r="J126" s="20">
        <v>229.5</v>
      </c>
      <c r="K126" s="20">
        <v>305</v>
      </c>
      <c r="L126" s="20">
        <v>72.5</v>
      </c>
      <c r="M126" s="20">
        <v>98</v>
      </c>
      <c r="N126" s="18">
        <v>280</v>
      </c>
      <c r="O126" s="18">
        <v>361</v>
      </c>
      <c r="P126" s="18">
        <v>90</v>
      </c>
      <c r="Q126" s="18">
        <v>93</v>
      </c>
      <c r="R126" s="20">
        <v>343</v>
      </c>
      <c r="S126" s="20">
        <v>278.5</v>
      </c>
      <c r="T126" s="20">
        <v>93</v>
      </c>
      <c r="U126" s="20">
        <v>78.5</v>
      </c>
      <c r="V126" s="20">
        <v>410.5</v>
      </c>
      <c r="W126" s="20">
        <v>288</v>
      </c>
      <c r="X126" s="20">
        <v>114.5</v>
      </c>
      <c r="Y126" s="20">
        <v>78</v>
      </c>
      <c r="Z126" s="20">
        <v>406.5</v>
      </c>
      <c r="AA126" s="20">
        <v>313</v>
      </c>
      <c r="AB126" s="20">
        <v>105.5</v>
      </c>
      <c r="AC126" s="20">
        <v>86</v>
      </c>
      <c r="AD126" s="20">
        <v>381</v>
      </c>
      <c r="AE126" s="20">
        <v>311</v>
      </c>
      <c r="AF126" s="20">
        <v>108</v>
      </c>
      <c r="AG126" s="20">
        <v>87</v>
      </c>
      <c r="AH126" s="20">
        <v>384</v>
      </c>
      <c r="AI126" s="20">
        <v>331</v>
      </c>
      <c r="AJ126" s="20">
        <v>117</v>
      </c>
      <c r="AK126" s="20">
        <v>106</v>
      </c>
      <c r="AL126" s="20">
        <v>362</v>
      </c>
      <c r="AM126" s="20">
        <v>307</v>
      </c>
      <c r="AN126" s="20">
        <v>100</v>
      </c>
      <c r="AO126" s="20">
        <v>81</v>
      </c>
      <c r="AP126" s="20">
        <v>404</v>
      </c>
      <c r="AQ126" s="20">
        <v>296.5</v>
      </c>
      <c r="AR126" s="20">
        <v>134</v>
      </c>
      <c r="AS126" s="20">
        <v>79.5</v>
      </c>
      <c r="AT126" s="20">
        <v>350.5</v>
      </c>
      <c r="AU126" s="20">
        <v>273</v>
      </c>
      <c r="AV126" s="20">
        <v>130.5</v>
      </c>
      <c r="AW126" s="20">
        <v>79</v>
      </c>
      <c r="AX126" s="20">
        <v>368</v>
      </c>
      <c r="AY126" s="20">
        <v>285</v>
      </c>
      <c r="AZ126" s="20">
        <v>139</v>
      </c>
      <c r="BA126" s="20">
        <v>86</v>
      </c>
      <c r="BB126" s="20">
        <v>389</v>
      </c>
      <c r="BC126" s="20">
        <v>283.5</v>
      </c>
      <c r="BD126" s="20">
        <v>141</v>
      </c>
      <c r="BE126" s="20">
        <v>85.5</v>
      </c>
      <c r="BF126" s="23">
        <v>28.55574</v>
      </c>
      <c r="BG126" s="23">
        <v>77.054220000000001</v>
      </c>
      <c r="BH126" s="31">
        <f t="shared" si="62"/>
        <v>389</v>
      </c>
      <c r="BI126" s="31">
        <f t="shared" si="63"/>
        <v>283.5</v>
      </c>
      <c r="BJ126" s="37">
        <f t="shared" si="64"/>
        <v>105.5</v>
      </c>
      <c r="BK126" s="37">
        <f t="shared" si="65"/>
        <v>37.213403880070544</v>
      </c>
      <c r="BL126" s="36">
        <f t="shared" si="66"/>
        <v>141</v>
      </c>
      <c r="BM126" s="36">
        <f t="shared" si="67"/>
        <v>85.5</v>
      </c>
      <c r="BN126" s="37">
        <f t="shared" si="68"/>
        <v>55.5</v>
      </c>
      <c r="BO126" s="37">
        <f t="shared" si="69"/>
        <v>64.912280701754383</v>
      </c>
      <c r="BP126" s="38">
        <f t="shared" si="70"/>
        <v>4464.5</v>
      </c>
      <c r="BQ126" s="39">
        <f>J126+N126+S126+W126+AA126+AE126+AI126+AM126+AQ126+AU126+Table1[[#This Row],[MS-0225]]+Table1[[#This Row],[MS-0325]]</f>
        <v>3476</v>
      </c>
      <c r="BR126" s="37">
        <f t="shared" si="71"/>
        <v>988.5</v>
      </c>
      <c r="BS126" s="37">
        <f t="shared" si="72"/>
        <v>28.437859608745686</v>
      </c>
      <c r="BT126" s="36">
        <f t="shared" si="73"/>
        <v>1373.5</v>
      </c>
      <c r="BU126" s="36">
        <f t="shared" si="74"/>
        <v>1009</v>
      </c>
      <c r="BV126" s="37">
        <f t="shared" si="75"/>
        <v>364.5</v>
      </c>
      <c r="BW126" s="37">
        <f t="shared" si="76"/>
        <v>36.124876114965311</v>
      </c>
      <c r="BX126">
        <v>0</v>
      </c>
      <c r="BY126" s="83">
        <f t="shared" si="77"/>
        <v>0</v>
      </c>
      <c r="BZ126">
        <v>0</v>
      </c>
      <c r="CA126" s="83">
        <f t="shared" si="78"/>
        <v>0</v>
      </c>
      <c r="CB126" s="96">
        <f t="shared" si="79"/>
        <v>0.54519971969166081</v>
      </c>
      <c r="CC126" s="96">
        <f t="shared" si="80"/>
        <v>0.54258373205741628</v>
      </c>
      <c r="CD126" s="97">
        <f t="shared" si="81"/>
        <v>2.6159876342445321E-3</v>
      </c>
      <c r="CE126" s="96">
        <f t="shared" si="82"/>
        <v>0.62251655629139069</v>
      </c>
      <c r="CF126" s="96">
        <f t="shared" si="83"/>
        <v>0.5757575757575758</v>
      </c>
      <c r="CG126" s="96">
        <f t="shared" si="84"/>
        <v>4.6758980533814887E-2</v>
      </c>
      <c r="CH126" s="95">
        <f t="shared" si="85"/>
        <v>0.5812394219502669</v>
      </c>
      <c r="CI126" s="95">
        <f t="shared" si="86"/>
        <v>0.55065346447421237</v>
      </c>
      <c r="CJ126" s="98">
        <f t="shared" si="87"/>
        <v>3.0585957476054526E-2</v>
      </c>
      <c r="CK126" s="95">
        <f t="shared" si="88"/>
        <v>0.62517068730086478</v>
      </c>
      <c r="CL126" s="95">
        <f t="shared" si="89"/>
        <v>0.54941464742717128</v>
      </c>
      <c r="CM126" s="98">
        <f t="shared" si="90"/>
        <v>7.5756039873693504E-2</v>
      </c>
      <c r="CN126" s="94">
        <f t="shared" si="91"/>
        <v>1.1624788439005338</v>
      </c>
      <c r="CO126" s="94">
        <f t="shared" si="92"/>
        <v>1.2503413746017296</v>
      </c>
    </row>
    <row r="127" spans="1:94" ht="24.5" x14ac:dyDescent="0.35">
      <c r="A127" s="104">
        <v>106217</v>
      </c>
      <c r="B127" s="5" t="s">
        <v>581</v>
      </c>
      <c r="C127" s="46" t="s">
        <v>662</v>
      </c>
      <c r="D127" s="13" t="s">
        <v>663</v>
      </c>
      <c r="E127" s="6" t="s">
        <v>103</v>
      </c>
      <c r="F127" s="6" t="s">
        <v>256</v>
      </c>
      <c r="G127" s="12" t="s">
        <v>256</v>
      </c>
      <c r="H127" s="51" t="s">
        <v>257</v>
      </c>
      <c r="I127" s="24" t="s">
        <v>83</v>
      </c>
      <c r="J127" s="19">
        <v>315</v>
      </c>
      <c r="K127" s="19">
        <v>345</v>
      </c>
      <c r="L127" s="19">
        <v>99</v>
      </c>
      <c r="M127" s="19">
        <v>99</v>
      </c>
      <c r="N127" s="18">
        <v>342</v>
      </c>
      <c r="O127" s="18">
        <v>382.5</v>
      </c>
      <c r="P127" s="18">
        <v>126</v>
      </c>
      <c r="Q127" s="18">
        <v>103.5</v>
      </c>
      <c r="R127" s="19">
        <v>344</v>
      </c>
      <c r="S127" s="19">
        <v>342</v>
      </c>
      <c r="T127" s="19">
        <v>94</v>
      </c>
      <c r="U127" s="19">
        <v>108</v>
      </c>
      <c r="V127" s="19">
        <v>387</v>
      </c>
      <c r="W127" s="19">
        <v>382.5</v>
      </c>
      <c r="X127" s="19">
        <v>99</v>
      </c>
      <c r="Y127" s="19">
        <v>121.5</v>
      </c>
      <c r="Z127" s="19">
        <v>421</v>
      </c>
      <c r="AA127" s="19">
        <v>360</v>
      </c>
      <c r="AB127" s="19">
        <v>101</v>
      </c>
      <c r="AC127" s="19">
        <v>108</v>
      </c>
      <c r="AD127" s="19">
        <v>384</v>
      </c>
      <c r="AE127" s="19">
        <v>351</v>
      </c>
      <c r="AF127" s="19">
        <v>100</v>
      </c>
      <c r="AG127" s="19">
        <v>99</v>
      </c>
      <c r="AH127" s="19">
        <v>368</v>
      </c>
      <c r="AI127" s="19">
        <v>355.5</v>
      </c>
      <c r="AJ127" s="19">
        <v>116</v>
      </c>
      <c r="AK127" s="19">
        <v>112.5</v>
      </c>
      <c r="AL127" s="19">
        <v>368</v>
      </c>
      <c r="AM127" s="19">
        <v>330</v>
      </c>
      <c r="AN127" s="19">
        <v>108</v>
      </c>
      <c r="AO127" s="19">
        <v>90</v>
      </c>
      <c r="AP127" s="19">
        <v>364</v>
      </c>
      <c r="AQ127" s="19">
        <v>333.5</v>
      </c>
      <c r="AR127" s="19">
        <v>120</v>
      </c>
      <c r="AS127" s="19">
        <v>92.5</v>
      </c>
      <c r="AT127" s="19">
        <v>376</v>
      </c>
      <c r="AU127" s="19">
        <v>337.5</v>
      </c>
      <c r="AV127" s="19">
        <v>108</v>
      </c>
      <c r="AW127" s="19">
        <v>94.5</v>
      </c>
      <c r="AX127" s="19">
        <v>346</v>
      </c>
      <c r="AY127" s="19">
        <v>297</v>
      </c>
      <c r="AZ127" s="19">
        <v>116</v>
      </c>
      <c r="BA127" s="19">
        <v>81</v>
      </c>
      <c r="BB127" s="19">
        <v>389</v>
      </c>
      <c r="BC127" s="19">
        <v>337.5</v>
      </c>
      <c r="BD127" s="19">
        <v>157</v>
      </c>
      <c r="BE127" s="19">
        <v>94.5</v>
      </c>
      <c r="BF127" s="23">
        <v>28.596800000000002</v>
      </c>
      <c r="BG127" s="23">
        <v>77.135499999999993</v>
      </c>
      <c r="BH127" s="31">
        <f t="shared" si="62"/>
        <v>389</v>
      </c>
      <c r="BI127" s="31">
        <f t="shared" si="63"/>
        <v>337.5</v>
      </c>
      <c r="BJ127" s="37">
        <f t="shared" si="64"/>
        <v>51.5</v>
      </c>
      <c r="BK127" s="37">
        <f t="shared" si="65"/>
        <v>15.259259259259258</v>
      </c>
      <c r="BL127" s="36">
        <f t="shared" si="66"/>
        <v>157</v>
      </c>
      <c r="BM127" s="36">
        <f t="shared" si="67"/>
        <v>94.5</v>
      </c>
      <c r="BN127" s="37">
        <f t="shared" si="68"/>
        <v>62.5</v>
      </c>
      <c r="BO127" s="37">
        <f t="shared" si="69"/>
        <v>66.137566137566139</v>
      </c>
      <c r="BP127" s="38">
        <f t="shared" si="70"/>
        <v>4474.5</v>
      </c>
      <c r="BQ127" s="39">
        <f>J127+N127+S127+W127+AA127+AE127+AI127+AM127+AQ127+AU127+Table1[[#This Row],[MS-0225]]+Table1[[#This Row],[MS-0325]]</f>
        <v>4083.5</v>
      </c>
      <c r="BR127" s="37">
        <f t="shared" si="71"/>
        <v>391</v>
      </c>
      <c r="BS127" s="37">
        <f t="shared" si="72"/>
        <v>9.5751193828823311</v>
      </c>
      <c r="BT127" s="36">
        <f t="shared" si="73"/>
        <v>1321.5</v>
      </c>
      <c r="BU127" s="36">
        <f t="shared" si="74"/>
        <v>1226.5</v>
      </c>
      <c r="BV127" s="37">
        <f t="shared" si="75"/>
        <v>95</v>
      </c>
      <c r="BW127" s="37">
        <f t="shared" si="76"/>
        <v>7.7456176110884636</v>
      </c>
      <c r="BX127">
        <v>0</v>
      </c>
      <c r="BY127" s="83">
        <f t="shared" si="77"/>
        <v>0</v>
      </c>
      <c r="BZ127">
        <v>0</v>
      </c>
      <c r="CA127" s="83">
        <f t="shared" si="78"/>
        <v>0</v>
      </c>
      <c r="CB127" s="96">
        <f t="shared" si="79"/>
        <v>0.62540192926045013</v>
      </c>
      <c r="CC127" s="96">
        <f t="shared" si="80"/>
        <v>0.58441558441558439</v>
      </c>
      <c r="CD127" s="97">
        <f t="shared" si="81"/>
        <v>4.0986344844865741E-2</v>
      </c>
      <c r="CE127" s="96">
        <f t="shared" si="82"/>
        <v>0.89204545454545459</v>
      </c>
      <c r="CF127" s="96">
        <f t="shared" si="83"/>
        <v>0.77142857142857146</v>
      </c>
      <c r="CG127" s="96">
        <f t="shared" si="84"/>
        <v>0.12061688311688312</v>
      </c>
      <c r="CH127" s="95">
        <f t="shared" si="85"/>
        <v>0.60024146488698105</v>
      </c>
      <c r="CI127" s="95">
        <f t="shared" si="86"/>
        <v>0.57880935506732811</v>
      </c>
      <c r="CJ127" s="98">
        <f t="shared" si="87"/>
        <v>2.1432109819652934E-2</v>
      </c>
      <c r="CK127" s="95">
        <f t="shared" si="88"/>
        <v>0.82826700094014416</v>
      </c>
      <c r="CL127" s="95">
        <f t="shared" si="89"/>
        <v>0.8069078947368421</v>
      </c>
      <c r="CM127" s="98">
        <f t="shared" si="90"/>
        <v>2.1359106203302058E-2</v>
      </c>
      <c r="CN127" s="94">
        <f t="shared" si="91"/>
        <v>1.2004829297739621</v>
      </c>
      <c r="CO127" s="94">
        <f t="shared" si="92"/>
        <v>1.6565340018802883</v>
      </c>
    </row>
    <row r="128" spans="1:94" ht="24.5" x14ac:dyDescent="0.35">
      <c r="A128" s="103">
        <v>41056990</v>
      </c>
      <c r="B128" s="9" t="s">
        <v>380</v>
      </c>
      <c r="C128" s="48" t="s">
        <v>477</v>
      </c>
      <c r="D128" s="14" t="s">
        <v>478</v>
      </c>
      <c r="E128" s="10" t="s">
        <v>228</v>
      </c>
      <c r="F128" s="10" t="s">
        <v>232</v>
      </c>
      <c r="G128" s="12" t="s">
        <v>232</v>
      </c>
      <c r="H128" s="51" t="s">
        <v>230</v>
      </c>
      <c r="I128" s="25" t="s">
        <v>78</v>
      </c>
      <c r="J128" s="20">
        <v>350</v>
      </c>
      <c r="K128" s="20">
        <v>330</v>
      </c>
      <c r="L128" s="20">
        <v>90</v>
      </c>
      <c r="M128" s="20">
        <v>90</v>
      </c>
      <c r="N128" s="18">
        <v>370</v>
      </c>
      <c r="O128" s="18">
        <v>370</v>
      </c>
      <c r="P128" s="18">
        <v>150</v>
      </c>
      <c r="Q128" s="18">
        <v>110</v>
      </c>
      <c r="R128" s="20">
        <v>300</v>
      </c>
      <c r="S128" s="20">
        <v>355</v>
      </c>
      <c r="T128" s="20">
        <v>100</v>
      </c>
      <c r="U128" s="20">
        <v>145</v>
      </c>
      <c r="V128" s="20">
        <v>350</v>
      </c>
      <c r="W128" s="20">
        <v>350</v>
      </c>
      <c r="X128" s="20">
        <v>110</v>
      </c>
      <c r="Y128" s="20">
        <v>110</v>
      </c>
      <c r="Z128" s="20">
        <v>300</v>
      </c>
      <c r="AA128" s="20">
        <v>345</v>
      </c>
      <c r="AB128" s="20">
        <v>100</v>
      </c>
      <c r="AC128" s="20">
        <v>113</v>
      </c>
      <c r="AD128" s="20">
        <v>290</v>
      </c>
      <c r="AE128" s="20">
        <v>330</v>
      </c>
      <c r="AF128" s="20">
        <v>90</v>
      </c>
      <c r="AG128" s="20">
        <v>110</v>
      </c>
      <c r="AH128" s="20">
        <v>355</v>
      </c>
      <c r="AI128" s="20">
        <v>355</v>
      </c>
      <c r="AJ128" s="20">
        <v>105</v>
      </c>
      <c r="AK128" s="20">
        <v>105</v>
      </c>
      <c r="AL128" s="20">
        <v>330</v>
      </c>
      <c r="AM128" s="20">
        <v>365</v>
      </c>
      <c r="AN128" s="20">
        <v>95</v>
      </c>
      <c r="AO128" s="20">
        <v>95</v>
      </c>
      <c r="AP128" s="20">
        <v>340</v>
      </c>
      <c r="AQ128" s="20">
        <v>320</v>
      </c>
      <c r="AR128" s="20">
        <v>100</v>
      </c>
      <c r="AS128" s="20">
        <v>100</v>
      </c>
      <c r="AT128" s="20">
        <v>330</v>
      </c>
      <c r="AU128" s="20">
        <v>318</v>
      </c>
      <c r="AV128" s="20">
        <v>90</v>
      </c>
      <c r="AW128" s="20">
        <v>100</v>
      </c>
      <c r="AX128" s="20">
        <v>320</v>
      </c>
      <c r="AY128" s="20">
        <v>300</v>
      </c>
      <c r="AZ128" s="20">
        <v>100</v>
      </c>
      <c r="BA128" s="20">
        <v>100</v>
      </c>
      <c r="BB128" s="20">
        <v>389</v>
      </c>
      <c r="BC128" s="20">
        <v>320</v>
      </c>
      <c r="BD128" s="20">
        <v>109</v>
      </c>
      <c r="BE128" s="20">
        <v>118</v>
      </c>
      <c r="BF128" s="23">
        <v>28.705300000000001</v>
      </c>
      <c r="BG128" s="23">
        <v>77.29177</v>
      </c>
      <c r="BH128" s="31">
        <f t="shared" si="62"/>
        <v>389</v>
      </c>
      <c r="BI128" s="31">
        <f t="shared" si="63"/>
        <v>320</v>
      </c>
      <c r="BJ128" s="37">
        <f t="shared" si="64"/>
        <v>69</v>
      </c>
      <c r="BK128" s="37">
        <f t="shared" si="65"/>
        <v>21.5625</v>
      </c>
      <c r="BL128" s="36">
        <f t="shared" si="66"/>
        <v>109</v>
      </c>
      <c r="BM128" s="36">
        <f t="shared" si="67"/>
        <v>118</v>
      </c>
      <c r="BN128" s="37">
        <f t="shared" si="68"/>
        <v>-9</v>
      </c>
      <c r="BO128" s="37">
        <f t="shared" si="69"/>
        <v>-7.6271186440677967</v>
      </c>
      <c r="BP128" s="38">
        <f t="shared" si="70"/>
        <v>4004</v>
      </c>
      <c r="BQ128" s="39">
        <f>J128+N128+S128+W128+AA128+AE128+AI128+AM128+AQ128+AU128+Table1[[#This Row],[MS-0225]]+Table1[[#This Row],[MS-0325]]</f>
        <v>4078</v>
      </c>
      <c r="BR128" s="37">
        <f t="shared" si="71"/>
        <v>-74</v>
      </c>
      <c r="BS128" s="37">
        <f t="shared" si="72"/>
        <v>-1.8146150073565472</v>
      </c>
      <c r="BT128" s="36">
        <f t="shared" si="73"/>
        <v>1199</v>
      </c>
      <c r="BU128" s="36">
        <f t="shared" si="74"/>
        <v>1336</v>
      </c>
      <c r="BV128" s="37">
        <f t="shared" si="75"/>
        <v>-137</v>
      </c>
      <c r="BW128" s="37">
        <f t="shared" si="76"/>
        <v>-10.254491017964073</v>
      </c>
      <c r="BX128">
        <v>0</v>
      </c>
      <c r="BY128" s="83">
        <f t="shared" si="77"/>
        <v>0</v>
      </c>
      <c r="BZ128">
        <v>0</v>
      </c>
      <c r="CA128" s="83">
        <f t="shared" si="78"/>
        <v>0</v>
      </c>
      <c r="CB128" s="96">
        <f t="shared" si="79"/>
        <v>0.47906403940886699</v>
      </c>
      <c r="CC128" s="96">
        <f t="shared" si="80"/>
        <v>0.44444444444444442</v>
      </c>
      <c r="CD128" s="97">
        <f t="shared" si="81"/>
        <v>3.4619594964422573E-2</v>
      </c>
      <c r="CE128" s="96">
        <f t="shared" si="82"/>
        <v>0.29459459459459458</v>
      </c>
      <c r="CF128" s="96">
        <f t="shared" si="83"/>
        <v>0.28502415458937197</v>
      </c>
      <c r="CG128" s="96">
        <f t="shared" si="84"/>
        <v>9.5704400052226135E-3</v>
      </c>
      <c r="CH128" s="95">
        <f t="shared" si="85"/>
        <v>0.43728498880576638</v>
      </c>
      <c r="CI128" s="95">
        <f t="shared" si="86"/>
        <v>0.44287575977564275</v>
      </c>
      <c r="CJ128" s="98">
        <f t="shared" si="87"/>
        <v>-5.5907709698763686E-3</v>
      </c>
      <c r="CK128" s="95">
        <f t="shared" si="88"/>
        <v>0.25218214323272686</v>
      </c>
      <c r="CL128" s="95">
        <f t="shared" si="89"/>
        <v>0.28395324123273114</v>
      </c>
      <c r="CM128" s="98">
        <f t="shared" si="90"/>
        <v>-3.1771098000004272E-2</v>
      </c>
      <c r="CN128" s="94">
        <f t="shared" si="91"/>
        <v>0.87456997761153277</v>
      </c>
      <c r="CO128" s="94">
        <f t="shared" si="92"/>
        <v>0.50436428646545373</v>
      </c>
    </row>
    <row r="129" spans="1:94" ht="24.5" x14ac:dyDescent="0.35">
      <c r="A129" s="102">
        <v>112444</v>
      </c>
      <c r="B129" s="3" t="s">
        <v>72</v>
      </c>
      <c r="C129" s="43" t="s">
        <v>249</v>
      </c>
      <c r="D129" s="12" t="s">
        <v>250</v>
      </c>
      <c r="E129" s="4" t="s">
        <v>94</v>
      </c>
      <c r="F129" s="4" t="s">
        <v>251</v>
      </c>
      <c r="G129" s="12" t="s">
        <v>251</v>
      </c>
      <c r="H129" s="51" t="s">
        <v>96</v>
      </c>
      <c r="I129" s="23" t="s">
        <v>83</v>
      </c>
      <c r="J129" s="90">
        <v>382.5</v>
      </c>
      <c r="K129" s="90">
        <v>372.5</v>
      </c>
      <c r="L129" s="90">
        <v>31.5</v>
      </c>
      <c r="M129" s="90">
        <v>35.5</v>
      </c>
      <c r="N129" s="18">
        <v>408</v>
      </c>
      <c r="O129" s="18">
        <v>364.5</v>
      </c>
      <c r="P129" s="18">
        <v>36</v>
      </c>
      <c r="Q129" s="18">
        <v>31.5</v>
      </c>
      <c r="R129" s="90">
        <v>366.5</v>
      </c>
      <c r="S129" s="90">
        <v>372</v>
      </c>
      <c r="T129" s="90">
        <v>35.5</v>
      </c>
      <c r="U129" s="90">
        <v>36</v>
      </c>
      <c r="V129" s="90">
        <v>405</v>
      </c>
      <c r="W129" s="90">
        <v>408</v>
      </c>
      <c r="X129" s="90">
        <v>27</v>
      </c>
      <c r="Y129" s="90">
        <v>36</v>
      </c>
      <c r="Z129" s="90">
        <v>419</v>
      </c>
      <c r="AA129" s="90">
        <v>431</v>
      </c>
      <c r="AB129" s="90">
        <v>31</v>
      </c>
      <c r="AC129" s="90">
        <v>31</v>
      </c>
      <c r="AD129" s="90">
        <v>408</v>
      </c>
      <c r="AE129" s="90">
        <v>396.5</v>
      </c>
      <c r="AF129" s="90">
        <v>36</v>
      </c>
      <c r="AG129" s="90">
        <v>35.5</v>
      </c>
      <c r="AH129" s="90">
        <v>412.5</v>
      </c>
      <c r="AI129" s="90">
        <v>402</v>
      </c>
      <c r="AJ129" s="90">
        <v>31.5</v>
      </c>
      <c r="AK129" s="90">
        <v>36</v>
      </c>
      <c r="AL129" s="90">
        <v>384.5</v>
      </c>
      <c r="AM129" s="90">
        <v>355.5</v>
      </c>
      <c r="AN129" s="90">
        <v>35.5</v>
      </c>
      <c r="AO129" s="90">
        <v>32.5</v>
      </c>
      <c r="AP129" s="90">
        <v>400.5</v>
      </c>
      <c r="AQ129" s="90">
        <v>385.5</v>
      </c>
      <c r="AR129" s="90">
        <v>31.5</v>
      </c>
      <c r="AS129" s="90">
        <v>30.5</v>
      </c>
      <c r="AT129" s="90">
        <v>387</v>
      </c>
      <c r="AU129" s="90">
        <v>368</v>
      </c>
      <c r="AV129" s="90">
        <v>27</v>
      </c>
      <c r="AW129" s="90">
        <v>32</v>
      </c>
      <c r="AX129" s="90">
        <v>375</v>
      </c>
      <c r="AY129" s="90">
        <v>342</v>
      </c>
      <c r="AZ129" s="90">
        <v>45</v>
      </c>
      <c r="BA129" s="90">
        <v>36</v>
      </c>
      <c r="BB129" s="90">
        <v>389</v>
      </c>
      <c r="BC129" s="90">
        <v>377</v>
      </c>
      <c r="BD129" s="90">
        <v>35</v>
      </c>
      <c r="BE129" s="90">
        <v>31</v>
      </c>
      <c r="BF129" s="23">
        <v>28.52674</v>
      </c>
      <c r="BG129" s="23">
        <v>77.233450000000005</v>
      </c>
      <c r="BH129" s="31">
        <f t="shared" si="62"/>
        <v>389</v>
      </c>
      <c r="BI129" s="31">
        <f t="shared" si="63"/>
        <v>377</v>
      </c>
      <c r="BJ129" s="37">
        <f t="shared" si="64"/>
        <v>12</v>
      </c>
      <c r="BK129" s="37">
        <f t="shared" si="65"/>
        <v>3.183023872679045</v>
      </c>
      <c r="BL129" s="36">
        <f t="shared" si="66"/>
        <v>35</v>
      </c>
      <c r="BM129" s="36">
        <f t="shared" si="67"/>
        <v>31</v>
      </c>
      <c r="BN129" s="37">
        <f t="shared" si="68"/>
        <v>4</v>
      </c>
      <c r="BO129" s="37">
        <f t="shared" si="69"/>
        <v>12.903225806451612</v>
      </c>
      <c r="BP129" s="38">
        <f t="shared" si="70"/>
        <v>4684</v>
      </c>
      <c r="BQ129" s="39">
        <f>J129+N129+S129+W129+AA129+AE129+AI129+AM129+AQ129+AU129+Table1[[#This Row],[MS-0225]]+Table1[[#This Row],[MS-0325]]</f>
        <v>4628</v>
      </c>
      <c r="BR129" s="37">
        <f t="shared" si="71"/>
        <v>56</v>
      </c>
      <c r="BS129" s="37">
        <f t="shared" si="72"/>
        <v>1.2100259291270528</v>
      </c>
      <c r="BT129" s="36">
        <f t="shared" si="73"/>
        <v>402</v>
      </c>
      <c r="BU129" s="36">
        <f t="shared" si="74"/>
        <v>404</v>
      </c>
      <c r="BV129" s="37">
        <f t="shared" si="75"/>
        <v>-2</v>
      </c>
      <c r="BW129" s="37">
        <f t="shared" si="76"/>
        <v>-0.49504950495049505</v>
      </c>
      <c r="BX129">
        <v>0</v>
      </c>
      <c r="BY129" s="83">
        <f t="shared" si="77"/>
        <v>0</v>
      </c>
      <c r="BZ129">
        <v>0</v>
      </c>
      <c r="CA129" s="83">
        <f t="shared" si="78"/>
        <v>0</v>
      </c>
      <c r="CB129" s="96">
        <f t="shared" si="79"/>
        <v>0.40478668054110301</v>
      </c>
      <c r="CC129" s="96">
        <f t="shared" si="80"/>
        <v>0.42792281498297391</v>
      </c>
      <c r="CD129" s="97">
        <f t="shared" si="81"/>
        <v>-2.3136134441870904E-2</v>
      </c>
      <c r="CE129" s="96">
        <f t="shared" si="82"/>
        <v>0.31531531531531531</v>
      </c>
      <c r="CF129" s="96">
        <f t="shared" si="83"/>
        <v>0.26956521739130435</v>
      </c>
      <c r="CG129" s="96">
        <f t="shared" si="84"/>
        <v>4.5750097924010968E-2</v>
      </c>
      <c r="CH129" s="95">
        <f t="shared" si="85"/>
        <v>0.41495393338058117</v>
      </c>
      <c r="CI129" s="95">
        <f t="shared" si="86"/>
        <v>0.50837589937935956</v>
      </c>
      <c r="CJ129" s="98">
        <f t="shared" si="87"/>
        <v>-9.3421965998778389E-2</v>
      </c>
      <c r="CK129" s="95">
        <f t="shared" si="88"/>
        <v>0.30180180180180183</v>
      </c>
      <c r="CL129" s="95">
        <f t="shared" si="89"/>
        <v>0.31848640126133226</v>
      </c>
      <c r="CM129" s="98">
        <f t="shared" si="90"/>
        <v>-1.6684599459530436E-2</v>
      </c>
      <c r="CN129" s="94">
        <f t="shared" si="91"/>
        <v>0.82990786676116235</v>
      </c>
      <c r="CO129" s="94">
        <f t="shared" si="92"/>
        <v>0.60360360360360366</v>
      </c>
    </row>
    <row r="130" spans="1:94" ht="24.5" x14ac:dyDescent="0.35">
      <c r="A130" s="103">
        <v>41032462</v>
      </c>
      <c r="B130" s="9" t="s">
        <v>380</v>
      </c>
      <c r="C130" s="47" t="s">
        <v>557</v>
      </c>
      <c r="D130" s="14" t="s">
        <v>389</v>
      </c>
      <c r="E130" s="10" t="s">
        <v>89</v>
      </c>
      <c r="F130" s="10" t="s">
        <v>342</v>
      </c>
      <c r="G130" s="12" t="s">
        <v>342</v>
      </c>
      <c r="H130" s="51" t="s">
        <v>205</v>
      </c>
      <c r="I130" s="25" t="s">
        <v>86</v>
      </c>
      <c r="J130" s="20">
        <v>351</v>
      </c>
      <c r="K130" s="20">
        <v>322</v>
      </c>
      <c r="L130" s="20">
        <v>117</v>
      </c>
      <c r="M130" s="20">
        <v>96</v>
      </c>
      <c r="N130" s="18">
        <v>378</v>
      </c>
      <c r="O130" s="18">
        <v>344</v>
      </c>
      <c r="P130" s="18">
        <v>126</v>
      </c>
      <c r="Q130" s="18">
        <v>96</v>
      </c>
      <c r="R130" s="20">
        <v>340</v>
      </c>
      <c r="S130" s="20">
        <v>378</v>
      </c>
      <c r="T130" s="20">
        <v>100</v>
      </c>
      <c r="U130" s="20">
        <v>108</v>
      </c>
      <c r="V130" s="20">
        <v>348</v>
      </c>
      <c r="W130" s="20">
        <v>366</v>
      </c>
      <c r="X130" s="20">
        <v>92</v>
      </c>
      <c r="Y130" s="20">
        <v>125</v>
      </c>
      <c r="Z130" s="20">
        <v>366</v>
      </c>
      <c r="AA130" s="20">
        <v>409.5</v>
      </c>
      <c r="AB130" s="20">
        <v>96</v>
      </c>
      <c r="AC130" s="20">
        <v>130.5</v>
      </c>
      <c r="AD130" s="20">
        <v>359</v>
      </c>
      <c r="AE130" s="20">
        <v>358.5</v>
      </c>
      <c r="AF130" s="20">
        <v>103</v>
      </c>
      <c r="AG130" s="20">
        <v>103.5</v>
      </c>
      <c r="AH130" s="20">
        <v>369</v>
      </c>
      <c r="AI130" s="20">
        <v>360</v>
      </c>
      <c r="AJ130" s="20">
        <v>93</v>
      </c>
      <c r="AK130" s="20">
        <v>90</v>
      </c>
      <c r="AL130" s="20">
        <v>356</v>
      </c>
      <c r="AM130" s="20">
        <v>351</v>
      </c>
      <c r="AN130" s="20">
        <v>84</v>
      </c>
      <c r="AO130" s="20">
        <v>99</v>
      </c>
      <c r="AP130" s="20">
        <v>375</v>
      </c>
      <c r="AQ130" s="20">
        <v>328.5</v>
      </c>
      <c r="AR130" s="20">
        <v>87</v>
      </c>
      <c r="AS130" s="20">
        <v>85.5</v>
      </c>
      <c r="AT130" s="20">
        <v>356</v>
      </c>
      <c r="AU130" s="20">
        <v>333</v>
      </c>
      <c r="AV130" s="20">
        <v>84</v>
      </c>
      <c r="AW130" s="20">
        <v>81</v>
      </c>
      <c r="AX130" s="20">
        <v>347</v>
      </c>
      <c r="AY130" s="20">
        <v>279.5</v>
      </c>
      <c r="AZ130" s="20">
        <v>93</v>
      </c>
      <c r="BA130" s="20">
        <v>60.5</v>
      </c>
      <c r="BB130" s="20">
        <v>402</v>
      </c>
      <c r="BC130" s="20">
        <v>334</v>
      </c>
      <c r="BD130" s="20">
        <v>104</v>
      </c>
      <c r="BE130" s="20">
        <v>90</v>
      </c>
      <c r="BF130" s="23">
        <v>28.72709</v>
      </c>
      <c r="BG130" s="23">
        <v>77.124960000000002</v>
      </c>
      <c r="BH130" s="31">
        <f t="shared" si="62"/>
        <v>402</v>
      </c>
      <c r="BI130" s="31">
        <f t="shared" si="63"/>
        <v>334</v>
      </c>
      <c r="BJ130" s="37">
        <f t="shared" si="64"/>
        <v>68</v>
      </c>
      <c r="BK130" s="37">
        <f t="shared" si="65"/>
        <v>20.359281437125748</v>
      </c>
      <c r="BL130" s="36">
        <f t="shared" si="66"/>
        <v>104</v>
      </c>
      <c r="BM130" s="36">
        <f t="shared" si="67"/>
        <v>90</v>
      </c>
      <c r="BN130" s="37">
        <f t="shared" si="68"/>
        <v>14</v>
      </c>
      <c r="BO130" s="37">
        <f t="shared" si="69"/>
        <v>15.555555555555555</v>
      </c>
      <c r="BP130" s="38">
        <f t="shared" si="70"/>
        <v>4284</v>
      </c>
      <c r="BQ130" s="39">
        <f>J130+N130+S130+W130+AA130+AE130+AI130+AM130+AQ130+AU130+Table1[[#This Row],[MS-0225]]+Table1[[#This Row],[MS-0325]]</f>
        <v>4227</v>
      </c>
      <c r="BR130" s="37">
        <f t="shared" si="71"/>
        <v>57</v>
      </c>
      <c r="BS130" s="37">
        <f t="shared" si="72"/>
        <v>1.3484740951029099</v>
      </c>
      <c r="BT130" s="36">
        <f t="shared" si="73"/>
        <v>1128</v>
      </c>
      <c r="BU130" s="36">
        <f t="shared" si="74"/>
        <v>1216</v>
      </c>
      <c r="BV130" s="37">
        <f t="shared" si="75"/>
        <v>-88</v>
      </c>
      <c r="BW130" s="37">
        <f t="shared" si="76"/>
        <v>-7.2368421052631584</v>
      </c>
      <c r="BX130">
        <v>0</v>
      </c>
      <c r="BY130" s="83">
        <f t="shared" si="77"/>
        <v>0</v>
      </c>
      <c r="BZ130">
        <v>0</v>
      </c>
      <c r="CA130" s="83">
        <f t="shared" si="78"/>
        <v>0</v>
      </c>
      <c r="CB130" s="96">
        <f t="shared" si="79"/>
        <v>0.20764462809917356</v>
      </c>
      <c r="CC130" s="96">
        <f t="shared" si="80"/>
        <v>0.18093174431202599</v>
      </c>
      <c r="CD130" s="97">
        <f t="shared" si="81"/>
        <v>2.6712883787147562E-2</v>
      </c>
      <c r="CE130" s="96">
        <f t="shared" si="82"/>
        <v>0.25</v>
      </c>
      <c r="CF130" s="96">
        <f t="shared" si="83"/>
        <v>0.20179372197309417</v>
      </c>
      <c r="CG130" s="96">
        <f t="shared" si="84"/>
        <v>4.820627802690583E-2</v>
      </c>
      <c r="CH130" s="95">
        <f t="shared" si="85"/>
        <v>0.18825390547755586</v>
      </c>
      <c r="CI130" s="95">
        <f t="shared" si="86"/>
        <v>0.19200981170628403</v>
      </c>
      <c r="CJ130" s="98">
        <f t="shared" si="87"/>
        <v>-3.7559062287281786E-3</v>
      </c>
      <c r="CK130" s="95">
        <f t="shared" si="88"/>
        <v>0.21681883709754926</v>
      </c>
      <c r="CL130" s="95">
        <f t="shared" si="89"/>
        <v>0.22087003905185723</v>
      </c>
      <c r="CM130" s="98">
        <f t="shared" si="90"/>
        <v>-4.0512019543079703E-3</v>
      </c>
      <c r="CN130" s="94">
        <f t="shared" si="91"/>
        <v>1.317777338342891</v>
      </c>
      <c r="CO130" s="94">
        <f t="shared" si="92"/>
        <v>1.5177318596828449</v>
      </c>
      <c r="CP130" s="141">
        <f>BD130-AZ130</f>
        <v>11</v>
      </c>
    </row>
    <row r="131" spans="1:94" ht="24.5" x14ac:dyDescent="0.35">
      <c r="A131" s="103">
        <v>41057003</v>
      </c>
      <c r="B131" s="9" t="s">
        <v>380</v>
      </c>
      <c r="C131" s="48" t="s">
        <v>409</v>
      </c>
      <c r="D131" s="14" t="s">
        <v>410</v>
      </c>
      <c r="E131" s="10" t="s">
        <v>187</v>
      </c>
      <c r="F131" s="10" t="s">
        <v>321</v>
      </c>
      <c r="G131" s="12" t="s">
        <v>321</v>
      </c>
      <c r="H131" s="51" t="s">
        <v>189</v>
      </c>
      <c r="I131" s="25" t="s">
        <v>86</v>
      </c>
      <c r="J131" s="20">
        <v>352.5</v>
      </c>
      <c r="K131" s="20">
        <v>379</v>
      </c>
      <c r="L131" s="20">
        <v>163.5</v>
      </c>
      <c r="M131" s="20">
        <v>137</v>
      </c>
      <c r="N131" s="18">
        <v>405</v>
      </c>
      <c r="O131" s="18">
        <v>430.5</v>
      </c>
      <c r="P131" s="18">
        <v>155</v>
      </c>
      <c r="Q131" s="18">
        <v>149.5</v>
      </c>
      <c r="R131" s="20">
        <v>405</v>
      </c>
      <c r="S131" s="20">
        <v>387.5</v>
      </c>
      <c r="T131" s="20">
        <v>142</v>
      </c>
      <c r="U131" s="20">
        <v>148.5</v>
      </c>
      <c r="V131" s="20">
        <v>455</v>
      </c>
      <c r="W131" s="20">
        <v>420</v>
      </c>
      <c r="X131" s="20">
        <v>136</v>
      </c>
      <c r="Y131" s="20">
        <v>155</v>
      </c>
      <c r="Z131" s="20">
        <v>445.5</v>
      </c>
      <c r="AA131" s="20">
        <v>409</v>
      </c>
      <c r="AB131" s="20">
        <v>142.5</v>
      </c>
      <c r="AC131" s="20">
        <v>154</v>
      </c>
      <c r="AD131" s="20">
        <v>439.5</v>
      </c>
      <c r="AE131" s="20">
        <v>392.5</v>
      </c>
      <c r="AF131" s="20">
        <v>158.5</v>
      </c>
      <c r="AG131" s="20">
        <v>148.5</v>
      </c>
      <c r="AH131" s="20">
        <v>447</v>
      </c>
      <c r="AI131" s="20">
        <v>408.5</v>
      </c>
      <c r="AJ131" s="20">
        <v>158</v>
      </c>
      <c r="AK131" s="20">
        <v>169.5</v>
      </c>
      <c r="AL131" s="20">
        <v>430.5</v>
      </c>
      <c r="AM131" s="20">
        <v>390</v>
      </c>
      <c r="AN131" s="20">
        <v>129.5</v>
      </c>
      <c r="AO131" s="20">
        <v>135</v>
      </c>
      <c r="AP131" s="20">
        <v>403</v>
      </c>
      <c r="AQ131" s="20">
        <v>375</v>
      </c>
      <c r="AR131" s="20">
        <v>123</v>
      </c>
      <c r="AS131" s="20">
        <v>135</v>
      </c>
      <c r="AT131" s="20">
        <v>416</v>
      </c>
      <c r="AU131" s="20">
        <v>370</v>
      </c>
      <c r="AV131" s="20">
        <v>143</v>
      </c>
      <c r="AW131" s="20">
        <v>130</v>
      </c>
      <c r="AX131" s="20">
        <v>375</v>
      </c>
      <c r="AY131" s="20">
        <v>335</v>
      </c>
      <c r="AZ131" s="20">
        <v>162</v>
      </c>
      <c r="BA131" s="20">
        <v>125</v>
      </c>
      <c r="BB131" s="20">
        <v>430</v>
      </c>
      <c r="BC131" s="20">
        <v>385</v>
      </c>
      <c r="BD131" s="20">
        <v>171</v>
      </c>
      <c r="BE131" s="20">
        <v>140</v>
      </c>
      <c r="BF131" s="23">
        <v>28.637879999999999</v>
      </c>
      <c r="BG131" s="23">
        <v>77.241410000000002</v>
      </c>
      <c r="BH131" s="31">
        <f t="shared" si="62"/>
        <v>430</v>
      </c>
      <c r="BI131" s="31">
        <f t="shared" si="63"/>
        <v>385</v>
      </c>
      <c r="BJ131" s="37">
        <f t="shared" si="64"/>
        <v>45</v>
      </c>
      <c r="BK131" s="37">
        <f t="shared" si="65"/>
        <v>11.688311688311687</v>
      </c>
      <c r="BL131" s="36">
        <f t="shared" si="66"/>
        <v>171</v>
      </c>
      <c r="BM131" s="36">
        <f t="shared" si="67"/>
        <v>140</v>
      </c>
      <c r="BN131" s="37">
        <f t="shared" si="68"/>
        <v>31</v>
      </c>
      <c r="BO131" s="37">
        <f t="shared" si="69"/>
        <v>22.142857142857142</v>
      </c>
      <c r="BP131" s="38">
        <f t="shared" si="70"/>
        <v>5056</v>
      </c>
      <c r="BQ131" s="39">
        <f>J131+N131+S131+W131+AA131+AE131+AI131+AM131+AQ131+AU131+Table1[[#This Row],[MS-0225]]+Table1[[#This Row],[MS-0325]]</f>
        <v>4630</v>
      </c>
      <c r="BR131" s="37">
        <f t="shared" si="71"/>
        <v>426</v>
      </c>
      <c r="BS131" s="37">
        <f t="shared" si="72"/>
        <v>9.2008639308855287</v>
      </c>
      <c r="BT131" s="36">
        <f t="shared" si="73"/>
        <v>1752</v>
      </c>
      <c r="BU131" s="36">
        <f t="shared" si="74"/>
        <v>1759</v>
      </c>
      <c r="BV131" s="37">
        <f t="shared" si="75"/>
        <v>-7</v>
      </c>
      <c r="BW131" s="37">
        <f t="shared" si="76"/>
        <v>-0.39795338260375218</v>
      </c>
      <c r="BX131">
        <v>0</v>
      </c>
      <c r="BY131" s="83">
        <f t="shared" si="77"/>
        <v>0</v>
      </c>
      <c r="BZ131">
        <v>0</v>
      </c>
      <c r="CA131" s="83">
        <f t="shared" si="78"/>
        <v>0</v>
      </c>
      <c r="CB131" s="96">
        <f t="shared" si="79"/>
        <v>0.2992934586282478</v>
      </c>
      <c r="CC131" s="96">
        <f t="shared" si="80"/>
        <v>0.27319418642771282</v>
      </c>
      <c r="CD131" s="97">
        <f t="shared" si="81"/>
        <v>2.6099272200534984E-2</v>
      </c>
      <c r="CE131" s="96">
        <f t="shared" si="82"/>
        <v>0.4449312958428846</v>
      </c>
      <c r="CF131" s="96">
        <f t="shared" si="83"/>
        <v>0.42603175762444701</v>
      </c>
      <c r="CG131" s="96">
        <f t="shared" si="84"/>
        <v>1.8899538218437595E-2</v>
      </c>
      <c r="CH131" s="95">
        <f t="shared" si="85"/>
        <v>0.29313213893582141</v>
      </c>
      <c r="CI131" s="95">
        <f t="shared" si="86"/>
        <v>0.28287929575379367</v>
      </c>
      <c r="CJ131" s="98">
        <f t="shared" si="87"/>
        <v>1.0252843182027738E-2</v>
      </c>
      <c r="CK131" s="95">
        <f t="shared" si="88"/>
        <v>0.43091828884118399</v>
      </c>
      <c r="CL131" s="95">
        <f t="shared" si="89"/>
        <v>0.44161560512384568</v>
      </c>
      <c r="CM131" s="98">
        <f t="shared" si="90"/>
        <v>-1.0697316282661684E-2</v>
      </c>
      <c r="CN131" s="94">
        <f t="shared" si="91"/>
        <v>1.7587928336149283</v>
      </c>
      <c r="CO131" s="94">
        <f t="shared" si="92"/>
        <v>2.585509733047104</v>
      </c>
      <c r="CP131" s="141">
        <f>BD131-AZ131</f>
        <v>9</v>
      </c>
    </row>
    <row r="132" spans="1:94" ht="24.5" x14ac:dyDescent="0.35">
      <c r="A132" s="104">
        <v>106326</v>
      </c>
      <c r="B132" s="5" t="s">
        <v>581</v>
      </c>
      <c r="C132" s="46" t="s">
        <v>860</v>
      </c>
      <c r="D132" s="13" t="s">
        <v>861</v>
      </c>
      <c r="E132" s="6" t="s">
        <v>103</v>
      </c>
      <c r="F132" s="6" t="s">
        <v>211</v>
      </c>
      <c r="G132" s="12" t="s">
        <v>211</v>
      </c>
      <c r="H132" s="51" t="s">
        <v>135</v>
      </c>
      <c r="I132" s="24" t="s">
        <v>83</v>
      </c>
      <c r="J132" s="19">
        <v>303.5</v>
      </c>
      <c r="K132" s="19">
        <v>325</v>
      </c>
      <c r="L132" s="19">
        <v>224.5</v>
      </c>
      <c r="M132" s="19">
        <v>229</v>
      </c>
      <c r="N132" s="18">
        <v>323.5</v>
      </c>
      <c r="O132" s="18">
        <v>320</v>
      </c>
      <c r="P132" s="18">
        <v>238.5</v>
      </c>
      <c r="Q132" s="18">
        <v>196</v>
      </c>
      <c r="R132" s="19">
        <v>323</v>
      </c>
      <c r="S132" s="19">
        <v>317</v>
      </c>
      <c r="T132" s="19">
        <v>215</v>
      </c>
      <c r="U132" s="19">
        <v>225</v>
      </c>
      <c r="V132" s="19">
        <v>330</v>
      </c>
      <c r="W132" s="19">
        <v>320</v>
      </c>
      <c r="X132" s="19">
        <v>202</v>
      </c>
      <c r="Y132" s="19">
        <v>248</v>
      </c>
      <c r="Z132" s="19">
        <v>353</v>
      </c>
      <c r="AA132" s="19">
        <v>315</v>
      </c>
      <c r="AB132" s="19">
        <v>241</v>
      </c>
      <c r="AC132" s="19">
        <v>243</v>
      </c>
      <c r="AD132" s="19">
        <v>325</v>
      </c>
      <c r="AE132" s="19">
        <v>294.5</v>
      </c>
      <c r="AF132" s="19">
        <v>213</v>
      </c>
      <c r="AG132" s="19">
        <v>249.5</v>
      </c>
      <c r="AH132" s="19">
        <v>372.5</v>
      </c>
      <c r="AI132" s="19">
        <v>313.5</v>
      </c>
      <c r="AJ132" s="19">
        <v>243.5</v>
      </c>
      <c r="AK132" s="19">
        <v>252.5</v>
      </c>
      <c r="AL132" s="19">
        <v>370</v>
      </c>
      <c r="AM132" s="19">
        <v>310</v>
      </c>
      <c r="AN132" s="19">
        <v>270</v>
      </c>
      <c r="AO132" s="19">
        <v>222</v>
      </c>
      <c r="AP132" s="19">
        <v>350</v>
      </c>
      <c r="AQ132" s="19">
        <v>284</v>
      </c>
      <c r="AR132" s="19">
        <v>190</v>
      </c>
      <c r="AS132" s="19">
        <v>234</v>
      </c>
      <c r="AT132" s="19">
        <v>340</v>
      </c>
      <c r="AU132" s="19">
        <v>310</v>
      </c>
      <c r="AV132" s="19">
        <v>218</v>
      </c>
      <c r="AW132" s="19">
        <v>150</v>
      </c>
      <c r="AX132" s="19">
        <v>347</v>
      </c>
      <c r="AY132" s="19">
        <v>260</v>
      </c>
      <c r="AZ132" s="19">
        <v>205</v>
      </c>
      <c r="BA132" s="19">
        <v>202</v>
      </c>
      <c r="BB132" s="19">
        <v>387</v>
      </c>
      <c r="BC132" s="19">
        <v>305</v>
      </c>
      <c r="BD132" s="19">
        <v>305</v>
      </c>
      <c r="BE132" s="19">
        <v>235</v>
      </c>
      <c r="BF132" s="23">
        <v>28.524899999999999</v>
      </c>
      <c r="BG132" s="23">
        <v>77.101100000000002</v>
      </c>
      <c r="BH132" s="31">
        <f t="shared" si="62"/>
        <v>387</v>
      </c>
      <c r="BI132" s="31">
        <f t="shared" si="63"/>
        <v>305</v>
      </c>
      <c r="BJ132" s="37">
        <f t="shared" si="64"/>
        <v>82</v>
      </c>
      <c r="BK132" s="37">
        <f t="shared" si="65"/>
        <v>26.885245901639344</v>
      </c>
      <c r="BL132" s="36">
        <f t="shared" si="66"/>
        <v>305</v>
      </c>
      <c r="BM132" s="36">
        <f t="shared" si="67"/>
        <v>235</v>
      </c>
      <c r="BN132" s="37">
        <f t="shared" si="68"/>
        <v>70</v>
      </c>
      <c r="BO132" s="37">
        <f t="shared" si="69"/>
        <v>29.787234042553191</v>
      </c>
      <c r="BP132" s="38">
        <f t="shared" si="70"/>
        <v>4142.5</v>
      </c>
      <c r="BQ132" s="39">
        <f>J132+N132+S132+W132+AA132+AE132+AI132+AM132+AQ132+AU132+Table1[[#This Row],[MS-0225]]+Table1[[#This Row],[MS-0325]]</f>
        <v>3656</v>
      </c>
      <c r="BR132" s="37">
        <f t="shared" si="71"/>
        <v>486.5</v>
      </c>
      <c r="BS132" s="37">
        <f t="shared" si="72"/>
        <v>13.306892778993435</v>
      </c>
      <c r="BT132" s="36">
        <f t="shared" si="73"/>
        <v>2727.5</v>
      </c>
      <c r="BU132" s="36">
        <f t="shared" si="74"/>
        <v>2724</v>
      </c>
      <c r="BV132" s="37">
        <f t="shared" si="75"/>
        <v>3.5</v>
      </c>
      <c r="BW132" s="37">
        <f t="shared" si="76"/>
        <v>0.12848751835535976</v>
      </c>
      <c r="BX132">
        <v>0</v>
      </c>
      <c r="BY132" s="83">
        <f t="shared" si="77"/>
        <v>0</v>
      </c>
      <c r="BZ132">
        <v>0</v>
      </c>
      <c r="CA132" s="83">
        <f t="shared" si="78"/>
        <v>0</v>
      </c>
      <c r="CB132" s="96">
        <f t="shared" si="79"/>
        <v>0.34081902245706736</v>
      </c>
      <c r="CC132" s="96">
        <f t="shared" si="80"/>
        <v>0.2965483714146816</v>
      </c>
      <c r="CD132" s="97">
        <f t="shared" si="81"/>
        <v>4.4270651042385756E-2</v>
      </c>
      <c r="CE132" s="96">
        <f t="shared" si="82"/>
        <v>0.41723666210670313</v>
      </c>
      <c r="CF132" s="96">
        <f t="shared" si="83"/>
        <v>0.35633055344958303</v>
      </c>
      <c r="CG132" s="96">
        <f t="shared" si="84"/>
        <v>6.0906108657120095E-2</v>
      </c>
      <c r="CH132" s="95">
        <f t="shared" si="85"/>
        <v>0.30353544605239052</v>
      </c>
      <c r="CI132" s="95">
        <f t="shared" si="86"/>
        <v>0.30012724208018265</v>
      </c>
      <c r="CJ132" s="98">
        <f t="shared" si="87"/>
        <v>3.4082039722078683E-3</v>
      </c>
      <c r="CK132" s="95">
        <f t="shared" si="88"/>
        <v>0.35168590032879893</v>
      </c>
      <c r="CL132" s="95">
        <f t="shared" si="89"/>
        <v>0.34101151727591389</v>
      </c>
      <c r="CM132" s="98">
        <f t="shared" si="90"/>
        <v>1.0674383052885039E-2</v>
      </c>
      <c r="CN132" s="94">
        <f t="shared" si="91"/>
        <v>1.5176772302619526</v>
      </c>
      <c r="CO132" s="94">
        <f t="shared" si="92"/>
        <v>1.7584295016439946</v>
      </c>
    </row>
    <row r="133" spans="1:94" ht="48.5" x14ac:dyDescent="0.35">
      <c r="A133" s="104">
        <v>106224</v>
      </c>
      <c r="B133" s="5" t="s">
        <v>581</v>
      </c>
      <c r="C133" s="46" t="s">
        <v>677</v>
      </c>
      <c r="D133" s="13" t="s">
        <v>678</v>
      </c>
      <c r="E133" s="6" t="s">
        <v>94</v>
      </c>
      <c r="F133" s="6" t="s">
        <v>511</v>
      </c>
      <c r="G133" s="12" t="s">
        <v>511</v>
      </c>
      <c r="H133" s="51" t="s">
        <v>96</v>
      </c>
      <c r="I133" s="24" t="s">
        <v>83</v>
      </c>
      <c r="J133" s="19">
        <v>337.5</v>
      </c>
      <c r="K133" s="19">
        <v>363.5</v>
      </c>
      <c r="L133" s="19">
        <v>58.5</v>
      </c>
      <c r="M133" s="19">
        <v>68.5</v>
      </c>
      <c r="N133" s="18">
        <v>351</v>
      </c>
      <c r="O133" s="18">
        <v>381</v>
      </c>
      <c r="P133" s="18">
        <v>81</v>
      </c>
      <c r="Q133" s="18">
        <v>65</v>
      </c>
      <c r="R133" s="19">
        <v>345.5</v>
      </c>
      <c r="S133" s="19">
        <v>322</v>
      </c>
      <c r="T133" s="19">
        <v>64.5</v>
      </c>
      <c r="U133" s="19">
        <v>80</v>
      </c>
      <c r="V133" s="19">
        <v>389.5</v>
      </c>
      <c r="W133" s="19">
        <v>358.5</v>
      </c>
      <c r="X133" s="19">
        <v>64.5</v>
      </c>
      <c r="Y133" s="19">
        <v>77.5</v>
      </c>
      <c r="Z133" s="19">
        <v>385</v>
      </c>
      <c r="AA133" s="19">
        <v>361</v>
      </c>
      <c r="AB133" s="19">
        <v>69</v>
      </c>
      <c r="AC133" s="19">
        <v>69</v>
      </c>
      <c r="AD133" s="19">
        <v>366</v>
      </c>
      <c r="AE133" s="19">
        <v>346.5</v>
      </c>
      <c r="AF133" s="19">
        <v>64</v>
      </c>
      <c r="AG133" s="19">
        <v>67.5</v>
      </c>
      <c r="AH133" s="19">
        <v>371</v>
      </c>
      <c r="AI133" s="19">
        <v>374</v>
      </c>
      <c r="AJ133" s="19">
        <v>65</v>
      </c>
      <c r="AK133" s="19">
        <v>72</v>
      </c>
      <c r="AL133" s="19">
        <v>344</v>
      </c>
      <c r="AM133" s="19">
        <v>323</v>
      </c>
      <c r="AN133" s="19">
        <v>52</v>
      </c>
      <c r="AO133" s="19">
        <v>55</v>
      </c>
      <c r="AP133" s="19">
        <v>346</v>
      </c>
      <c r="AQ133" s="19">
        <v>340</v>
      </c>
      <c r="AR133" s="19">
        <v>48</v>
      </c>
      <c r="AS133" s="19">
        <v>54</v>
      </c>
      <c r="AT133" s="19">
        <v>331.5</v>
      </c>
      <c r="AU133" s="19">
        <v>324.5</v>
      </c>
      <c r="AV133" s="19">
        <v>52.5</v>
      </c>
      <c r="AW133" s="19">
        <v>53.5</v>
      </c>
      <c r="AX133" s="19">
        <v>322</v>
      </c>
      <c r="AY133" s="19">
        <v>312</v>
      </c>
      <c r="AZ133" s="19">
        <v>44</v>
      </c>
      <c r="BA133" s="19">
        <v>54</v>
      </c>
      <c r="BB133" s="19">
        <v>381.5</v>
      </c>
      <c r="BC133" s="19">
        <v>343</v>
      </c>
      <c r="BD133" s="19">
        <v>64.5</v>
      </c>
      <c r="BE133" s="19">
        <v>61</v>
      </c>
      <c r="BF133" s="23">
        <v>28.553699999999999</v>
      </c>
      <c r="BG133" s="23">
        <v>77.211799999999997</v>
      </c>
      <c r="BH133" s="31">
        <f t="shared" si="62"/>
        <v>381.5</v>
      </c>
      <c r="BI133" s="31">
        <f t="shared" si="63"/>
        <v>343</v>
      </c>
      <c r="BJ133" s="37">
        <f t="shared" si="64"/>
        <v>38.5</v>
      </c>
      <c r="BK133" s="37">
        <f t="shared" si="65"/>
        <v>11.224489795918368</v>
      </c>
      <c r="BL133" s="36">
        <f t="shared" si="66"/>
        <v>64.5</v>
      </c>
      <c r="BM133" s="36">
        <f t="shared" si="67"/>
        <v>61</v>
      </c>
      <c r="BN133" s="37">
        <f t="shared" si="68"/>
        <v>3.5</v>
      </c>
      <c r="BO133" s="37">
        <f t="shared" si="69"/>
        <v>5.7377049180327866</v>
      </c>
      <c r="BP133" s="38">
        <f t="shared" si="70"/>
        <v>4326.5</v>
      </c>
      <c r="BQ133" s="39">
        <f>J133+N133+S133+W133+AA133+AE133+AI133+AM133+AQ133+AU133+Table1[[#This Row],[MS-0225]]+Table1[[#This Row],[MS-0325]]</f>
        <v>4093</v>
      </c>
      <c r="BR133" s="37">
        <f t="shared" si="71"/>
        <v>233.5</v>
      </c>
      <c r="BS133" s="37">
        <f t="shared" si="72"/>
        <v>5.704861959442951</v>
      </c>
      <c r="BT133" s="36">
        <f t="shared" si="73"/>
        <v>721.5</v>
      </c>
      <c r="BU133" s="36">
        <f t="shared" si="74"/>
        <v>783</v>
      </c>
      <c r="BV133" s="37">
        <f t="shared" si="75"/>
        <v>-61.5</v>
      </c>
      <c r="BW133" s="37">
        <f t="shared" si="76"/>
        <v>-7.8544061302681989</v>
      </c>
      <c r="BX133">
        <v>0</v>
      </c>
      <c r="BY133" s="83">
        <f t="shared" si="77"/>
        <v>0</v>
      </c>
      <c r="BZ133">
        <v>0</v>
      </c>
      <c r="CA133" s="83">
        <f t="shared" si="78"/>
        <v>0</v>
      </c>
      <c r="CB133" s="96">
        <f t="shared" si="79"/>
        <v>0.58377964804896709</v>
      </c>
      <c r="CC133" s="96">
        <f t="shared" si="80"/>
        <v>0.51969696969696966</v>
      </c>
      <c r="CD133" s="97">
        <f t="shared" si="81"/>
        <v>6.4082678351997435E-2</v>
      </c>
      <c r="CE133" s="96">
        <f t="shared" si="82"/>
        <v>0.57847533632286996</v>
      </c>
      <c r="CF133" s="96">
        <f t="shared" si="83"/>
        <v>0.4621212121212121</v>
      </c>
      <c r="CG133" s="96">
        <f t="shared" si="84"/>
        <v>0.11635412420165786</v>
      </c>
      <c r="CH133" s="95">
        <f t="shared" si="85"/>
        <v>0.52611354518934128</v>
      </c>
      <c r="CI133" s="95">
        <f t="shared" si="86"/>
        <v>0.52881136950904395</v>
      </c>
      <c r="CJ133" s="98">
        <f t="shared" si="87"/>
        <v>-2.6978243197026686E-3</v>
      </c>
      <c r="CK133" s="95">
        <f t="shared" si="88"/>
        <v>0.51925152932709606</v>
      </c>
      <c r="CL133" s="95">
        <f t="shared" si="89"/>
        <v>0.46386255924170616</v>
      </c>
      <c r="CM133" s="98">
        <f t="shared" si="90"/>
        <v>5.5388970085389899E-2</v>
      </c>
      <c r="CN133" s="94">
        <f t="shared" si="91"/>
        <v>1.0522270903786826</v>
      </c>
      <c r="CO133" s="94">
        <f t="shared" si="92"/>
        <v>1.0385030586541921</v>
      </c>
    </row>
    <row r="134" spans="1:94" ht="24.5" x14ac:dyDescent="0.35">
      <c r="A134" s="103">
        <v>41019268</v>
      </c>
      <c r="B134" s="9" t="s">
        <v>380</v>
      </c>
      <c r="C134" s="47" t="s">
        <v>516</v>
      </c>
      <c r="D134" s="14" t="s">
        <v>517</v>
      </c>
      <c r="E134" s="10" t="s">
        <v>169</v>
      </c>
      <c r="F134" s="10" t="s">
        <v>488</v>
      </c>
      <c r="G134" s="12" t="s">
        <v>488</v>
      </c>
      <c r="H134" s="51" t="s">
        <v>172</v>
      </c>
      <c r="I134" s="25" t="s">
        <v>78</v>
      </c>
      <c r="J134" s="20">
        <v>323.5</v>
      </c>
      <c r="K134" s="20">
        <v>291</v>
      </c>
      <c r="L134" s="20">
        <v>32.5</v>
      </c>
      <c r="M134" s="20">
        <v>17</v>
      </c>
      <c r="N134" s="18">
        <v>284.5</v>
      </c>
      <c r="O134" s="18">
        <v>316</v>
      </c>
      <c r="P134" s="18">
        <v>39.5</v>
      </c>
      <c r="Q134" s="18">
        <v>34</v>
      </c>
      <c r="R134" s="20">
        <v>284.5</v>
      </c>
      <c r="S134" s="20">
        <v>330</v>
      </c>
      <c r="T134" s="20">
        <v>32.5</v>
      </c>
      <c r="U134" s="20">
        <v>32</v>
      </c>
      <c r="V134" s="20">
        <v>305</v>
      </c>
      <c r="W134" s="20">
        <v>340</v>
      </c>
      <c r="X134" s="20">
        <v>25</v>
      </c>
      <c r="Y134" s="20">
        <v>27</v>
      </c>
      <c r="Z134" s="20">
        <v>358</v>
      </c>
      <c r="AA134" s="20">
        <v>265.5</v>
      </c>
      <c r="AB134" s="20">
        <v>34</v>
      </c>
      <c r="AC134" s="20">
        <v>22.5</v>
      </c>
      <c r="AD134" s="20">
        <v>350</v>
      </c>
      <c r="AE134" s="20">
        <v>284.5</v>
      </c>
      <c r="AF134" s="20">
        <v>24</v>
      </c>
      <c r="AG134" s="20">
        <v>23.5</v>
      </c>
      <c r="AH134" s="20">
        <v>364</v>
      </c>
      <c r="AI134" s="20">
        <v>339</v>
      </c>
      <c r="AJ134" s="20">
        <v>28</v>
      </c>
      <c r="AK134" s="20">
        <v>27</v>
      </c>
      <c r="AL134" s="20">
        <v>347</v>
      </c>
      <c r="AM134" s="20">
        <v>275.5</v>
      </c>
      <c r="AN134" s="20">
        <v>30</v>
      </c>
      <c r="AO134" s="20">
        <v>23.5</v>
      </c>
      <c r="AP134" s="20">
        <v>338</v>
      </c>
      <c r="AQ134" s="20">
        <v>241.5</v>
      </c>
      <c r="AR134" s="20">
        <v>32</v>
      </c>
      <c r="AS134" s="20">
        <v>22.5</v>
      </c>
      <c r="AT134" s="20">
        <v>327</v>
      </c>
      <c r="AU134" s="20">
        <v>255.5</v>
      </c>
      <c r="AV134" s="20">
        <v>25</v>
      </c>
      <c r="AW134" s="20">
        <v>24.5</v>
      </c>
      <c r="AX134" s="20">
        <v>324</v>
      </c>
      <c r="AY134" s="20">
        <v>280</v>
      </c>
      <c r="AZ134" s="20">
        <v>28</v>
      </c>
      <c r="BA134" s="20">
        <v>28</v>
      </c>
      <c r="BB134" s="20">
        <v>381</v>
      </c>
      <c r="BC134" s="20">
        <v>291</v>
      </c>
      <c r="BD134" s="20">
        <v>37</v>
      </c>
      <c r="BE134" s="20">
        <v>29</v>
      </c>
      <c r="BF134" s="23">
        <v>28.675269</v>
      </c>
      <c r="BG134" s="23">
        <v>77.291313000000002</v>
      </c>
      <c r="BH134" s="31">
        <f t="shared" si="62"/>
        <v>381</v>
      </c>
      <c r="BI134" s="31">
        <f t="shared" si="63"/>
        <v>291</v>
      </c>
      <c r="BJ134" s="37">
        <f t="shared" si="64"/>
        <v>90</v>
      </c>
      <c r="BK134" s="37">
        <f t="shared" si="65"/>
        <v>30.927835051546392</v>
      </c>
      <c r="BL134" s="36">
        <f t="shared" si="66"/>
        <v>37</v>
      </c>
      <c r="BM134" s="36">
        <f t="shared" si="67"/>
        <v>29</v>
      </c>
      <c r="BN134" s="37">
        <f t="shared" si="68"/>
        <v>8</v>
      </c>
      <c r="BO134" s="37">
        <f t="shared" si="69"/>
        <v>27.586206896551722</v>
      </c>
      <c r="BP134" s="38">
        <f t="shared" si="70"/>
        <v>3985.5</v>
      </c>
      <c r="BQ134" s="39">
        <f>J134+N134+S134+W134+AA134+AE134+AI134+AM134+AQ134+AU134+Table1[[#This Row],[MS-0225]]+Table1[[#This Row],[MS-0325]]</f>
        <v>3510.5</v>
      </c>
      <c r="BR134" s="37">
        <f t="shared" si="71"/>
        <v>475</v>
      </c>
      <c r="BS134" s="37">
        <f t="shared" si="72"/>
        <v>13.530836063238855</v>
      </c>
      <c r="BT134" s="36">
        <f t="shared" si="73"/>
        <v>346.5</v>
      </c>
      <c r="BU134" s="36">
        <f t="shared" si="74"/>
        <v>331.5</v>
      </c>
      <c r="BV134" s="37">
        <f t="shared" si="75"/>
        <v>15</v>
      </c>
      <c r="BW134" s="37">
        <f t="shared" si="76"/>
        <v>4.5248868778280542</v>
      </c>
      <c r="BX134">
        <v>0</v>
      </c>
      <c r="BY134" s="83">
        <f t="shared" si="77"/>
        <v>0</v>
      </c>
      <c r="BZ134">
        <v>0</v>
      </c>
      <c r="CA134" s="83">
        <f t="shared" si="78"/>
        <v>0</v>
      </c>
      <c r="CB134" s="96">
        <f t="shared" si="79"/>
        <v>0.16813768755516328</v>
      </c>
      <c r="CC134" s="96">
        <f t="shared" si="80"/>
        <v>0.13617220402433317</v>
      </c>
      <c r="CD134" s="97">
        <f t="shared" si="81"/>
        <v>3.1965483530830119E-2</v>
      </c>
      <c r="CE134" s="96">
        <f t="shared" si="82"/>
        <v>0.16228070175438597</v>
      </c>
      <c r="CF134" s="96">
        <f t="shared" si="83"/>
        <v>0.11600000000000001</v>
      </c>
      <c r="CG134" s="96">
        <f t="shared" si="84"/>
        <v>4.6280701754385964E-2</v>
      </c>
      <c r="CH134" s="95">
        <f t="shared" si="85"/>
        <v>0.15325898865602769</v>
      </c>
      <c r="CI134" s="95">
        <f t="shared" si="86"/>
        <v>0.14201626279380233</v>
      </c>
      <c r="CJ134" s="98">
        <f t="shared" si="87"/>
        <v>1.1242725862225356E-2</v>
      </c>
      <c r="CK134" s="95">
        <f t="shared" si="88"/>
        <v>0.1204798331015299</v>
      </c>
      <c r="CL134" s="95">
        <f t="shared" si="89"/>
        <v>0.10672891178364456</v>
      </c>
      <c r="CM134" s="98">
        <f t="shared" si="90"/>
        <v>1.3750921317885342E-2</v>
      </c>
      <c r="CN134" s="94">
        <f t="shared" si="91"/>
        <v>0.76629494328013847</v>
      </c>
      <c r="CO134" s="94">
        <f t="shared" si="92"/>
        <v>0.60239916550764949</v>
      </c>
    </row>
    <row r="135" spans="1:94" ht="24.5" x14ac:dyDescent="0.35">
      <c r="A135" s="103">
        <v>41057009</v>
      </c>
      <c r="B135" s="9" t="s">
        <v>380</v>
      </c>
      <c r="C135" s="48" t="s">
        <v>506</v>
      </c>
      <c r="D135" s="14" t="s">
        <v>507</v>
      </c>
      <c r="E135" s="10" t="s">
        <v>111</v>
      </c>
      <c r="F135" s="10" t="s">
        <v>112</v>
      </c>
      <c r="G135" s="12" t="s">
        <v>112</v>
      </c>
      <c r="H135" s="51" t="s">
        <v>113</v>
      </c>
      <c r="I135" s="25" t="s">
        <v>78</v>
      </c>
      <c r="J135" s="20">
        <v>381.5</v>
      </c>
      <c r="K135" s="20">
        <v>308</v>
      </c>
      <c r="L135" s="20">
        <v>79.5</v>
      </c>
      <c r="M135" s="20">
        <v>44</v>
      </c>
      <c r="N135" s="18">
        <v>401.5</v>
      </c>
      <c r="O135" s="18">
        <v>357</v>
      </c>
      <c r="P135" s="18">
        <v>84.5</v>
      </c>
      <c r="Q135" s="18">
        <v>58</v>
      </c>
      <c r="R135" s="20">
        <v>330</v>
      </c>
      <c r="S135" s="20">
        <v>370</v>
      </c>
      <c r="T135" s="20">
        <v>56</v>
      </c>
      <c r="U135" s="20">
        <v>80</v>
      </c>
      <c r="V135" s="20">
        <v>357.5</v>
      </c>
      <c r="W135" s="20">
        <v>395</v>
      </c>
      <c r="X135" s="20">
        <v>49.5</v>
      </c>
      <c r="Y135" s="20">
        <v>80</v>
      </c>
      <c r="Z135" s="20">
        <v>388.5</v>
      </c>
      <c r="AA135" s="20">
        <v>415</v>
      </c>
      <c r="AB135" s="20">
        <v>64.5</v>
      </c>
      <c r="AC135" s="20">
        <v>85</v>
      </c>
      <c r="AD135" s="20">
        <v>340</v>
      </c>
      <c r="AE135" s="20">
        <v>385</v>
      </c>
      <c r="AF135" s="20">
        <v>66</v>
      </c>
      <c r="AG135" s="20">
        <v>88</v>
      </c>
      <c r="AH135" s="20">
        <v>380</v>
      </c>
      <c r="AI135" s="20">
        <v>403</v>
      </c>
      <c r="AJ135" s="20">
        <v>62</v>
      </c>
      <c r="AK135" s="20">
        <v>84</v>
      </c>
      <c r="AL135" s="20">
        <v>382</v>
      </c>
      <c r="AM135" s="20">
        <v>365</v>
      </c>
      <c r="AN135" s="20">
        <v>62</v>
      </c>
      <c r="AO135" s="20">
        <v>60</v>
      </c>
      <c r="AP135" s="20">
        <v>363</v>
      </c>
      <c r="AQ135" s="20">
        <v>342</v>
      </c>
      <c r="AR135" s="20">
        <v>46</v>
      </c>
      <c r="AS135" s="20">
        <v>44</v>
      </c>
      <c r="AT135" s="20">
        <v>324</v>
      </c>
      <c r="AU135" s="20">
        <v>327</v>
      </c>
      <c r="AV135" s="20">
        <v>55</v>
      </c>
      <c r="AW135" s="20">
        <v>59</v>
      </c>
      <c r="AX135" s="20">
        <v>330</v>
      </c>
      <c r="AY135" s="20">
        <v>333</v>
      </c>
      <c r="AZ135" s="20">
        <v>54</v>
      </c>
      <c r="BA135" s="20">
        <v>54</v>
      </c>
      <c r="BB135" s="20">
        <v>380</v>
      </c>
      <c r="BC135" s="20">
        <v>340</v>
      </c>
      <c r="BD135" s="20">
        <v>59</v>
      </c>
      <c r="BE135" s="20">
        <v>42</v>
      </c>
      <c r="BF135" s="23">
        <v>28.494389999999999</v>
      </c>
      <c r="BG135" s="23">
        <v>77.303719999999998</v>
      </c>
      <c r="BH135" s="31">
        <f t="shared" si="62"/>
        <v>380</v>
      </c>
      <c r="BI135" s="31">
        <f t="shared" si="63"/>
        <v>340</v>
      </c>
      <c r="BJ135" s="37">
        <f t="shared" si="64"/>
        <v>40</v>
      </c>
      <c r="BK135" s="37">
        <f t="shared" si="65"/>
        <v>11.76470588235294</v>
      </c>
      <c r="BL135" s="36">
        <f t="shared" si="66"/>
        <v>59</v>
      </c>
      <c r="BM135" s="36">
        <f t="shared" si="67"/>
        <v>42</v>
      </c>
      <c r="BN135" s="37">
        <f t="shared" si="68"/>
        <v>17</v>
      </c>
      <c r="BO135" s="37">
        <f t="shared" si="69"/>
        <v>40.476190476190474</v>
      </c>
      <c r="BP135" s="38">
        <f t="shared" si="70"/>
        <v>4240</v>
      </c>
      <c r="BQ135" s="39">
        <f>J135+N135+S135+W135+AA135+AE135+AI135+AM135+AQ135+AU135+Table1[[#This Row],[MS-0225]]+Table1[[#This Row],[MS-0325]]</f>
        <v>4458</v>
      </c>
      <c r="BR135" s="37">
        <f t="shared" si="71"/>
        <v>-218</v>
      </c>
      <c r="BS135" s="37">
        <f t="shared" si="72"/>
        <v>-4.8900852400179451</v>
      </c>
      <c r="BT135" s="36">
        <f t="shared" si="73"/>
        <v>676</v>
      </c>
      <c r="BU135" s="36">
        <f t="shared" si="74"/>
        <v>840</v>
      </c>
      <c r="BV135" s="37">
        <f t="shared" si="75"/>
        <v>-164</v>
      </c>
      <c r="BW135" s="37">
        <f t="shared" si="76"/>
        <v>-19.523809523809526</v>
      </c>
      <c r="BX135">
        <v>0</v>
      </c>
      <c r="BY135" s="83">
        <f t="shared" si="77"/>
        <v>0</v>
      </c>
      <c r="BZ135">
        <v>0</v>
      </c>
      <c r="CA135" s="83">
        <f t="shared" si="78"/>
        <v>0</v>
      </c>
      <c r="CB135" s="96">
        <f t="shared" si="79"/>
        <v>6.9028156221616718E-2</v>
      </c>
      <c r="CC135" s="96">
        <f t="shared" si="80"/>
        <v>6.5121624209921472E-2</v>
      </c>
      <c r="CD135" s="97">
        <f t="shared" si="81"/>
        <v>3.9065320116952462E-3</v>
      </c>
      <c r="CE135" s="96">
        <f t="shared" si="82"/>
        <v>4.1000694927032663E-2</v>
      </c>
      <c r="CF135" s="96">
        <f t="shared" si="83"/>
        <v>2.7009646302250803E-2</v>
      </c>
      <c r="CG135" s="96">
        <f t="shared" si="84"/>
        <v>1.3991048624781861E-2</v>
      </c>
      <c r="CH135" s="95">
        <f t="shared" si="85"/>
        <v>6.6024073872218508E-2</v>
      </c>
      <c r="CI135" s="95">
        <f t="shared" si="86"/>
        <v>6.9893779599014508E-2</v>
      </c>
      <c r="CJ135" s="98">
        <f t="shared" si="87"/>
        <v>-3.8697057267959994E-3</v>
      </c>
      <c r="CK135" s="95">
        <f t="shared" si="88"/>
        <v>3.7655971479500894E-2</v>
      </c>
      <c r="CL135" s="95">
        <f t="shared" si="89"/>
        <v>4.0191387559808611E-2</v>
      </c>
      <c r="CM135" s="98">
        <f t="shared" si="90"/>
        <v>-2.5354160803077175E-3</v>
      </c>
      <c r="CN135" s="94">
        <f t="shared" si="91"/>
        <v>0.72626481259440356</v>
      </c>
      <c r="CO135" s="94">
        <f t="shared" si="92"/>
        <v>0.41421568627450983</v>
      </c>
    </row>
    <row r="136" spans="1:94" ht="24.5" x14ac:dyDescent="0.35">
      <c r="A136" s="102">
        <v>148413</v>
      </c>
      <c r="B136" s="3" t="s">
        <v>72</v>
      </c>
      <c r="C136" s="41" t="s">
        <v>305</v>
      </c>
      <c r="D136" s="12" t="s">
        <v>306</v>
      </c>
      <c r="E136" s="4" t="s">
        <v>89</v>
      </c>
      <c r="F136" s="4" t="s">
        <v>307</v>
      </c>
      <c r="G136" s="12" t="s">
        <v>307</v>
      </c>
      <c r="H136" s="51" t="s">
        <v>205</v>
      </c>
      <c r="I136" s="23" t="s">
        <v>86</v>
      </c>
      <c r="J136" s="90">
        <v>346</v>
      </c>
      <c r="K136" s="90">
        <v>375</v>
      </c>
      <c r="L136" s="90">
        <v>50</v>
      </c>
      <c r="M136" s="90">
        <v>45</v>
      </c>
      <c r="N136" s="18">
        <v>393</v>
      </c>
      <c r="O136" s="18">
        <v>390</v>
      </c>
      <c r="P136" s="18">
        <v>65</v>
      </c>
      <c r="Q136" s="18">
        <v>50</v>
      </c>
      <c r="R136" s="90">
        <v>365</v>
      </c>
      <c r="S136" s="90">
        <v>358</v>
      </c>
      <c r="T136" s="90">
        <v>55</v>
      </c>
      <c r="U136" s="90">
        <v>60</v>
      </c>
      <c r="V136" s="90">
        <v>405</v>
      </c>
      <c r="W136" s="90">
        <v>381</v>
      </c>
      <c r="X136" s="90">
        <v>55</v>
      </c>
      <c r="Y136" s="90">
        <v>69</v>
      </c>
      <c r="Z136" s="90">
        <v>390</v>
      </c>
      <c r="AA136" s="90">
        <v>376.5</v>
      </c>
      <c r="AB136" s="90">
        <v>50</v>
      </c>
      <c r="AC136" s="90">
        <v>53.5</v>
      </c>
      <c r="AD136" s="90">
        <v>395</v>
      </c>
      <c r="AE136" s="90">
        <v>361</v>
      </c>
      <c r="AF136" s="90">
        <v>45</v>
      </c>
      <c r="AG136" s="90">
        <v>47</v>
      </c>
      <c r="AH136" s="90">
        <v>400</v>
      </c>
      <c r="AI136" s="90">
        <v>400</v>
      </c>
      <c r="AJ136" s="90">
        <v>40</v>
      </c>
      <c r="AK136" s="90">
        <v>54</v>
      </c>
      <c r="AL136" s="90">
        <v>375</v>
      </c>
      <c r="AM136" s="90">
        <v>345.5</v>
      </c>
      <c r="AN136" s="90">
        <v>45</v>
      </c>
      <c r="AO136" s="90">
        <v>62.5</v>
      </c>
      <c r="AP136" s="90">
        <v>375</v>
      </c>
      <c r="AQ136" s="90">
        <v>343.5</v>
      </c>
      <c r="AR136" s="90">
        <v>45</v>
      </c>
      <c r="AS136" s="90">
        <v>34.5</v>
      </c>
      <c r="AT136" s="90">
        <v>345</v>
      </c>
      <c r="AU136" s="90">
        <v>346.5</v>
      </c>
      <c r="AV136" s="90">
        <v>35</v>
      </c>
      <c r="AW136" s="90">
        <v>49.5</v>
      </c>
      <c r="AX136" s="90">
        <v>350</v>
      </c>
      <c r="AY136" s="90">
        <v>315</v>
      </c>
      <c r="AZ136" s="90">
        <v>50</v>
      </c>
      <c r="BA136" s="90">
        <v>45</v>
      </c>
      <c r="BB136" s="90">
        <v>380</v>
      </c>
      <c r="BC136" s="90">
        <v>350</v>
      </c>
      <c r="BD136" s="90">
        <v>40</v>
      </c>
      <c r="BE136" s="90">
        <v>50</v>
      </c>
      <c r="BF136" s="23">
        <v>28.686340000000001</v>
      </c>
      <c r="BG136" s="23">
        <v>77.157759999999996</v>
      </c>
      <c r="BH136" s="31">
        <f t="shared" ref="BH136:BH199" si="93">BB136</f>
        <v>380</v>
      </c>
      <c r="BI136" s="31">
        <f t="shared" ref="BI136:BI199" si="94">BC136</f>
        <v>350</v>
      </c>
      <c r="BJ136" s="37">
        <f t="shared" ref="BJ136:BJ199" si="95">(BH136-BI136)</f>
        <v>30</v>
      </c>
      <c r="BK136" s="37">
        <f t="shared" ref="BK136:BK199" si="96">(BJ136)/BI136*100</f>
        <v>8.5714285714285712</v>
      </c>
      <c r="BL136" s="36">
        <f t="shared" ref="BL136:BL199" si="97">BD136</f>
        <v>40</v>
      </c>
      <c r="BM136" s="36">
        <f t="shared" ref="BM136:BM199" si="98">BE136</f>
        <v>50</v>
      </c>
      <c r="BN136" s="37">
        <f t="shared" ref="BN136:BN199" si="99">(BL136-BM136)</f>
        <v>-10</v>
      </c>
      <c r="BO136" s="37">
        <f t="shared" ref="BO136:BO199" si="100">(BN136)/BM136*100</f>
        <v>-20</v>
      </c>
      <c r="BP136" s="38">
        <f t="shared" ref="BP136:BP199" si="101">K136+O136+R136+V136+Z136+AD136+AH136+AL136+AP136+AT136+AX136+BB136</f>
        <v>4545</v>
      </c>
      <c r="BQ136" s="39">
        <f>J136+N136+S136+W136+AA136+AE136+AI136+AM136+AQ136+AU136+Table1[[#This Row],[MS-0225]]+Table1[[#This Row],[MS-0325]]</f>
        <v>4316</v>
      </c>
      <c r="BR136" s="37">
        <f t="shared" ref="BR136:BR199" si="102">(BP136-BQ136)</f>
        <v>229</v>
      </c>
      <c r="BS136" s="37">
        <f t="shared" ref="BS136:BS199" si="103">(BR136)/BQ136*100</f>
        <v>5.3058387395736792</v>
      </c>
      <c r="BT136" s="36">
        <f t="shared" ref="BT136:BT199" si="104">M136+Q136+T136+X136+AB136+AF136+AJ136+AN136+AR136+AV136+AZ136+BD136</f>
        <v>555</v>
      </c>
      <c r="BU136" s="36">
        <f t="shared" ref="BU136:BU199" si="105">L136+P136+U136+Y136+AC136+AG136+AK136+AO136+AS136+AW136+BA136+BE136</f>
        <v>640</v>
      </c>
      <c r="BV136" s="37">
        <f t="shared" ref="BV136:BV199" si="106">(BT136-BU136)</f>
        <v>-85</v>
      </c>
      <c r="BW136" s="37">
        <f t="shared" ref="BW136:BW199" si="107">(BV136)/BU136*100</f>
        <v>-13.28125</v>
      </c>
      <c r="BX136">
        <v>20</v>
      </c>
      <c r="BY136" s="83">
        <f t="shared" ref="BY136:BY199" si="108">BX136/BH136</f>
        <v>5.2631578947368418E-2</v>
      </c>
      <c r="BZ136">
        <v>25</v>
      </c>
      <c r="CA136" s="83">
        <f t="shared" ref="CA136:CA199" si="109">BZ136/BP136</f>
        <v>5.5005500550055009E-3</v>
      </c>
      <c r="CB136" s="96">
        <f t="shared" ref="CB136:CB199" si="110">BH136/SUMIFS(BH$2:BH$398,G$2:G$398,G136)</f>
        <v>0.59467918622848204</v>
      </c>
      <c r="CC136" s="96">
        <f t="shared" ref="CC136:CC199" si="111">BI136/SUMIFS(BI$2:BI$398,G$2:G$398,G136)</f>
        <v>0.59931506849315064</v>
      </c>
      <c r="CD136" s="97">
        <f t="shared" ref="CD136:CD199" si="112">CB136-CC136</f>
        <v>-4.6358822646686004E-3</v>
      </c>
      <c r="CE136" s="96">
        <f t="shared" ref="CE136:CE199" si="113">BL136/SUMIFS(BL$2:BL$398,G$2:G$398,G136)</f>
        <v>0.50632911392405067</v>
      </c>
      <c r="CF136" s="96">
        <f t="shared" ref="CF136:CF199" si="114">BM136/SUMIFS(BM$2:BM$398,G$2:G$398,G136)</f>
        <v>0.48076923076923078</v>
      </c>
      <c r="CG136" s="96">
        <f t="shared" ref="CG136:CG199" si="115">CE136-CF136</f>
        <v>2.5559883154819885E-2</v>
      </c>
      <c r="CH136" s="95">
        <f t="shared" ref="CH136:CH199" si="116">BP136/SUMIFS(BP$2:BP$398,G$2:G$398,G136)</f>
        <v>0.59626106920301736</v>
      </c>
      <c r="CI136" s="95">
        <f t="shared" ref="CI136:CI199" si="117">BQ136/SUMIFS(BQ$2:BQ$398,G$2:G$398,G136)</f>
        <v>0.60057051415849161</v>
      </c>
      <c r="CJ136" s="98">
        <f t="shared" ref="CJ136:CJ199" si="118">CH136-CI136</f>
        <v>-4.3094449554742509E-3</v>
      </c>
      <c r="CK136" s="95">
        <f t="shared" ref="CK136:CK199" si="119">BT136/SUMIFS(BT$2:BT$398,G$2:G$398,G136)</f>
        <v>0.50022532672374942</v>
      </c>
      <c r="CL136" s="95">
        <f t="shared" ref="CL136:CL199" si="120">BU136/SUMIFS(BU$2:BU$398,G$2:G$398,G136)</f>
        <v>0.45796064400715564</v>
      </c>
      <c r="CM136" s="98">
        <f t="shared" ref="CM136:CM199" si="121">CK136-CL136</f>
        <v>4.2264682716593782E-2</v>
      </c>
      <c r="CN136" s="94">
        <f t="shared" ref="CN136:CN199" si="122">COUNTIFS(G$2:G$398,G136)*CH136</f>
        <v>1.1925221384060347</v>
      </c>
      <c r="CO136" s="94">
        <f t="shared" ref="CO136:CO199" si="123">COUNTIFS(G$2:G$398,G136)*CK136</f>
        <v>1.0004506534474988</v>
      </c>
    </row>
    <row r="137" spans="1:94" x14ac:dyDescent="0.35">
      <c r="A137" s="106">
        <v>41056842</v>
      </c>
      <c r="B137" s="9" t="s">
        <v>380</v>
      </c>
      <c r="C137" s="49" t="s">
        <v>484</v>
      </c>
      <c r="D137" s="14" t="s">
        <v>485</v>
      </c>
      <c r="E137" s="10" t="s">
        <v>103</v>
      </c>
      <c r="F137" s="10" t="s">
        <v>104</v>
      </c>
      <c r="G137" s="12" t="s">
        <v>104</v>
      </c>
      <c r="H137" s="51" t="s">
        <v>105</v>
      </c>
      <c r="I137" s="25" t="s">
        <v>78</v>
      </c>
      <c r="J137" s="20">
        <v>369</v>
      </c>
      <c r="K137" s="20">
        <v>379.68669000000006</v>
      </c>
      <c r="L137" s="20">
        <v>140.03936000000002</v>
      </c>
      <c r="M137" s="20">
        <v>138.85528000000002</v>
      </c>
      <c r="N137" s="18">
        <v>372.4050390000001</v>
      </c>
      <c r="O137" s="18">
        <v>395.15005000000002</v>
      </c>
      <c r="P137" s="18">
        <v>147.27085999999997</v>
      </c>
      <c r="Q137" s="18">
        <v>138.61037999999999</v>
      </c>
      <c r="R137" s="20">
        <v>358.27868999999998</v>
      </c>
      <c r="S137" s="20">
        <v>363.63841000000002</v>
      </c>
      <c r="T137" s="20">
        <v>113.21522000000002</v>
      </c>
      <c r="U137" s="20">
        <v>134.62062999999998</v>
      </c>
      <c r="V137" s="20">
        <v>405.93631000000005</v>
      </c>
      <c r="W137" s="20">
        <v>401.13326999999998</v>
      </c>
      <c r="X137" s="20">
        <v>125.09330000000001</v>
      </c>
      <c r="Y137" s="20">
        <v>145.04847000000001</v>
      </c>
      <c r="Z137" s="20">
        <v>407.6244099999999</v>
      </c>
      <c r="AA137" s="20">
        <v>391.6266</v>
      </c>
      <c r="AB137" s="20">
        <v>129.41451999999998</v>
      </c>
      <c r="AC137" s="20">
        <v>140.9975</v>
      </c>
      <c r="AD137" s="20">
        <v>387</v>
      </c>
      <c r="AE137" s="20">
        <v>372.20400000000001</v>
      </c>
      <c r="AF137" s="20">
        <v>132</v>
      </c>
      <c r="AG137" s="20">
        <v>139.70499999999998</v>
      </c>
      <c r="AH137" s="20">
        <v>391.30287999999996</v>
      </c>
      <c r="AI137" s="20">
        <v>383.61699999999996</v>
      </c>
      <c r="AJ137" s="20">
        <v>136.5752</v>
      </c>
      <c r="AK137" s="20">
        <v>151.608</v>
      </c>
      <c r="AL137" s="20">
        <v>366.97499999999997</v>
      </c>
      <c r="AM137" s="20">
        <v>351.26500000000004</v>
      </c>
      <c r="AN137" s="20">
        <v>115.32557000000003</v>
      </c>
      <c r="AO137" s="20">
        <v>121.18799999999997</v>
      </c>
      <c r="AP137" s="20">
        <v>355.37</v>
      </c>
      <c r="AQ137" s="20">
        <v>351.62699999999995</v>
      </c>
      <c r="AR137" s="20">
        <v>103.98</v>
      </c>
      <c r="AS137" s="20">
        <v>113.54899999999999</v>
      </c>
      <c r="AT137" s="20">
        <v>338.61465000000004</v>
      </c>
      <c r="AU137" s="20">
        <v>345.16099999999989</v>
      </c>
      <c r="AV137" s="20">
        <v>98.041080000000008</v>
      </c>
      <c r="AW137" s="20">
        <v>112.801</v>
      </c>
      <c r="AX137" s="20">
        <v>333.53694999999999</v>
      </c>
      <c r="AY137" s="20">
        <v>321.56400000000002</v>
      </c>
      <c r="AZ137" s="20">
        <v>115.17472999999998</v>
      </c>
      <c r="BA137" s="20">
        <v>117.36999999999999</v>
      </c>
      <c r="BB137" s="20">
        <v>378.92469</v>
      </c>
      <c r="BC137" s="20">
        <v>359.99400000000009</v>
      </c>
      <c r="BD137" s="20">
        <v>118.82</v>
      </c>
      <c r="BE137" s="20">
        <v>136.75899999999999</v>
      </c>
      <c r="BF137" s="23">
        <v>28.599513999999999</v>
      </c>
      <c r="BG137" s="23">
        <v>77.195790000000002</v>
      </c>
      <c r="BH137" s="31">
        <f t="shared" si="93"/>
        <v>378.92469</v>
      </c>
      <c r="BI137" s="31">
        <f t="shared" si="94"/>
        <v>359.99400000000009</v>
      </c>
      <c r="BJ137" s="37">
        <f t="shared" si="95"/>
        <v>18.930689999999913</v>
      </c>
      <c r="BK137" s="37">
        <f t="shared" si="96"/>
        <v>5.2586126435440343</v>
      </c>
      <c r="BL137" s="36">
        <f t="shared" si="97"/>
        <v>118.82</v>
      </c>
      <c r="BM137" s="36">
        <f t="shared" si="98"/>
        <v>136.75899999999999</v>
      </c>
      <c r="BN137" s="37">
        <f t="shared" si="99"/>
        <v>-17.938999999999993</v>
      </c>
      <c r="BO137" s="37">
        <f t="shared" si="100"/>
        <v>-13.117235428746914</v>
      </c>
      <c r="BP137" s="38">
        <f t="shared" si="101"/>
        <v>4498.4003199999997</v>
      </c>
      <c r="BQ137" s="39">
        <f>J137+N137+S137+W137+AA137+AE137+AI137+AM137+AQ137+AU137+Table1[[#This Row],[MS-0225]]+Table1[[#This Row],[MS-0325]]</f>
        <v>4383.2353190000003</v>
      </c>
      <c r="BR137" s="37">
        <f t="shared" si="102"/>
        <v>115.16500099999939</v>
      </c>
      <c r="BS137" s="37">
        <f t="shared" si="103"/>
        <v>2.6273971762545791</v>
      </c>
      <c r="BT137" s="36">
        <f t="shared" si="104"/>
        <v>1465.1052799999998</v>
      </c>
      <c r="BU137" s="36">
        <f t="shared" si="105"/>
        <v>1600.9568199999994</v>
      </c>
      <c r="BV137" s="37">
        <f t="shared" si="106"/>
        <v>-135.85153999999966</v>
      </c>
      <c r="BW137" s="37">
        <f t="shared" si="107"/>
        <v>-8.4856467271865395</v>
      </c>
      <c r="BX137">
        <v>0</v>
      </c>
      <c r="BY137" s="83">
        <f t="shared" si="108"/>
        <v>0</v>
      </c>
      <c r="BZ137">
        <v>0</v>
      </c>
      <c r="CA137" s="83">
        <f t="shared" si="109"/>
        <v>0</v>
      </c>
      <c r="CB137" s="96">
        <f t="shared" si="110"/>
        <v>0.27849378911488615</v>
      </c>
      <c r="CC137" s="96">
        <f t="shared" si="111"/>
        <v>0.26962974724785826</v>
      </c>
      <c r="CD137" s="97">
        <f t="shared" si="112"/>
        <v>8.8640418670278831E-3</v>
      </c>
      <c r="CE137" s="96">
        <f t="shared" si="113"/>
        <v>0.25876787985434785</v>
      </c>
      <c r="CF137" s="96">
        <f t="shared" si="114"/>
        <v>0.27229973100349036</v>
      </c>
      <c r="CG137" s="96">
        <f t="shared" si="115"/>
        <v>-1.3531851149142515E-2</v>
      </c>
      <c r="CH137" s="95">
        <f t="shared" si="116"/>
        <v>0.26785892190273813</v>
      </c>
      <c r="CI137" s="95">
        <f t="shared" si="117"/>
        <v>0.26973846572489651</v>
      </c>
      <c r="CJ137" s="98">
        <f t="shared" si="118"/>
        <v>-1.8795438221583805E-3</v>
      </c>
      <c r="CK137" s="95">
        <f t="shared" si="119"/>
        <v>0.2608194388513228</v>
      </c>
      <c r="CL137" s="95">
        <f t="shared" si="120"/>
        <v>0.26021850277183733</v>
      </c>
      <c r="CM137" s="98">
        <f t="shared" si="121"/>
        <v>6.0093607948547012E-4</v>
      </c>
      <c r="CN137" s="94">
        <f t="shared" si="122"/>
        <v>1.6071535314164289</v>
      </c>
      <c r="CO137" s="94">
        <f t="shared" si="123"/>
        <v>1.5649166331079369</v>
      </c>
    </row>
    <row r="138" spans="1:94" ht="24.5" x14ac:dyDescent="0.35">
      <c r="A138" s="102">
        <v>128472</v>
      </c>
      <c r="B138" s="3" t="s">
        <v>72</v>
      </c>
      <c r="C138" s="43" t="s">
        <v>340</v>
      </c>
      <c r="D138" s="12" t="s">
        <v>341</v>
      </c>
      <c r="E138" s="4" t="s">
        <v>89</v>
      </c>
      <c r="F138" s="4" t="s">
        <v>342</v>
      </c>
      <c r="G138" s="12" t="s">
        <v>342</v>
      </c>
      <c r="H138" s="51" t="s">
        <v>205</v>
      </c>
      <c r="I138" s="23" t="s">
        <v>86</v>
      </c>
      <c r="J138" s="90">
        <v>319</v>
      </c>
      <c r="K138" s="90">
        <v>315</v>
      </c>
      <c r="L138" s="90">
        <v>69</v>
      </c>
      <c r="M138" s="90">
        <v>65</v>
      </c>
      <c r="N138" s="18">
        <v>316</v>
      </c>
      <c r="O138" s="18">
        <v>300</v>
      </c>
      <c r="P138" s="18">
        <v>72</v>
      </c>
      <c r="Q138" s="18">
        <v>60</v>
      </c>
      <c r="R138" s="90">
        <v>280</v>
      </c>
      <c r="S138" s="90">
        <v>320</v>
      </c>
      <c r="T138" s="90">
        <v>60</v>
      </c>
      <c r="U138" s="90">
        <v>68</v>
      </c>
      <c r="V138" s="90">
        <v>320</v>
      </c>
      <c r="W138" s="90">
        <v>331.5</v>
      </c>
      <c r="X138" s="90">
        <v>60</v>
      </c>
      <c r="Y138" s="90">
        <v>72.5</v>
      </c>
      <c r="Z138" s="90">
        <v>335</v>
      </c>
      <c r="AA138" s="90">
        <v>324.5</v>
      </c>
      <c r="AB138" s="90">
        <v>65</v>
      </c>
      <c r="AC138" s="90">
        <v>67.5</v>
      </c>
      <c r="AD138" s="90">
        <v>315</v>
      </c>
      <c r="AE138" s="90">
        <v>309.5</v>
      </c>
      <c r="AF138" s="90">
        <v>65</v>
      </c>
      <c r="AG138" s="90">
        <v>64.5</v>
      </c>
      <c r="AH138" s="90">
        <v>340</v>
      </c>
      <c r="AI138" s="90">
        <v>327</v>
      </c>
      <c r="AJ138" s="90">
        <v>60</v>
      </c>
      <c r="AK138" s="90">
        <v>65</v>
      </c>
      <c r="AL138" s="90">
        <v>325</v>
      </c>
      <c r="AM138" s="90">
        <v>320</v>
      </c>
      <c r="AN138" s="90">
        <v>55</v>
      </c>
      <c r="AO138" s="90">
        <v>60</v>
      </c>
      <c r="AP138" s="90">
        <v>305</v>
      </c>
      <c r="AQ138" s="90">
        <v>285</v>
      </c>
      <c r="AR138" s="90">
        <v>55</v>
      </c>
      <c r="AS138" s="90">
        <v>55</v>
      </c>
      <c r="AT138" s="90">
        <v>305</v>
      </c>
      <c r="AU138" s="90">
        <v>285</v>
      </c>
      <c r="AV138" s="90">
        <v>55</v>
      </c>
      <c r="AW138" s="90">
        <v>55</v>
      </c>
      <c r="AX138" s="90">
        <v>295</v>
      </c>
      <c r="AY138" s="90">
        <v>265</v>
      </c>
      <c r="AZ138" s="90">
        <v>65</v>
      </c>
      <c r="BA138" s="90">
        <v>55</v>
      </c>
      <c r="BB138" s="90">
        <v>375</v>
      </c>
      <c r="BC138" s="90">
        <v>315</v>
      </c>
      <c r="BD138" s="90">
        <v>65</v>
      </c>
      <c r="BE138" s="90">
        <v>65</v>
      </c>
      <c r="BF138" s="23">
        <v>28.73611</v>
      </c>
      <c r="BG138" s="23">
        <v>77.128020000000006</v>
      </c>
      <c r="BH138" s="31">
        <f t="shared" si="93"/>
        <v>375</v>
      </c>
      <c r="BI138" s="31">
        <f t="shared" si="94"/>
        <v>315</v>
      </c>
      <c r="BJ138" s="37">
        <f t="shared" si="95"/>
        <v>60</v>
      </c>
      <c r="BK138" s="37">
        <f t="shared" si="96"/>
        <v>19.047619047619047</v>
      </c>
      <c r="BL138" s="36">
        <f t="shared" si="97"/>
        <v>65</v>
      </c>
      <c r="BM138" s="36">
        <f t="shared" si="98"/>
        <v>65</v>
      </c>
      <c r="BN138" s="37">
        <f t="shared" si="99"/>
        <v>0</v>
      </c>
      <c r="BO138" s="37">
        <f t="shared" si="100"/>
        <v>0</v>
      </c>
      <c r="BP138" s="38">
        <f t="shared" si="101"/>
        <v>3810</v>
      </c>
      <c r="BQ138" s="39">
        <f>J138+N138+S138+W138+AA138+AE138+AI138+AM138+AQ138+AU138+Table1[[#This Row],[MS-0225]]+Table1[[#This Row],[MS-0325]]</f>
        <v>3717.5</v>
      </c>
      <c r="BR138" s="37">
        <f t="shared" si="102"/>
        <v>92.5</v>
      </c>
      <c r="BS138" s="37">
        <f t="shared" si="103"/>
        <v>2.488231338264963</v>
      </c>
      <c r="BT138" s="36">
        <f t="shared" si="104"/>
        <v>730</v>
      </c>
      <c r="BU138" s="36">
        <f t="shared" si="105"/>
        <v>768.5</v>
      </c>
      <c r="BV138" s="37">
        <f t="shared" si="106"/>
        <v>-38.5</v>
      </c>
      <c r="BW138" s="37">
        <f t="shared" si="107"/>
        <v>-5.0097592713077423</v>
      </c>
      <c r="BX138">
        <v>15</v>
      </c>
      <c r="BY138" s="83">
        <f t="shared" si="108"/>
        <v>0.04</v>
      </c>
      <c r="BZ138">
        <v>45</v>
      </c>
      <c r="CA138" s="83">
        <f t="shared" si="109"/>
        <v>1.1811023622047244E-2</v>
      </c>
      <c r="CB138" s="96">
        <f t="shared" si="110"/>
        <v>0.19369834710743802</v>
      </c>
      <c r="CC138" s="96">
        <f t="shared" si="111"/>
        <v>0.17063921993499459</v>
      </c>
      <c r="CD138" s="97">
        <f t="shared" si="112"/>
        <v>2.3059127172443433E-2</v>
      </c>
      <c r="CE138" s="96">
        <f t="shared" si="113"/>
        <v>0.15625</v>
      </c>
      <c r="CF138" s="96">
        <f t="shared" si="114"/>
        <v>0.14573991031390135</v>
      </c>
      <c r="CG138" s="96">
        <f t="shared" si="115"/>
        <v>1.051008968609865E-2</v>
      </c>
      <c r="CH138" s="95">
        <f t="shared" si="116"/>
        <v>0.16742469184628567</v>
      </c>
      <c r="CI138" s="95">
        <f t="shared" si="117"/>
        <v>0.16886597469082351</v>
      </c>
      <c r="CJ138" s="98">
        <f t="shared" si="118"/>
        <v>-1.4412828445378445E-3</v>
      </c>
      <c r="CK138" s="95">
        <f t="shared" si="119"/>
        <v>0.1403171552138395</v>
      </c>
      <c r="CL138" s="95">
        <f t="shared" si="120"/>
        <v>0.13958768504223049</v>
      </c>
      <c r="CM138" s="98">
        <f t="shared" si="121"/>
        <v>7.2947017160901462E-4</v>
      </c>
      <c r="CN138" s="94">
        <f t="shared" si="122"/>
        <v>1.1719728429239997</v>
      </c>
      <c r="CO138" s="94">
        <f t="shared" si="123"/>
        <v>0.98222008649687653</v>
      </c>
    </row>
    <row r="139" spans="1:94" ht="24.5" x14ac:dyDescent="0.35">
      <c r="A139" s="103">
        <v>41056983</v>
      </c>
      <c r="B139" s="9" t="s">
        <v>380</v>
      </c>
      <c r="C139" s="48" t="s">
        <v>398</v>
      </c>
      <c r="D139" s="14" t="s">
        <v>399</v>
      </c>
      <c r="E139" s="10" t="s">
        <v>187</v>
      </c>
      <c r="F139" s="10" t="s">
        <v>366</v>
      </c>
      <c r="G139" s="12" t="s">
        <v>366</v>
      </c>
      <c r="H139" s="51" t="s">
        <v>367</v>
      </c>
      <c r="I139" s="25" t="s">
        <v>86</v>
      </c>
      <c r="J139" s="20">
        <v>302.5</v>
      </c>
      <c r="K139" s="20">
        <v>273.5</v>
      </c>
      <c r="L139" s="20">
        <v>57.5</v>
      </c>
      <c r="M139" s="20">
        <v>39.5</v>
      </c>
      <c r="N139" s="18">
        <v>329</v>
      </c>
      <c r="O139" s="18">
        <v>299</v>
      </c>
      <c r="P139" s="18">
        <v>67</v>
      </c>
      <c r="Q139" s="18">
        <v>50</v>
      </c>
      <c r="R139" s="20">
        <v>287.5</v>
      </c>
      <c r="S139" s="20">
        <v>290.5</v>
      </c>
      <c r="T139" s="20">
        <v>40.5</v>
      </c>
      <c r="U139" s="20">
        <v>57.5</v>
      </c>
      <c r="V139" s="20">
        <v>316.5</v>
      </c>
      <c r="W139" s="20">
        <v>312.5</v>
      </c>
      <c r="X139" s="20">
        <v>45.5</v>
      </c>
      <c r="Y139" s="20">
        <v>65.5</v>
      </c>
      <c r="Z139" s="20">
        <v>313.5</v>
      </c>
      <c r="AA139" s="20">
        <v>324</v>
      </c>
      <c r="AB139" s="20">
        <v>41.5</v>
      </c>
      <c r="AC139" s="20">
        <v>60</v>
      </c>
      <c r="AD139" s="20">
        <v>334.5</v>
      </c>
      <c r="AE139" s="20">
        <v>290</v>
      </c>
      <c r="AF139" s="20">
        <v>59.5</v>
      </c>
      <c r="AG139" s="20">
        <v>58</v>
      </c>
      <c r="AH139" s="20">
        <v>353</v>
      </c>
      <c r="AI139" s="20">
        <v>302</v>
      </c>
      <c r="AJ139" s="20">
        <v>54</v>
      </c>
      <c r="AK139" s="20">
        <v>64</v>
      </c>
      <c r="AL139" s="20">
        <v>340</v>
      </c>
      <c r="AM139" s="20">
        <v>294.5</v>
      </c>
      <c r="AN139" s="20">
        <v>55</v>
      </c>
      <c r="AO139" s="20">
        <v>43.5</v>
      </c>
      <c r="AP139" s="20">
        <v>298</v>
      </c>
      <c r="AQ139" s="20">
        <v>283.5</v>
      </c>
      <c r="AR139" s="20">
        <v>44</v>
      </c>
      <c r="AS139" s="20">
        <v>40.5</v>
      </c>
      <c r="AT139" s="20">
        <v>291</v>
      </c>
      <c r="AU139" s="20">
        <v>270.5</v>
      </c>
      <c r="AV139" s="20">
        <v>45</v>
      </c>
      <c r="AW139" s="20">
        <v>47.5</v>
      </c>
      <c r="AX139" s="20">
        <v>251</v>
      </c>
      <c r="AY139" s="20">
        <v>244</v>
      </c>
      <c r="AZ139" s="20">
        <v>21</v>
      </c>
      <c r="BA139" s="20">
        <v>40</v>
      </c>
      <c r="BB139" s="20">
        <v>266</v>
      </c>
      <c r="BC139" s="20">
        <v>297</v>
      </c>
      <c r="BD139" s="20">
        <v>28</v>
      </c>
      <c r="BE139" s="20">
        <v>48.5</v>
      </c>
      <c r="BF139" s="23">
        <v>28.674060000000001</v>
      </c>
      <c r="BG139" s="23">
        <v>77.188289999999995</v>
      </c>
      <c r="BH139" s="31">
        <f t="shared" si="93"/>
        <v>266</v>
      </c>
      <c r="BI139" s="31">
        <f t="shared" si="94"/>
        <v>297</v>
      </c>
      <c r="BJ139" s="37">
        <f t="shared" si="95"/>
        <v>-31</v>
      </c>
      <c r="BK139" s="37">
        <f t="shared" si="96"/>
        <v>-10.437710437710438</v>
      </c>
      <c r="BL139" s="36">
        <f t="shared" si="97"/>
        <v>28</v>
      </c>
      <c r="BM139" s="36">
        <f t="shared" si="98"/>
        <v>48.5</v>
      </c>
      <c r="BN139" s="37">
        <f t="shared" si="99"/>
        <v>-20.5</v>
      </c>
      <c r="BO139" s="37">
        <f t="shared" si="100"/>
        <v>-42.268041237113401</v>
      </c>
      <c r="BP139" s="38">
        <f t="shared" si="101"/>
        <v>3623.5</v>
      </c>
      <c r="BQ139" s="39">
        <f>J139+N139+S139+W139+AA139+AE139+AI139+AM139+AQ139+AU139+Table1[[#This Row],[MS-0225]]+Table1[[#This Row],[MS-0325]]</f>
        <v>3540</v>
      </c>
      <c r="BR139" s="37">
        <f t="shared" si="102"/>
        <v>83.5</v>
      </c>
      <c r="BS139" s="37">
        <f t="shared" si="103"/>
        <v>2.3587570621468927</v>
      </c>
      <c r="BT139" s="36">
        <f t="shared" si="104"/>
        <v>523.5</v>
      </c>
      <c r="BU139" s="36">
        <f t="shared" si="105"/>
        <v>649.5</v>
      </c>
      <c r="BV139" s="37">
        <f t="shared" si="106"/>
        <v>-126</v>
      </c>
      <c r="BW139" s="37">
        <f t="shared" si="107"/>
        <v>-19.399538106235568</v>
      </c>
      <c r="BX139">
        <v>0</v>
      </c>
      <c r="BY139" s="83">
        <f t="shared" si="108"/>
        <v>0</v>
      </c>
      <c r="BZ139">
        <v>0</v>
      </c>
      <c r="CA139" s="83">
        <f t="shared" si="109"/>
        <v>0</v>
      </c>
      <c r="CB139" s="96">
        <f t="shared" si="110"/>
        <v>0.15510204081632653</v>
      </c>
      <c r="CC139" s="96">
        <f t="shared" si="111"/>
        <v>0.16643317455869991</v>
      </c>
      <c r="CD139" s="97">
        <f t="shared" si="112"/>
        <v>-1.1331133742373378E-2</v>
      </c>
      <c r="CE139" s="96">
        <f t="shared" si="113"/>
        <v>3.0010718113612004E-2</v>
      </c>
      <c r="CF139" s="96">
        <f t="shared" si="114"/>
        <v>4.1577368195456495E-2</v>
      </c>
      <c r="CG139" s="96">
        <f t="shared" si="115"/>
        <v>-1.1566650081844491E-2</v>
      </c>
      <c r="CH139" s="95">
        <f t="shared" si="116"/>
        <v>0.16903412404077159</v>
      </c>
      <c r="CI139" s="95">
        <f t="shared" si="117"/>
        <v>0.16432251764077252</v>
      </c>
      <c r="CJ139" s="98">
        <f t="shared" si="118"/>
        <v>4.7116063999990687E-3</v>
      </c>
      <c r="CK139" s="95">
        <f t="shared" si="119"/>
        <v>4.2524674058730352E-2</v>
      </c>
      <c r="CL139" s="95">
        <f t="shared" si="120"/>
        <v>4.1382605925453966E-2</v>
      </c>
      <c r="CM139" s="98">
        <f t="shared" si="121"/>
        <v>1.142068133276386E-3</v>
      </c>
      <c r="CN139" s="94">
        <f t="shared" si="122"/>
        <v>1.0142047442446296</v>
      </c>
      <c r="CO139" s="94">
        <f t="shared" si="123"/>
        <v>0.25514804435238214</v>
      </c>
      <c r="CP139" s="141">
        <f>BD139-AZ139</f>
        <v>7</v>
      </c>
    </row>
    <row r="140" spans="1:94" ht="36.5" x14ac:dyDescent="0.35">
      <c r="A140" s="103">
        <v>41031854</v>
      </c>
      <c r="B140" s="9" t="s">
        <v>380</v>
      </c>
      <c r="C140" s="47" t="s">
        <v>496</v>
      </c>
      <c r="D140" s="14" t="s">
        <v>497</v>
      </c>
      <c r="E140" s="10" t="s">
        <v>81</v>
      </c>
      <c r="F140" s="10" t="s">
        <v>498</v>
      </c>
      <c r="G140" s="12" t="s">
        <v>498</v>
      </c>
      <c r="H140" s="51" t="s">
        <v>135</v>
      </c>
      <c r="I140" s="25" t="s">
        <v>83</v>
      </c>
      <c r="J140" s="20">
        <v>340</v>
      </c>
      <c r="K140" s="20">
        <v>450</v>
      </c>
      <c r="L140" s="20">
        <v>120</v>
      </c>
      <c r="M140" s="20">
        <v>130</v>
      </c>
      <c r="N140" s="18">
        <v>405</v>
      </c>
      <c r="O140" s="18">
        <v>493</v>
      </c>
      <c r="P140" s="18">
        <v>135</v>
      </c>
      <c r="Q140" s="18">
        <v>125</v>
      </c>
      <c r="R140" s="20">
        <v>470</v>
      </c>
      <c r="S140" s="20">
        <v>354</v>
      </c>
      <c r="T140" s="20">
        <v>110</v>
      </c>
      <c r="U140" s="20">
        <v>124</v>
      </c>
      <c r="V140" s="20">
        <v>500.5</v>
      </c>
      <c r="W140" s="20">
        <v>375</v>
      </c>
      <c r="X140" s="20">
        <v>113.5</v>
      </c>
      <c r="Y140" s="20">
        <v>119</v>
      </c>
      <c r="Z140" s="20">
        <v>470</v>
      </c>
      <c r="AA140" s="20">
        <v>403</v>
      </c>
      <c r="AB140" s="20">
        <v>110</v>
      </c>
      <c r="AC140" s="20">
        <v>129</v>
      </c>
      <c r="AD140" s="20">
        <v>450</v>
      </c>
      <c r="AE140" s="20">
        <v>370</v>
      </c>
      <c r="AF140" s="20">
        <v>110</v>
      </c>
      <c r="AG140" s="20">
        <v>110</v>
      </c>
      <c r="AH140" s="20">
        <v>475</v>
      </c>
      <c r="AI140" s="20">
        <v>395</v>
      </c>
      <c r="AJ140" s="20">
        <v>105</v>
      </c>
      <c r="AK140" s="20">
        <v>105</v>
      </c>
      <c r="AL140" s="20">
        <v>460</v>
      </c>
      <c r="AM140" s="20">
        <v>400</v>
      </c>
      <c r="AN140" s="20">
        <v>100</v>
      </c>
      <c r="AO140" s="20">
        <v>100</v>
      </c>
      <c r="AP140" s="20">
        <v>405</v>
      </c>
      <c r="AQ140" s="20">
        <v>347.5</v>
      </c>
      <c r="AR140" s="20">
        <v>95</v>
      </c>
      <c r="AS140" s="20">
        <v>97.5</v>
      </c>
      <c r="AT140" s="20">
        <v>430</v>
      </c>
      <c r="AU140" s="20">
        <v>380</v>
      </c>
      <c r="AV140" s="20">
        <v>90</v>
      </c>
      <c r="AW140" s="20">
        <v>100</v>
      </c>
      <c r="AX140" s="20">
        <v>375</v>
      </c>
      <c r="AY140" s="20">
        <v>355</v>
      </c>
      <c r="AZ140" s="20">
        <v>85</v>
      </c>
      <c r="BA140" s="20">
        <v>105</v>
      </c>
      <c r="BB140" s="20">
        <v>373.5</v>
      </c>
      <c r="BC140" s="20">
        <v>475</v>
      </c>
      <c r="BD140" s="20">
        <v>84.5</v>
      </c>
      <c r="BE140" s="20">
        <v>128</v>
      </c>
      <c r="BF140" s="23">
        <v>28.568698999999999</v>
      </c>
      <c r="BG140" s="23">
        <v>77.063370000000006</v>
      </c>
      <c r="BH140" s="31">
        <f t="shared" si="93"/>
        <v>373.5</v>
      </c>
      <c r="BI140" s="31">
        <f t="shared" si="94"/>
        <v>475</v>
      </c>
      <c r="BJ140" s="37">
        <f t="shared" si="95"/>
        <v>-101.5</v>
      </c>
      <c r="BK140" s="37">
        <f t="shared" si="96"/>
        <v>-21.368421052631579</v>
      </c>
      <c r="BL140" s="36">
        <f t="shared" si="97"/>
        <v>84.5</v>
      </c>
      <c r="BM140" s="36">
        <f t="shared" si="98"/>
        <v>128</v>
      </c>
      <c r="BN140" s="37">
        <f t="shared" si="99"/>
        <v>-43.5</v>
      </c>
      <c r="BO140" s="37">
        <f t="shared" si="100"/>
        <v>-33.984375</v>
      </c>
      <c r="BP140" s="38">
        <f t="shared" si="101"/>
        <v>5352</v>
      </c>
      <c r="BQ140" s="39">
        <f>J140+N140+S140+W140+AA140+AE140+AI140+AM140+AQ140+AU140+Table1[[#This Row],[MS-0225]]+Table1[[#This Row],[MS-0325]]</f>
        <v>4599.5</v>
      </c>
      <c r="BR140" s="37">
        <f t="shared" si="102"/>
        <v>752.5</v>
      </c>
      <c r="BS140" s="37">
        <f t="shared" si="103"/>
        <v>16.360473964561365</v>
      </c>
      <c r="BT140" s="36">
        <f t="shared" si="104"/>
        <v>1258</v>
      </c>
      <c r="BU140" s="36">
        <f t="shared" si="105"/>
        <v>1372.5</v>
      </c>
      <c r="BV140" s="37">
        <f t="shared" si="106"/>
        <v>-114.5</v>
      </c>
      <c r="BW140" s="37">
        <f t="shared" si="107"/>
        <v>-8.3424408014571938</v>
      </c>
      <c r="BX140">
        <v>0</v>
      </c>
      <c r="BY140" s="83">
        <f t="shared" si="108"/>
        <v>0</v>
      </c>
      <c r="BZ140">
        <v>0</v>
      </c>
      <c r="CA140" s="83">
        <f t="shared" si="109"/>
        <v>0</v>
      </c>
      <c r="CB140" s="96">
        <f t="shared" si="110"/>
        <v>0.42346938775510207</v>
      </c>
      <c r="CC140" s="96">
        <f t="shared" si="111"/>
        <v>0.50856531049250531</v>
      </c>
      <c r="CD140" s="97">
        <f t="shared" si="112"/>
        <v>-8.509592273740324E-2</v>
      </c>
      <c r="CE140" s="96">
        <f t="shared" si="113"/>
        <v>0.55592105263157898</v>
      </c>
      <c r="CF140" s="96">
        <f t="shared" si="114"/>
        <v>0.67015706806282727</v>
      </c>
      <c r="CG140" s="96">
        <f t="shared" si="115"/>
        <v>-0.11423601543124828</v>
      </c>
      <c r="CH140" s="95">
        <f t="shared" si="116"/>
        <v>0.48344699878054287</v>
      </c>
      <c r="CI140" s="95">
        <f t="shared" si="117"/>
        <v>0.45018107076441227</v>
      </c>
      <c r="CJ140" s="98">
        <f t="shared" si="118"/>
        <v>3.3265928016130597E-2</v>
      </c>
      <c r="CK140" s="95">
        <f t="shared" si="119"/>
        <v>0.61802996806681409</v>
      </c>
      <c r="CL140" s="95">
        <f t="shared" si="120"/>
        <v>0.62872194228126432</v>
      </c>
      <c r="CM140" s="98">
        <f t="shared" si="121"/>
        <v>-1.0691974214450228E-2</v>
      </c>
      <c r="CN140" s="94">
        <f t="shared" si="122"/>
        <v>0.96689399756108574</v>
      </c>
      <c r="CO140" s="94">
        <f t="shared" si="123"/>
        <v>1.2360599361336282</v>
      </c>
    </row>
    <row r="141" spans="1:94" ht="24.5" x14ac:dyDescent="0.35">
      <c r="A141" s="104">
        <v>241496</v>
      </c>
      <c r="B141" s="5" t="s">
        <v>581</v>
      </c>
      <c r="C141" s="46" t="s">
        <v>713</v>
      </c>
      <c r="D141" s="13" t="s">
        <v>714</v>
      </c>
      <c r="E141" s="6" t="s">
        <v>85</v>
      </c>
      <c r="F141" s="6" t="s">
        <v>580</v>
      </c>
      <c r="G141" s="12" t="s">
        <v>580</v>
      </c>
      <c r="H141" s="51" t="s">
        <v>304</v>
      </c>
      <c r="I141" s="24" t="s">
        <v>86</v>
      </c>
      <c r="J141" s="19">
        <v>196</v>
      </c>
      <c r="K141" s="19">
        <v>198</v>
      </c>
      <c r="L141" s="19">
        <v>32</v>
      </c>
      <c r="M141" s="19">
        <v>28</v>
      </c>
      <c r="N141" s="18">
        <v>204</v>
      </c>
      <c r="O141" s="18">
        <v>202</v>
      </c>
      <c r="P141" s="18">
        <v>36</v>
      </c>
      <c r="Q141" s="18">
        <v>24</v>
      </c>
      <c r="R141" s="19">
        <v>192</v>
      </c>
      <c r="S141" s="19">
        <v>199.5</v>
      </c>
      <c r="T141" s="19">
        <v>24</v>
      </c>
      <c r="U141" s="19">
        <v>34.5</v>
      </c>
      <c r="V141" s="19">
        <v>212</v>
      </c>
      <c r="W141" s="19">
        <v>223</v>
      </c>
      <c r="X141" s="19">
        <v>24</v>
      </c>
      <c r="Y141" s="19">
        <v>31</v>
      </c>
      <c r="Z141" s="19">
        <v>212</v>
      </c>
      <c r="AA141" s="19">
        <v>201</v>
      </c>
      <c r="AB141" s="19">
        <v>28</v>
      </c>
      <c r="AC141" s="19">
        <v>29</v>
      </c>
      <c r="AD141" s="19">
        <v>198</v>
      </c>
      <c r="AE141" s="19">
        <v>198</v>
      </c>
      <c r="AF141" s="19">
        <v>20</v>
      </c>
      <c r="AG141" s="19">
        <v>36</v>
      </c>
      <c r="AH141" s="19">
        <v>218</v>
      </c>
      <c r="AI141" s="19">
        <v>205.5</v>
      </c>
      <c r="AJ141" s="19">
        <v>32</v>
      </c>
      <c r="AK141" s="19">
        <v>28.5</v>
      </c>
      <c r="AL141" s="19">
        <v>216</v>
      </c>
      <c r="AM141" s="19">
        <v>212</v>
      </c>
      <c r="AN141" s="19">
        <v>24</v>
      </c>
      <c r="AO141" s="19">
        <v>28</v>
      </c>
      <c r="AP141" s="19">
        <v>220</v>
      </c>
      <c r="AQ141" s="19">
        <v>190</v>
      </c>
      <c r="AR141" s="19">
        <v>32</v>
      </c>
      <c r="AS141" s="19">
        <v>24</v>
      </c>
      <c r="AT141" s="19">
        <v>220</v>
      </c>
      <c r="AU141" s="19">
        <v>192</v>
      </c>
      <c r="AV141" s="19">
        <v>32</v>
      </c>
      <c r="AW141" s="19">
        <v>24</v>
      </c>
      <c r="AX141" s="19">
        <v>212</v>
      </c>
      <c r="AY141" s="19">
        <v>168</v>
      </c>
      <c r="AZ141" s="19">
        <v>40</v>
      </c>
      <c r="BA141" s="19">
        <v>24</v>
      </c>
      <c r="BB141" s="19">
        <v>250</v>
      </c>
      <c r="BC141" s="19">
        <v>188</v>
      </c>
      <c r="BD141" s="19">
        <v>48</v>
      </c>
      <c r="BE141" s="19">
        <v>28</v>
      </c>
      <c r="BF141" s="23">
        <v>28.622699999999998</v>
      </c>
      <c r="BG141" s="23">
        <v>77.095699999999994</v>
      </c>
      <c r="BH141" s="31">
        <f t="shared" si="93"/>
        <v>250</v>
      </c>
      <c r="BI141" s="31">
        <f t="shared" si="94"/>
        <v>188</v>
      </c>
      <c r="BJ141" s="37">
        <f t="shared" si="95"/>
        <v>62</v>
      </c>
      <c r="BK141" s="37">
        <f t="shared" si="96"/>
        <v>32.978723404255319</v>
      </c>
      <c r="BL141" s="36">
        <f t="shared" si="97"/>
        <v>48</v>
      </c>
      <c r="BM141" s="36">
        <f t="shared" si="98"/>
        <v>28</v>
      </c>
      <c r="BN141" s="37">
        <f t="shared" si="99"/>
        <v>20</v>
      </c>
      <c r="BO141" s="37">
        <f t="shared" si="100"/>
        <v>71.428571428571431</v>
      </c>
      <c r="BP141" s="38">
        <f t="shared" si="101"/>
        <v>2550</v>
      </c>
      <c r="BQ141" s="39">
        <f>J141+N141+S141+W141+AA141+AE141+AI141+AM141+AQ141+AU141+Table1[[#This Row],[MS-0225]]+Table1[[#This Row],[MS-0325]]</f>
        <v>2377</v>
      </c>
      <c r="BR141" s="37">
        <f t="shared" si="102"/>
        <v>173</v>
      </c>
      <c r="BS141" s="37">
        <f t="shared" si="103"/>
        <v>7.2780816154816987</v>
      </c>
      <c r="BT141" s="36">
        <f t="shared" si="104"/>
        <v>356</v>
      </c>
      <c r="BU141" s="36">
        <f t="shared" si="105"/>
        <v>355</v>
      </c>
      <c r="BV141" s="37">
        <f t="shared" si="106"/>
        <v>1</v>
      </c>
      <c r="BW141" s="37">
        <f t="shared" si="107"/>
        <v>0.28169014084507044</v>
      </c>
      <c r="BX141">
        <v>0</v>
      </c>
      <c r="BY141" s="83">
        <f t="shared" si="108"/>
        <v>0</v>
      </c>
      <c r="BZ141">
        <v>0</v>
      </c>
      <c r="CA141" s="83">
        <f t="shared" si="109"/>
        <v>0</v>
      </c>
      <c r="CB141" s="96">
        <f t="shared" si="110"/>
        <v>0.12581781580271767</v>
      </c>
      <c r="CC141" s="96">
        <f t="shared" si="111"/>
        <v>0.10270417918601475</v>
      </c>
      <c r="CD141" s="97">
        <f t="shared" si="112"/>
        <v>2.3113636616702918E-2</v>
      </c>
      <c r="CE141" s="96">
        <f t="shared" si="113"/>
        <v>0.13994169096209913</v>
      </c>
      <c r="CF141" s="96">
        <f t="shared" si="114"/>
        <v>7.2258064516129039E-2</v>
      </c>
      <c r="CG141" s="96">
        <f t="shared" si="115"/>
        <v>6.7683626445970091E-2</v>
      </c>
      <c r="CH141" s="95">
        <f t="shared" si="116"/>
        <v>0.11055232810196826</v>
      </c>
      <c r="CI141" s="95">
        <f t="shared" si="117"/>
        <v>0.10775647128156308</v>
      </c>
      <c r="CJ141" s="98">
        <f t="shared" si="118"/>
        <v>2.7958568204051737E-3</v>
      </c>
      <c r="CK141" s="95">
        <f t="shared" si="119"/>
        <v>8.0725623582766443E-2</v>
      </c>
      <c r="CL141" s="95">
        <f t="shared" si="120"/>
        <v>7.7799693184308572E-2</v>
      </c>
      <c r="CM141" s="98">
        <f t="shared" si="121"/>
        <v>2.9259303984578711E-3</v>
      </c>
      <c r="CN141" s="94">
        <f t="shared" si="122"/>
        <v>0.55276164050984133</v>
      </c>
      <c r="CO141" s="94">
        <f t="shared" si="123"/>
        <v>0.40362811791383224</v>
      </c>
    </row>
    <row r="142" spans="1:94" ht="24.5" x14ac:dyDescent="0.35">
      <c r="A142" s="104">
        <v>186851</v>
      </c>
      <c r="B142" s="5" t="s">
        <v>581</v>
      </c>
      <c r="C142" s="46" t="s">
        <v>885</v>
      </c>
      <c r="D142" s="13" t="s">
        <v>886</v>
      </c>
      <c r="E142" s="6" t="s">
        <v>85</v>
      </c>
      <c r="F142" s="6" t="s">
        <v>192</v>
      </c>
      <c r="G142" s="12" t="s">
        <v>192</v>
      </c>
      <c r="H142" s="51" t="s">
        <v>178</v>
      </c>
      <c r="I142" s="24" t="s">
        <v>86</v>
      </c>
      <c r="J142" s="19">
        <v>60</v>
      </c>
      <c r="K142" s="19">
        <v>48</v>
      </c>
      <c r="L142" s="19">
        <v>48</v>
      </c>
      <c r="M142" s="19">
        <v>48</v>
      </c>
      <c r="N142" s="18">
        <v>60</v>
      </c>
      <c r="O142" s="18">
        <v>69</v>
      </c>
      <c r="P142" s="18">
        <v>48</v>
      </c>
      <c r="Q142" s="18">
        <v>81</v>
      </c>
      <c r="R142" s="19">
        <v>60</v>
      </c>
      <c r="S142" s="19">
        <v>56</v>
      </c>
      <c r="T142" s="19">
        <v>48</v>
      </c>
      <c r="U142" s="19">
        <v>52</v>
      </c>
      <c r="V142" s="19">
        <v>64</v>
      </c>
      <c r="W142" s="19">
        <v>52</v>
      </c>
      <c r="X142" s="19">
        <v>68</v>
      </c>
      <c r="Y142" s="19">
        <v>44</v>
      </c>
      <c r="Z142" s="19">
        <v>64</v>
      </c>
      <c r="AA142" s="19">
        <v>56</v>
      </c>
      <c r="AB142" s="19">
        <v>44</v>
      </c>
      <c r="AC142" s="19">
        <v>52</v>
      </c>
      <c r="AD142" s="19">
        <v>64</v>
      </c>
      <c r="AE142" s="19">
        <v>52</v>
      </c>
      <c r="AF142" s="19">
        <v>56</v>
      </c>
      <c r="AG142" s="19">
        <v>44</v>
      </c>
      <c r="AH142" s="19">
        <v>64</v>
      </c>
      <c r="AI142" s="19">
        <v>48</v>
      </c>
      <c r="AJ142" s="19">
        <v>32</v>
      </c>
      <c r="AK142" s="19">
        <v>48</v>
      </c>
      <c r="AL142" s="19">
        <v>60</v>
      </c>
      <c r="AM142" s="19">
        <v>64</v>
      </c>
      <c r="AN142" s="19">
        <v>36</v>
      </c>
      <c r="AO142" s="19">
        <v>32</v>
      </c>
      <c r="AP142" s="19">
        <v>60</v>
      </c>
      <c r="AQ142" s="19">
        <v>56</v>
      </c>
      <c r="AR142" s="19">
        <v>24</v>
      </c>
      <c r="AS142" s="19">
        <v>40</v>
      </c>
      <c r="AT142" s="19">
        <v>56</v>
      </c>
      <c r="AU142" s="19">
        <v>60</v>
      </c>
      <c r="AV142" s="19">
        <v>28</v>
      </c>
      <c r="AW142" s="19">
        <v>48</v>
      </c>
      <c r="AX142" s="19">
        <v>56</v>
      </c>
      <c r="AY142" s="19">
        <v>48</v>
      </c>
      <c r="AZ142" s="19">
        <v>28</v>
      </c>
      <c r="BA142" s="19">
        <v>36</v>
      </c>
      <c r="BB142" s="19">
        <v>72</v>
      </c>
      <c r="BC142" s="19">
        <v>68</v>
      </c>
      <c r="BD142" s="19">
        <v>48</v>
      </c>
      <c r="BE142" s="19">
        <v>28</v>
      </c>
      <c r="BF142" s="140">
        <v>28.688400000000001</v>
      </c>
      <c r="BG142" s="140">
        <v>76.963099999999997</v>
      </c>
      <c r="BH142" s="31">
        <f t="shared" si="93"/>
        <v>72</v>
      </c>
      <c r="BI142" s="31">
        <f t="shared" si="94"/>
        <v>68</v>
      </c>
      <c r="BJ142" s="37">
        <f t="shared" si="95"/>
        <v>4</v>
      </c>
      <c r="BK142" s="37">
        <f t="shared" si="96"/>
        <v>5.8823529411764701</v>
      </c>
      <c r="BL142" s="36">
        <f t="shared" si="97"/>
        <v>48</v>
      </c>
      <c r="BM142" s="36">
        <f t="shared" si="98"/>
        <v>28</v>
      </c>
      <c r="BN142" s="37">
        <f t="shared" si="99"/>
        <v>20</v>
      </c>
      <c r="BO142" s="37">
        <f t="shared" si="100"/>
        <v>71.428571428571431</v>
      </c>
      <c r="BP142" s="38">
        <f t="shared" si="101"/>
        <v>737</v>
      </c>
      <c r="BQ142" s="39">
        <f>J142+N142+S142+W142+AA142+AE142+AI142+AM142+AQ142+AU142+Table1[[#This Row],[MS-0225]]+Table1[[#This Row],[MS-0325]]</f>
        <v>680</v>
      </c>
      <c r="BR142" s="37">
        <f t="shared" si="102"/>
        <v>57</v>
      </c>
      <c r="BS142" s="37">
        <f t="shared" si="103"/>
        <v>8.3823529411764692</v>
      </c>
      <c r="BT142" s="36">
        <f t="shared" si="104"/>
        <v>541</v>
      </c>
      <c r="BU142" s="36">
        <f t="shared" si="105"/>
        <v>520</v>
      </c>
      <c r="BV142" s="37">
        <f t="shared" si="106"/>
        <v>21</v>
      </c>
      <c r="BW142" s="37">
        <f t="shared" si="107"/>
        <v>4.0384615384615383</v>
      </c>
      <c r="BX142">
        <v>0</v>
      </c>
      <c r="BY142" s="83">
        <f t="shared" si="108"/>
        <v>0</v>
      </c>
      <c r="BZ142">
        <v>0</v>
      </c>
      <c r="CA142" s="83">
        <f t="shared" si="109"/>
        <v>0</v>
      </c>
      <c r="CB142" s="96">
        <f t="shared" si="110"/>
        <v>5.8799510004083302E-2</v>
      </c>
      <c r="CC142" s="96">
        <f t="shared" si="111"/>
        <v>5.5806319244973326E-2</v>
      </c>
      <c r="CD142" s="97">
        <f t="shared" si="112"/>
        <v>2.993190759109976E-3</v>
      </c>
      <c r="CE142" s="96">
        <f t="shared" si="113"/>
        <v>4.1325871717606544E-2</v>
      </c>
      <c r="CF142" s="96">
        <f t="shared" si="114"/>
        <v>2.8732683427398667E-2</v>
      </c>
      <c r="CG142" s="96">
        <f t="shared" si="115"/>
        <v>1.2593188290207877E-2</v>
      </c>
      <c r="CH142" s="95">
        <f t="shared" si="116"/>
        <v>5.0173599291987205E-2</v>
      </c>
      <c r="CI142" s="95">
        <f t="shared" si="117"/>
        <v>4.8866372031188245E-2</v>
      </c>
      <c r="CJ142" s="98">
        <f t="shared" si="118"/>
        <v>1.3072272607989599E-3</v>
      </c>
      <c r="CK142" s="95">
        <f t="shared" si="119"/>
        <v>4.5905812473483243E-2</v>
      </c>
      <c r="CL142" s="95">
        <f t="shared" si="120"/>
        <v>3.9297184961269604E-2</v>
      </c>
      <c r="CM142" s="98">
        <f t="shared" si="121"/>
        <v>6.6086275122136384E-3</v>
      </c>
      <c r="CN142" s="94">
        <f t="shared" si="122"/>
        <v>0.50173599291987203</v>
      </c>
      <c r="CO142" s="94">
        <f t="shared" si="123"/>
        <v>0.45905812473483243</v>
      </c>
    </row>
    <row r="143" spans="1:94" ht="24.5" x14ac:dyDescent="0.35">
      <c r="A143" s="104">
        <v>102102</v>
      </c>
      <c r="B143" s="5" t="s">
        <v>581</v>
      </c>
      <c r="C143" s="46" t="s">
        <v>867</v>
      </c>
      <c r="D143" s="13" t="s">
        <v>868</v>
      </c>
      <c r="E143" s="6" t="s">
        <v>75</v>
      </c>
      <c r="F143" s="6" t="s">
        <v>76</v>
      </c>
      <c r="G143" s="12" t="s">
        <v>76</v>
      </c>
      <c r="H143" s="51" t="s">
        <v>77</v>
      </c>
      <c r="I143" s="24" t="s">
        <v>78</v>
      </c>
      <c r="J143" s="19">
        <v>247.5</v>
      </c>
      <c r="K143" s="19">
        <v>315</v>
      </c>
      <c r="L143" s="19">
        <v>130.5</v>
      </c>
      <c r="M143" s="19">
        <v>117</v>
      </c>
      <c r="N143" s="18">
        <v>288</v>
      </c>
      <c r="O143" s="18">
        <v>355.5</v>
      </c>
      <c r="P143" s="18">
        <v>144</v>
      </c>
      <c r="Q143" s="18">
        <v>103.5</v>
      </c>
      <c r="R143" s="19">
        <v>333</v>
      </c>
      <c r="S143" s="19">
        <v>265.5</v>
      </c>
      <c r="T143" s="19">
        <v>135</v>
      </c>
      <c r="U143" s="19">
        <v>148.5</v>
      </c>
      <c r="V143" s="19">
        <v>355.5</v>
      </c>
      <c r="W143" s="19">
        <v>292.5</v>
      </c>
      <c r="X143" s="19">
        <v>130.5</v>
      </c>
      <c r="Y143" s="19">
        <v>139.5</v>
      </c>
      <c r="Z143" s="19">
        <v>360</v>
      </c>
      <c r="AA143" s="19">
        <v>306</v>
      </c>
      <c r="AB143" s="19">
        <v>108</v>
      </c>
      <c r="AC143" s="19">
        <v>144</v>
      </c>
      <c r="AD143" s="19">
        <v>351</v>
      </c>
      <c r="AE143" s="19">
        <v>283.5</v>
      </c>
      <c r="AF143" s="19">
        <v>87</v>
      </c>
      <c r="AG143" s="19">
        <v>112.5</v>
      </c>
      <c r="AH143" s="19">
        <v>363.5</v>
      </c>
      <c r="AI143" s="19">
        <v>299</v>
      </c>
      <c r="AJ143" s="19">
        <v>108.5</v>
      </c>
      <c r="AK143" s="19">
        <v>81</v>
      </c>
      <c r="AL143" s="19">
        <v>359</v>
      </c>
      <c r="AM143" s="19">
        <v>292.5</v>
      </c>
      <c r="AN143" s="19">
        <v>99</v>
      </c>
      <c r="AO143" s="19">
        <v>85.5</v>
      </c>
      <c r="AP143" s="19">
        <v>335</v>
      </c>
      <c r="AQ143" s="19">
        <v>292.5</v>
      </c>
      <c r="AR143" s="19">
        <v>85</v>
      </c>
      <c r="AS143" s="19">
        <v>85.5</v>
      </c>
      <c r="AT143" s="19">
        <v>325</v>
      </c>
      <c r="AU143" s="19">
        <v>297</v>
      </c>
      <c r="AV143" s="19">
        <v>75</v>
      </c>
      <c r="AW143" s="19">
        <v>81</v>
      </c>
      <c r="AX143" s="19">
        <v>325</v>
      </c>
      <c r="AY143" s="19">
        <v>288</v>
      </c>
      <c r="AZ143" s="19">
        <v>95</v>
      </c>
      <c r="BA143" s="19">
        <v>72</v>
      </c>
      <c r="BB143" s="19">
        <v>370</v>
      </c>
      <c r="BC143" s="19">
        <v>315</v>
      </c>
      <c r="BD143" s="19">
        <v>128</v>
      </c>
      <c r="BE143" s="19">
        <v>81</v>
      </c>
      <c r="BF143" s="23">
        <v>28.644231999999999</v>
      </c>
      <c r="BG143" s="23">
        <v>77.316906000000003</v>
      </c>
      <c r="BH143" s="31">
        <f t="shared" si="93"/>
        <v>370</v>
      </c>
      <c r="BI143" s="31">
        <f t="shared" si="94"/>
        <v>315</v>
      </c>
      <c r="BJ143" s="37">
        <f t="shared" si="95"/>
        <v>55</v>
      </c>
      <c r="BK143" s="37">
        <f t="shared" si="96"/>
        <v>17.460317460317459</v>
      </c>
      <c r="BL143" s="36">
        <f t="shared" si="97"/>
        <v>128</v>
      </c>
      <c r="BM143" s="36">
        <f t="shared" si="98"/>
        <v>81</v>
      </c>
      <c r="BN143" s="37">
        <f t="shared" si="99"/>
        <v>47</v>
      </c>
      <c r="BO143" s="37">
        <f t="shared" si="100"/>
        <v>58.024691358024697</v>
      </c>
      <c r="BP143" s="38">
        <f t="shared" si="101"/>
        <v>4147.5</v>
      </c>
      <c r="BQ143" s="39">
        <f>J143+N143+S143+W143+AA143+AE143+AI143+AM143+AQ143+AU143+Table1[[#This Row],[MS-0225]]+Table1[[#This Row],[MS-0325]]</f>
        <v>3467</v>
      </c>
      <c r="BR143" s="37">
        <f t="shared" si="102"/>
        <v>680.5</v>
      </c>
      <c r="BS143" s="37">
        <f t="shared" si="103"/>
        <v>19.627920392269974</v>
      </c>
      <c r="BT143" s="36">
        <f t="shared" si="104"/>
        <v>1271.5</v>
      </c>
      <c r="BU143" s="36">
        <f t="shared" si="105"/>
        <v>1305</v>
      </c>
      <c r="BV143" s="37">
        <f t="shared" si="106"/>
        <v>-33.5</v>
      </c>
      <c r="BW143" s="37">
        <f t="shared" si="107"/>
        <v>-2.5670498084291187</v>
      </c>
      <c r="BX143">
        <v>0</v>
      </c>
      <c r="BY143" s="83">
        <f t="shared" si="108"/>
        <v>0</v>
      </c>
      <c r="BZ143">
        <v>0</v>
      </c>
      <c r="CA143" s="83">
        <f t="shared" si="109"/>
        <v>0</v>
      </c>
      <c r="CB143" s="96">
        <f t="shared" si="110"/>
        <v>0.16167795499235307</v>
      </c>
      <c r="CC143" s="96">
        <f t="shared" si="111"/>
        <v>0.14549653579676675</v>
      </c>
      <c r="CD143" s="97">
        <f t="shared" si="112"/>
        <v>1.6181419195586327E-2</v>
      </c>
      <c r="CE143" s="96">
        <f t="shared" si="113"/>
        <v>0.12768079800498752</v>
      </c>
      <c r="CF143" s="96">
        <f t="shared" si="114"/>
        <v>8.9502762430939228E-2</v>
      </c>
      <c r="CG143" s="96">
        <f t="shared" si="115"/>
        <v>3.8178035574048294E-2</v>
      </c>
      <c r="CH143" s="95">
        <f t="shared" si="116"/>
        <v>0.14803512153335474</v>
      </c>
      <c r="CI143" s="95">
        <f t="shared" si="117"/>
        <v>0.13075124453160356</v>
      </c>
      <c r="CJ143" s="98">
        <f t="shared" si="118"/>
        <v>1.7283877001751186E-2</v>
      </c>
      <c r="CK143" s="95">
        <f t="shared" si="119"/>
        <v>0.10943282554436698</v>
      </c>
      <c r="CL143" s="95">
        <f t="shared" si="120"/>
        <v>0.1026750590086546</v>
      </c>
      <c r="CM143" s="98">
        <f t="shared" si="121"/>
        <v>6.7577665357123756E-3</v>
      </c>
      <c r="CN143" s="94">
        <f t="shared" si="122"/>
        <v>0.88821072920012845</v>
      </c>
      <c r="CO143" s="94">
        <f t="shared" si="123"/>
        <v>0.65659695326620193</v>
      </c>
    </row>
    <row r="144" spans="1:94" ht="36.5" x14ac:dyDescent="0.35">
      <c r="A144" s="104">
        <v>254694</v>
      </c>
      <c r="B144" s="5" t="s">
        <v>581</v>
      </c>
      <c r="C144" s="46" t="s">
        <v>909</v>
      </c>
      <c r="D144" s="13" t="s">
        <v>591</v>
      </c>
      <c r="E144" s="6" t="s">
        <v>89</v>
      </c>
      <c r="F144" s="6" t="s">
        <v>294</v>
      </c>
      <c r="G144" s="12" t="s">
        <v>294</v>
      </c>
      <c r="H144" s="51" t="s">
        <v>91</v>
      </c>
      <c r="I144" s="24" t="s">
        <v>86</v>
      </c>
      <c r="J144" s="19">
        <v>104</v>
      </c>
      <c r="K144" s="19">
        <v>80</v>
      </c>
      <c r="L144" s="19">
        <v>100</v>
      </c>
      <c r="M144" s="19">
        <v>76</v>
      </c>
      <c r="N144" s="18">
        <v>104</v>
      </c>
      <c r="O144" s="18">
        <v>98</v>
      </c>
      <c r="P144" s="18">
        <v>76</v>
      </c>
      <c r="Q144" s="18">
        <v>64</v>
      </c>
      <c r="R144" s="19">
        <v>92</v>
      </c>
      <c r="S144" s="19">
        <v>104</v>
      </c>
      <c r="T144" s="19">
        <v>64</v>
      </c>
      <c r="U144" s="19">
        <v>76</v>
      </c>
      <c r="V144" s="19">
        <v>92</v>
      </c>
      <c r="W144" s="19">
        <v>108</v>
      </c>
      <c r="X144" s="19">
        <v>64</v>
      </c>
      <c r="Y144" s="19">
        <v>72</v>
      </c>
      <c r="Z144" s="19">
        <v>92</v>
      </c>
      <c r="AA144" s="19">
        <v>110.5</v>
      </c>
      <c r="AB144" s="19">
        <v>40</v>
      </c>
      <c r="AC144" s="19">
        <v>57.5</v>
      </c>
      <c r="AD144" s="19">
        <v>80</v>
      </c>
      <c r="AE144" s="19">
        <v>96.5</v>
      </c>
      <c r="AF144" s="19">
        <v>64</v>
      </c>
      <c r="AG144" s="19">
        <v>57.5</v>
      </c>
      <c r="AH144" s="19">
        <v>84</v>
      </c>
      <c r="AI144" s="19">
        <v>107.5</v>
      </c>
      <c r="AJ144" s="19">
        <v>84</v>
      </c>
      <c r="AK144" s="19">
        <v>120.5</v>
      </c>
      <c r="AL144" s="19">
        <v>86</v>
      </c>
      <c r="AM144" s="19">
        <v>98</v>
      </c>
      <c r="AN144" s="19">
        <v>106</v>
      </c>
      <c r="AO144" s="19">
        <v>88</v>
      </c>
      <c r="AP144" s="19">
        <v>80</v>
      </c>
      <c r="AQ144" s="19">
        <v>89.5</v>
      </c>
      <c r="AR144" s="19">
        <v>52</v>
      </c>
      <c r="AS144" s="19">
        <v>58.5</v>
      </c>
      <c r="AT144" s="19">
        <v>76</v>
      </c>
      <c r="AU144" s="19">
        <v>94.5</v>
      </c>
      <c r="AV144" s="19">
        <v>56</v>
      </c>
      <c r="AW144" s="19">
        <v>61.5</v>
      </c>
      <c r="AX144" s="19">
        <v>88</v>
      </c>
      <c r="AY144" s="19">
        <v>84.5</v>
      </c>
      <c r="AZ144" s="19">
        <v>56</v>
      </c>
      <c r="BA144" s="19">
        <v>65.5</v>
      </c>
      <c r="BB144" s="19">
        <v>101</v>
      </c>
      <c r="BC144" s="19">
        <v>100</v>
      </c>
      <c r="BD144" s="19">
        <v>73</v>
      </c>
      <c r="BE144" s="19">
        <v>56</v>
      </c>
      <c r="BF144" s="23">
        <v>28.729099999999999</v>
      </c>
      <c r="BG144" s="23">
        <v>77.0017</v>
      </c>
      <c r="BH144" s="31">
        <f t="shared" si="93"/>
        <v>101</v>
      </c>
      <c r="BI144" s="31">
        <f t="shared" si="94"/>
        <v>100</v>
      </c>
      <c r="BJ144" s="37">
        <f t="shared" si="95"/>
        <v>1</v>
      </c>
      <c r="BK144" s="37">
        <f t="shared" si="96"/>
        <v>1</v>
      </c>
      <c r="BL144" s="36">
        <f t="shared" si="97"/>
        <v>73</v>
      </c>
      <c r="BM144" s="36">
        <f t="shared" si="98"/>
        <v>56</v>
      </c>
      <c r="BN144" s="37">
        <f t="shared" si="99"/>
        <v>17</v>
      </c>
      <c r="BO144" s="37">
        <f t="shared" si="100"/>
        <v>30.357142857142854</v>
      </c>
      <c r="BP144" s="38">
        <f t="shared" si="101"/>
        <v>1049</v>
      </c>
      <c r="BQ144" s="39">
        <f>J144+N144+S144+W144+AA144+AE144+AI144+AM144+AQ144+AU144+Table1[[#This Row],[MS-0225]]+Table1[[#This Row],[MS-0325]]</f>
        <v>1201</v>
      </c>
      <c r="BR144" s="37">
        <f t="shared" si="102"/>
        <v>-152</v>
      </c>
      <c r="BS144" s="37">
        <f t="shared" si="103"/>
        <v>-12.656119900083265</v>
      </c>
      <c r="BT144" s="36">
        <f t="shared" si="104"/>
        <v>799</v>
      </c>
      <c r="BU144" s="36">
        <f t="shared" si="105"/>
        <v>889</v>
      </c>
      <c r="BV144" s="37">
        <f t="shared" si="106"/>
        <v>-90</v>
      </c>
      <c r="BW144" s="37">
        <f t="shared" si="107"/>
        <v>-10.123734533183352</v>
      </c>
      <c r="BX144">
        <v>0</v>
      </c>
      <c r="BY144" s="83">
        <f t="shared" si="108"/>
        <v>0</v>
      </c>
      <c r="BZ144">
        <v>0</v>
      </c>
      <c r="CA144" s="83">
        <f t="shared" si="109"/>
        <v>0</v>
      </c>
      <c r="CB144" s="96">
        <f t="shared" si="110"/>
        <v>0.22773393461104849</v>
      </c>
      <c r="CC144" s="96">
        <f t="shared" si="111"/>
        <v>0.19743336623889438</v>
      </c>
      <c r="CD144" s="97">
        <f t="shared" si="112"/>
        <v>3.0300568372154113E-2</v>
      </c>
      <c r="CE144" s="96">
        <f t="shared" si="113"/>
        <v>0.14243902439024389</v>
      </c>
      <c r="CF144" s="96">
        <f t="shared" si="114"/>
        <v>0.12626832018038331</v>
      </c>
      <c r="CG144" s="96">
        <f t="shared" si="115"/>
        <v>1.6170704209860581E-2</v>
      </c>
      <c r="CH144" s="95">
        <f t="shared" si="116"/>
        <v>0.19012233801540554</v>
      </c>
      <c r="CI144" s="95">
        <f t="shared" si="117"/>
        <v>0.20411284840244731</v>
      </c>
      <c r="CJ144" s="98">
        <f t="shared" si="118"/>
        <v>-1.3990510387041771E-2</v>
      </c>
      <c r="CK144" s="95">
        <f t="shared" si="119"/>
        <v>0.136990998714102</v>
      </c>
      <c r="CL144" s="95">
        <f t="shared" si="120"/>
        <v>0.15144804088586031</v>
      </c>
      <c r="CM144" s="98">
        <f t="shared" si="121"/>
        <v>-1.4457042171758305E-2</v>
      </c>
      <c r="CN144" s="94">
        <f t="shared" si="122"/>
        <v>1.3308563661078388</v>
      </c>
      <c r="CO144" s="94">
        <f t="shared" si="123"/>
        <v>0.95893699099871399</v>
      </c>
    </row>
    <row r="145" spans="1:94" ht="24.5" x14ac:dyDescent="0.35">
      <c r="A145" s="103">
        <v>41056542</v>
      </c>
      <c r="B145" s="9" t="s">
        <v>380</v>
      </c>
      <c r="C145" s="48" t="s">
        <v>473</v>
      </c>
      <c r="D145" s="14" t="s">
        <v>474</v>
      </c>
      <c r="E145" s="10" t="s">
        <v>111</v>
      </c>
      <c r="F145" s="10" t="s">
        <v>112</v>
      </c>
      <c r="G145" s="12" t="s">
        <v>112</v>
      </c>
      <c r="H145" s="51" t="s">
        <v>113</v>
      </c>
      <c r="I145" s="25" t="s">
        <v>78</v>
      </c>
      <c r="J145" s="20">
        <v>378</v>
      </c>
      <c r="K145" s="20">
        <v>371.5</v>
      </c>
      <c r="L145" s="20">
        <v>108</v>
      </c>
      <c r="M145" s="20">
        <v>108.5</v>
      </c>
      <c r="N145" s="18">
        <v>387</v>
      </c>
      <c r="O145" s="18">
        <v>413.5</v>
      </c>
      <c r="P145" s="18">
        <v>117</v>
      </c>
      <c r="Q145" s="18">
        <v>115.5</v>
      </c>
      <c r="R145" s="20">
        <v>392</v>
      </c>
      <c r="S145" s="20">
        <v>387.5</v>
      </c>
      <c r="T145" s="20">
        <v>104</v>
      </c>
      <c r="U145" s="20">
        <v>126.5</v>
      </c>
      <c r="V145" s="20">
        <v>398.5</v>
      </c>
      <c r="W145" s="20">
        <v>383</v>
      </c>
      <c r="X145" s="20">
        <v>88.5</v>
      </c>
      <c r="Y145" s="20">
        <v>107</v>
      </c>
      <c r="Z145" s="20">
        <v>409.5</v>
      </c>
      <c r="AA145" s="20">
        <v>379.5</v>
      </c>
      <c r="AB145" s="20">
        <v>102.5</v>
      </c>
      <c r="AC145" s="20">
        <v>114.5</v>
      </c>
      <c r="AD145" s="20">
        <v>352.5</v>
      </c>
      <c r="AE145" s="20">
        <v>370.5</v>
      </c>
      <c r="AF145" s="20">
        <v>89.5</v>
      </c>
      <c r="AG145" s="20">
        <v>110.5</v>
      </c>
      <c r="AH145" s="20">
        <v>417</v>
      </c>
      <c r="AI145" s="20">
        <v>358</v>
      </c>
      <c r="AJ145" s="20">
        <v>102</v>
      </c>
      <c r="AK145" s="20">
        <v>104</v>
      </c>
      <c r="AL145" s="20">
        <v>343</v>
      </c>
      <c r="AM145" s="20">
        <v>391</v>
      </c>
      <c r="AN145" s="20">
        <v>80</v>
      </c>
      <c r="AO145" s="20">
        <v>93</v>
      </c>
      <c r="AP145" s="20">
        <v>382</v>
      </c>
      <c r="AQ145" s="20">
        <v>341.5</v>
      </c>
      <c r="AR145" s="20">
        <v>80</v>
      </c>
      <c r="AS145" s="20">
        <v>85.5</v>
      </c>
      <c r="AT145" s="20">
        <v>361</v>
      </c>
      <c r="AU145" s="20">
        <v>339</v>
      </c>
      <c r="AV145" s="20">
        <v>72</v>
      </c>
      <c r="AW145" s="20">
        <v>82</v>
      </c>
      <c r="AX145" s="20">
        <v>309</v>
      </c>
      <c r="AY145" s="20">
        <v>328</v>
      </c>
      <c r="AZ145" s="20">
        <v>82</v>
      </c>
      <c r="BA145" s="20">
        <v>87</v>
      </c>
      <c r="BB145" s="20">
        <v>365.5</v>
      </c>
      <c r="BC145" s="20">
        <v>367.5</v>
      </c>
      <c r="BD145" s="20">
        <v>88.5</v>
      </c>
      <c r="BE145" s="20">
        <v>85.5</v>
      </c>
      <c r="BF145" s="23">
        <v>28.5624</v>
      </c>
      <c r="BG145" s="23">
        <v>77.265379999999993</v>
      </c>
      <c r="BH145" s="31">
        <f t="shared" si="93"/>
        <v>365.5</v>
      </c>
      <c r="BI145" s="31">
        <f t="shared" si="94"/>
        <v>367.5</v>
      </c>
      <c r="BJ145" s="37">
        <f t="shared" si="95"/>
        <v>-2</v>
      </c>
      <c r="BK145" s="37">
        <f t="shared" si="96"/>
        <v>-0.54421768707482987</v>
      </c>
      <c r="BL145" s="36">
        <f t="shared" si="97"/>
        <v>88.5</v>
      </c>
      <c r="BM145" s="36">
        <f t="shared" si="98"/>
        <v>85.5</v>
      </c>
      <c r="BN145" s="37">
        <f t="shared" si="99"/>
        <v>3</v>
      </c>
      <c r="BO145" s="37">
        <f t="shared" si="100"/>
        <v>3.5087719298245612</v>
      </c>
      <c r="BP145" s="38">
        <f t="shared" si="101"/>
        <v>4515</v>
      </c>
      <c r="BQ145" s="39">
        <f>J145+N145+S145+W145+AA145+AE145+AI145+AM145+AQ145+AU145+Table1[[#This Row],[MS-0225]]+Table1[[#This Row],[MS-0325]]</f>
        <v>4410.5</v>
      </c>
      <c r="BR145" s="37">
        <f t="shared" si="102"/>
        <v>104.5</v>
      </c>
      <c r="BS145" s="37">
        <f t="shared" si="103"/>
        <v>2.3693458791520237</v>
      </c>
      <c r="BT145" s="36">
        <f t="shared" si="104"/>
        <v>1113</v>
      </c>
      <c r="BU145" s="36">
        <f t="shared" si="105"/>
        <v>1220.5</v>
      </c>
      <c r="BV145" s="37">
        <f t="shared" si="106"/>
        <v>-107.5</v>
      </c>
      <c r="BW145" s="37">
        <f t="shared" si="107"/>
        <v>-8.8078656288406378</v>
      </c>
      <c r="BX145">
        <v>0</v>
      </c>
      <c r="BY145" s="83">
        <f t="shared" si="108"/>
        <v>0</v>
      </c>
      <c r="BZ145">
        <v>0</v>
      </c>
      <c r="CA145" s="83">
        <f t="shared" si="109"/>
        <v>0</v>
      </c>
      <c r="CB145" s="96">
        <f t="shared" si="110"/>
        <v>6.6394187102633964E-2</v>
      </c>
      <c r="CC145" s="96">
        <f t="shared" si="111"/>
        <v>7.0388814403370997E-2</v>
      </c>
      <c r="CD145" s="97">
        <f t="shared" si="112"/>
        <v>-3.9946273007370331E-3</v>
      </c>
      <c r="CE145" s="96">
        <f t="shared" si="113"/>
        <v>6.1501042390548995E-2</v>
      </c>
      <c r="CF145" s="96">
        <f t="shared" si="114"/>
        <v>5.4983922829581991E-2</v>
      </c>
      <c r="CG145" s="96">
        <f t="shared" si="115"/>
        <v>6.5171195609670038E-3</v>
      </c>
      <c r="CH145" s="95">
        <f t="shared" si="116"/>
        <v>7.0306295644591163E-2</v>
      </c>
      <c r="CI145" s="95">
        <f t="shared" si="117"/>
        <v>6.9149061220604185E-2</v>
      </c>
      <c r="CJ145" s="98">
        <f t="shared" si="118"/>
        <v>1.1572344239869775E-3</v>
      </c>
      <c r="CK145" s="95">
        <f t="shared" si="119"/>
        <v>6.1998663101604276E-2</v>
      </c>
      <c r="CL145" s="95">
        <f t="shared" si="120"/>
        <v>5.8397129186602871E-2</v>
      </c>
      <c r="CM145" s="98">
        <f t="shared" si="121"/>
        <v>3.601533915001405E-3</v>
      </c>
      <c r="CN145" s="94">
        <f t="shared" si="122"/>
        <v>0.77336925209050278</v>
      </c>
      <c r="CO145" s="94">
        <f t="shared" si="123"/>
        <v>0.68198529411764708</v>
      </c>
    </row>
    <row r="146" spans="1:94" ht="24.5" x14ac:dyDescent="0.35">
      <c r="A146" s="104">
        <v>186842</v>
      </c>
      <c r="B146" s="5" t="s">
        <v>581</v>
      </c>
      <c r="C146" s="46" t="s">
        <v>628</v>
      </c>
      <c r="D146" s="13" t="s">
        <v>629</v>
      </c>
      <c r="E146" s="6" t="s">
        <v>85</v>
      </c>
      <c r="F146" s="6" t="s">
        <v>303</v>
      </c>
      <c r="G146" s="12" t="s">
        <v>630</v>
      </c>
      <c r="H146" s="51" t="s">
        <v>304</v>
      </c>
      <c r="I146" s="24" t="s">
        <v>86</v>
      </c>
      <c r="J146" s="19">
        <v>175</v>
      </c>
      <c r="K146" s="19">
        <v>207.5</v>
      </c>
      <c r="L146" s="19">
        <v>65</v>
      </c>
      <c r="M146" s="19">
        <v>66.5</v>
      </c>
      <c r="N146" s="18">
        <v>206.5</v>
      </c>
      <c r="O146" s="18">
        <v>212</v>
      </c>
      <c r="P146" s="18">
        <v>75.5</v>
      </c>
      <c r="Q146" s="18">
        <v>64</v>
      </c>
      <c r="R146" s="19">
        <v>207.5</v>
      </c>
      <c r="S146" s="19">
        <v>190.5</v>
      </c>
      <c r="T146" s="19">
        <v>52.5</v>
      </c>
      <c r="U146" s="19">
        <v>75.5</v>
      </c>
      <c r="V146" s="19">
        <v>230</v>
      </c>
      <c r="W146" s="19">
        <v>215</v>
      </c>
      <c r="X146" s="19">
        <v>56</v>
      </c>
      <c r="Y146" s="19">
        <v>69</v>
      </c>
      <c r="Z146" s="19">
        <v>247.5</v>
      </c>
      <c r="AA146" s="19">
        <v>196</v>
      </c>
      <c r="AB146" s="19">
        <v>68.5</v>
      </c>
      <c r="AC146" s="19">
        <v>72</v>
      </c>
      <c r="AD146" s="19">
        <v>222</v>
      </c>
      <c r="AE146" s="19">
        <v>194.5</v>
      </c>
      <c r="AF146" s="19">
        <v>56</v>
      </c>
      <c r="AG146" s="19">
        <v>61.5</v>
      </c>
      <c r="AH146" s="19">
        <v>235.5</v>
      </c>
      <c r="AI146" s="19">
        <v>200</v>
      </c>
      <c r="AJ146" s="19">
        <v>60.5</v>
      </c>
      <c r="AK146" s="19">
        <v>64</v>
      </c>
      <c r="AL146" s="19">
        <v>222</v>
      </c>
      <c r="AM146" s="19">
        <v>202.5</v>
      </c>
      <c r="AN146" s="19">
        <v>56</v>
      </c>
      <c r="AO146" s="19">
        <v>55.5</v>
      </c>
      <c r="AP146" s="19">
        <v>216</v>
      </c>
      <c r="AQ146" s="19">
        <v>182</v>
      </c>
      <c r="AR146" s="19">
        <v>48</v>
      </c>
      <c r="AS146" s="19">
        <v>52</v>
      </c>
      <c r="AT146" s="19">
        <v>226</v>
      </c>
      <c r="AU146" s="19">
        <v>202</v>
      </c>
      <c r="AV146" s="19">
        <v>52</v>
      </c>
      <c r="AW146" s="19">
        <v>60</v>
      </c>
      <c r="AX146" s="19">
        <v>208</v>
      </c>
      <c r="AY146" s="19">
        <v>163.5</v>
      </c>
      <c r="AZ146" s="19">
        <v>56</v>
      </c>
      <c r="BA146" s="19">
        <v>52.5</v>
      </c>
      <c r="BB146" s="19">
        <v>225</v>
      </c>
      <c r="BC146" s="19">
        <v>184</v>
      </c>
      <c r="BD146" s="19">
        <v>57</v>
      </c>
      <c r="BE146" s="19">
        <v>48</v>
      </c>
      <c r="BF146" s="23">
        <v>28.619700000000002</v>
      </c>
      <c r="BG146" s="23">
        <v>77.113900000000001</v>
      </c>
      <c r="BH146" s="31">
        <f t="shared" si="93"/>
        <v>225</v>
      </c>
      <c r="BI146" s="31">
        <f t="shared" si="94"/>
        <v>184</v>
      </c>
      <c r="BJ146" s="37">
        <f t="shared" si="95"/>
        <v>41</v>
      </c>
      <c r="BK146" s="37">
        <f t="shared" si="96"/>
        <v>22.282608695652172</v>
      </c>
      <c r="BL146" s="36">
        <f t="shared" si="97"/>
        <v>57</v>
      </c>
      <c r="BM146" s="36">
        <f t="shared" si="98"/>
        <v>48</v>
      </c>
      <c r="BN146" s="37">
        <f t="shared" si="99"/>
        <v>9</v>
      </c>
      <c r="BO146" s="37">
        <f t="shared" si="100"/>
        <v>18.75</v>
      </c>
      <c r="BP146" s="38">
        <f t="shared" si="101"/>
        <v>2659</v>
      </c>
      <c r="BQ146" s="39">
        <f>J146+N146+S146+W146+AA146+AE146+AI146+AM146+AQ146+AU146+Table1[[#This Row],[MS-0225]]+Table1[[#This Row],[MS-0325]]</f>
        <v>2311.5</v>
      </c>
      <c r="BR146" s="37">
        <f t="shared" si="102"/>
        <v>347.5</v>
      </c>
      <c r="BS146" s="37">
        <f t="shared" si="103"/>
        <v>15.033528012113345</v>
      </c>
      <c r="BT146" s="36">
        <f t="shared" si="104"/>
        <v>693</v>
      </c>
      <c r="BU146" s="36">
        <f t="shared" si="105"/>
        <v>750.5</v>
      </c>
      <c r="BV146" s="37">
        <f t="shared" si="106"/>
        <v>-57.5</v>
      </c>
      <c r="BW146" s="37">
        <f t="shared" si="107"/>
        <v>-7.6615589606928713</v>
      </c>
      <c r="BX146">
        <v>0</v>
      </c>
      <c r="BY146" s="83">
        <f t="shared" si="108"/>
        <v>0</v>
      </c>
      <c r="BZ146">
        <v>0</v>
      </c>
      <c r="CA146" s="83">
        <f t="shared" si="109"/>
        <v>0</v>
      </c>
      <c r="CB146" s="96">
        <f t="shared" si="110"/>
        <v>0.43352601156069365</v>
      </c>
      <c r="CC146" s="96">
        <f t="shared" si="111"/>
        <v>0.39740820734341253</v>
      </c>
      <c r="CD146" s="97">
        <f t="shared" si="112"/>
        <v>3.6117804217281113E-2</v>
      </c>
      <c r="CE146" s="96">
        <f t="shared" si="113"/>
        <v>0.39310344827586208</v>
      </c>
      <c r="CF146" s="96">
        <f t="shared" si="114"/>
        <v>0.31788079470198677</v>
      </c>
      <c r="CG146" s="96">
        <f t="shared" si="115"/>
        <v>7.5222653573875309E-2</v>
      </c>
      <c r="CH146" s="95">
        <f t="shared" si="116"/>
        <v>0.42807695403686707</v>
      </c>
      <c r="CI146" s="95">
        <f t="shared" si="117"/>
        <v>0.4098767621243018</v>
      </c>
      <c r="CJ146" s="98">
        <f t="shared" si="118"/>
        <v>1.8200191912565278E-2</v>
      </c>
      <c r="CK146" s="95">
        <f t="shared" si="119"/>
        <v>0.37489856640519342</v>
      </c>
      <c r="CL146" s="95">
        <f t="shared" si="120"/>
        <v>0.36282330190959633</v>
      </c>
      <c r="CM146" s="98">
        <f t="shared" si="121"/>
        <v>1.2075264495597093E-2</v>
      </c>
      <c r="CN146" s="94">
        <f t="shared" si="122"/>
        <v>0.85615390807373415</v>
      </c>
      <c r="CO146" s="94">
        <f t="shared" si="123"/>
        <v>0.74979713281038685</v>
      </c>
    </row>
    <row r="147" spans="1:94" ht="24.5" x14ac:dyDescent="0.35">
      <c r="A147" s="103">
        <v>41056823</v>
      </c>
      <c r="B147" s="9" t="s">
        <v>380</v>
      </c>
      <c r="C147" s="47" t="s">
        <v>431</v>
      </c>
      <c r="D147" s="14" t="s">
        <v>432</v>
      </c>
      <c r="E147" s="10" t="s">
        <v>103</v>
      </c>
      <c r="F147" s="10" t="s">
        <v>144</v>
      </c>
      <c r="G147" s="12" t="s">
        <v>144</v>
      </c>
      <c r="H147" s="51" t="s">
        <v>105</v>
      </c>
      <c r="I147" s="25" t="s">
        <v>78</v>
      </c>
      <c r="J147" s="20">
        <v>337.5</v>
      </c>
      <c r="K147" s="20">
        <v>368</v>
      </c>
      <c r="L147" s="20">
        <v>112.5</v>
      </c>
      <c r="M147" s="20">
        <v>125</v>
      </c>
      <c r="N147" s="18">
        <v>373.5</v>
      </c>
      <c r="O147" s="18">
        <v>395</v>
      </c>
      <c r="P147" s="18">
        <v>130.5</v>
      </c>
      <c r="Q147" s="18">
        <v>105</v>
      </c>
      <c r="R147" s="20">
        <v>299</v>
      </c>
      <c r="S147" s="20">
        <v>328.5</v>
      </c>
      <c r="T147" s="20">
        <v>119</v>
      </c>
      <c r="U147" s="20">
        <v>121.5</v>
      </c>
      <c r="V147" s="20">
        <v>418</v>
      </c>
      <c r="W147" s="20">
        <v>387</v>
      </c>
      <c r="X147" s="20">
        <v>125</v>
      </c>
      <c r="Y147" s="20">
        <v>135</v>
      </c>
      <c r="Z147" s="20">
        <v>411</v>
      </c>
      <c r="AA147" s="20">
        <v>382.5</v>
      </c>
      <c r="AB147" s="20">
        <v>118</v>
      </c>
      <c r="AC147" s="20">
        <v>121.5</v>
      </c>
      <c r="AD147" s="20">
        <v>389</v>
      </c>
      <c r="AE147" s="20">
        <v>364.5</v>
      </c>
      <c r="AF147" s="20">
        <v>126</v>
      </c>
      <c r="AG147" s="20">
        <v>121.5</v>
      </c>
      <c r="AH147" s="20">
        <v>369</v>
      </c>
      <c r="AI147" s="20">
        <v>372.5</v>
      </c>
      <c r="AJ147" s="20">
        <v>103</v>
      </c>
      <c r="AK147" s="20">
        <v>130.5</v>
      </c>
      <c r="AL147" s="20">
        <v>368.5</v>
      </c>
      <c r="AM147" s="20">
        <v>355.5</v>
      </c>
      <c r="AN147" s="20">
        <v>99.5</v>
      </c>
      <c r="AO147" s="20">
        <v>94.5</v>
      </c>
      <c r="AP147" s="20">
        <v>349.5</v>
      </c>
      <c r="AQ147" s="20">
        <v>335</v>
      </c>
      <c r="AR147" s="20">
        <v>97.5</v>
      </c>
      <c r="AS147" s="20">
        <v>104</v>
      </c>
      <c r="AT147" s="20">
        <v>353.5</v>
      </c>
      <c r="AU147" s="20">
        <v>333.5</v>
      </c>
      <c r="AV147" s="20">
        <v>114.5</v>
      </c>
      <c r="AW147" s="20">
        <v>109.5</v>
      </c>
      <c r="AX147" s="20">
        <v>348</v>
      </c>
      <c r="AY147" s="20">
        <v>310.5</v>
      </c>
      <c r="AZ147" s="20">
        <v>210</v>
      </c>
      <c r="BA147" s="20">
        <v>93.5</v>
      </c>
      <c r="BB147" s="20">
        <v>363</v>
      </c>
      <c r="BC147" s="20">
        <v>353</v>
      </c>
      <c r="BD147" s="20">
        <v>80</v>
      </c>
      <c r="BE147" s="20">
        <v>105</v>
      </c>
      <c r="BF147" s="23">
        <v>28.602138</v>
      </c>
      <c r="BG147" s="23">
        <v>77.230070999999995</v>
      </c>
      <c r="BH147" s="31">
        <f t="shared" si="93"/>
        <v>363</v>
      </c>
      <c r="BI147" s="31">
        <f t="shared" si="94"/>
        <v>353</v>
      </c>
      <c r="BJ147" s="37">
        <f t="shared" si="95"/>
        <v>10</v>
      </c>
      <c r="BK147" s="37">
        <f t="shared" si="96"/>
        <v>2.8328611898017</v>
      </c>
      <c r="BL147" s="36">
        <f t="shared" si="97"/>
        <v>80</v>
      </c>
      <c r="BM147" s="36">
        <f t="shared" si="98"/>
        <v>105</v>
      </c>
      <c r="BN147" s="37">
        <f t="shared" si="99"/>
        <v>-25</v>
      </c>
      <c r="BO147" s="37">
        <f t="shared" si="100"/>
        <v>-23.809523809523807</v>
      </c>
      <c r="BP147" s="38">
        <f t="shared" si="101"/>
        <v>4431.5</v>
      </c>
      <c r="BQ147" s="39">
        <f>J147+N147+S147+W147+AA147+AE147+AI147+AM147+AQ147+AU147+Table1[[#This Row],[MS-0225]]+Table1[[#This Row],[MS-0325]]</f>
        <v>4233.5</v>
      </c>
      <c r="BR147" s="37">
        <f t="shared" si="102"/>
        <v>198</v>
      </c>
      <c r="BS147" s="37">
        <f t="shared" si="103"/>
        <v>4.6769812212117632</v>
      </c>
      <c r="BT147" s="36">
        <f t="shared" si="104"/>
        <v>1422.5</v>
      </c>
      <c r="BU147" s="36">
        <f t="shared" si="105"/>
        <v>1379.5</v>
      </c>
      <c r="BV147" s="37">
        <f t="shared" si="106"/>
        <v>43</v>
      </c>
      <c r="BW147" s="37">
        <f t="shared" si="107"/>
        <v>3.1170714026821313</v>
      </c>
      <c r="BX147">
        <v>0</v>
      </c>
      <c r="BY147" s="83">
        <f t="shared" si="108"/>
        <v>0</v>
      </c>
      <c r="BZ147">
        <v>0</v>
      </c>
      <c r="CA147" s="83">
        <f t="shared" si="109"/>
        <v>0</v>
      </c>
      <c r="CB147" s="96">
        <f t="shared" si="110"/>
        <v>0.57075471698113212</v>
      </c>
      <c r="CC147" s="96">
        <f t="shared" si="111"/>
        <v>0.55678233438485802</v>
      </c>
      <c r="CD147" s="97">
        <f t="shared" si="112"/>
        <v>1.3972382596274091E-2</v>
      </c>
      <c r="CE147" s="96">
        <f t="shared" si="113"/>
        <v>0.50314465408805031</v>
      </c>
      <c r="CF147" s="96">
        <f t="shared" si="114"/>
        <v>0.57065217391304346</v>
      </c>
      <c r="CG147" s="96">
        <f t="shared" si="115"/>
        <v>-6.7507519824993145E-2</v>
      </c>
      <c r="CH147" s="95">
        <f t="shared" si="116"/>
        <v>0.55773708388395948</v>
      </c>
      <c r="CI147" s="95">
        <f t="shared" si="117"/>
        <v>0.56281573967150056</v>
      </c>
      <c r="CJ147" s="98">
        <f t="shared" si="118"/>
        <v>-5.0786557875410754E-3</v>
      </c>
      <c r="CK147" s="95">
        <f t="shared" si="119"/>
        <v>0.60262656216903199</v>
      </c>
      <c r="CL147" s="95">
        <f t="shared" si="120"/>
        <v>0.5948684777921518</v>
      </c>
      <c r="CM147" s="98">
        <f t="shared" si="121"/>
        <v>7.7580843768801921E-3</v>
      </c>
      <c r="CN147" s="94">
        <f t="shared" si="122"/>
        <v>1.115474167767919</v>
      </c>
      <c r="CO147" s="94">
        <f t="shared" si="123"/>
        <v>1.205253124338064</v>
      </c>
    </row>
    <row r="148" spans="1:94" ht="24.5" x14ac:dyDescent="0.35">
      <c r="A148" s="104">
        <v>203544</v>
      </c>
      <c r="B148" s="5" t="s">
        <v>581</v>
      </c>
      <c r="C148" s="46" t="s">
        <v>943</v>
      </c>
      <c r="D148" s="13" t="s">
        <v>533</v>
      </c>
      <c r="E148" s="6" t="s">
        <v>111</v>
      </c>
      <c r="F148" s="6" t="s">
        <v>125</v>
      </c>
      <c r="G148" s="12" t="s">
        <v>125</v>
      </c>
      <c r="H148" s="51" t="s">
        <v>120</v>
      </c>
      <c r="I148" s="24" t="s">
        <v>78</v>
      </c>
      <c r="J148" s="19">
        <v>342</v>
      </c>
      <c r="K148" s="19">
        <v>310.5</v>
      </c>
      <c r="L148" s="19">
        <v>126</v>
      </c>
      <c r="M148" s="19">
        <v>85.5</v>
      </c>
      <c r="N148" s="18">
        <v>360</v>
      </c>
      <c r="O148" s="18">
        <v>342</v>
      </c>
      <c r="P148" s="18">
        <v>144</v>
      </c>
      <c r="Q148" s="18">
        <v>108</v>
      </c>
      <c r="R148" s="19">
        <v>315</v>
      </c>
      <c r="S148" s="19">
        <v>328.5</v>
      </c>
      <c r="T148" s="19">
        <v>81</v>
      </c>
      <c r="U148" s="19">
        <v>121.5</v>
      </c>
      <c r="V148" s="19">
        <v>315</v>
      </c>
      <c r="W148" s="19">
        <v>310.5</v>
      </c>
      <c r="X148" s="19">
        <v>81</v>
      </c>
      <c r="Y148" s="19">
        <v>121.5</v>
      </c>
      <c r="Z148" s="19">
        <v>351</v>
      </c>
      <c r="AA148" s="19">
        <v>378</v>
      </c>
      <c r="AB148" s="19">
        <v>81</v>
      </c>
      <c r="AC148" s="19">
        <v>144</v>
      </c>
      <c r="AD148" s="19">
        <v>328.5</v>
      </c>
      <c r="AE148" s="19">
        <v>342</v>
      </c>
      <c r="AF148" s="19">
        <v>85.5</v>
      </c>
      <c r="AG148" s="19">
        <v>108</v>
      </c>
      <c r="AH148" s="19">
        <v>360</v>
      </c>
      <c r="AI148" s="19">
        <v>333</v>
      </c>
      <c r="AJ148" s="19">
        <v>90</v>
      </c>
      <c r="AK148" s="19">
        <v>99</v>
      </c>
      <c r="AL148" s="19">
        <v>346.5</v>
      </c>
      <c r="AM148" s="19">
        <v>324</v>
      </c>
      <c r="AN148" s="19">
        <v>85.5</v>
      </c>
      <c r="AO148" s="19">
        <v>72</v>
      </c>
      <c r="AP148" s="19">
        <v>333</v>
      </c>
      <c r="AQ148" s="19">
        <v>315</v>
      </c>
      <c r="AR148" s="19">
        <v>81</v>
      </c>
      <c r="AS148" s="19">
        <v>81</v>
      </c>
      <c r="AT148" s="19">
        <v>324</v>
      </c>
      <c r="AU148" s="19">
        <v>306</v>
      </c>
      <c r="AV148" s="19">
        <v>72</v>
      </c>
      <c r="AW148" s="19">
        <v>90</v>
      </c>
      <c r="AX148" s="19">
        <v>324</v>
      </c>
      <c r="AY148" s="19">
        <v>297</v>
      </c>
      <c r="AZ148" s="19">
        <v>90</v>
      </c>
      <c r="BA148" s="19">
        <v>81</v>
      </c>
      <c r="BB148" s="19">
        <v>360</v>
      </c>
      <c r="BC148" s="19">
        <v>306</v>
      </c>
      <c r="BD148" s="19">
        <v>90</v>
      </c>
      <c r="BE148" s="19">
        <v>90</v>
      </c>
      <c r="BF148" s="23">
        <v>28.547699999999999</v>
      </c>
      <c r="BG148" s="23">
        <v>77.255600000000001</v>
      </c>
      <c r="BH148" s="31">
        <f t="shared" si="93"/>
        <v>360</v>
      </c>
      <c r="BI148" s="31">
        <f t="shared" si="94"/>
        <v>306</v>
      </c>
      <c r="BJ148" s="37">
        <f t="shared" si="95"/>
        <v>54</v>
      </c>
      <c r="BK148" s="37">
        <f t="shared" si="96"/>
        <v>17.647058823529413</v>
      </c>
      <c r="BL148" s="36">
        <f t="shared" si="97"/>
        <v>90</v>
      </c>
      <c r="BM148" s="36">
        <f t="shared" si="98"/>
        <v>90</v>
      </c>
      <c r="BN148" s="37">
        <f t="shared" si="99"/>
        <v>0</v>
      </c>
      <c r="BO148" s="37">
        <f t="shared" si="100"/>
        <v>0</v>
      </c>
      <c r="BP148" s="38">
        <f t="shared" si="101"/>
        <v>4009.5</v>
      </c>
      <c r="BQ148" s="39">
        <f>J148+N148+S148+W148+AA148+AE148+AI148+AM148+AQ148+AU148+Table1[[#This Row],[MS-0225]]+Table1[[#This Row],[MS-0325]]</f>
        <v>3942</v>
      </c>
      <c r="BR148" s="37">
        <f t="shared" si="102"/>
        <v>67.5</v>
      </c>
      <c r="BS148" s="37">
        <f t="shared" si="103"/>
        <v>1.7123287671232876</v>
      </c>
      <c r="BT148" s="36">
        <f t="shared" si="104"/>
        <v>1030.5</v>
      </c>
      <c r="BU148" s="36">
        <f t="shared" si="105"/>
        <v>1278</v>
      </c>
      <c r="BV148" s="37">
        <f t="shared" si="106"/>
        <v>-247.5</v>
      </c>
      <c r="BW148" s="37">
        <f t="shared" si="107"/>
        <v>-19.366197183098592</v>
      </c>
      <c r="BX148">
        <v>0</v>
      </c>
      <c r="BY148" s="83">
        <f t="shared" si="108"/>
        <v>0</v>
      </c>
      <c r="BZ148">
        <v>0</v>
      </c>
      <c r="CA148" s="83">
        <f t="shared" si="109"/>
        <v>0</v>
      </c>
      <c r="CB148" s="96">
        <f t="shared" si="110"/>
        <v>0.17253774263120059</v>
      </c>
      <c r="CC148" s="96">
        <f t="shared" si="111"/>
        <v>0.15668202764976957</v>
      </c>
      <c r="CD148" s="97">
        <f t="shared" si="112"/>
        <v>1.5855714981431013E-2</v>
      </c>
      <c r="CE148" s="96">
        <f t="shared" si="113"/>
        <v>0.22304832713754646</v>
      </c>
      <c r="CF148" s="96">
        <f t="shared" si="114"/>
        <v>0.20689655172413793</v>
      </c>
      <c r="CG148" s="96">
        <f t="shared" si="115"/>
        <v>1.6151775413408537E-2</v>
      </c>
      <c r="CH148" s="95">
        <f t="shared" si="116"/>
        <v>0.16403133757440627</v>
      </c>
      <c r="CI148" s="95">
        <f t="shared" si="117"/>
        <v>0.16581139012050244</v>
      </c>
      <c r="CJ148" s="98">
        <f t="shared" si="118"/>
        <v>-1.7800525460961725E-3</v>
      </c>
      <c r="CK148" s="95">
        <f t="shared" si="119"/>
        <v>0.22370563334418755</v>
      </c>
      <c r="CL148" s="95">
        <f t="shared" si="120"/>
        <v>0.22927879440258342</v>
      </c>
      <c r="CM148" s="98">
        <f t="shared" si="121"/>
        <v>-5.5731610583958646E-3</v>
      </c>
      <c r="CN148" s="94">
        <f t="shared" si="122"/>
        <v>0.82015668787203133</v>
      </c>
      <c r="CO148" s="94">
        <f t="shared" si="123"/>
        <v>1.1185281667209377</v>
      </c>
    </row>
    <row r="149" spans="1:94" ht="24.5" x14ac:dyDescent="0.35">
      <c r="A149" s="104">
        <v>274208</v>
      </c>
      <c r="B149" s="5" t="s">
        <v>581</v>
      </c>
      <c r="C149" s="46" t="s">
        <v>764</v>
      </c>
      <c r="D149" s="13" t="s">
        <v>765</v>
      </c>
      <c r="E149" s="6" t="s">
        <v>228</v>
      </c>
      <c r="F149" s="6" t="s">
        <v>462</v>
      </c>
      <c r="G149" s="12" t="s">
        <v>462</v>
      </c>
      <c r="H149" s="51" t="s">
        <v>230</v>
      </c>
      <c r="I149" s="24" t="s">
        <v>78</v>
      </c>
      <c r="J149" s="19">
        <v>423</v>
      </c>
      <c r="K149" s="19">
        <v>396</v>
      </c>
      <c r="L149" s="19">
        <v>45</v>
      </c>
      <c r="M149" s="19">
        <v>36</v>
      </c>
      <c r="N149" s="18">
        <v>441</v>
      </c>
      <c r="O149" s="18">
        <v>432</v>
      </c>
      <c r="P149" s="18">
        <v>45</v>
      </c>
      <c r="Q149" s="18">
        <v>36</v>
      </c>
      <c r="R149" s="19">
        <v>400.5</v>
      </c>
      <c r="S149" s="19">
        <v>414</v>
      </c>
      <c r="T149" s="19">
        <v>31.5</v>
      </c>
      <c r="U149" s="19">
        <v>36</v>
      </c>
      <c r="V149" s="19">
        <v>432</v>
      </c>
      <c r="W149" s="19">
        <v>441</v>
      </c>
      <c r="X149" s="19">
        <v>36</v>
      </c>
      <c r="Y149" s="19">
        <v>45</v>
      </c>
      <c r="Z149" s="19">
        <v>468</v>
      </c>
      <c r="AA149" s="19">
        <v>477</v>
      </c>
      <c r="AB149" s="19">
        <v>36</v>
      </c>
      <c r="AC149" s="19">
        <v>45</v>
      </c>
      <c r="AD149" s="19">
        <v>414</v>
      </c>
      <c r="AE149" s="19">
        <v>441</v>
      </c>
      <c r="AF149" s="19">
        <v>36</v>
      </c>
      <c r="AG149" s="19">
        <v>45</v>
      </c>
      <c r="AH149" s="19">
        <v>456.5</v>
      </c>
      <c r="AI149" s="19">
        <v>445.5</v>
      </c>
      <c r="AJ149" s="19">
        <v>31.5</v>
      </c>
      <c r="AK149" s="19">
        <v>40.5</v>
      </c>
      <c r="AL149" s="19">
        <v>418.5</v>
      </c>
      <c r="AM149" s="19">
        <v>454.5</v>
      </c>
      <c r="AN149" s="19">
        <v>31.5</v>
      </c>
      <c r="AO149" s="19">
        <v>31.5</v>
      </c>
      <c r="AP149" s="19">
        <v>420.5</v>
      </c>
      <c r="AQ149" s="19">
        <v>414</v>
      </c>
      <c r="AR149" s="19">
        <v>31.5</v>
      </c>
      <c r="AS149" s="19">
        <v>36</v>
      </c>
      <c r="AT149" s="19">
        <v>369</v>
      </c>
      <c r="AU149" s="19">
        <v>418.5</v>
      </c>
      <c r="AV149" s="19">
        <v>27</v>
      </c>
      <c r="AW149" s="19">
        <v>31.5</v>
      </c>
      <c r="AX149" s="19">
        <v>391.5</v>
      </c>
      <c r="AY149" s="19">
        <v>382.5</v>
      </c>
      <c r="AZ149" s="19">
        <v>40.5</v>
      </c>
      <c r="BA149" s="19">
        <v>31.5</v>
      </c>
      <c r="BB149" s="19">
        <v>360</v>
      </c>
      <c r="BC149" s="19">
        <v>436.5</v>
      </c>
      <c r="BD149" s="19">
        <v>36</v>
      </c>
      <c r="BE149" s="19">
        <v>31.5</v>
      </c>
      <c r="BF149" s="23">
        <v>28.701636000000001</v>
      </c>
      <c r="BG149" s="23">
        <v>77.288148000000007</v>
      </c>
      <c r="BH149" s="31">
        <f t="shared" si="93"/>
        <v>360</v>
      </c>
      <c r="BI149" s="31">
        <f t="shared" si="94"/>
        <v>436.5</v>
      </c>
      <c r="BJ149" s="37">
        <f t="shared" si="95"/>
        <v>-76.5</v>
      </c>
      <c r="BK149" s="37">
        <f t="shared" si="96"/>
        <v>-17.525773195876287</v>
      </c>
      <c r="BL149" s="36">
        <f t="shared" si="97"/>
        <v>36</v>
      </c>
      <c r="BM149" s="36">
        <f t="shared" si="98"/>
        <v>31.5</v>
      </c>
      <c r="BN149" s="37">
        <f t="shared" si="99"/>
        <v>4.5</v>
      </c>
      <c r="BO149" s="37">
        <f t="shared" si="100"/>
        <v>14.285714285714285</v>
      </c>
      <c r="BP149" s="38">
        <f t="shared" si="101"/>
        <v>4958.5</v>
      </c>
      <c r="BQ149" s="39">
        <f>J149+N149+S149+W149+AA149+AE149+AI149+AM149+AQ149+AU149+Table1[[#This Row],[MS-0225]]+Table1[[#This Row],[MS-0325]]</f>
        <v>5188.5</v>
      </c>
      <c r="BR149" s="37">
        <f t="shared" si="102"/>
        <v>-230</v>
      </c>
      <c r="BS149" s="37">
        <f t="shared" si="103"/>
        <v>-4.4328804085959339</v>
      </c>
      <c r="BT149" s="36">
        <f t="shared" si="104"/>
        <v>409.5</v>
      </c>
      <c r="BU149" s="36">
        <f t="shared" si="105"/>
        <v>463.5</v>
      </c>
      <c r="BV149" s="37">
        <f t="shared" si="106"/>
        <v>-54</v>
      </c>
      <c r="BW149" s="37">
        <f t="shared" si="107"/>
        <v>-11.650485436893204</v>
      </c>
      <c r="BX149">
        <v>0</v>
      </c>
      <c r="BY149" s="83">
        <f t="shared" si="108"/>
        <v>0</v>
      </c>
      <c r="BZ149">
        <v>0</v>
      </c>
      <c r="CA149" s="83">
        <f t="shared" si="109"/>
        <v>0</v>
      </c>
      <c r="CB149" s="96">
        <f t="shared" si="110"/>
        <v>0.18623900672529747</v>
      </c>
      <c r="CC149" s="96">
        <f t="shared" si="111"/>
        <v>0.22123669538773441</v>
      </c>
      <c r="CD149" s="97">
        <f t="shared" si="112"/>
        <v>-3.4997688662436938E-2</v>
      </c>
      <c r="CE149" s="96">
        <f t="shared" si="113"/>
        <v>0.145748987854251</v>
      </c>
      <c r="CF149" s="96">
        <f t="shared" si="114"/>
        <v>0.11931818181818182</v>
      </c>
      <c r="CG149" s="96">
        <f t="shared" si="115"/>
        <v>2.6430806036069177E-2</v>
      </c>
      <c r="CH149" s="95">
        <f t="shared" si="116"/>
        <v>0.20783820601488001</v>
      </c>
      <c r="CI149" s="95">
        <f t="shared" si="117"/>
        <v>0.22268240343347639</v>
      </c>
      <c r="CJ149" s="98">
        <f t="shared" si="118"/>
        <v>-1.4844197418596383E-2</v>
      </c>
      <c r="CK149" s="95">
        <f t="shared" si="119"/>
        <v>0.1319478008699855</v>
      </c>
      <c r="CL149" s="95">
        <f t="shared" si="120"/>
        <v>0.12818030973451328</v>
      </c>
      <c r="CM149" s="98">
        <f t="shared" si="121"/>
        <v>3.7674911354722285E-3</v>
      </c>
      <c r="CN149" s="94">
        <f t="shared" si="122"/>
        <v>1.0391910300744001</v>
      </c>
      <c r="CO149" s="94">
        <f t="shared" si="123"/>
        <v>0.65973900434992749</v>
      </c>
    </row>
    <row r="150" spans="1:94" ht="36.5" x14ac:dyDescent="0.35">
      <c r="A150" s="104">
        <v>312646</v>
      </c>
      <c r="B150" s="5" t="s">
        <v>581</v>
      </c>
      <c r="C150" s="46" t="s">
        <v>717</v>
      </c>
      <c r="D150" s="13" t="s">
        <v>718</v>
      </c>
      <c r="E150" s="6" t="s">
        <v>81</v>
      </c>
      <c r="F150" s="6" t="s">
        <v>719</v>
      </c>
      <c r="G150" s="12" t="s">
        <v>719</v>
      </c>
      <c r="H150" s="51" t="s">
        <v>135</v>
      </c>
      <c r="I150" s="24" t="s">
        <v>83</v>
      </c>
      <c r="J150" s="19">
        <v>337.88100000000003</v>
      </c>
      <c r="K150" s="19">
        <v>371.23299999999989</v>
      </c>
      <c r="L150" s="19">
        <v>93.094999999999999</v>
      </c>
      <c r="M150" s="19">
        <v>92.682999999999907</v>
      </c>
      <c r="N150" s="18">
        <v>375.06999999999994</v>
      </c>
      <c r="O150" s="18">
        <v>397</v>
      </c>
      <c r="P150" s="18">
        <v>109.92099999999991</v>
      </c>
      <c r="Q150" s="18">
        <v>83</v>
      </c>
      <c r="R150" s="19">
        <v>368</v>
      </c>
      <c r="S150" s="19">
        <v>348.50599999999991</v>
      </c>
      <c r="T150" s="19">
        <v>96</v>
      </c>
      <c r="U150" s="19">
        <v>94.619</v>
      </c>
      <c r="V150" s="19">
        <v>381.54699999999997</v>
      </c>
      <c r="W150" s="19">
        <v>372.24200000000002</v>
      </c>
      <c r="X150" s="19">
        <v>103.58199999999989</v>
      </c>
      <c r="Y150" s="19">
        <v>107.81399999999999</v>
      </c>
      <c r="Z150" s="19">
        <v>435.46399999999988</v>
      </c>
      <c r="AA150" s="19">
        <v>379.5</v>
      </c>
      <c r="AB150" s="19">
        <v>103.107</v>
      </c>
      <c r="AC150" s="19">
        <v>100.5</v>
      </c>
      <c r="AD150" s="19">
        <v>372.71299999999997</v>
      </c>
      <c r="AE150" s="19">
        <v>356.75099999999998</v>
      </c>
      <c r="AF150" s="19">
        <v>104.55199999999999</v>
      </c>
      <c r="AG150" s="19">
        <v>95.906000000000006</v>
      </c>
      <c r="AH150" s="19">
        <v>333.11199999999991</v>
      </c>
      <c r="AI150" s="19">
        <v>367.5</v>
      </c>
      <c r="AJ150" s="19">
        <v>78.162000000000006</v>
      </c>
      <c r="AK150" s="19">
        <v>102.5</v>
      </c>
      <c r="AL150" s="19">
        <v>350.959</v>
      </c>
      <c r="AM150" s="19">
        <v>315.88100000000003</v>
      </c>
      <c r="AN150" s="19">
        <v>80.372</v>
      </c>
      <c r="AO150" s="19">
        <v>70.464999999999989</v>
      </c>
      <c r="AP150" s="19">
        <v>331.99299999999999</v>
      </c>
      <c r="AQ150" s="19">
        <v>345.05799999999999</v>
      </c>
      <c r="AR150" s="19">
        <v>67.176000000000002</v>
      </c>
      <c r="AS150" s="19">
        <v>79.120999999999995</v>
      </c>
      <c r="AT150" s="19">
        <v>322.74199999999985</v>
      </c>
      <c r="AU150" s="19">
        <v>331.8950000000001</v>
      </c>
      <c r="AV150" s="19">
        <v>69.311999999999998</v>
      </c>
      <c r="AW150" s="19">
        <v>77.878999999999991</v>
      </c>
      <c r="AX150" s="19">
        <v>314.649</v>
      </c>
      <c r="AY150" s="19">
        <v>318.10299999999989</v>
      </c>
      <c r="AZ150" s="19">
        <v>73.988</v>
      </c>
      <c r="BA150" s="19">
        <v>83.644999999999911</v>
      </c>
      <c r="BB150" s="19">
        <v>359.49299999999897</v>
      </c>
      <c r="BC150" s="19">
        <v>355.66500000000002</v>
      </c>
      <c r="BD150" s="19">
        <v>83.540999999999897</v>
      </c>
      <c r="BE150" s="19">
        <v>90.721999999999994</v>
      </c>
      <c r="BF150" s="23">
        <v>28.577373999999999</v>
      </c>
      <c r="BG150" s="23">
        <v>77.053545999999997</v>
      </c>
      <c r="BH150" s="31">
        <f t="shared" si="93"/>
        <v>359.49299999999897</v>
      </c>
      <c r="BI150" s="31">
        <f t="shared" si="94"/>
        <v>355.66500000000002</v>
      </c>
      <c r="BJ150" s="37">
        <f t="shared" si="95"/>
        <v>3.8279999999989514</v>
      </c>
      <c r="BK150" s="37">
        <f t="shared" si="96"/>
        <v>1.0762937033441444</v>
      </c>
      <c r="BL150" s="36">
        <f t="shared" si="97"/>
        <v>83.540999999999897</v>
      </c>
      <c r="BM150" s="36">
        <f t="shared" si="98"/>
        <v>90.721999999999994</v>
      </c>
      <c r="BN150" s="37">
        <f t="shared" si="99"/>
        <v>-7.1810000000000969</v>
      </c>
      <c r="BO150" s="37">
        <f t="shared" si="100"/>
        <v>-7.9153898723574185</v>
      </c>
      <c r="BP150" s="38">
        <f t="shared" si="101"/>
        <v>4338.9049999999979</v>
      </c>
      <c r="BQ150" s="39">
        <f>J150+N150+S150+W150+AA150+AE150+AI150+AM150+AQ150+AU150+Table1[[#This Row],[MS-0225]]+Table1[[#This Row],[MS-0325]]</f>
        <v>4204.0519999999997</v>
      </c>
      <c r="BR150" s="37">
        <f t="shared" si="102"/>
        <v>134.85299999999825</v>
      </c>
      <c r="BS150" s="37">
        <f t="shared" si="103"/>
        <v>3.2076910561524516</v>
      </c>
      <c r="BT150" s="36">
        <f t="shared" si="104"/>
        <v>1035.4749999999997</v>
      </c>
      <c r="BU150" s="36">
        <f t="shared" si="105"/>
        <v>1106.1869999999997</v>
      </c>
      <c r="BV150" s="37">
        <f t="shared" si="106"/>
        <v>-70.711999999999989</v>
      </c>
      <c r="BW150" s="37">
        <f t="shared" si="107"/>
        <v>-6.3924092400290373</v>
      </c>
      <c r="BX150">
        <v>0</v>
      </c>
      <c r="BY150" s="83">
        <f t="shared" si="108"/>
        <v>0</v>
      </c>
      <c r="BZ150">
        <v>0</v>
      </c>
      <c r="CA150" s="83">
        <f t="shared" si="109"/>
        <v>0</v>
      </c>
      <c r="CB150" s="96">
        <f t="shared" si="110"/>
        <v>0.46839906031716178</v>
      </c>
      <c r="CC150" s="96">
        <f t="shared" si="111"/>
        <v>0.51052514479699718</v>
      </c>
      <c r="CD150" s="97">
        <f t="shared" si="112"/>
        <v>-4.2126084479835402E-2</v>
      </c>
      <c r="CE150" s="96">
        <f t="shared" si="113"/>
        <v>0.49863018604401282</v>
      </c>
      <c r="CF150" s="96">
        <f t="shared" si="114"/>
        <v>0.56799939895568552</v>
      </c>
      <c r="CG150" s="96">
        <f t="shared" si="115"/>
        <v>-6.9369212911672695E-2</v>
      </c>
      <c r="CH150" s="95">
        <f t="shared" si="116"/>
        <v>0.48686616385610021</v>
      </c>
      <c r="CI150" s="95">
        <f t="shared" si="117"/>
        <v>0.52049336812490499</v>
      </c>
      <c r="CJ150" s="98">
        <f t="shared" si="118"/>
        <v>-3.3627204268804778E-2</v>
      </c>
      <c r="CK150" s="95">
        <f t="shared" si="119"/>
        <v>0.54256670902160098</v>
      </c>
      <c r="CL150" s="95">
        <f t="shared" si="120"/>
        <v>0.55221354771172126</v>
      </c>
      <c r="CM150" s="98">
        <f t="shared" si="121"/>
        <v>-9.6468386901202852E-3</v>
      </c>
      <c r="CN150" s="94">
        <f t="shared" si="122"/>
        <v>0.97373232771220042</v>
      </c>
      <c r="CO150" s="94">
        <f t="shared" si="123"/>
        <v>1.085133418043202</v>
      </c>
    </row>
    <row r="151" spans="1:94" ht="24.5" x14ac:dyDescent="0.35">
      <c r="A151" s="104">
        <v>186839</v>
      </c>
      <c r="B151" s="5" t="s">
        <v>581</v>
      </c>
      <c r="C151" s="46" t="s">
        <v>897</v>
      </c>
      <c r="D151" s="13" t="s">
        <v>898</v>
      </c>
      <c r="E151" s="6" t="s">
        <v>111</v>
      </c>
      <c r="F151" s="6" t="s">
        <v>899</v>
      </c>
      <c r="G151" s="12" t="s">
        <v>899</v>
      </c>
      <c r="H151" s="51" t="s">
        <v>248</v>
      </c>
      <c r="I151" s="24" t="s">
        <v>78</v>
      </c>
      <c r="J151" s="19">
        <v>324</v>
      </c>
      <c r="K151" s="19">
        <v>347.5</v>
      </c>
      <c r="L151" s="19">
        <v>270</v>
      </c>
      <c r="M151" s="19">
        <v>278.5</v>
      </c>
      <c r="N151" s="18">
        <v>337.5</v>
      </c>
      <c r="O151" s="18">
        <v>337.5</v>
      </c>
      <c r="P151" s="18">
        <v>292.5</v>
      </c>
      <c r="Q151" s="18">
        <v>256.5</v>
      </c>
      <c r="R151" s="19">
        <v>347.5</v>
      </c>
      <c r="S151" s="19">
        <v>346.5</v>
      </c>
      <c r="T151" s="19">
        <v>260.5</v>
      </c>
      <c r="U151" s="19">
        <v>283.5</v>
      </c>
      <c r="V151" s="19">
        <v>382.5</v>
      </c>
      <c r="W151" s="19">
        <v>340.5</v>
      </c>
      <c r="X151" s="19">
        <v>247.5</v>
      </c>
      <c r="Y151" s="19">
        <v>277.5</v>
      </c>
      <c r="Z151" s="19">
        <v>373.5</v>
      </c>
      <c r="AA151" s="19">
        <v>360</v>
      </c>
      <c r="AB151" s="19">
        <v>220.5</v>
      </c>
      <c r="AC151" s="19">
        <v>252</v>
      </c>
      <c r="AD151" s="19">
        <v>360</v>
      </c>
      <c r="AE151" s="19">
        <v>337.5</v>
      </c>
      <c r="AF151" s="19">
        <v>234</v>
      </c>
      <c r="AG151" s="19">
        <v>256.5</v>
      </c>
      <c r="AH151" s="19">
        <v>396</v>
      </c>
      <c r="AI151" s="19">
        <v>342</v>
      </c>
      <c r="AJ151" s="19">
        <v>270</v>
      </c>
      <c r="AK151" s="19">
        <v>296</v>
      </c>
      <c r="AL151" s="19">
        <v>382.5</v>
      </c>
      <c r="AM151" s="19">
        <v>331</v>
      </c>
      <c r="AN151" s="19">
        <v>247.5</v>
      </c>
      <c r="AO151" s="19">
        <v>285</v>
      </c>
      <c r="AP151" s="19">
        <v>378</v>
      </c>
      <c r="AQ151" s="19">
        <v>326</v>
      </c>
      <c r="AR151" s="19">
        <v>234</v>
      </c>
      <c r="AS151" s="19">
        <v>254</v>
      </c>
      <c r="AT151" s="19">
        <v>346.5</v>
      </c>
      <c r="AU151" s="19">
        <v>319.5</v>
      </c>
      <c r="AV151" s="19">
        <v>211.5</v>
      </c>
      <c r="AW151" s="19">
        <v>256.5</v>
      </c>
      <c r="AX151" s="19">
        <v>370</v>
      </c>
      <c r="AY151" s="19">
        <v>319.5</v>
      </c>
      <c r="AZ151" s="19">
        <v>238</v>
      </c>
      <c r="BA151" s="19">
        <v>256.5</v>
      </c>
      <c r="BB151" s="19">
        <v>358</v>
      </c>
      <c r="BC151" s="19">
        <v>337.5</v>
      </c>
      <c r="BD151" s="19">
        <v>242</v>
      </c>
      <c r="BE151" s="19">
        <v>256.5</v>
      </c>
      <c r="BF151" s="23">
        <v>28.586099999999998</v>
      </c>
      <c r="BG151" s="23">
        <v>77.260099999999994</v>
      </c>
      <c r="BH151" s="31">
        <f t="shared" si="93"/>
        <v>358</v>
      </c>
      <c r="BI151" s="31">
        <f t="shared" si="94"/>
        <v>337.5</v>
      </c>
      <c r="BJ151" s="37">
        <f t="shared" si="95"/>
        <v>20.5</v>
      </c>
      <c r="BK151" s="37">
        <f t="shared" si="96"/>
        <v>6.0740740740740744</v>
      </c>
      <c r="BL151" s="36">
        <f t="shared" si="97"/>
        <v>242</v>
      </c>
      <c r="BM151" s="36">
        <f t="shared" si="98"/>
        <v>256.5</v>
      </c>
      <c r="BN151" s="37">
        <f t="shared" si="99"/>
        <v>-14.5</v>
      </c>
      <c r="BO151" s="37">
        <f t="shared" si="100"/>
        <v>-5.6530214424951266</v>
      </c>
      <c r="BP151" s="38">
        <f t="shared" si="101"/>
        <v>4379.5</v>
      </c>
      <c r="BQ151" s="39">
        <f>J151+N151+S151+W151+AA151+AE151+AI151+AM151+AQ151+AU151+Table1[[#This Row],[MS-0225]]+Table1[[#This Row],[MS-0325]]</f>
        <v>4021.5</v>
      </c>
      <c r="BR151" s="37">
        <f t="shared" si="102"/>
        <v>358</v>
      </c>
      <c r="BS151" s="37">
        <f t="shared" si="103"/>
        <v>8.9021509387044624</v>
      </c>
      <c r="BT151" s="36">
        <f t="shared" si="104"/>
        <v>2940.5</v>
      </c>
      <c r="BU151" s="36">
        <f t="shared" si="105"/>
        <v>3236.5</v>
      </c>
      <c r="BV151" s="37">
        <f t="shared" si="106"/>
        <v>-296</v>
      </c>
      <c r="BW151" s="37">
        <f t="shared" si="107"/>
        <v>-9.1456820639579792</v>
      </c>
      <c r="BX151">
        <v>0</v>
      </c>
      <c r="BY151" s="83">
        <f t="shared" si="108"/>
        <v>0</v>
      </c>
      <c r="BZ151">
        <v>0</v>
      </c>
      <c r="CA151" s="83">
        <f t="shared" si="109"/>
        <v>0</v>
      </c>
      <c r="CB151" s="96">
        <f t="shared" si="110"/>
        <v>1</v>
      </c>
      <c r="CC151" s="96">
        <f t="shared" si="111"/>
        <v>1</v>
      </c>
      <c r="CD151" s="97">
        <f t="shared" si="112"/>
        <v>0</v>
      </c>
      <c r="CE151" s="96">
        <f t="shared" si="113"/>
        <v>1</v>
      </c>
      <c r="CF151" s="96">
        <f t="shared" si="114"/>
        <v>1</v>
      </c>
      <c r="CG151" s="96">
        <f t="shared" si="115"/>
        <v>0</v>
      </c>
      <c r="CH151" s="95">
        <f t="shared" si="116"/>
        <v>1</v>
      </c>
      <c r="CI151" s="95">
        <f t="shared" si="117"/>
        <v>1</v>
      </c>
      <c r="CJ151" s="98">
        <f t="shared" si="118"/>
        <v>0</v>
      </c>
      <c r="CK151" s="95">
        <f t="shared" si="119"/>
        <v>1</v>
      </c>
      <c r="CL151" s="95">
        <f t="shared" si="120"/>
        <v>1</v>
      </c>
      <c r="CM151" s="98">
        <f t="shared" si="121"/>
        <v>0</v>
      </c>
      <c r="CN151" s="94">
        <f t="shared" si="122"/>
        <v>1</v>
      </c>
      <c r="CO151" s="94">
        <f t="shared" si="123"/>
        <v>1</v>
      </c>
    </row>
    <row r="152" spans="1:94" ht="24.5" x14ac:dyDescent="0.35">
      <c r="A152" s="104">
        <v>106239</v>
      </c>
      <c r="B152" s="5" t="s">
        <v>581</v>
      </c>
      <c r="C152" s="46" t="s">
        <v>588</v>
      </c>
      <c r="D152" s="13" t="s">
        <v>589</v>
      </c>
      <c r="E152" s="6" t="s">
        <v>187</v>
      </c>
      <c r="F152" s="6" t="s">
        <v>370</v>
      </c>
      <c r="G152" s="12" t="s">
        <v>370</v>
      </c>
      <c r="H152" s="51" t="s">
        <v>189</v>
      </c>
      <c r="I152" s="24" t="s">
        <v>86</v>
      </c>
      <c r="J152" s="19">
        <v>420</v>
      </c>
      <c r="K152" s="19">
        <v>460</v>
      </c>
      <c r="L152" s="19">
        <v>84</v>
      </c>
      <c r="M152" s="19">
        <v>80</v>
      </c>
      <c r="N152" s="18">
        <v>352</v>
      </c>
      <c r="O152" s="18">
        <v>460</v>
      </c>
      <c r="P152" s="18">
        <v>80</v>
      </c>
      <c r="Q152" s="18">
        <v>80</v>
      </c>
      <c r="R152" s="19">
        <v>452</v>
      </c>
      <c r="S152" s="19">
        <v>305.5</v>
      </c>
      <c r="T152" s="19">
        <v>76</v>
      </c>
      <c r="U152" s="19">
        <v>72.5</v>
      </c>
      <c r="V152" s="19">
        <v>476</v>
      </c>
      <c r="W152" s="19">
        <v>316</v>
      </c>
      <c r="X152" s="19">
        <v>76</v>
      </c>
      <c r="Y152" s="19">
        <v>68</v>
      </c>
      <c r="Z152" s="19">
        <v>456</v>
      </c>
      <c r="AA152" s="19">
        <v>320</v>
      </c>
      <c r="AB152" s="19">
        <v>72</v>
      </c>
      <c r="AC152" s="19">
        <v>64</v>
      </c>
      <c r="AD152" s="19">
        <v>440</v>
      </c>
      <c r="AE152" s="19">
        <v>308</v>
      </c>
      <c r="AF152" s="19">
        <v>64</v>
      </c>
      <c r="AG152" s="19">
        <v>64</v>
      </c>
      <c r="AH152" s="19">
        <v>448</v>
      </c>
      <c r="AI152" s="19">
        <v>320</v>
      </c>
      <c r="AJ152" s="19">
        <v>68</v>
      </c>
      <c r="AK152" s="19">
        <v>64</v>
      </c>
      <c r="AL152" s="19">
        <v>440</v>
      </c>
      <c r="AM152" s="19">
        <v>276</v>
      </c>
      <c r="AN152" s="19">
        <v>64</v>
      </c>
      <c r="AO152" s="19">
        <v>48</v>
      </c>
      <c r="AP152" s="19">
        <v>416</v>
      </c>
      <c r="AQ152" s="19">
        <v>252</v>
      </c>
      <c r="AR152" s="19">
        <v>64</v>
      </c>
      <c r="AS152" s="19">
        <v>48</v>
      </c>
      <c r="AT152" s="19">
        <v>419</v>
      </c>
      <c r="AU152" s="19">
        <v>132</v>
      </c>
      <c r="AV152" s="19">
        <v>61</v>
      </c>
      <c r="AW152" s="19">
        <v>24</v>
      </c>
      <c r="AX152" s="19">
        <v>395</v>
      </c>
      <c r="AY152" s="19">
        <v>356</v>
      </c>
      <c r="AZ152" s="19">
        <v>65</v>
      </c>
      <c r="BA152" s="19">
        <v>64</v>
      </c>
      <c r="BB152" s="19">
        <v>460</v>
      </c>
      <c r="BC152" s="19">
        <v>401.5</v>
      </c>
      <c r="BD152" s="19">
        <v>80</v>
      </c>
      <c r="BE152" s="19">
        <v>72.5</v>
      </c>
      <c r="BF152" s="23">
        <v>28.639800000000001</v>
      </c>
      <c r="BG152" s="23">
        <v>77.173900000000003</v>
      </c>
      <c r="BH152" s="31">
        <f t="shared" si="93"/>
        <v>460</v>
      </c>
      <c r="BI152" s="31">
        <f t="shared" si="94"/>
        <v>401.5</v>
      </c>
      <c r="BJ152" s="37">
        <f t="shared" si="95"/>
        <v>58.5</v>
      </c>
      <c r="BK152" s="37">
        <f t="shared" si="96"/>
        <v>14.570361145703611</v>
      </c>
      <c r="BL152" s="36">
        <f t="shared" si="97"/>
        <v>80</v>
      </c>
      <c r="BM152" s="36">
        <f t="shared" si="98"/>
        <v>72.5</v>
      </c>
      <c r="BN152" s="37">
        <f t="shared" si="99"/>
        <v>7.5</v>
      </c>
      <c r="BO152" s="37">
        <f t="shared" si="100"/>
        <v>10.344827586206897</v>
      </c>
      <c r="BP152" s="38">
        <f t="shared" si="101"/>
        <v>5322</v>
      </c>
      <c r="BQ152" s="39">
        <f>J152+N152+S152+W152+AA152+AE152+AI152+AM152+AQ152+AU152+Table1[[#This Row],[MS-0225]]+Table1[[#This Row],[MS-0325]]</f>
        <v>3759</v>
      </c>
      <c r="BR152" s="37">
        <f t="shared" si="102"/>
        <v>1563</v>
      </c>
      <c r="BS152" s="37">
        <f t="shared" si="103"/>
        <v>41.580207501995211</v>
      </c>
      <c r="BT152" s="36">
        <f t="shared" si="104"/>
        <v>850</v>
      </c>
      <c r="BU152" s="36">
        <f t="shared" si="105"/>
        <v>753</v>
      </c>
      <c r="BV152" s="37">
        <f t="shared" si="106"/>
        <v>97</v>
      </c>
      <c r="BW152" s="37">
        <f t="shared" si="107"/>
        <v>12.881806108897742</v>
      </c>
      <c r="BX152">
        <v>0</v>
      </c>
      <c r="BY152" s="83">
        <f t="shared" si="108"/>
        <v>0</v>
      </c>
      <c r="BZ152">
        <v>0</v>
      </c>
      <c r="CA152" s="83">
        <f t="shared" si="109"/>
        <v>0</v>
      </c>
      <c r="CB152" s="96">
        <f t="shared" si="110"/>
        <v>0.26947861745752782</v>
      </c>
      <c r="CC152" s="96">
        <f t="shared" si="111"/>
        <v>0.25605867346938777</v>
      </c>
      <c r="CD152" s="97">
        <f t="shared" si="112"/>
        <v>1.341994398814006E-2</v>
      </c>
      <c r="CE152" s="96">
        <f t="shared" si="113"/>
        <v>0.27681660899653981</v>
      </c>
      <c r="CF152" s="96">
        <f t="shared" si="114"/>
        <v>0.2265625</v>
      </c>
      <c r="CG152" s="96">
        <f t="shared" si="115"/>
        <v>5.0254108996539815E-2</v>
      </c>
      <c r="CH152" s="95">
        <f t="shared" si="116"/>
        <v>0.27006317712429911</v>
      </c>
      <c r="CI152" s="95">
        <f t="shared" si="117"/>
        <v>0.198437417348097</v>
      </c>
      <c r="CJ152" s="98">
        <f t="shared" si="118"/>
        <v>7.1625759776202114E-2</v>
      </c>
      <c r="CK152" s="95">
        <f t="shared" si="119"/>
        <v>0.23227216832900668</v>
      </c>
      <c r="CL152" s="95">
        <f t="shared" si="120"/>
        <v>0.18606375092661231</v>
      </c>
      <c r="CM152" s="98">
        <f t="shared" si="121"/>
        <v>4.6208417402394369E-2</v>
      </c>
      <c r="CN152" s="94">
        <f t="shared" si="122"/>
        <v>1.0802527084971965</v>
      </c>
      <c r="CO152" s="94">
        <f t="shared" si="123"/>
        <v>0.92908867331602674</v>
      </c>
    </row>
    <row r="153" spans="1:94" ht="24.5" x14ac:dyDescent="0.35">
      <c r="A153" s="104">
        <v>106360</v>
      </c>
      <c r="B153" s="5" t="s">
        <v>581</v>
      </c>
      <c r="C153" s="46" t="s">
        <v>654</v>
      </c>
      <c r="D153" s="13" t="s">
        <v>655</v>
      </c>
      <c r="E153" s="6" t="s">
        <v>85</v>
      </c>
      <c r="F153" s="6" t="s">
        <v>303</v>
      </c>
      <c r="G153" s="12" t="s">
        <v>303</v>
      </c>
      <c r="H153" s="51" t="s">
        <v>304</v>
      </c>
      <c r="I153" s="24" t="s">
        <v>86</v>
      </c>
      <c r="J153" s="19">
        <v>495.5</v>
      </c>
      <c r="K153" s="19">
        <v>555</v>
      </c>
      <c r="L153" s="19">
        <v>106.5</v>
      </c>
      <c r="M153" s="19">
        <v>95</v>
      </c>
      <c r="N153" s="18">
        <v>554.5</v>
      </c>
      <c r="O153" s="18">
        <v>569</v>
      </c>
      <c r="P153" s="18">
        <v>121.5</v>
      </c>
      <c r="Q153" s="18">
        <v>93</v>
      </c>
      <c r="R153" s="19">
        <v>576.5</v>
      </c>
      <c r="S153" s="19">
        <v>528.5</v>
      </c>
      <c r="T153" s="19">
        <v>85.5</v>
      </c>
      <c r="U153" s="19">
        <v>97.5</v>
      </c>
      <c r="V153" s="19">
        <v>582</v>
      </c>
      <c r="W153" s="19">
        <v>556.5</v>
      </c>
      <c r="X153" s="19">
        <v>84</v>
      </c>
      <c r="Y153" s="19">
        <v>105.5</v>
      </c>
      <c r="Z153" s="19">
        <v>586</v>
      </c>
      <c r="AA153" s="19">
        <v>550</v>
      </c>
      <c r="AB153" s="19">
        <v>88</v>
      </c>
      <c r="AC153" s="19">
        <v>108</v>
      </c>
      <c r="AD153" s="19">
        <v>556.5</v>
      </c>
      <c r="AE153" s="19">
        <v>516</v>
      </c>
      <c r="AF153" s="19">
        <v>77.5</v>
      </c>
      <c r="AG153" s="19">
        <v>100</v>
      </c>
      <c r="AH153" s="19">
        <v>569.5</v>
      </c>
      <c r="AI153" s="19">
        <v>556</v>
      </c>
      <c r="AJ153" s="19">
        <v>88.5</v>
      </c>
      <c r="AK153" s="19">
        <v>104</v>
      </c>
      <c r="AL153" s="19">
        <v>549.5</v>
      </c>
      <c r="AM153" s="19">
        <v>529</v>
      </c>
      <c r="AN153" s="19">
        <v>74.5</v>
      </c>
      <c r="AO153" s="19">
        <v>83</v>
      </c>
      <c r="AP153" s="19">
        <v>532.5</v>
      </c>
      <c r="AQ153" s="19">
        <v>510</v>
      </c>
      <c r="AR153" s="19">
        <v>69.5</v>
      </c>
      <c r="AS153" s="19">
        <v>84</v>
      </c>
      <c r="AT153" s="19">
        <v>518</v>
      </c>
      <c r="AU153" s="19">
        <v>513.5</v>
      </c>
      <c r="AV153" s="19">
        <v>76</v>
      </c>
      <c r="AW153" s="19">
        <v>88.5</v>
      </c>
      <c r="AX153" s="19">
        <v>484</v>
      </c>
      <c r="AY153" s="19">
        <v>457.5</v>
      </c>
      <c r="AZ153" s="19">
        <v>80</v>
      </c>
      <c r="BA153" s="19">
        <v>84.5</v>
      </c>
      <c r="BB153" s="19">
        <v>564</v>
      </c>
      <c r="BC153" s="19">
        <v>527</v>
      </c>
      <c r="BD153" s="19">
        <v>96</v>
      </c>
      <c r="BE153" s="19">
        <v>89</v>
      </c>
      <c r="BF153" s="23">
        <v>28.6234</v>
      </c>
      <c r="BG153" s="23">
        <v>77.101799999999997</v>
      </c>
      <c r="BH153" s="31">
        <f t="shared" si="93"/>
        <v>564</v>
      </c>
      <c r="BI153" s="31">
        <f t="shared" si="94"/>
        <v>527</v>
      </c>
      <c r="BJ153" s="37">
        <f t="shared" si="95"/>
        <v>37</v>
      </c>
      <c r="BK153" s="37">
        <f t="shared" si="96"/>
        <v>7.020872865275142</v>
      </c>
      <c r="BL153" s="36">
        <f t="shared" si="97"/>
        <v>96</v>
      </c>
      <c r="BM153" s="36">
        <f t="shared" si="98"/>
        <v>89</v>
      </c>
      <c r="BN153" s="37">
        <f t="shared" si="99"/>
        <v>7</v>
      </c>
      <c r="BO153" s="37">
        <f t="shared" si="100"/>
        <v>7.8651685393258424</v>
      </c>
      <c r="BP153" s="38">
        <f t="shared" si="101"/>
        <v>6642.5</v>
      </c>
      <c r="BQ153" s="39">
        <f>J153+N153+S153+W153+AA153+AE153+AI153+AM153+AQ153+AU153+Table1[[#This Row],[MS-0225]]+Table1[[#This Row],[MS-0325]]</f>
        <v>6294</v>
      </c>
      <c r="BR153" s="37">
        <f t="shared" si="102"/>
        <v>348.5</v>
      </c>
      <c r="BS153" s="37">
        <f t="shared" si="103"/>
        <v>5.5370193835398789</v>
      </c>
      <c r="BT153" s="36">
        <f t="shared" si="104"/>
        <v>1007.5</v>
      </c>
      <c r="BU153" s="36">
        <f t="shared" si="105"/>
        <v>1172</v>
      </c>
      <c r="BV153" s="37">
        <f t="shared" si="106"/>
        <v>-164.5</v>
      </c>
      <c r="BW153" s="37">
        <f t="shared" si="107"/>
        <v>-14.035836177474403</v>
      </c>
      <c r="BX153">
        <v>0</v>
      </c>
      <c r="BY153" s="83">
        <f t="shared" si="108"/>
        <v>0</v>
      </c>
      <c r="BZ153">
        <v>0</v>
      </c>
      <c r="CA153" s="83">
        <f t="shared" si="109"/>
        <v>0</v>
      </c>
      <c r="CB153" s="96">
        <f t="shared" si="110"/>
        <v>0.3618864292589028</v>
      </c>
      <c r="CC153" s="96">
        <f t="shared" si="111"/>
        <v>0.35899182561307902</v>
      </c>
      <c r="CD153" s="97">
        <f t="shared" si="112"/>
        <v>2.8946036458237789E-3</v>
      </c>
      <c r="CE153" s="96">
        <f t="shared" si="113"/>
        <v>0.32487309644670048</v>
      </c>
      <c r="CF153" s="96">
        <f t="shared" si="114"/>
        <v>0.26331360946745563</v>
      </c>
      <c r="CG153" s="96">
        <f t="shared" si="115"/>
        <v>6.1559486979244848E-2</v>
      </c>
      <c r="CH153" s="95">
        <f t="shared" si="116"/>
        <v>0.36140809053565115</v>
      </c>
      <c r="CI153" s="95">
        <f t="shared" si="117"/>
        <v>0.36183851186135979</v>
      </c>
      <c r="CJ153" s="98">
        <f t="shared" si="118"/>
        <v>-4.3042132570864089E-4</v>
      </c>
      <c r="CK153" s="95">
        <f t="shared" si="119"/>
        <v>0.27248140635564572</v>
      </c>
      <c r="CL153" s="95">
        <f t="shared" si="120"/>
        <v>0.30976608959957713</v>
      </c>
      <c r="CM153" s="98">
        <f t="shared" si="121"/>
        <v>-3.7284683243931416E-2</v>
      </c>
      <c r="CN153" s="94">
        <f t="shared" si="122"/>
        <v>1.8070404526782557</v>
      </c>
      <c r="CO153" s="94">
        <f t="shared" si="123"/>
        <v>1.3624070317782286</v>
      </c>
    </row>
    <row r="154" spans="1:94" ht="24.5" x14ac:dyDescent="0.35">
      <c r="A154" s="103">
        <v>41056992</v>
      </c>
      <c r="B154" s="9" t="s">
        <v>380</v>
      </c>
      <c r="C154" s="47" t="s">
        <v>551</v>
      </c>
      <c r="D154" s="14" t="s">
        <v>552</v>
      </c>
      <c r="E154" s="10" t="s">
        <v>187</v>
      </c>
      <c r="F154" s="10" t="s">
        <v>366</v>
      </c>
      <c r="G154" s="12" t="s">
        <v>366</v>
      </c>
      <c r="H154" s="51" t="s">
        <v>367</v>
      </c>
      <c r="I154" s="25" t="s">
        <v>86</v>
      </c>
      <c r="J154" s="20">
        <v>270</v>
      </c>
      <c r="K154" s="20">
        <v>270</v>
      </c>
      <c r="L154" s="20">
        <v>72</v>
      </c>
      <c r="M154" s="20">
        <v>72</v>
      </c>
      <c r="N154" s="18">
        <v>292.5</v>
      </c>
      <c r="O154" s="18">
        <v>279</v>
      </c>
      <c r="P154" s="18">
        <v>85.5</v>
      </c>
      <c r="Q154" s="18">
        <v>63</v>
      </c>
      <c r="R154" s="20">
        <v>270</v>
      </c>
      <c r="S154" s="20">
        <v>270</v>
      </c>
      <c r="T154" s="20">
        <v>54</v>
      </c>
      <c r="U154" s="20">
        <v>72</v>
      </c>
      <c r="V154" s="20">
        <v>301.5</v>
      </c>
      <c r="W154" s="20">
        <v>301.5</v>
      </c>
      <c r="X154" s="20">
        <v>94.5</v>
      </c>
      <c r="Y154" s="20">
        <v>94.5</v>
      </c>
      <c r="Z154" s="20">
        <v>297</v>
      </c>
      <c r="AA154" s="20">
        <v>297</v>
      </c>
      <c r="AB154" s="20">
        <v>81</v>
      </c>
      <c r="AC154" s="20">
        <v>81</v>
      </c>
      <c r="AD154" s="20">
        <v>283.5</v>
      </c>
      <c r="AE154" s="20">
        <v>279</v>
      </c>
      <c r="AF154" s="20">
        <v>94.5</v>
      </c>
      <c r="AG154" s="20">
        <v>81</v>
      </c>
      <c r="AH154" s="20">
        <v>310.5</v>
      </c>
      <c r="AI154" s="20">
        <v>310.5</v>
      </c>
      <c r="AJ154" s="20">
        <v>85.5</v>
      </c>
      <c r="AK154" s="20">
        <v>103.5</v>
      </c>
      <c r="AL154" s="20">
        <v>283.5</v>
      </c>
      <c r="AM154" s="20">
        <v>274.5</v>
      </c>
      <c r="AN154" s="20">
        <v>58.5</v>
      </c>
      <c r="AO154" s="20">
        <v>67.5</v>
      </c>
      <c r="AP154" s="20">
        <v>292.5</v>
      </c>
      <c r="AQ154" s="20">
        <v>288</v>
      </c>
      <c r="AR154" s="20">
        <v>49.5</v>
      </c>
      <c r="AS154" s="20">
        <v>72</v>
      </c>
      <c r="AT154" s="20">
        <v>270</v>
      </c>
      <c r="AU154" s="20">
        <v>270</v>
      </c>
      <c r="AV154" s="20">
        <v>54</v>
      </c>
      <c r="AW154" s="20">
        <v>72</v>
      </c>
      <c r="AX154" s="20">
        <v>256.5</v>
      </c>
      <c r="AY154" s="20">
        <v>261</v>
      </c>
      <c r="AZ154" s="20">
        <v>49.5</v>
      </c>
      <c r="BA154" s="20">
        <v>81</v>
      </c>
      <c r="BB154" s="20">
        <v>270</v>
      </c>
      <c r="BC154" s="20">
        <v>274.5</v>
      </c>
      <c r="BD154" s="20">
        <v>54</v>
      </c>
      <c r="BE154" s="20">
        <v>81</v>
      </c>
      <c r="BF154" s="23">
        <v>28.670698000000002</v>
      </c>
      <c r="BG154" s="23">
        <v>77.176652000000004</v>
      </c>
      <c r="BH154" s="31">
        <f t="shared" si="93"/>
        <v>270</v>
      </c>
      <c r="BI154" s="31">
        <f t="shared" si="94"/>
        <v>274.5</v>
      </c>
      <c r="BJ154" s="37">
        <f t="shared" si="95"/>
        <v>-4.5</v>
      </c>
      <c r="BK154" s="37">
        <f t="shared" si="96"/>
        <v>-1.639344262295082</v>
      </c>
      <c r="BL154" s="36">
        <f t="shared" si="97"/>
        <v>54</v>
      </c>
      <c r="BM154" s="36">
        <f t="shared" si="98"/>
        <v>81</v>
      </c>
      <c r="BN154" s="37">
        <f t="shared" si="99"/>
        <v>-27</v>
      </c>
      <c r="BO154" s="37">
        <f t="shared" si="100"/>
        <v>-33.333333333333329</v>
      </c>
      <c r="BP154" s="38">
        <f t="shared" si="101"/>
        <v>3384</v>
      </c>
      <c r="BQ154" s="39">
        <f>J154+N154+S154+W154+AA154+AE154+AI154+AM154+AQ154+AU154+Table1[[#This Row],[MS-0225]]+Table1[[#This Row],[MS-0325]]</f>
        <v>3388.5</v>
      </c>
      <c r="BR154" s="37">
        <f t="shared" si="102"/>
        <v>-4.5</v>
      </c>
      <c r="BS154" s="37">
        <f t="shared" si="103"/>
        <v>-0.13280212483399734</v>
      </c>
      <c r="BT154" s="36">
        <f t="shared" si="104"/>
        <v>810</v>
      </c>
      <c r="BU154" s="36">
        <f t="shared" si="105"/>
        <v>963</v>
      </c>
      <c r="BV154" s="37">
        <f t="shared" si="106"/>
        <v>-153</v>
      </c>
      <c r="BW154" s="37">
        <f t="shared" si="107"/>
        <v>-15.887850467289718</v>
      </c>
      <c r="BX154">
        <v>0</v>
      </c>
      <c r="BY154" s="83">
        <f t="shared" si="108"/>
        <v>0</v>
      </c>
      <c r="BZ154">
        <v>0</v>
      </c>
      <c r="CA154" s="83">
        <f t="shared" si="109"/>
        <v>0</v>
      </c>
      <c r="CB154" s="96">
        <f t="shared" si="110"/>
        <v>0.15743440233236153</v>
      </c>
      <c r="CC154" s="96">
        <f t="shared" si="111"/>
        <v>0.15382460072849538</v>
      </c>
      <c r="CD154" s="97">
        <f t="shared" si="112"/>
        <v>3.6098016038661473E-3</v>
      </c>
      <c r="CE154" s="96">
        <f t="shared" si="113"/>
        <v>5.7877813504823149E-2</v>
      </c>
      <c r="CF154" s="96">
        <f t="shared" si="114"/>
        <v>6.9438491213030432E-2</v>
      </c>
      <c r="CG154" s="96">
        <f t="shared" si="115"/>
        <v>-1.1560677708207283E-2</v>
      </c>
      <c r="CH154" s="95">
        <f t="shared" si="116"/>
        <v>0.15786159121125184</v>
      </c>
      <c r="CI154" s="95">
        <f t="shared" si="117"/>
        <v>0.15729007091123098</v>
      </c>
      <c r="CJ154" s="98">
        <f t="shared" si="118"/>
        <v>5.7152030002086129E-4</v>
      </c>
      <c r="CK154" s="95">
        <f t="shared" si="119"/>
        <v>6.5797489947605703E-2</v>
      </c>
      <c r="CL154" s="95">
        <f t="shared" si="120"/>
        <v>6.1357120101943295E-2</v>
      </c>
      <c r="CM154" s="98">
        <f t="shared" si="121"/>
        <v>4.4403698456624077E-3</v>
      </c>
      <c r="CN154" s="94">
        <f t="shared" si="122"/>
        <v>0.94716954726751101</v>
      </c>
      <c r="CO154" s="94">
        <f t="shared" si="123"/>
        <v>0.39478493968563422</v>
      </c>
      <c r="CP154" s="141">
        <f>BD154-AZ154</f>
        <v>4.5</v>
      </c>
    </row>
    <row r="155" spans="1:94" x14ac:dyDescent="0.35">
      <c r="A155" s="104">
        <v>186837</v>
      </c>
      <c r="B155" s="5" t="s">
        <v>581</v>
      </c>
      <c r="C155" s="46" t="s">
        <v>924</v>
      </c>
      <c r="D155" s="13" t="s">
        <v>402</v>
      </c>
      <c r="E155" s="6" t="s">
        <v>187</v>
      </c>
      <c r="F155" s="6" t="s">
        <v>370</v>
      </c>
      <c r="G155" s="12" t="s">
        <v>370</v>
      </c>
      <c r="H155" s="51" t="s">
        <v>189</v>
      </c>
      <c r="I155" s="24" t="s">
        <v>86</v>
      </c>
      <c r="J155" s="19">
        <v>389.5</v>
      </c>
      <c r="K155" s="19">
        <v>362.5</v>
      </c>
      <c r="L155" s="19">
        <v>122.5</v>
      </c>
      <c r="M155" s="19">
        <v>111.5</v>
      </c>
      <c r="N155" s="18">
        <v>489</v>
      </c>
      <c r="O155" s="18">
        <v>400.5</v>
      </c>
      <c r="P155" s="18">
        <v>133</v>
      </c>
      <c r="Q155" s="18">
        <v>105.5</v>
      </c>
      <c r="R155" s="19">
        <v>354</v>
      </c>
      <c r="S155" s="19">
        <v>477.5</v>
      </c>
      <c r="T155" s="19">
        <v>82</v>
      </c>
      <c r="U155" s="19">
        <v>134.5</v>
      </c>
      <c r="V155" s="19">
        <v>387.5</v>
      </c>
      <c r="W155" s="19">
        <v>523</v>
      </c>
      <c r="X155" s="19">
        <v>94.5</v>
      </c>
      <c r="Y155" s="19">
        <v>155</v>
      </c>
      <c r="Z155" s="19">
        <v>430.5</v>
      </c>
      <c r="AA155" s="19">
        <v>518</v>
      </c>
      <c r="AB155" s="19">
        <v>97.5</v>
      </c>
      <c r="AC155" s="19">
        <v>142</v>
      </c>
      <c r="AD155" s="19">
        <v>399.5</v>
      </c>
      <c r="AE155" s="19">
        <v>508</v>
      </c>
      <c r="AF155" s="19">
        <v>86.5</v>
      </c>
      <c r="AG155" s="19">
        <v>136</v>
      </c>
      <c r="AH155" s="19">
        <v>412</v>
      </c>
      <c r="AI155" s="19">
        <v>497</v>
      </c>
      <c r="AJ155" s="19">
        <v>104</v>
      </c>
      <c r="AK155" s="19">
        <v>131</v>
      </c>
      <c r="AL155" s="19">
        <v>394</v>
      </c>
      <c r="AM155" s="19">
        <v>462</v>
      </c>
      <c r="AN155" s="19">
        <v>92</v>
      </c>
      <c r="AO155" s="19">
        <v>104</v>
      </c>
      <c r="AP155" s="19">
        <v>360</v>
      </c>
      <c r="AQ155" s="19">
        <v>473</v>
      </c>
      <c r="AR155" s="19">
        <v>84</v>
      </c>
      <c r="AS155" s="19">
        <v>107</v>
      </c>
      <c r="AT155" s="19">
        <v>368</v>
      </c>
      <c r="AU155" s="19">
        <v>555.5</v>
      </c>
      <c r="AV155" s="19">
        <v>76</v>
      </c>
      <c r="AW155" s="19">
        <v>132.5</v>
      </c>
      <c r="AX155" s="19">
        <v>376</v>
      </c>
      <c r="AY155" s="19">
        <v>350.5</v>
      </c>
      <c r="AZ155" s="19">
        <v>104</v>
      </c>
      <c r="BA155" s="19">
        <v>93.5</v>
      </c>
      <c r="BB155" s="19">
        <v>414</v>
      </c>
      <c r="BC155" s="19">
        <v>365</v>
      </c>
      <c r="BD155" s="19">
        <v>96</v>
      </c>
      <c r="BE155" s="19">
        <v>89</v>
      </c>
      <c r="BF155" s="23">
        <v>28.639399999999998</v>
      </c>
      <c r="BG155" s="23">
        <v>77.174099999999996</v>
      </c>
      <c r="BH155" s="31">
        <f t="shared" si="93"/>
        <v>414</v>
      </c>
      <c r="BI155" s="31">
        <f t="shared" si="94"/>
        <v>365</v>
      </c>
      <c r="BJ155" s="37">
        <f t="shared" si="95"/>
        <v>49</v>
      </c>
      <c r="BK155" s="37">
        <f t="shared" si="96"/>
        <v>13.424657534246576</v>
      </c>
      <c r="BL155" s="36">
        <f t="shared" si="97"/>
        <v>96</v>
      </c>
      <c r="BM155" s="36">
        <f t="shared" si="98"/>
        <v>89</v>
      </c>
      <c r="BN155" s="37">
        <f t="shared" si="99"/>
        <v>7</v>
      </c>
      <c r="BO155" s="37">
        <f t="shared" si="100"/>
        <v>7.8651685393258424</v>
      </c>
      <c r="BP155" s="38">
        <f t="shared" si="101"/>
        <v>4658.5</v>
      </c>
      <c r="BQ155" s="39">
        <f>J155+N155+S155+W155+AA155+AE155+AI155+AM155+AQ155+AU155+Table1[[#This Row],[MS-0225]]+Table1[[#This Row],[MS-0325]]</f>
        <v>5608</v>
      </c>
      <c r="BR155" s="37">
        <f t="shared" si="102"/>
        <v>-949.5</v>
      </c>
      <c r="BS155" s="37">
        <f t="shared" si="103"/>
        <v>-16.9311697574893</v>
      </c>
      <c r="BT155" s="36">
        <f t="shared" si="104"/>
        <v>1133.5</v>
      </c>
      <c r="BU155" s="36">
        <f t="shared" si="105"/>
        <v>1480</v>
      </c>
      <c r="BV155" s="37">
        <f t="shared" si="106"/>
        <v>-346.5</v>
      </c>
      <c r="BW155" s="37">
        <f t="shared" si="107"/>
        <v>-23.412162162162161</v>
      </c>
      <c r="BX155">
        <v>0</v>
      </c>
      <c r="BY155" s="83">
        <f t="shared" si="108"/>
        <v>0</v>
      </c>
      <c r="BZ155">
        <v>0</v>
      </c>
      <c r="CA155" s="83">
        <f t="shared" si="109"/>
        <v>0</v>
      </c>
      <c r="CB155" s="96">
        <f t="shared" si="110"/>
        <v>0.24253075571177504</v>
      </c>
      <c r="CC155" s="96">
        <f t="shared" si="111"/>
        <v>0.23278061224489796</v>
      </c>
      <c r="CD155" s="97">
        <f t="shared" si="112"/>
        <v>9.7501434668770814E-3</v>
      </c>
      <c r="CE155" s="96">
        <f t="shared" si="113"/>
        <v>0.33217993079584773</v>
      </c>
      <c r="CF155" s="96">
        <f t="shared" si="114"/>
        <v>0.27812500000000001</v>
      </c>
      <c r="CG155" s="96">
        <f t="shared" si="115"/>
        <v>5.4054930795847722E-2</v>
      </c>
      <c r="CH155" s="95">
        <f t="shared" si="116"/>
        <v>0.23639408317052749</v>
      </c>
      <c r="CI155" s="95">
        <f t="shared" si="117"/>
        <v>0.2960460325852961</v>
      </c>
      <c r="CJ155" s="98">
        <f t="shared" si="118"/>
        <v>-5.9651949414768618E-2</v>
      </c>
      <c r="CK155" s="95">
        <f t="shared" si="119"/>
        <v>0.30974176800109304</v>
      </c>
      <c r="CL155" s="95">
        <f t="shared" si="120"/>
        <v>0.36570298986903882</v>
      </c>
      <c r="CM155" s="98">
        <f t="shared" si="121"/>
        <v>-5.5961221867945776E-2</v>
      </c>
      <c r="CN155" s="94">
        <f t="shared" si="122"/>
        <v>0.94557633268210994</v>
      </c>
      <c r="CO155" s="94">
        <f t="shared" si="123"/>
        <v>1.2389670720043722</v>
      </c>
    </row>
    <row r="156" spans="1:94" ht="24.5" x14ac:dyDescent="0.35">
      <c r="A156" s="104">
        <v>308771</v>
      </c>
      <c r="B156" s="5" t="s">
        <v>581</v>
      </c>
      <c r="C156" s="46" t="s">
        <v>618</v>
      </c>
      <c r="D156" s="13" t="s">
        <v>619</v>
      </c>
      <c r="E156" s="6" t="s">
        <v>187</v>
      </c>
      <c r="F156" s="6" t="s">
        <v>315</v>
      </c>
      <c r="G156" s="12" t="s">
        <v>620</v>
      </c>
      <c r="H156" s="51" t="s">
        <v>178</v>
      </c>
      <c r="I156" s="24" t="s">
        <v>86</v>
      </c>
      <c r="J156" s="19">
        <v>406.75299999999993</v>
      </c>
      <c r="K156" s="19">
        <v>432.3669999999999</v>
      </c>
      <c r="L156" s="19">
        <v>76.78</v>
      </c>
      <c r="M156" s="19">
        <v>64.64</v>
      </c>
      <c r="N156" s="18">
        <v>428.00500000000005</v>
      </c>
      <c r="O156" s="18">
        <v>443.7519999999999</v>
      </c>
      <c r="P156" s="18">
        <v>87.614999999999995</v>
      </c>
      <c r="Q156" s="18">
        <v>68.456999999999994</v>
      </c>
      <c r="R156" s="19">
        <v>420</v>
      </c>
      <c r="S156" s="19">
        <v>414.88099999999997</v>
      </c>
      <c r="T156" s="19">
        <v>72</v>
      </c>
      <c r="U156" s="19">
        <v>84.091999999999999</v>
      </c>
      <c r="V156" s="19">
        <v>456.52600000000001</v>
      </c>
      <c r="W156" s="19">
        <v>450.63500000000005</v>
      </c>
      <c r="X156" s="19">
        <v>70.287000000000006</v>
      </c>
      <c r="Y156" s="19">
        <v>97.609000000000009</v>
      </c>
      <c r="Z156" s="19">
        <v>491.64399999999989</v>
      </c>
      <c r="AA156" s="19">
        <v>440.69399999999996</v>
      </c>
      <c r="AB156" s="19">
        <v>79.841999999999999</v>
      </c>
      <c r="AC156" s="19">
        <v>71.561999999999998</v>
      </c>
      <c r="AD156" s="19">
        <v>481.50200000000001</v>
      </c>
      <c r="AE156" s="19">
        <v>424.65399999999988</v>
      </c>
      <c r="AF156" s="19">
        <v>80.564999999999998</v>
      </c>
      <c r="AG156" s="19">
        <v>69.968999999999994</v>
      </c>
      <c r="AH156" s="19">
        <v>467.60500000000008</v>
      </c>
      <c r="AI156" s="19">
        <v>449</v>
      </c>
      <c r="AJ156" s="19">
        <v>71.405999999999992</v>
      </c>
      <c r="AK156" s="19">
        <v>63</v>
      </c>
      <c r="AL156" s="19">
        <v>450.63300000000004</v>
      </c>
      <c r="AM156" s="19">
        <v>401.03099999999989</v>
      </c>
      <c r="AN156" s="19">
        <v>71.38</v>
      </c>
      <c r="AO156" s="19">
        <v>56.3</v>
      </c>
      <c r="AP156" s="19">
        <v>420.37200000000001</v>
      </c>
      <c r="AQ156" s="19">
        <v>408.54399999999998</v>
      </c>
      <c r="AR156" s="19">
        <v>59.354999999999983</v>
      </c>
      <c r="AS156" s="19">
        <v>53.503</v>
      </c>
      <c r="AT156" s="19">
        <v>409.053</v>
      </c>
      <c r="AU156" s="19">
        <v>408.38499999999988</v>
      </c>
      <c r="AV156" s="19">
        <v>66.051000000000002</v>
      </c>
      <c r="AW156" s="19">
        <v>63.525999999999996</v>
      </c>
      <c r="AX156" s="19">
        <v>388.81</v>
      </c>
      <c r="AY156" s="19">
        <v>375.774</v>
      </c>
      <c r="AZ156" s="19">
        <v>68.721000000000004</v>
      </c>
      <c r="BA156" s="19">
        <v>59.51</v>
      </c>
      <c r="BB156" s="19">
        <v>445.92899999999901</v>
      </c>
      <c r="BC156" s="19">
        <v>432</v>
      </c>
      <c r="BD156" s="19">
        <v>68.123000000000005</v>
      </c>
      <c r="BE156" s="19">
        <v>62</v>
      </c>
      <c r="BF156" s="23">
        <v>28.656762000000001</v>
      </c>
      <c r="BG156" s="23">
        <v>77.196408000000005</v>
      </c>
      <c r="BH156" s="31">
        <f t="shared" si="93"/>
        <v>445.92899999999901</v>
      </c>
      <c r="BI156" s="31">
        <f t="shared" si="94"/>
        <v>432</v>
      </c>
      <c r="BJ156" s="37">
        <f t="shared" si="95"/>
        <v>13.928999999999007</v>
      </c>
      <c r="BK156" s="37">
        <f t="shared" si="96"/>
        <v>3.2243055555553255</v>
      </c>
      <c r="BL156" s="36">
        <f t="shared" si="97"/>
        <v>68.123000000000005</v>
      </c>
      <c r="BM156" s="36">
        <f t="shared" si="98"/>
        <v>62</v>
      </c>
      <c r="BN156" s="37">
        <f t="shared" si="99"/>
        <v>6.1230000000000047</v>
      </c>
      <c r="BO156" s="37">
        <f t="shared" si="100"/>
        <v>9.8758064516129096</v>
      </c>
      <c r="BP156" s="38">
        <f t="shared" si="101"/>
        <v>5308.1929999999993</v>
      </c>
      <c r="BQ156" s="39">
        <f>J156+N156+S156+W156+AA156+AE156+AI156+AM156+AQ156+AU156+Table1[[#This Row],[MS-0225]]+Table1[[#This Row],[MS-0325]]</f>
        <v>5040.3559999999998</v>
      </c>
      <c r="BR156" s="37">
        <f t="shared" si="102"/>
        <v>267.83699999999953</v>
      </c>
      <c r="BS156" s="37">
        <f t="shared" si="103"/>
        <v>5.3138508470433345</v>
      </c>
      <c r="BT156" s="36">
        <f t="shared" si="104"/>
        <v>840.82700000000011</v>
      </c>
      <c r="BU156" s="36">
        <f t="shared" si="105"/>
        <v>845.46599999999989</v>
      </c>
      <c r="BV156" s="37">
        <f t="shared" si="106"/>
        <v>-4.6389999999997826</v>
      </c>
      <c r="BW156" s="37">
        <f t="shared" si="107"/>
        <v>-0.54869149084644242</v>
      </c>
      <c r="BX156">
        <v>0</v>
      </c>
      <c r="BY156" s="83">
        <f t="shared" si="108"/>
        <v>0</v>
      </c>
      <c r="BZ156">
        <v>0</v>
      </c>
      <c r="CA156" s="83">
        <f t="shared" si="109"/>
        <v>0</v>
      </c>
      <c r="CB156" s="96">
        <f t="shared" si="110"/>
        <v>1</v>
      </c>
      <c r="CC156" s="96">
        <f t="shared" si="111"/>
        <v>1</v>
      </c>
      <c r="CD156" s="97">
        <f t="shared" si="112"/>
        <v>0</v>
      </c>
      <c r="CE156" s="96">
        <f t="shared" si="113"/>
        <v>1</v>
      </c>
      <c r="CF156" s="96">
        <f t="shared" si="114"/>
        <v>1</v>
      </c>
      <c r="CG156" s="96">
        <f t="shared" si="115"/>
        <v>0</v>
      </c>
      <c r="CH156" s="95">
        <f t="shared" si="116"/>
        <v>1</v>
      </c>
      <c r="CI156" s="95">
        <f t="shared" si="117"/>
        <v>1</v>
      </c>
      <c r="CJ156" s="98">
        <f t="shared" si="118"/>
        <v>0</v>
      </c>
      <c r="CK156" s="95">
        <f t="shared" si="119"/>
        <v>1</v>
      </c>
      <c r="CL156" s="95">
        <f t="shared" si="120"/>
        <v>1</v>
      </c>
      <c r="CM156" s="98">
        <f t="shared" si="121"/>
        <v>0</v>
      </c>
      <c r="CN156" s="94">
        <f t="shared" si="122"/>
        <v>1</v>
      </c>
      <c r="CO156" s="94">
        <f t="shared" si="123"/>
        <v>1</v>
      </c>
    </row>
    <row r="157" spans="1:94" ht="24.5" x14ac:dyDescent="0.35">
      <c r="A157" s="102">
        <v>147286</v>
      </c>
      <c r="B157" s="3" t="s">
        <v>72</v>
      </c>
      <c r="C157" s="41" t="s">
        <v>376</v>
      </c>
      <c r="D157" s="12" t="s">
        <v>377</v>
      </c>
      <c r="E157" s="4" t="s">
        <v>187</v>
      </c>
      <c r="F157" s="4" t="s">
        <v>366</v>
      </c>
      <c r="G157" s="12" t="s">
        <v>366</v>
      </c>
      <c r="H157" s="51" t="s">
        <v>367</v>
      </c>
      <c r="I157" s="23" t="s">
        <v>86</v>
      </c>
      <c r="J157" s="90">
        <v>335.500001</v>
      </c>
      <c r="K157" s="90">
        <v>364.5</v>
      </c>
      <c r="L157" s="90">
        <v>52.5</v>
      </c>
      <c r="M157" s="90">
        <v>49.5</v>
      </c>
      <c r="N157" s="18">
        <v>391.500001</v>
      </c>
      <c r="O157" s="18">
        <v>378</v>
      </c>
      <c r="P157" s="18">
        <v>54.5</v>
      </c>
      <c r="Q157" s="18">
        <v>54</v>
      </c>
      <c r="R157" s="90">
        <v>364.5</v>
      </c>
      <c r="S157" s="90">
        <v>371</v>
      </c>
      <c r="T157" s="90">
        <v>49.5</v>
      </c>
      <c r="U157" s="90">
        <v>61</v>
      </c>
      <c r="V157" s="90">
        <v>387</v>
      </c>
      <c r="W157" s="90">
        <v>387</v>
      </c>
      <c r="X157" s="90">
        <v>45</v>
      </c>
      <c r="Y157" s="90">
        <v>55</v>
      </c>
      <c r="Z157" s="90">
        <v>378</v>
      </c>
      <c r="AA157" s="90">
        <v>380</v>
      </c>
      <c r="AB157" s="90">
        <v>36</v>
      </c>
      <c r="AC157" s="90">
        <v>56</v>
      </c>
      <c r="AD157" s="90">
        <v>369</v>
      </c>
      <c r="AE157" s="90">
        <v>367.5</v>
      </c>
      <c r="AF157" s="90">
        <v>45</v>
      </c>
      <c r="AG157" s="90">
        <v>52.5</v>
      </c>
      <c r="AH157" s="90">
        <v>364.5</v>
      </c>
      <c r="AI157" s="90">
        <v>401.5</v>
      </c>
      <c r="AJ157" s="90">
        <v>49.5</v>
      </c>
      <c r="AK157" s="90">
        <v>52.5</v>
      </c>
      <c r="AL157" s="90">
        <v>272</v>
      </c>
      <c r="AM157" s="90">
        <v>346.50000199999999</v>
      </c>
      <c r="AN157" s="90">
        <v>18</v>
      </c>
      <c r="AO157" s="90">
        <v>49.5</v>
      </c>
      <c r="AP157" s="90">
        <v>265</v>
      </c>
      <c r="AQ157" s="90">
        <v>342</v>
      </c>
      <c r="AR157" s="90">
        <v>27</v>
      </c>
      <c r="AS157" s="90">
        <v>36</v>
      </c>
      <c r="AT157" s="90">
        <v>293.5</v>
      </c>
      <c r="AU157" s="90">
        <v>333</v>
      </c>
      <c r="AV157" s="90">
        <v>28.5</v>
      </c>
      <c r="AW157" s="90">
        <v>45</v>
      </c>
      <c r="AX157" s="90">
        <v>292.5</v>
      </c>
      <c r="AY157" s="90">
        <v>315</v>
      </c>
      <c r="AZ157" s="90">
        <v>31.5</v>
      </c>
      <c r="BA157" s="90">
        <v>45</v>
      </c>
      <c r="BB157" s="90">
        <v>351</v>
      </c>
      <c r="BC157" s="90">
        <v>355.5</v>
      </c>
      <c r="BD157" s="90">
        <v>27</v>
      </c>
      <c r="BE157" s="90">
        <v>40.5</v>
      </c>
      <c r="BF157" s="23">
        <v>28.678149999999999</v>
      </c>
      <c r="BG157" s="23">
        <v>77.188540000000003</v>
      </c>
      <c r="BH157" s="31">
        <f t="shared" si="93"/>
        <v>351</v>
      </c>
      <c r="BI157" s="31">
        <f t="shared" si="94"/>
        <v>355.5</v>
      </c>
      <c r="BJ157" s="37">
        <f t="shared" si="95"/>
        <v>-4.5</v>
      </c>
      <c r="BK157" s="37">
        <f t="shared" si="96"/>
        <v>-1.2658227848101267</v>
      </c>
      <c r="BL157" s="36">
        <f t="shared" si="97"/>
        <v>27</v>
      </c>
      <c r="BM157" s="36">
        <f t="shared" si="98"/>
        <v>40.5</v>
      </c>
      <c r="BN157" s="37">
        <f t="shared" si="99"/>
        <v>-13.5</v>
      </c>
      <c r="BO157" s="37">
        <f t="shared" si="100"/>
        <v>-33.333333333333329</v>
      </c>
      <c r="BP157" s="38">
        <f t="shared" si="101"/>
        <v>4079.5</v>
      </c>
      <c r="BQ157" s="39">
        <f>J157+N157+S157+W157+AA157+AE157+AI157+AM157+AQ157+AU157+Table1[[#This Row],[MS-0225]]+Table1[[#This Row],[MS-0325]]</f>
        <v>4326.0000039999995</v>
      </c>
      <c r="BR157" s="37">
        <f t="shared" si="102"/>
        <v>-246.50000399999954</v>
      </c>
      <c r="BS157" s="37">
        <f t="shared" si="103"/>
        <v>-5.6981045717077068</v>
      </c>
      <c r="BT157" s="36">
        <f t="shared" si="104"/>
        <v>460.5</v>
      </c>
      <c r="BU157" s="36">
        <f t="shared" si="105"/>
        <v>600</v>
      </c>
      <c r="BV157" s="37">
        <f t="shared" si="106"/>
        <v>-139.5</v>
      </c>
      <c r="BW157" s="37">
        <f t="shared" si="107"/>
        <v>-23.25</v>
      </c>
      <c r="BX157">
        <v>9</v>
      </c>
      <c r="BY157" s="83">
        <f t="shared" si="108"/>
        <v>2.564102564102564E-2</v>
      </c>
      <c r="BZ157">
        <v>72</v>
      </c>
      <c r="CA157" s="83">
        <f t="shared" si="109"/>
        <v>1.7649221718347836E-2</v>
      </c>
      <c r="CB157" s="96">
        <f t="shared" si="110"/>
        <v>0.20466472303206998</v>
      </c>
      <c r="CC157" s="96">
        <f t="shared" si="111"/>
        <v>0.19921546651723171</v>
      </c>
      <c r="CD157" s="97">
        <f t="shared" si="112"/>
        <v>5.4492565148382688E-3</v>
      </c>
      <c r="CE157" s="96">
        <f t="shared" si="113"/>
        <v>2.8938906752411574E-2</v>
      </c>
      <c r="CF157" s="96">
        <f t="shared" si="114"/>
        <v>3.4719245606515216E-2</v>
      </c>
      <c r="CG157" s="96">
        <f t="shared" si="115"/>
        <v>-5.7803388541036414E-3</v>
      </c>
      <c r="CH157" s="95">
        <f t="shared" si="116"/>
        <v>0.19030625335292609</v>
      </c>
      <c r="CI157" s="95">
        <f t="shared" si="117"/>
        <v>0.20080768699753446</v>
      </c>
      <c r="CJ157" s="98">
        <f t="shared" si="118"/>
        <v>-1.0501433644608371E-2</v>
      </c>
      <c r="CK157" s="95">
        <f t="shared" si="119"/>
        <v>3.7407091507249905E-2</v>
      </c>
      <c r="CL157" s="95">
        <f t="shared" si="120"/>
        <v>3.8228735266008285E-2</v>
      </c>
      <c r="CM157" s="98">
        <f t="shared" si="121"/>
        <v>-8.2164375875837942E-4</v>
      </c>
      <c r="CN157" s="94">
        <f t="shared" si="122"/>
        <v>1.1418375201175566</v>
      </c>
      <c r="CO157" s="94">
        <f t="shared" si="123"/>
        <v>0.22444254904349942</v>
      </c>
    </row>
    <row r="158" spans="1:94" ht="24.5" x14ac:dyDescent="0.35">
      <c r="A158" s="104">
        <v>106341</v>
      </c>
      <c r="B158" s="5" t="s">
        <v>581</v>
      </c>
      <c r="C158" s="46" t="s">
        <v>892</v>
      </c>
      <c r="D158" s="13" t="s">
        <v>728</v>
      </c>
      <c r="E158" s="6" t="s">
        <v>111</v>
      </c>
      <c r="F158" s="6" t="s">
        <v>112</v>
      </c>
      <c r="G158" s="12" t="s">
        <v>112</v>
      </c>
      <c r="H158" s="51" t="s">
        <v>275</v>
      </c>
      <c r="I158" s="24" t="s">
        <v>78</v>
      </c>
      <c r="J158" s="19">
        <v>413</v>
      </c>
      <c r="K158" s="19">
        <v>351</v>
      </c>
      <c r="L158" s="19">
        <v>145</v>
      </c>
      <c r="M158" s="19">
        <v>99</v>
      </c>
      <c r="N158" s="18">
        <v>414</v>
      </c>
      <c r="O158" s="18">
        <v>329</v>
      </c>
      <c r="P158" s="18">
        <v>146</v>
      </c>
      <c r="Q158" s="18">
        <v>103</v>
      </c>
      <c r="R158" s="19">
        <v>343</v>
      </c>
      <c r="S158" s="19">
        <v>416</v>
      </c>
      <c r="T158" s="19">
        <v>91</v>
      </c>
      <c r="U158" s="19">
        <v>126</v>
      </c>
      <c r="V158" s="19">
        <v>391</v>
      </c>
      <c r="W158" s="19">
        <v>421</v>
      </c>
      <c r="X158" s="19">
        <v>95</v>
      </c>
      <c r="Y158" s="19">
        <v>139</v>
      </c>
      <c r="Z158" s="19">
        <v>365</v>
      </c>
      <c r="AA158" s="19">
        <v>435</v>
      </c>
      <c r="AB158" s="19">
        <v>91</v>
      </c>
      <c r="AC158" s="19">
        <v>135</v>
      </c>
      <c r="AD158" s="19">
        <v>355</v>
      </c>
      <c r="AE158" s="19">
        <v>384</v>
      </c>
      <c r="AF158" s="19">
        <v>101</v>
      </c>
      <c r="AG158" s="19">
        <v>130</v>
      </c>
      <c r="AH158" s="19">
        <v>345</v>
      </c>
      <c r="AI158" s="19">
        <v>465</v>
      </c>
      <c r="AJ158" s="19">
        <v>99</v>
      </c>
      <c r="AK158" s="19">
        <v>147</v>
      </c>
      <c r="AL158" s="19">
        <v>328</v>
      </c>
      <c r="AM158" s="19">
        <v>344</v>
      </c>
      <c r="AN158" s="19">
        <v>90</v>
      </c>
      <c r="AO158" s="19">
        <v>108</v>
      </c>
      <c r="AP158" s="19">
        <v>284</v>
      </c>
      <c r="AQ158" s="19">
        <v>379</v>
      </c>
      <c r="AR158" s="19">
        <v>72</v>
      </c>
      <c r="AS158" s="19">
        <v>91</v>
      </c>
      <c r="AT158" s="19">
        <v>314</v>
      </c>
      <c r="AU158" s="19">
        <v>336</v>
      </c>
      <c r="AV158" s="19">
        <v>82</v>
      </c>
      <c r="AW158" s="19">
        <v>72</v>
      </c>
      <c r="AX158" s="19">
        <v>295</v>
      </c>
      <c r="AY158" s="19">
        <v>313</v>
      </c>
      <c r="AZ158" s="19">
        <v>101</v>
      </c>
      <c r="BA158" s="19">
        <v>81</v>
      </c>
      <c r="BB158" s="19">
        <v>351</v>
      </c>
      <c r="BC158" s="19">
        <v>351</v>
      </c>
      <c r="BD158" s="19">
        <v>83</v>
      </c>
      <c r="BE158" s="19">
        <v>81</v>
      </c>
      <c r="BF158" s="23">
        <v>28.537299999999998</v>
      </c>
      <c r="BG158" s="23">
        <v>77.290499999999994</v>
      </c>
      <c r="BH158" s="31">
        <f t="shared" si="93"/>
        <v>351</v>
      </c>
      <c r="BI158" s="31">
        <f t="shared" si="94"/>
        <v>351</v>
      </c>
      <c r="BJ158" s="37">
        <f t="shared" si="95"/>
        <v>0</v>
      </c>
      <c r="BK158" s="37">
        <f t="shared" si="96"/>
        <v>0</v>
      </c>
      <c r="BL158" s="36">
        <f t="shared" si="97"/>
        <v>83</v>
      </c>
      <c r="BM158" s="36">
        <f t="shared" si="98"/>
        <v>81</v>
      </c>
      <c r="BN158" s="37">
        <f t="shared" si="99"/>
        <v>2</v>
      </c>
      <c r="BO158" s="37">
        <f t="shared" si="100"/>
        <v>2.4691358024691357</v>
      </c>
      <c r="BP158" s="38">
        <f t="shared" si="101"/>
        <v>4051</v>
      </c>
      <c r="BQ158" s="39">
        <f>J158+N158+S158+W158+AA158+AE158+AI158+AM158+AQ158+AU158+Table1[[#This Row],[MS-0225]]+Table1[[#This Row],[MS-0325]]</f>
        <v>4671</v>
      </c>
      <c r="BR158" s="37">
        <f t="shared" si="102"/>
        <v>-620</v>
      </c>
      <c r="BS158" s="37">
        <f t="shared" si="103"/>
        <v>-13.273388995932347</v>
      </c>
      <c r="BT158" s="36">
        <f t="shared" si="104"/>
        <v>1107</v>
      </c>
      <c r="BU158" s="36">
        <f t="shared" si="105"/>
        <v>1401</v>
      </c>
      <c r="BV158" s="37">
        <f t="shared" si="106"/>
        <v>-294</v>
      </c>
      <c r="BW158" s="37">
        <f t="shared" si="107"/>
        <v>-20.985010706638114</v>
      </c>
      <c r="BX158">
        <v>0</v>
      </c>
      <c r="BY158" s="83">
        <f t="shared" si="108"/>
        <v>0</v>
      </c>
      <c r="BZ158">
        <v>0</v>
      </c>
      <c r="CA158" s="83">
        <f t="shared" si="109"/>
        <v>0</v>
      </c>
      <c r="CB158" s="96">
        <f t="shared" si="110"/>
        <v>6.3760217983651224E-2</v>
      </c>
      <c r="CC158" s="96">
        <f t="shared" si="111"/>
        <v>6.7228500287301277E-2</v>
      </c>
      <c r="CD158" s="97">
        <f t="shared" si="112"/>
        <v>-3.4682823036500526E-3</v>
      </c>
      <c r="CE158" s="96">
        <f t="shared" si="113"/>
        <v>5.7678943710910355E-2</v>
      </c>
      <c r="CF158" s="96">
        <f t="shared" si="114"/>
        <v>5.2090032154340833E-2</v>
      </c>
      <c r="CG158" s="96">
        <f t="shared" si="115"/>
        <v>5.5889115565695216E-3</v>
      </c>
      <c r="CH158" s="95">
        <f t="shared" si="116"/>
        <v>6.3081019635933294E-2</v>
      </c>
      <c r="CI158" s="95">
        <f t="shared" si="117"/>
        <v>7.3233253590622868E-2</v>
      </c>
      <c r="CJ158" s="98">
        <f t="shared" si="118"/>
        <v>-1.0152233954689574E-2</v>
      </c>
      <c r="CK158" s="95">
        <f t="shared" si="119"/>
        <v>6.1664438502673793E-2</v>
      </c>
      <c r="CL158" s="95">
        <f t="shared" si="120"/>
        <v>6.7033492822966501E-2</v>
      </c>
      <c r="CM158" s="98">
        <f t="shared" si="121"/>
        <v>-5.3690543202927071E-3</v>
      </c>
      <c r="CN158" s="94">
        <f t="shared" si="122"/>
        <v>0.69389121599526626</v>
      </c>
      <c r="CO158" s="94">
        <f t="shared" si="123"/>
        <v>0.67830882352941169</v>
      </c>
    </row>
    <row r="159" spans="1:94" ht="24.5" x14ac:dyDescent="0.35">
      <c r="A159" s="104">
        <v>305316</v>
      </c>
      <c r="B159" s="5" t="s">
        <v>581</v>
      </c>
      <c r="C159" s="46" t="s">
        <v>711</v>
      </c>
      <c r="D159" s="13" t="s">
        <v>712</v>
      </c>
      <c r="E159" s="6" t="s">
        <v>81</v>
      </c>
      <c r="F159" s="6" t="s">
        <v>195</v>
      </c>
      <c r="G159" s="12" t="s">
        <v>195</v>
      </c>
      <c r="H159" s="51" t="s">
        <v>135</v>
      </c>
      <c r="I159" s="24" t="s">
        <v>83</v>
      </c>
      <c r="J159" s="19">
        <v>284</v>
      </c>
      <c r="K159" s="19">
        <v>311.5</v>
      </c>
      <c r="L159" s="19">
        <v>40</v>
      </c>
      <c r="M159" s="19">
        <v>36.5</v>
      </c>
      <c r="N159" s="18">
        <v>286</v>
      </c>
      <c r="O159" s="18">
        <v>331</v>
      </c>
      <c r="P159" s="18">
        <v>50</v>
      </c>
      <c r="Q159" s="18">
        <v>37</v>
      </c>
      <c r="R159" s="19">
        <v>301.5</v>
      </c>
      <c r="S159" s="19">
        <v>290.5</v>
      </c>
      <c r="T159" s="19">
        <v>40.5</v>
      </c>
      <c r="U159" s="19">
        <v>39.5</v>
      </c>
      <c r="V159" s="19">
        <v>325</v>
      </c>
      <c r="W159" s="19">
        <v>315</v>
      </c>
      <c r="X159" s="19">
        <v>45</v>
      </c>
      <c r="Y159" s="19">
        <v>45</v>
      </c>
      <c r="Z159" s="19">
        <v>356.5</v>
      </c>
      <c r="AA159" s="19">
        <v>320</v>
      </c>
      <c r="AB159" s="19">
        <v>31.5</v>
      </c>
      <c r="AC159" s="19">
        <v>36</v>
      </c>
      <c r="AD159" s="19">
        <v>319.5</v>
      </c>
      <c r="AE159" s="19">
        <v>297</v>
      </c>
      <c r="AF159" s="19">
        <v>40.5</v>
      </c>
      <c r="AG159" s="19">
        <v>45</v>
      </c>
      <c r="AH159" s="19">
        <v>350.5</v>
      </c>
      <c r="AI159" s="19">
        <v>323.5</v>
      </c>
      <c r="AJ159" s="19">
        <v>39.5</v>
      </c>
      <c r="AK159" s="19">
        <v>40.5</v>
      </c>
      <c r="AL159" s="19">
        <v>315</v>
      </c>
      <c r="AM159" s="19">
        <v>288</v>
      </c>
      <c r="AN159" s="19">
        <v>27</v>
      </c>
      <c r="AO159" s="19">
        <v>36</v>
      </c>
      <c r="AP159" s="19">
        <v>315</v>
      </c>
      <c r="AQ159" s="19">
        <v>296.5</v>
      </c>
      <c r="AR159" s="19">
        <v>27</v>
      </c>
      <c r="AS159" s="19">
        <v>31.5</v>
      </c>
      <c r="AT159" s="19">
        <v>293.5</v>
      </c>
      <c r="AU159" s="19">
        <v>283</v>
      </c>
      <c r="AV159" s="19">
        <v>32.5</v>
      </c>
      <c r="AW159" s="19">
        <v>35</v>
      </c>
      <c r="AX159" s="19">
        <v>293</v>
      </c>
      <c r="AY159" s="19">
        <v>256.5</v>
      </c>
      <c r="AZ159" s="19">
        <v>27</v>
      </c>
      <c r="BA159" s="19">
        <v>31.5</v>
      </c>
      <c r="BB159" s="19">
        <v>350.5</v>
      </c>
      <c r="BC159" s="19">
        <v>294.5</v>
      </c>
      <c r="BD159" s="19">
        <v>41.5</v>
      </c>
      <c r="BE159" s="19">
        <v>35.5</v>
      </c>
      <c r="BF159" s="23">
        <v>28.59</v>
      </c>
      <c r="BG159" s="23">
        <v>77.05</v>
      </c>
      <c r="BH159" s="31">
        <f t="shared" si="93"/>
        <v>350.5</v>
      </c>
      <c r="BI159" s="31">
        <f t="shared" si="94"/>
        <v>294.5</v>
      </c>
      <c r="BJ159" s="37">
        <f t="shared" si="95"/>
        <v>56</v>
      </c>
      <c r="BK159" s="37">
        <f t="shared" si="96"/>
        <v>19.015280135823428</v>
      </c>
      <c r="BL159" s="36">
        <f t="shared" si="97"/>
        <v>41.5</v>
      </c>
      <c r="BM159" s="36">
        <f t="shared" si="98"/>
        <v>35.5</v>
      </c>
      <c r="BN159" s="37">
        <f t="shared" si="99"/>
        <v>6</v>
      </c>
      <c r="BO159" s="37">
        <f t="shared" si="100"/>
        <v>16.901408450704224</v>
      </c>
      <c r="BP159" s="38">
        <f t="shared" si="101"/>
        <v>3862.5</v>
      </c>
      <c r="BQ159" s="39">
        <f>J159+N159+S159+W159+AA159+AE159+AI159+AM159+AQ159+AU159+Table1[[#This Row],[MS-0225]]+Table1[[#This Row],[MS-0325]]</f>
        <v>3534.5</v>
      </c>
      <c r="BR159" s="37">
        <f t="shared" si="102"/>
        <v>328</v>
      </c>
      <c r="BS159" s="37">
        <f t="shared" si="103"/>
        <v>9.2799547319281377</v>
      </c>
      <c r="BT159" s="36">
        <f t="shared" si="104"/>
        <v>425.5</v>
      </c>
      <c r="BU159" s="36">
        <f t="shared" si="105"/>
        <v>465.5</v>
      </c>
      <c r="BV159" s="37">
        <f t="shared" si="106"/>
        <v>-40</v>
      </c>
      <c r="BW159" s="37">
        <f t="shared" si="107"/>
        <v>-8.5929108485499466</v>
      </c>
      <c r="BX159">
        <v>0</v>
      </c>
      <c r="BY159" s="83">
        <f t="shared" si="108"/>
        <v>0</v>
      </c>
      <c r="BZ159">
        <v>0</v>
      </c>
      <c r="CA159" s="83">
        <f t="shared" si="109"/>
        <v>0</v>
      </c>
      <c r="CB159" s="96">
        <f t="shared" si="110"/>
        <v>9.1777952343545424E-2</v>
      </c>
      <c r="CC159" s="96">
        <f t="shared" si="111"/>
        <v>8.1308669243511877E-2</v>
      </c>
      <c r="CD159" s="97">
        <f t="shared" si="112"/>
        <v>1.0469283100033547E-2</v>
      </c>
      <c r="CE159" s="96">
        <f t="shared" si="113"/>
        <v>7.7281191806331473E-2</v>
      </c>
      <c r="CF159" s="96">
        <f t="shared" si="114"/>
        <v>6.2280701754385964E-2</v>
      </c>
      <c r="CG159" s="96">
        <f t="shared" si="115"/>
        <v>1.5000490051945509E-2</v>
      </c>
      <c r="CH159" s="95">
        <f t="shared" si="116"/>
        <v>8.5493260142986791E-2</v>
      </c>
      <c r="CI159" s="95">
        <f t="shared" si="117"/>
        <v>8.0918040241169747E-2</v>
      </c>
      <c r="CJ159" s="98">
        <f t="shared" si="118"/>
        <v>4.5752199018170431E-3</v>
      </c>
      <c r="CK159" s="95">
        <f t="shared" si="119"/>
        <v>6.6370301045078767E-2</v>
      </c>
      <c r="CL159" s="95">
        <f t="shared" si="120"/>
        <v>6.5860215053763438E-2</v>
      </c>
      <c r="CM159" s="98">
        <f t="shared" si="121"/>
        <v>5.1008599131532883E-4</v>
      </c>
      <c r="CN159" s="94">
        <f t="shared" si="122"/>
        <v>0.59845282100090758</v>
      </c>
      <c r="CO159" s="94">
        <f t="shared" si="123"/>
        <v>0.46459210731555134</v>
      </c>
    </row>
    <row r="160" spans="1:94" ht="24.5" x14ac:dyDescent="0.35">
      <c r="A160" s="104">
        <v>107657</v>
      </c>
      <c r="B160" s="5" t="s">
        <v>581</v>
      </c>
      <c r="C160" s="46" t="s">
        <v>823</v>
      </c>
      <c r="D160" s="13" t="s">
        <v>824</v>
      </c>
      <c r="E160" s="6" t="s">
        <v>89</v>
      </c>
      <c r="F160" s="6" t="s">
        <v>538</v>
      </c>
      <c r="G160" s="12" t="s">
        <v>906</v>
      </c>
      <c r="H160" s="51" t="s">
        <v>1007</v>
      </c>
      <c r="I160" s="24" t="s">
        <v>86</v>
      </c>
      <c r="J160" s="19">
        <v>549</v>
      </c>
      <c r="K160" s="19">
        <v>580.5</v>
      </c>
      <c r="L160" s="19">
        <v>135</v>
      </c>
      <c r="M160" s="19">
        <v>111.5</v>
      </c>
      <c r="N160" s="18">
        <v>576</v>
      </c>
      <c r="O160" s="18">
        <v>612.5</v>
      </c>
      <c r="P160" s="18">
        <v>144</v>
      </c>
      <c r="Q160" s="18">
        <v>115.5</v>
      </c>
      <c r="R160" s="19">
        <v>581.5</v>
      </c>
      <c r="S160" s="19">
        <v>588.5</v>
      </c>
      <c r="T160" s="19">
        <v>110.5</v>
      </c>
      <c r="U160" s="19">
        <v>143.5</v>
      </c>
      <c r="V160" s="19">
        <v>627</v>
      </c>
      <c r="W160" s="19">
        <v>594.5</v>
      </c>
      <c r="X160" s="19">
        <v>113</v>
      </c>
      <c r="Y160" s="19">
        <v>121.5</v>
      </c>
      <c r="Z160" s="19">
        <v>616.5</v>
      </c>
      <c r="AA160" s="19">
        <v>605</v>
      </c>
      <c r="AB160" s="19">
        <v>99.5</v>
      </c>
      <c r="AC160" s="19">
        <v>127</v>
      </c>
      <c r="AD160" s="19">
        <v>588.5</v>
      </c>
      <c r="AE160" s="19">
        <v>560.5</v>
      </c>
      <c r="AF160" s="19">
        <v>107.5</v>
      </c>
      <c r="AG160" s="19">
        <v>123.5</v>
      </c>
      <c r="AH160" s="19">
        <v>598</v>
      </c>
      <c r="AI160" s="19">
        <v>603.5</v>
      </c>
      <c r="AJ160" s="19">
        <v>94</v>
      </c>
      <c r="AK160" s="19">
        <v>122.5</v>
      </c>
      <c r="AL160" s="19">
        <v>545</v>
      </c>
      <c r="AM160" s="19">
        <v>548.5</v>
      </c>
      <c r="AN160" s="19">
        <v>85</v>
      </c>
      <c r="AO160" s="19">
        <v>95.5</v>
      </c>
      <c r="AP160" s="19">
        <v>556.5</v>
      </c>
      <c r="AQ160" s="19">
        <v>528.5</v>
      </c>
      <c r="AR160" s="19">
        <v>85.5</v>
      </c>
      <c r="AS160" s="19">
        <v>95.5</v>
      </c>
      <c r="AT160" s="19">
        <v>529.5</v>
      </c>
      <c r="AU160" s="19">
        <v>535.5</v>
      </c>
      <c r="AV160" s="19">
        <v>94.5</v>
      </c>
      <c r="AW160" s="19">
        <v>98.5</v>
      </c>
      <c r="AX160" s="19">
        <v>508.5</v>
      </c>
      <c r="AY160" s="19">
        <v>493</v>
      </c>
      <c r="AZ160" s="19">
        <v>85.5</v>
      </c>
      <c r="BA160" s="19">
        <v>93</v>
      </c>
      <c r="BB160" s="19">
        <v>622.5</v>
      </c>
      <c r="BC160" s="19">
        <v>558.5</v>
      </c>
      <c r="BD160" s="19">
        <v>117.5</v>
      </c>
      <c r="BE160" s="19">
        <v>111.5</v>
      </c>
      <c r="BF160" s="23">
        <v>28.689800000000002</v>
      </c>
      <c r="BG160" s="23">
        <v>77.135099999999994</v>
      </c>
      <c r="BH160" s="31">
        <f t="shared" si="93"/>
        <v>622.5</v>
      </c>
      <c r="BI160" s="31">
        <f t="shared" si="94"/>
        <v>558.5</v>
      </c>
      <c r="BJ160" s="37">
        <f t="shared" si="95"/>
        <v>64</v>
      </c>
      <c r="BK160" s="37">
        <f t="shared" si="96"/>
        <v>11.459265890778871</v>
      </c>
      <c r="BL160" s="36">
        <f t="shared" si="97"/>
        <v>117.5</v>
      </c>
      <c r="BM160" s="36">
        <f t="shared" si="98"/>
        <v>111.5</v>
      </c>
      <c r="BN160" s="37">
        <f t="shared" si="99"/>
        <v>6</v>
      </c>
      <c r="BO160" s="37">
        <f t="shared" si="100"/>
        <v>5.3811659192825116</v>
      </c>
      <c r="BP160" s="38">
        <f t="shared" si="101"/>
        <v>6966.5</v>
      </c>
      <c r="BQ160" s="39">
        <f>J160+N160+S160+W160+AA160+AE160+AI160+AM160+AQ160+AU160+Table1[[#This Row],[MS-0225]]+Table1[[#This Row],[MS-0325]]</f>
        <v>6741</v>
      </c>
      <c r="BR160" s="37">
        <f t="shared" si="102"/>
        <v>225.5</v>
      </c>
      <c r="BS160" s="37">
        <f t="shared" si="103"/>
        <v>3.3452010087524102</v>
      </c>
      <c r="BT160" s="36">
        <f t="shared" si="104"/>
        <v>1219.5</v>
      </c>
      <c r="BU160" s="36">
        <f t="shared" si="105"/>
        <v>1411</v>
      </c>
      <c r="BV160" s="37">
        <f t="shared" si="106"/>
        <v>-191.5</v>
      </c>
      <c r="BW160" s="37">
        <f t="shared" si="107"/>
        <v>-13.571934798015592</v>
      </c>
      <c r="BX160">
        <v>0</v>
      </c>
      <c r="BY160" s="83">
        <f t="shared" si="108"/>
        <v>0</v>
      </c>
      <c r="BZ160">
        <v>0</v>
      </c>
      <c r="CA160" s="83">
        <f t="shared" si="109"/>
        <v>0</v>
      </c>
      <c r="CB160" s="96">
        <f t="shared" si="110"/>
        <v>0.45991872922053934</v>
      </c>
      <c r="CC160" s="96">
        <f t="shared" si="111"/>
        <v>0.42150943396226415</v>
      </c>
      <c r="CD160" s="97">
        <f t="shared" si="112"/>
        <v>3.8409295258275189E-2</v>
      </c>
      <c r="CE160" s="96">
        <f t="shared" si="113"/>
        <v>0.43119266055045874</v>
      </c>
      <c r="CF160" s="96">
        <f t="shared" si="114"/>
        <v>0.3953900709219858</v>
      </c>
      <c r="CG160" s="96">
        <f t="shared" si="115"/>
        <v>3.5802589628472936E-2</v>
      </c>
      <c r="CH160" s="95">
        <f t="shared" si="116"/>
        <v>0.44379678292721769</v>
      </c>
      <c r="CI160" s="95">
        <f t="shared" si="117"/>
        <v>0.43958265405934138</v>
      </c>
      <c r="CJ160" s="98">
        <f t="shared" si="118"/>
        <v>4.21412886787631E-3</v>
      </c>
      <c r="CK160" s="95">
        <f t="shared" si="119"/>
        <v>0.41871244635193133</v>
      </c>
      <c r="CL160" s="95">
        <f t="shared" si="120"/>
        <v>0.41113053613053613</v>
      </c>
      <c r="CM160" s="98">
        <f t="shared" si="121"/>
        <v>7.581910221395205E-3</v>
      </c>
      <c r="CN160" s="94">
        <f t="shared" si="122"/>
        <v>2.2189839146360884</v>
      </c>
      <c r="CO160" s="94">
        <f t="shared" si="123"/>
        <v>2.0935622317596567</v>
      </c>
    </row>
    <row r="161" spans="1:94" ht="24.5" x14ac:dyDescent="0.35">
      <c r="A161" s="102">
        <v>112456</v>
      </c>
      <c r="B161" s="3" t="s">
        <v>72</v>
      </c>
      <c r="C161" s="43" t="s">
        <v>359</v>
      </c>
      <c r="D161" s="12" t="s">
        <v>360</v>
      </c>
      <c r="E161" s="4" t="s">
        <v>85</v>
      </c>
      <c r="F161" s="4" t="s">
        <v>361</v>
      </c>
      <c r="G161" s="12" t="s">
        <v>361</v>
      </c>
      <c r="H161" s="51" t="s">
        <v>304</v>
      </c>
      <c r="I161" s="23" t="s">
        <v>86</v>
      </c>
      <c r="J161" s="90">
        <v>342</v>
      </c>
      <c r="K161" s="90">
        <v>350</v>
      </c>
      <c r="L161" s="90">
        <v>162</v>
      </c>
      <c r="M161" s="90">
        <v>170</v>
      </c>
      <c r="N161" s="18">
        <v>391.50000399999999</v>
      </c>
      <c r="O161" s="18">
        <v>395</v>
      </c>
      <c r="P161" s="18">
        <v>202.5</v>
      </c>
      <c r="Q161" s="18">
        <v>185</v>
      </c>
      <c r="R161" s="90">
        <v>360</v>
      </c>
      <c r="S161" s="90">
        <v>386.00000299999999</v>
      </c>
      <c r="T161" s="90">
        <v>160</v>
      </c>
      <c r="U161" s="90">
        <v>184</v>
      </c>
      <c r="V161" s="90">
        <v>390</v>
      </c>
      <c r="W161" s="90">
        <v>387.000001</v>
      </c>
      <c r="X161" s="90">
        <v>190</v>
      </c>
      <c r="Y161" s="90">
        <v>171</v>
      </c>
      <c r="Z161" s="90">
        <v>390</v>
      </c>
      <c r="AA161" s="90">
        <v>373.5</v>
      </c>
      <c r="AB161" s="90">
        <v>190</v>
      </c>
      <c r="AC161" s="90">
        <v>166.5</v>
      </c>
      <c r="AD161" s="90">
        <v>360</v>
      </c>
      <c r="AE161" s="90">
        <v>369.00000299999999</v>
      </c>
      <c r="AF161" s="90">
        <v>160</v>
      </c>
      <c r="AG161" s="90">
        <v>171</v>
      </c>
      <c r="AH161" s="90">
        <v>398</v>
      </c>
      <c r="AI161" s="90">
        <v>409.5</v>
      </c>
      <c r="AJ161" s="90">
        <v>160</v>
      </c>
      <c r="AK161" s="90">
        <v>184.5</v>
      </c>
      <c r="AL161" s="90">
        <v>320</v>
      </c>
      <c r="AM161" s="90">
        <v>328.50000399999999</v>
      </c>
      <c r="AN161" s="90">
        <v>158</v>
      </c>
      <c r="AO161" s="90">
        <v>157.5</v>
      </c>
      <c r="AP161" s="90">
        <v>365</v>
      </c>
      <c r="AQ161" s="90">
        <v>342</v>
      </c>
      <c r="AR161" s="90">
        <v>135</v>
      </c>
      <c r="AS161" s="90">
        <v>162</v>
      </c>
      <c r="AT161" s="90">
        <v>350</v>
      </c>
      <c r="AU161" s="90">
        <v>333</v>
      </c>
      <c r="AV161" s="90">
        <v>170</v>
      </c>
      <c r="AW161" s="90">
        <v>171</v>
      </c>
      <c r="AX161" s="90">
        <v>315</v>
      </c>
      <c r="AY161" s="90">
        <v>308</v>
      </c>
      <c r="AZ161" s="90">
        <v>85</v>
      </c>
      <c r="BA161" s="90">
        <v>157</v>
      </c>
      <c r="BB161" s="90">
        <v>350</v>
      </c>
      <c r="BC161" s="90">
        <v>355</v>
      </c>
      <c r="BD161" s="90">
        <v>130</v>
      </c>
      <c r="BE161" s="90">
        <v>175</v>
      </c>
      <c r="BF161" s="23">
        <v>28.646920000000001</v>
      </c>
      <c r="BG161" s="23">
        <v>77.140929999999997</v>
      </c>
      <c r="BH161" s="31">
        <f t="shared" si="93"/>
        <v>350</v>
      </c>
      <c r="BI161" s="31">
        <f t="shared" si="94"/>
        <v>355</v>
      </c>
      <c r="BJ161" s="37">
        <f t="shared" si="95"/>
        <v>-5</v>
      </c>
      <c r="BK161" s="37">
        <f t="shared" si="96"/>
        <v>-1.4084507042253522</v>
      </c>
      <c r="BL161" s="36">
        <f t="shared" si="97"/>
        <v>130</v>
      </c>
      <c r="BM161" s="36">
        <f t="shared" si="98"/>
        <v>175</v>
      </c>
      <c r="BN161" s="37">
        <f t="shared" si="99"/>
        <v>-45</v>
      </c>
      <c r="BO161" s="37">
        <f t="shared" si="100"/>
        <v>-25.714285714285712</v>
      </c>
      <c r="BP161" s="38">
        <f t="shared" si="101"/>
        <v>4343</v>
      </c>
      <c r="BQ161" s="39">
        <f>J161+N161+S161+W161+AA161+AE161+AI161+AM161+AQ161+AU161+Table1[[#This Row],[MS-0225]]+Table1[[#This Row],[MS-0325]]</f>
        <v>4325.0000149999996</v>
      </c>
      <c r="BR161" s="37">
        <f t="shared" si="102"/>
        <v>17.999985000000379</v>
      </c>
      <c r="BS161" s="37">
        <f t="shared" si="103"/>
        <v>0.41618462283405055</v>
      </c>
      <c r="BT161" s="36">
        <f t="shared" si="104"/>
        <v>1893</v>
      </c>
      <c r="BU161" s="36">
        <f t="shared" si="105"/>
        <v>2064</v>
      </c>
      <c r="BV161" s="37">
        <f t="shared" si="106"/>
        <v>-171</v>
      </c>
      <c r="BW161" s="37">
        <f t="shared" si="107"/>
        <v>-8.2848837209302317</v>
      </c>
      <c r="BX161">
        <v>20</v>
      </c>
      <c r="BY161" s="83">
        <f t="shared" si="108"/>
        <v>5.7142857142857141E-2</v>
      </c>
      <c r="BZ161">
        <v>115</v>
      </c>
      <c r="CA161" s="83">
        <f t="shared" si="109"/>
        <v>2.6479392125259037E-2</v>
      </c>
      <c r="CB161" s="96">
        <f t="shared" si="110"/>
        <v>0.53110773899848251</v>
      </c>
      <c r="CC161" s="96">
        <f t="shared" si="111"/>
        <v>0.55642633228840122</v>
      </c>
      <c r="CD161" s="97">
        <f t="shared" si="112"/>
        <v>-2.5318593289918701E-2</v>
      </c>
      <c r="CE161" s="96">
        <f t="shared" si="113"/>
        <v>0.68421052631578949</v>
      </c>
      <c r="CF161" s="96">
        <f t="shared" si="114"/>
        <v>0.70281124497991965</v>
      </c>
      <c r="CG161" s="96">
        <f t="shared" si="115"/>
        <v>-1.8600718664130156E-2</v>
      </c>
      <c r="CH161" s="95">
        <f t="shared" si="116"/>
        <v>0.54721854721854724</v>
      </c>
      <c r="CI161" s="95">
        <f t="shared" si="117"/>
        <v>0.54684536689813112</v>
      </c>
      <c r="CJ161" s="98">
        <f t="shared" si="118"/>
        <v>3.7318032041611104E-4</v>
      </c>
      <c r="CK161" s="95">
        <f t="shared" si="119"/>
        <v>0.69455145844799115</v>
      </c>
      <c r="CL161" s="95">
        <f t="shared" si="120"/>
        <v>0.671875</v>
      </c>
      <c r="CM161" s="98">
        <f t="shared" si="121"/>
        <v>2.2676458447991155E-2</v>
      </c>
      <c r="CN161" s="94">
        <f t="shared" si="122"/>
        <v>1.0944370944370945</v>
      </c>
      <c r="CO161" s="94">
        <f t="shared" si="123"/>
        <v>1.3891029168959823</v>
      </c>
    </row>
    <row r="162" spans="1:94" ht="24.5" x14ac:dyDescent="0.35">
      <c r="A162" s="104">
        <v>356946</v>
      </c>
      <c r="B162" s="5" t="s">
        <v>581</v>
      </c>
      <c r="C162" s="46" t="s">
        <v>749</v>
      </c>
      <c r="D162" s="13" t="s">
        <v>750</v>
      </c>
      <c r="E162" s="6" t="s">
        <v>187</v>
      </c>
      <c r="F162" s="6" t="s">
        <v>321</v>
      </c>
      <c r="G162" s="12" t="s">
        <v>321</v>
      </c>
      <c r="H162" s="51" t="s">
        <v>189</v>
      </c>
      <c r="I162" s="24" t="s">
        <v>86</v>
      </c>
      <c r="J162" s="19">
        <v>287.36100000000005</v>
      </c>
      <c r="K162" s="19">
        <v>318.75299999999999</v>
      </c>
      <c r="L162" s="19">
        <v>52.443999999999896</v>
      </c>
      <c r="M162" s="19">
        <v>63.347999999999999</v>
      </c>
      <c r="N162" s="18">
        <v>285.73900000000015</v>
      </c>
      <c r="O162" s="18">
        <v>325.428</v>
      </c>
      <c r="P162" s="18">
        <v>49.147000000000006</v>
      </c>
      <c r="Q162" s="18">
        <v>58.207000000000001</v>
      </c>
      <c r="R162" s="19">
        <v>304.5</v>
      </c>
      <c r="S162" s="19">
        <v>281.22499999999991</v>
      </c>
      <c r="T162" s="19">
        <v>53.5</v>
      </c>
      <c r="U162" s="19">
        <v>52.855000000000004</v>
      </c>
      <c r="V162" s="19">
        <v>345.10799999999989</v>
      </c>
      <c r="W162" s="19">
        <v>314.17699999999996</v>
      </c>
      <c r="X162" s="19">
        <v>60.753999999999998</v>
      </c>
      <c r="Y162" s="19">
        <v>58.911000000000001</v>
      </c>
      <c r="Z162" s="19">
        <v>352.435</v>
      </c>
      <c r="AA162" s="19">
        <v>303</v>
      </c>
      <c r="AB162" s="19">
        <v>63.290999999999997</v>
      </c>
      <c r="AC162" s="19">
        <v>49</v>
      </c>
      <c r="AD162" s="19">
        <v>350.07900000000001</v>
      </c>
      <c r="AE162" s="19">
        <v>323.34799999999996</v>
      </c>
      <c r="AF162" s="19">
        <v>60.634999999999991</v>
      </c>
      <c r="AG162" s="19">
        <v>49.684000000000005</v>
      </c>
      <c r="AH162" s="19">
        <v>354.36999999999995</v>
      </c>
      <c r="AI162" s="19">
        <v>334</v>
      </c>
      <c r="AJ162" s="19">
        <v>61.838000000000001</v>
      </c>
      <c r="AK162" s="19">
        <v>54</v>
      </c>
      <c r="AL162" s="19">
        <v>311.91500000000002</v>
      </c>
      <c r="AM162" s="19">
        <v>308.56999999999988</v>
      </c>
      <c r="AN162" s="19">
        <v>51.115000000000002</v>
      </c>
      <c r="AO162" s="19">
        <v>58.09</v>
      </c>
      <c r="AP162" s="19">
        <v>341.06900000000002</v>
      </c>
      <c r="AQ162" s="19">
        <v>309.56900000000002</v>
      </c>
      <c r="AR162" s="19">
        <v>53.561999999999998</v>
      </c>
      <c r="AS162" s="19">
        <v>56.484999999999999</v>
      </c>
      <c r="AT162" s="19">
        <v>310.44600000000003</v>
      </c>
      <c r="AU162" s="19">
        <v>282.02199999999988</v>
      </c>
      <c r="AV162" s="19">
        <v>49.06</v>
      </c>
      <c r="AW162" s="19">
        <v>48.8</v>
      </c>
      <c r="AX162" s="19">
        <v>318.35399999999902</v>
      </c>
      <c r="AY162" s="19">
        <v>283.13999999999987</v>
      </c>
      <c r="AZ162" s="19">
        <v>53.072000000000003</v>
      </c>
      <c r="BA162" s="19">
        <v>46.072000000000102</v>
      </c>
      <c r="BB162" s="19">
        <v>356.21699999999902</v>
      </c>
      <c r="BC162" s="19">
        <v>321.75399999999991</v>
      </c>
      <c r="BD162" s="19">
        <v>63.829000000000001</v>
      </c>
      <c r="BE162" s="19">
        <v>59.113999999999905</v>
      </c>
      <c r="BF162" s="23">
        <v>28.649833000000001</v>
      </c>
      <c r="BG162" s="23">
        <v>77.239483000000007</v>
      </c>
      <c r="BH162" s="31">
        <f t="shared" si="93"/>
        <v>356.21699999999902</v>
      </c>
      <c r="BI162" s="31">
        <f t="shared" si="94"/>
        <v>321.75399999999991</v>
      </c>
      <c r="BJ162" s="37">
        <f t="shared" si="95"/>
        <v>34.462999999999113</v>
      </c>
      <c r="BK162" s="37">
        <f t="shared" si="96"/>
        <v>10.710977952099778</v>
      </c>
      <c r="BL162" s="36">
        <f t="shared" si="97"/>
        <v>63.829000000000001</v>
      </c>
      <c r="BM162" s="36">
        <f t="shared" si="98"/>
        <v>59.113999999999905</v>
      </c>
      <c r="BN162" s="37">
        <f t="shared" si="99"/>
        <v>4.7150000000000958</v>
      </c>
      <c r="BO162" s="37">
        <f t="shared" si="100"/>
        <v>7.9761139493184423</v>
      </c>
      <c r="BP162" s="38">
        <f t="shared" si="101"/>
        <v>3988.6739999999977</v>
      </c>
      <c r="BQ162" s="39">
        <f>J162+N162+S162+W162+AA162+AE162+AI162+AM162+AQ162+AU162+Table1[[#This Row],[MS-0225]]+Table1[[#This Row],[MS-0325]]</f>
        <v>3633.9049999999993</v>
      </c>
      <c r="BR162" s="37">
        <f t="shared" si="102"/>
        <v>354.76899999999841</v>
      </c>
      <c r="BS162" s="37">
        <f t="shared" si="103"/>
        <v>9.7627483382201365</v>
      </c>
      <c r="BT162" s="36">
        <f t="shared" si="104"/>
        <v>692.2109999999999</v>
      </c>
      <c r="BU162" s="36">
        <f t="shared" si="105"/>
        <v>634.60199999999998</v>
      </c>
      <c r="BV162" s="37">
        <f t="shared" si="106"/>
        <v>57.608999999999924</v>
      </c>
      <c r="BW162" s="37">
        <f t="shared" si="107"/>
        <v>9.077973280891003</v>
      </c>
      <c r="BX162">
        <v>0</v>
      </c>
      <c r="BY162" s="83">
        <f t="shared" si="108"/>
        <v>0</v>
      </c>
      <c r="BZ162">
        <v>0</v>
      </c>
      <c r="CA162" s="83">
        <f t="shared" si="109"/>
        <v>0</v>
      </c>
      <c r="CB162" s="96">
        <f t="shared" si="110"/>
        <v>0.24793818128413547</v>
      </c>
      <c r="CC162" s="96">
        <f t="shared" si="111"/>
        <v>0.22831512275288907</v>
      </c>
      <c r="CD162" s="97">
        <f t="shared" si="112"/>
        <v>1.9623058531246407E-2</v>
      </c>
      <c r="CE162" s="96">
        <f t="shared" si="113"/>
        <v>0.16607906246991511</v>
      </c>
      <c r="CF162" s="96">
        <f t="shared" si="114"/>
        <v>0.17988886657293943</v>
      </c>
      <c r="CG162" s="96">
        <f t="shared" si="115"/>
        <v>-1.380980410302432E-2</v>
      </c>
      <c r="CH162" s="95">
        <f t="shared" si="116"/>
        <v>0.23125168930729784</v>
      </c>
      <c r="CI162" s="95">
        <f t="shared" si="117"/>
        <v>0.22202083957585081</v>
      </c>
      <c r="CJ162" s="98">
        <f t="shared" si="118"/>
        <v>9.2308497314470273E-3</v>
      </c>
      <c r="CK162" s="95">
        <f t="shared" si="119"/>
        <v>0.17025478289785662</v>
      </c>
      <c r="CL162" s="95">
        <f t="shared" si="120"/>
        <v>0.15932356238931367</v>
      </c>
      <c r="CM162" s="98">
        <f t="shared" si="121"/>
        <v>1.0931220508542949E-2</v>
      </c>
      <c r="CN162" s="94">
        <f t="shared" si="122"/>
        <v>1.3875101358437871</v>
      </c>
      <c r="CO162" s="94">
        <f t="shared" si="123"/>
        <v>1.0215286973871396</v>
      </c>
    </row>
    <row r="163" spans="1:94" x14ac:dyDescent="0.35">
      <c r="A163" s="104">
        <v>186845</v>
      </c>
      <c r="B163" s="5" t="s">
        <v>581</v>
      </c>
      <c r="C163" s="46" t="s">
        <v>608</v>
      </c>
      <c r="D163" s="13" t="s">
        <v>609</v>
      </c>
      <c r="E163" s="6" t="s">
        <v>187</v>
      </c>
      <c r="F163" s="6" t="s">
        <v>188</v>
      </c>
      <c r="G163" s="12" t="s">
        <v>188</v>
      </c>
      <c r="H163" s="51" t="s">
        <v>189</v>
      </c>
      <c r="I163" s="24" t="s">
        <v>86</v>
      </c>
      <c r="J163" s="19">
        <v>92</v>
      </c>
      <c r="K163" s="19">
        <v>0</v>
      </c>
      <c r="L163" s="19">
        <v>4</v>
      </c>
      <c r="M163" s="19">
        <v>0</v>
      </c>
      <c r="N163" s="18">
        <v>68</v>
      </c>
      <c r="O163" s="18">
        <v>0</v>
      </c>
      <c r="P163" s="18">
        <v>4</v>
      </c>
      <c r="Q163" s="18">
        <v>0</v>
      </c>
      <c r="R163" s="19">
        <v>0</v>
      </c>
      <c r="S163" s="19">
        <v>60</v>
      </c>
      <c r="T163" s="19">
        <v>0</v>
      </c>
      <c r="U163" s="19">
        <v>0</v>
      </c>
      <c r="V163" s="19">
        <v>20</v>
      </c>
      <c r="W163" s="19">
        <v>72</v>
      </c>
      <c r="X163" s="19">
        <v>4</v>
      </c>
      <c r="Y163" s="19">
        <v>0</v>
      </c>
      <c r="Z163" s="19">
        <v>54.5</v>
      </c>
      <c r="AA163" s="19">
        <v>24</v>
      </c>
      <c r="AB163" s="19">
        <v>0</v>
      </c>
      <c r="AC163" s="19">
        <v>0</v>
      </c>
      <c r="AD163" s="19">
        <v>72</v>
      </c>
      <c r="AE163" s="19">
        <v>48</v>
      </c>
      <c r="AF163" s="19">
        <v>0</v>
      </c>
      <c r="AG163" s="19">
        <v>0</v>
      </c>
      <c r="AH163" s="19">
        <v>77</v>
      </c>
      <c r="AI163" s="19">
        <v>60</v>
      </c>
      <c r="AJ163" s="19">
        <v>0</v>
      </c>
      <c r="AK163" s="19">
        <v>0</v>
      </c>
      <c r="AL163" s="19">
        <v>84</v>
      </c>
      <c r="AM163" s="19">
        <v>72</v>
      </c>
      <c r="AN163" s="19">
        <v>0</v>
      </c>
      <c r="AO163" s="19">
        <v>0</v>
      </c>
      <c r="AP163" s="19">
        <v>84</v>
      </c>
      <c r="AQ163" s="19">
        <v>66</v>
      </c>
      <c r="AR163" s="19">
        <v>0</v>
      </c>
      <c r="AS163" s="19">
        <v>0</v>
      </c>
      <c r="AT163" s="19">
        <v>80</v>
      </c>
      <c r="AU163" s="19">
        <v>24</v>
      </c>
      <c r="AV163" s="19">
        <v>4</v>
      </c>
      <c r="AW163" s="19">
        <v>0</v>
      </c>
      <c r="AX163" s="19">
        <v>84</v>
      </c>
      <c r="AY163" s="19">
        <v>24</v>
      </c>
      <c r="AZ163" s="19">
        <v>0</v>
      </c>
      <c r="BA163" s="19">
        <v>0</v>
      </c>
      <c r="BB163" s="19">
        <v>69.5</v>
      </c>
      <c r="BC163" s="19">
        <v>0</v>
      </c>
      <c r="BD163" s="19">
        <v>4</v>
      </c>
      <c r="BE163" s="19">
        <v>0</v>
      </c>
      <c r="BF163" s="23">
        <v>28.667200000000001</v>
      </c>
      <c r="BG163" s="23">
        <v>77.220299999999995</v>
      </c>
      <c r="BH163" s="31">
        <f t="shared" si="93"/>
        <v>69.5</v>
      </c>
      <c r="BI163" s="31">
        <f t="shared" si="94"/>
        <v>0</v>
      </c>
      <c r="BJ163" s="37">
        <f t="shared" si="95"/>
        <v>69.5</v>
      </c>
      <c r="BK163" s="37" t="e">
        <f t="shared" si="96"/>
        <v>#DIV/0!</v>
      </c>
      <c r="BL163" s="36">
        <f t="shared" si="97"/>
        <v>4</v>
      </c>
      <c r="BM163" s="36">
        <f t="shared" si="98"/>
        <v>0</v>
      </c>
      <c r="BN163" s="37">
        <f t="shared" si="99"/>
        <v>4</v>
      </c>
      <c r="BO163" s="37" t="e">
        <f t="shared" si="100"/>
        <v>#DIV/0!</v>
      </c>
      <c r="BP163" s="38">
        <f t="shared" si="101"/>
        <v>625</v>
      </c>
      <c r="BQ163" s="39">
        <f>J163+N163+S163+W163+AA163+AE163+AI163+AM163+AQ163+AU163+Table1[[#This Row],[MS-0225]]+Table1[[#This Row],[MS-0325]]</f>
        <v>610</v>
      </c>
      <c r="BR163" s="37">
        <f t="shared" si="102"/>
        <v>15</v>
      </c>
      <c r="BS163" s="37">
        <f t="shared" si="103"/>
        <v>2.459016393442623</v>
      </c>
      <c r="BT163" s="36">
        <f t="shared" si="104"/>
        <v>12</v>
      </c>
      <c r="BU163" s="36">
        <f t="shared" si="105"/>
        <v>8</v>
      </c>
      <c r="BV163" s="37">
        <f t="shared" si="106"/>
        <v>4</v>
      </c>
      <c r="BW163" s="37">
        <f t="shared" si="107"/>
        <v>50</v>
      </c>
      <c r="BX163">
        <v>0</v>
      </c>
      <c r="BY163" s="83">
        <f t="shared" si="108"/>
        <v>0</v>
      </c>
      <c r="BZ163">
        <v>0</v>
      </c>
      <c r="CA163" s="83">
        <f t="shared" si="109"/>
        <v>0</v>
      </c>
      <c r="CB163" s="96">
        <f t="shared" si="110"/>
        <v>0.14616193480546794</v>
      </c>
      <c r="CC163" s="96">
        <f t="shared" si="111"/>
        <v>0</v>
      </c>
      <c r="CD163" s="97">
        <f t="shared" si="112"/>
        <v>0.14616193480546794</v>
      </c>
      <c r="CE163" s="96">
        <f t="shared" si="113"/>
        <v>1.0416666666666666E-2</v>
      </c>
      <c r="CF163" s="96">
        <f t="shared" si="114"/>
        <v>0</v>
      </c>
      <c r="CG163" s="96">
        <f t="shared" si="115"/>
        <v>1.0416666666666666E-2</v>
      </c>
      <c r="CH163" s="95">
        <f t="shared" si="116"/>
        <v>0.10851636426773158</v>
      </c>
      <c r="CI163" s="95">
        <f t="shared" si="117"/>
        <v>0.11571658920610832</v>
      </c>
      <c r="CJ163" s="98">
        <f t="shared" si="118"/>
        <v>-7.2002249383767425E-3</v>
      </c>
      <c r="CK163" s="95">
        <f t="shared" si="119"/>
        <v>2.3968840507340456E-3</v>
      </c>
      <c r="CL163" s="95">
        <f t="shared" si="120"/>
        <v>1.5960099750623442E-3</v>
      </c>
      <c r="CM163" s="98">
        <f t="shared" si="121"/>
        <v>8.0087407567170136E-4</v>
      </c>
      <c r="CN163" s="94">
        <f t="shared" si="122"/>
        <v>0.32554909280319472</v>
      </c>
      <c r="CO163" s="94">
        <f t="shared" si="123"/>
        <v>7.1906521522021368E-3</v>
      </c>
    </row>
    <row r="164" spans="1:94" ht="24.5" x14ac:dyDescent="0.35">
      <c r="A164" s="104">
        <v>106329</v>
      </c>
      <c r="B164" s="5" t="s">
        <v>581</v>
      </c>
      <c r="C164" s="46" t="s">
        <v>862</v>
      </c>
      <c r="D164" s="13" t="s">
        <v>850</v>
      </c>
      <c r="E164" s="6" t="s">
        <v>94</v>
      </c>
      <c r="F164" s="6" t="s">
        <v>95</v>
      </c>
      <c r="G164" s="12" t="s">
        <v>95</v>
      </c>
      <c r="H164" s="51" t="s">
        <v>120</v>
      </c>
      <c r="I164" s="24" t="s">
        <v>83</v>
      </c>
      <c r="J164" s="19">
        <v>284</v>
      </c>
      <c r="K164" s="19">
        <v>355</v>
      </c>
      <c r="L164" s="19">
        <v>64</v>
      </c>
      <c r="M164" s="19">
        <v>69</v>
      </c>
      <c r="N164" s="18">
        <v>309.5</v>
      </c>
      <c r="O164" s="18">
        <v>392.5</v>
      </c>
      <c r="P164" s="18">
        <v>68.5</v>
      </c>
      <c r="Q164" s="18">
        <v>71.5</v>
      </c>
      <c r="R164" s="19">
        <v>334.5</v>
      </c>
      <c r="S164" s="19">
        <v>313.5</v>
      </c>
      <c r="T164" s="19">
        <v>65.5</v>
      </c>
      <c r="U164" s="19">
        <v>76.5</v>
      </c>
      <c r="V164" s="19">
        <v>379.5</v>
      </c>
      <c r="W164" s="19">
        <v>338.5</v>
      </c>
      <c r="X164" s="19">
        <v>62.5</v>
      </c>
      <c r="Y164" s="19">
        <v>81.5</v>
      </c>
      <c r="Z164" s="19">
        <v>383.5</v>
      </c>
      <c r="AA164" s="19">
        <v>357</v>
      </c>
      <c r="AB164" s="19">
        <v>68.5</v>
      </c>
      <c r="AC164" s="19">
        <v>71</v>
      </c>
      <c r="AD164" s="19">
        <v>365.5</v>
      </c>
      <c r="AE164" s="19">
        <v>324.5</v>
      </c>
      <c r="AF164" s="19">
        <v>62.5</v>
      </c>
      <c r="AG164" s="19">
        <v>65.5</v>
      </c>
      <c r="AH164" s="19">
        <v>358.5</v>
      </c>
      <c r="AI164" s="19">
        <v>355</v>
      </c>
      <c r="AJ164" s="19">
        <v>61.5</v>
      </c>
      <c r="AK164" s="19">
        <v>75</v>
      </c>
      <c r="AL164" s="19">
        <v>344</v>
      </c>
      <c r="AM164" s="19">
        <v>312</v>
      </c>
      <c r="AN164" s="19">
        <v>52</v>
      </c>
      <c r="AO164" s="19">
        <v>50</v>
      </c>
      <c r="AP164" s="19">
        <v>333</v>
      </c>
      <c r="AQ164" s="19">
        <v>331.5</v>
      </c>
      <c r="AR164" s="19">
        <v>47</v>
      </c>
      <c r="AS164" s="19">
        <v>54.5</v>
      </c>
      <c r="AT164" s="19">
        <v>330</v>
      </c>
      <c r="AU164" s="19">
        <v>327.5</v>
      </c>
      <c r="AV164" s="19">
        <v>50</v>
      </c>
      <c r="AW164" s="19">
        <v>50.5</v>
      </c>
      <c r="AX164" s="19">
        <v>320.5</v>
      </c>
      <c r="AY164" s="19">
        <v>304</v>
      </c>
      <c r="AZ164" s="19">
        <v>55.5</v>
      </c>
      <c r="BA164" s="19">
        <v>58</v>
      </c>
      <c r="BB164" s="19">
        <v>344.5</v>
      </c>
      <c r="BC164" s="19">
        <v>344</v>
      </c>
      <c r="BD164" s="19">
        <v>61.5</v>
      </c>
      <c r="BE164" s="19">
        <v>74</v>
      </c>
      <c r="BF164" s="23">
        <v>28.5442</v>
      </c>
      <c r="BG164" s="23">
        <v>77.201499999999996</v>
      </c>
      <c r="BH164" s="31">
        <f t="shared" si="93"/>
        <v>344.5</v>
      </c>
      <c r="BI164" s="31">
        <f t="shared" si="94"/>
        <v>344</v>
      </c>
      <c r="BJ164" s="37">
        <f t="shared" si="95"/>
        <v>0.5</v>
      </c>
      <c r="BK164" s="37">
        <f t="shared" si="96"/>
        <v>0.14534883720930233</v>
      </c>
      <c r="BL164" s="36">
        <f t="shared" si="97"/>
        <v>61.5</v>
      </c>
      <c r="BM164" s="36">
        <f t="shared" si="98"/>
        <v>74</v>
      </c>
      <c r="BN164" s="37">
        <f t="shared" si="99"/>
        <v>-12.5</v>
      </c>
      <c r="BO164" s="37">
        <f t="shared" si="100"/>
        <v>-16.891891891891891</v>
      </c>
      <c r="BP164" s="38">
        <f t="shared" si="101"/>
        <v>4241</v>
      </c>
      <c r="BQ164" s="39">
        <f>J164+N164+S164+W164+AA164+AE164+AI164+AM164+AQ164+AU164+Table1[[#This Row],[MS-0225]]+Table1[[#This Row],[MS-0325]]</f>
        <v>3901</v>
      </c>
      <c r="BR164" s="37">
        <f t="shared" si="102"/>
        <v>340</v>
      </c>
      <c r="BS164" s="37">
        <f t="shared" si="103"/>
        <v>8.7157139195078184</v>
      </c>
      <c r="BT164" s="36">
        <f t="shared" si="104"/>
        <v>727</v>
      </c>
      <c r="BU164" s="36">
        <f t="shared" si="105"/>
        <v>789</v>
      </c>
      <c r="BV164" s="37">
        <f t="shared" si="106"/>
        <v>-62</v>
      </c>
      <c r="BW164" s="37">
        <f t="shared" si="107"/>
        <v>-7.8580481622306717</v>
      </c>
      <c r="BX164">
        <v>0</v>
      </c>
      <c r="BY164" s="83">
        <f t="shared" si="108"/>
        <v>0</v>
      </c>
      <c r="BZ164">
        <v>0</v>
      </c>
      <c r="CA164" s="83">
        <f t="shared" si="109"/>
        <v>0</v>
      </c>
      <c r="CB164" s="96">
        <f t="shared" si="110"/>
        <v>0.20974124809741249</v>
      </c>
      <c r="CC164" s="96">
        <f t="shared" si="111"/>
        <v>0.22691292875989447</v>
      </c>
      <c r="CD164" s="97">
        <f t="shared" si="112"/>
        <v>-1.7171680662481981E-2</v>
      </c>
      <c r="CE164" s="96">
        <f t="shared" si="113"/>
        <v>0.150920245398773</v>
      </c>
      <c r="CF164" s="96">
        <f t="shared" si="114"/>
        <v>0.16371681415929204</v>
      </c>
      <c r="CG164" s="96">
        <f t="shared" si="115"/>
        <v>-1.2796568760519045E-2</v>
      </c>
      <c r="CH164" s="95">
        <f t="shared" si="116"/>
        <v>0.22042046724357475</v>
      </c>
      <c r="CI164" s="95">
        <f t="shared" si="117"/>
        <v>0.21276827831265596</v>
      </c>
      <c r="CJ164" s="98">
        <f t="shared" si="118"/>
        <v>7.6521889309187907E-3</v>
      </c>
      <c r="CK164" s="95">
        <f t="shared" si="119"/>
        <v>0.1575810122466674</v>
      </c>
      <c r="CL164" s="95">
        <f t="shared" si="120"/>
        <v>0.14681801265351693</v>
      </c>
      <c r="CM164" s="98">
        <f t="shared" si="121"/>
        <v>1.0762999593150469E-2</v>
      </c>
      <c r="CN164" s="94">
        <f t="shared" si="122"/>
        <v>0.66126140173072423</v>
      </c>
      <c r="CO164" s="94">
        <f t="shared" si="123"/>
        <v>0.47274303674000218</v>
      </c>
    </row>
    <row r="165" spans="1:94" ht="48.5" x14ac:dyDescent="0.35">
      <c r="A165" s="103">
        <v>41056836</v>
      </c>
      <c r="B165" s="9" t="s">
        <v>380</v>
      </c>
      <c r="C165" s="47" t="s">
        <v>524</v>
      </c>
      <c r="D165" s="14" t="s">
        <v>525</v>
      </c>
      <c r="E165" s="10" t="s">
        <v>103</v>
      </c>
      <c r="F165" s="10" t="s">
        <v>526</v>
      </c>
      <c r="G165" s="12" t="s">
        <v>526</v>
      </c>
      <c r="H165" s="51" t="s">
        <v>96</v>
      </c>
      <c r="I165" s="25" t="s">
        <v>78</v>
      </c>
      <c r="J165" s="20">
        <v>283.5</v>
      </c>
      <c r="K165" s="20">
        <v>345</v>
      </c>
      <c r="L165" s="20">
        <v>76.5</v>
      </c>
      <c r="M165" s="20">
        <v>92</v>
      </c>
      <c r="N165" s="18">
        <v>355.5</v>
      </c>
      <c r="O165" s="18">
        <v>374</v>
      </c>
      <c r="P165" s="18">
        <v>94.5</v>
      </c>
      <c r="Q165" s="18">
        <v>91</v>
      </c>
      <c r="R165" s="20">
        <v>315</v>
      </c>
      <c r="S165" s="20">
        <v>333</v>
      </c>
      <c r="T165" s="20">
        <v>77</v>
      </c>
      <c r="U165" s="20">
        <v>99</v>
      </c>
      <c r="V165" s="20">
        <v>351</v>
      </c>
      <c r="W165" s="20">
        <v>337.5</v>
      </c>
      <c r="X165" s="20">
        <v>70</v>
      </c>
      <c r="Y165" s="20">
        <v>94.5</v>
      </c>
      <c r="Z165" s="20">
        <v>379</v>
      </c>
      <c r="AA165" s="20">
        <v>342</v>
      </c>
      <c r="AB165" s="20">
        <v>90</v>
      </c>
      <c r="AC165" s="20">
        <v>90</v>
      </c>
      <c r="AD165" s="20">
        <v>340</v>
      </c>
      <c r="AE165" s="20">
        <v>324</v>
      </c>
      <c r="AF165" s="20">
        <v>76</v>
      </c>
      <c r="AG165" s="20">
        <v>90</v>
      </c>
      <c r="AH165" s="20">
        <v>362</v>
      </c>
      <c r="AI165" s="20">
        <v>357.5</v>
      </c>
      <c r="AJ165" s="20">
        <v>78</v>
      </c>
      <c r="AK165" s="20">
        <v>99.5</v>
      </c>
      <c r="AL165" s="20">
        <v>354</v>
      </c>
      <c r="AM165" s="20">
        <v>318.5</v>
      </c>
      <c r="AN165" s="20">
        <v>63</v>
      </c>
      <c r="AO165" s="20">
        <v>73.5</v>
      </c>
      <c r="AP165" s="20">
        <v>315.5</v>
      </c>
      <c r="AQ165" s="20">
        <v>329</v>
      </c>
      <c r="AR165" s="20">
        <v>68.5</v>
      </c>
      <c r="AS165" s="20">
        <v>70</v>
      </c>
      <c r="AT165" s="20">
        <v>342</v>
      </c>
      <c r="AU165" s="20">
        <v>306</v>
      </c>
      <c r="AV165" s="20">
        <v>76</v>
      </c>
      <c r="AW165" s="20">
        <v>76</v>
      </c>
      <c r="AX165" s="20">
        <v>324</v>
      </c>
      <c r="AY165" s="20">
        <v>285</v>
      </c>
      <c r="AZ165" s="20">
        <v>72</v>
      </c>
      <c r="BA165" s="20">
        <v>76</v>
      </c>
      <c r="BB165" s="20">
        <v>342</v>
      </c>
      <c r="BC165" s="20">
        <v>342</v>
      </c>
      <c r="BD165" s="20">
        <v>76</v>
      </c>
      <c r="BE165" s="20">
        <v>87</v>
      </c>
      <c r="BF165" s="23">
        <v>28.56729</v>
      </c>
      <c r="BG165" s="23">
        <v>77.189109999999999</v>
      </c>
      <c r="BH165" s="31">
        <f t="shared" si="93"/>
        <v>342</v>
      </c>
      <c r="BI165" s="31">
        <f t="shared" si="94"/>
        <v>342</v>
      </c>
      <c r="BJ165" s="37">
        <f t="shared" si="95"/>
        <v>0</v>
      </c>
      <c r="BK165" s="37">
        <f t="shared" si="96"/>
        <v>0</v>
      </c>
      <c r="BL165" s="36">
        <f t="shared" si="97"/>
        <v>76</v>
      </c>
      <c r="BM165" s="36">
        <f t="shared" si="98"/>
        <v>87</v>
      </c>
      <c r="BN165" s="37">
        <f t="shared" si="99"/>
        <v>-11</v>
      </c>
      <c r="BO165" s="37">
        <f t="shared" si="100"/>
        <v>-12.643678160919542</v>
      </c>
      <c r="BP165" s="38">
        <f t="shared" si="101"/>
        <v>4143.5</v>
      </c>
      <c r="BQ165" s="39">
        <f>J165+N165+S165+W165+AA165+AE165+AI165+AM165+AQ165+AU165+Table1[[#This Row],[MS-0225]]+Table1[[#This Row],[MS-0325]]</f>
        <v>3913.5</v>
      </c>
      <c r="BR165" s="37">
        <f t="shared" si="102"/>
        <v>230</v>
      </c>
      <c r="BS165" s="37">
        <f t="shared" si="103"/>
        <v>5.8770921170307915</v>
      </c>
      <c r="BT165" s="36">
        <f t="shared" si="104"/>
        <v>929.5</v>
      </c>
      <c r="BU165" s="36">
        <f t="shared" si="105"/>
        <v>1026.5</v>
      </c>
      <c r="BV165" s="37">
        <f t="shared" si="106"/>
        <v>-97</v>
      </c>
      <c r="BW165" s="37">
        <f t="shared" si="107"/>
        <v>-9.4495859717486592</v>
      </c>
      <c r="BX165">
        <v>0</v>
      </c>
      <c r="BY165" s="83">
        <f t="shared" si="108"/>
        <v>0</v>
      </c>
      <c r="BZ165">
        <v>0</v>
      </c>
      <c r="CA165" s="83">
        <f t="shared" si="109"/>
        <v>0</v>
      </c>
      <c r="CB165" s="96">
        <f t="shared" si="110"/>
        <v>0.3376110562685094</v>
      </c>
      <c r="CC165" s="96">
        <f t="shared" si="111"/>
        <v>0.3223374175306315</v>
      </c>
      <c r="CD165" s="97">
        <f t="shared" si="112"/>
        <v>1.5273638737877904E-2</v>
      </c>
      <c r="CE165" s="96">
        <f t="shared" si="113"/>
        <v>0.15049504950495049</v>
      </c>
      <c r="CF165" s="96">
        <f t="shared" si="114"/>
        <v>0.15760869565217392</v>
      </c>
      <c r="CG165" s="96">
        <f t="shared" si="115"/>
        <v>-7.1136461472234291E-3</v>
      </c>
      <c r="CH165" s="95">
        <f t="shared" si="116"/>
        <v>0.32150062073246433</v>
      </c>
      <c r="CI165" s="95">
        <f t="shared" si="117"/>
        <v>0.31314262852570512</v>
      </c>
      <c r="CJ165" s="98">
        <f t="shared" si="118"/>
        <v>8.3579922067592016E-3</v>
      </c>
      <c r="CK165" s="95">
        <f t="shared" si="119"/>
        <v>0.15810511991835347</v>
      </c>
      <c r="CL165" s="95">
        <f t="shared" si="120"/>
        <v>0.1581055063534848</v>
      </c>
      <c r="CM165" s="98">
        <f t="shared" si="121"/>
        <v>-3.8643513133873597E-7</v>
      </c>
      <c r="CN165" s="94">
        <f t="shared" si="122"/>
        <v>0.96450186219739298</v>
      </c>
      <c r="CO165" s="94">
        <f t="shared" si="123"/>
        <v>0.4743153597550604</v>
      </c>
    </row>
    <row r="166" spans="1:94" ht="36.5" x14ac:dyDescent="0.35">
      <c r="A166" s="103">
        <v>41057007</v>
      </c>
      <c r="B166" s="9" t="s">
        <v>380</v>
      </c>
      <c r="C166" s="47" t="s">
        <v>504</v>
      </c>
      <c r="D166" s="14" t="s">
        <v>505</v>
      </c>
      <c r="E166" s="10" t="s">
        <v>111</v>
      </c>
      <c r="F166" s="10" t="s">
        <v>129</v>
      </c>
      <c r="G166" s="12" t="s">
        <v>129</v>
      </c>
      <c r="H166" s="51" t="s">
        <v>126</v>
      </c>
      <c r="I166" s="25" t="s">
        <v>78</v>
      </c>
      <c r="J166" s="20">
        <v>319</v>
      </c>
      <c r="K166" s="20">
        <v>352</v>
      </c>
      <c r="L166" s="20">
        <v>108</v>
      </c>
      <c r="M166" s="20">
        <v>113</v>
      </c>
      <c r="N166" s="18">
        <v>356</v>
      </c>
      <c r="O166" s="18">
        <v>416</v>
      </c>
      <c r="P166" s="18">
        <v>113</v>
      </c>
      <c r="Q166" s="18">
        <v>124</v>
      </c>
      <c r="R166" s="20">
        <v>362.5</v>
      </c>
      <c r="S166" s="20">
        <v>346</v>
      </c>
      <c r="T166" s="20">
        <v>104.5</v>
      </c>
      <c r="U166" s="20">
        <v>118</v>
      </c>
      <c r="V166" s="20">
        <v>388.5</v>
      </c>
      <c r="W166" s="20">
        <v>372</v>
      </c>
      <c r="X166" s="20">
        <v>95.5</v>
      </c>
      <c r="Y166" s="20">
        <v>128</v>
      </c>
      <c r="Z166" s="20">
        <v>422</v>
      </c>
      <c r="AA166" s="20">
        <v>368</v>
      </c>
      <c r="AB166" s="20">
        <v>111</v>
      </c>
      <c r="AC166" s="20">
        <v>114</v>
      </c>
      <c r="AD166" s="20">
        <v>397.5</v>
      </c>
      <c r="AE166" s="20">
        <v>364.5</v>
      </c>
      <c r="AF166" s="20">
        <v>106.5</v>
      </c>
      <c r="AG166" s="20">
        <v>106.5</v>
      </c>
      <c r="AH166" s="20">
        <v>368.5</v>
      </c>
      <c r="AI166" s="20">
        <v>375</v>
      </c>
      <c r="AJ166" s="20">
        <v>102.5</v>
      </c>
      <c r="AK166" s="20">
        <v>117</v>
      </c>
      <c r="AL166" s="20">
        <v>358</v>
      </c>
      <c r="AM166" s="20">
        <v>360.5</v>
      </c>
      <c r="AN166" s="20">
        <v>90</v>
      </c>
      <c r="AO166" s="20">
        <v>88.5</v>
      </c>
      <c r="AP166" s="20">
        <v>371.5</v>
      </c>
      <c r="AQ166" s="20">
        <v>351.5</v>
      </c>
      <c r="AR166" s="20">
        <v>66.5</v>
      </c>
      <c r="AS166" s="20">
        <v>97.5</v>
      </c>
      <c r="AT166" s="20">
        <v>361</v>
      </c>
      <c r="AU166" s="20">
        <v>350.5</v>
      </c>
      <c r="AV166" s="20">
        <v>75</v>
      </c>
      <c r="AW166" s="20">
        <v>70.5</v>
      </c>
      <c r="AX166" s="20">
        <v>343.5</v>
      </c>
      <c r="AY166" s="20">
        <v>348</v>
      </c>
      <c r="AZ166" s="20">
        <v>86.5</v>
      </c>
      <c r="BA166" s="20">
        <v>104</v>
      </c>
      <c r="BB166" s="20">
        <v>342</v>
      </c>
      <c r="BC166" s="20">
        <v>367</v>
      </c>
      <c r="BD166" s="20">
        <v>85</v>
      </c>
      <c r="BE166" s="20">
        <v>102</v>
      </c>
      <c r="BF166" s="23">
        <v>28.585830000000001</v>
      </c>
      <c r="BG166" s="23">
        <v>77.240380000000002</v>
      </c>
      <c r="BH166" s="31">
        <f t="shared" si="93"/>
        <v>342</v>
      </c>
      <c r="BI166" s="31">
        <f t="shared" si="94"/>
        <v>367</v>
      </c>
      <c r="BJ166" s="37">
        <f t="shared" si="95"/>
        <v>-25</v>
      </c>
      <c r="BK166" s="37">
        <f t="shared" si="96"/>
        <v>-6.8119891008174394</v>
      </c>
      <c r="BL166" s="36">
        <f t="shared" si="97"/>
        <v>85</v>
      </c>
      <c r="BM166" s="36">
        <f t="shared" si="98"/>
        <v>102</v>
      </c>
      <c r="BN166" s="37">
        <f t="shared" si="99"/>
        <v>-17</v>
      </c>
      <c r="BO166" s="37">
        <f t="shared" si="100"/>
        <v>-16.666666666666664</v>
      </c>
      <c r="BP166" s="38">
        <f t="shared" si="101"/>
        <v>4483</v>
      </c>
      <c r="BQ166" s="39">
        <f>J166+N166+S166+W166+AA166+AE166+AI166+AM166+AQ166+AU166+Table1[[#This Row],[MS-0225]]+Table1[[#This Row],[MS-0325]]</f>
        <v>4278</v>
      </c>
      <c r="BR166" s="37">
        <f t="shared" si="102"/>
        <v>205</v>
      </c>
      <c r="BS166" s="37">
        <f t="shared" si="103"/>
        <v>4.7919588592800375</v>
      </c>
      <c r="BT166" s="36">
        <f t="shared" si="104"/>
        <v>1160</v>
      </c>
      <c r="BU166" s="36">
        <f t="shared" si="105"/>
        <v>1267</v>
      </c>
      <c r="BV166" s="37">
        <f t="shared" si="106"/>
        <v>-107</v>
      </c>
      <c r="BW166" s="37">
        <f t="shared" si="107"/>
        <v>-8.445146014206788</v>
      </c>
      <c r="BX166">
        <v>0</v>
      </c>
      <c r="BY166" s="83">
        <f t="shared" si="108"/>
        <v>0</v>
      </c>
      <c r="BZ166">
        <v>0</v>
      </c>
      <c r="CA166" s="83">
        <f t="shared" si="109"/>
        <v>0</v>
      </c>
      <c r="CB166" s="96">
        <f t="shared" si="110"/>
        <v>9.7963504870676774E-2</v>
      </c>
      <c r="CC166" s="96">
        <f t="shared" si="111"/>
        <v>0.1071967893539276</v>
      </c>
      <c r="CD166" s="97">
        <f t="shared" si="112"/>
        <v>-9.2332844832508226E-3</v>
      </c>
      <c r="CE166" s="96">
        <f t="shared" si="113"/>
        <v>0.10087212855618755</v>
      </c>
      <c r="CF166" s="96">
        <f t="shared" si="114"/>
        <v>0.1207778090905431</v>
      </c>
      <c r="CG166" s="96">
        <f t="shared" si="115"/>
        <v>-1.9905680534355555E-2</v>
      </c>
      <c r="CH166" s="95">
        <f t="shared" si="116"/>
        <v>0.1058561421875381</v>
      </c>
      <c r="CI166" s="95">
        <f t="shared" si="117"/>
        <v>0.10446020142747846</v>
      </c>
      <c r="CJ166" s="98">
        <f t="shared" si="118"/>
        <v>1.3959407600596385E-3</v>
      </c>
      <c r="CK166" s="95">
        <f t="shared" si="119"/>
        <v>0.12104781493041317</v>
      </c>
      <c r="CL166" s="95">
        <f t="shared" si="120"/>
        <v>0.1172509456191595</v>
      </c>
      <c r="CM166" s="98">
        <f t="shared" si="121"/>
        <v>3.79686931125367E-3</v>
      </c>
      <c r="CN166" s="94">
        <f t="shared" si="122"/>
        <v>0.74099299531276663</v>
      </c>
      <c r="CO166" s="94">
        <f t="shared" si="123"/>
        <v>0.84733470451289217</v>
      </c>
    </row>
    <row r="167" spans="1:94" ht="24.5" x14ac:dyDescent="0.35">
      <c r="A167" s="103">
        <v>41057004</v>
      </c>
      <c r="B167" s="9" t="s">
        <v>380</v>
      </c>
      <c r="C167" s="47" t="s">
        <v>569</v>
      </c>
      <c r="D167" s="14" t="s">
        <v>570</v>
      </c>
      <c r="E167" s="10" t="s">
        <v>85</v>
      </c>
      <c r="F167" s="10" t="s">
        <v>337</v>
      </c>
      <c r="G167" s="12" t="s">
        <v>337</v>
      </c>
      <c r="H167" s="51" t="s">
        <v>304</v>
      </c>
      <c r="I167" s="25" t="s">
        <v>86</v>
      </c>
      <c r="J167" s="20">
        <v>687.5</v>
      </c>
      <c r="K167" s="20">
        <v>793.5</v>
      </c>
      <c r="L167" s="20">
        <v>85.5</v>
      </c>
      <c r="M167" s="20">
        <v>93.5</v>
      </c>
      <c r="N167" s="18">
        <v>803.5</v>
      </c>
      <c r="O167" s="18">
        <v>834</v>
      </c>
      <c r="P167" s="18">
        <v>106.5</v>
      </c>
      <c r="Q167" s="18">
        <v>89</v>
      </c>
      <c r="R167" s="20">
        <v>807.5</v>
      </c>
      <c r="S167" s="20">
        <v>776.5</v>
      </c>
      <c r="T167" s="20">
        <v>85.5</v>
      </c>
      <c r="U167" s="20">
        <v>112.5</v>
      </c>
      <c r="V167" s="20">
        <v>855</v>
      </c>
      <c r="W167" s="20">
        <v>805.5</v>
      </c>
      <c r="X167" s="20">
        <v>81</v>
      </c>
      <c r="Y167" s="20">
        <v>94.5</v>
      </c>
      <c r="Z167" s="20">
        <v>869</v>
      </c>
      <c r="AA167" s="20">
        <v>808</v>
      </c>
      <c r="AB167" s="20">
        <v>90</v>
      </c>
      <c r="AC167" s="20">
        <v>99</v>
      </c>
      <c r="AD167" s="20">
        <v>810</v>
      </c>
      <c r="AE167" s="20">
        <v>769.5</v>
      </c>
      <c r="AF167" s="20">
        <v>97</v>
      </c>
      <c r="AG167" s="20">
        <v>94.5</v>
      </c>
      <c r="AH167" s="20">
        <v>884.5</v>
      </c>
      <c r="AI167" s="20">
        <v>810</v>
      </c>
      <c r="AJ167" s="20">
        <v>83.5</v>
      </c>
      <c r="AK167" s="20">
        <v>90</v>
      </c>
      <c r="AL167" s="20">
        <v>782</v>
      </c>
      <c r="AM167" s="20">
        <v>818.5</v>
      </c>
      <c r="AN167" s="20">
        <v>72</v>
      </c>
      <c r="AO167" s="20">
        <v>108.5</v>
      </c>
      <c r="AP167" s="20">
        <v>802</v>
      </c>
      <c r="AQ167" s="20">
        <v>745</v>
      </c>
      <c r="AR167" s="20">
        <v>67</v>
      </c>
      <c r="AS167" s="20">
        <v>72</v>
      </c>
      <c r="AT167" s="20">
        <v>781</v>
      </c>
      <c r="AU167" s="20">
        <v>730</v>
      </c>
      <c r="AV167" s="20">
        <v>72</v>
      </c>
      <c r="AW167" s="20">
        <v>73</v>
      </c>
      <c r="AX167" s="20">
        <v>749.5</v>
      </c>
      <c r="AY167" s="20">
        <v>686.5</v>
      </c>
      <c r="AZ167" s="20">
        <v>85.5</v>
      </c>
      <c r="BA167" s="20">
        <v>76.5</v>
      </c>
      <c r="BB167" s="20">
        <v>823</v>
      </c>
      <c r="BC167" s="20">
        <v>763.5</v>
      </c>
      <c r="BD167" s="20">
        <v>90</v>
      </c>
      <c r="BE167" s="20">
        <v>76.5</v>
      </c>
      <c r="BF167" s="23">
        <v>28.640830000000001</v>
      </c>
      <c r="BG167" s="23">
        <v>77.106849999999994</v>
      </c>
      <c r="BH167" s="31">
        <f t="shared" si="93"/>
        <v>823</v>
      </c>
      <c r="BI167" s="31">
        <f t="shared" si="94"/>
        <v>763.5</v>
      </c>
      <c r="BJ167" s="37">
        <f t="shared" si="95"/>
        <v>59.5</v>
      </c>
      <c r="BK167" s="37">
        <f t="shared" si="96"/>
        <v>7.7930582842174205</v>
      </c>
      <c r="BL167" s="36">
        <f t="shared" si="97"/>
        <v>90</v>
      </c>
      <c r="BM167" s="36">
        <f t="shared" si="98"/>
        <v>76.5</v>
      </c>
      <c r="BN167" s="37">
        <f t="shared" si="99"/>
        <v>13.5</v>
      </c>
      <c r="BO167" s="37">
        <f t="shared" si="100"/>
        <v>17.647058823529413</v>
      </c>
      <c r="BP167" s="38">
        <f t="shared" si="101"/>
        <v>9791</v>
      </c>
      <c r="BQ167" s="39">
        <f>J167+N167+S167+W167+AA167+AE167+AI167+AM167+AQ167+AU167+Table1[[#This Row],[MS-0225]]+Table1[[#This Row],[MS-0325]]</f>
        <v>9204</v>
      </c>
      <c r="BR167" s="37">
        <f t="shared" si="102"/>
        <v>587</v>
      </c>
      <c r="BS167" s="37">
        <f t="shared" si="103"/>
        <v>6.3776618861364627</v>
      </c>
      <c r="BT167" s="36">
        <f t="shared" si="104"/>
        <v>1006</v>
      </c>
      <c r="BU167" s="36">
        <f t="shared" si="105"/>
        <v>1089</v>
      </c>
      <c r="BV167" s="37">
        <f t="shared" si="106"/>
        <v>-83</v>
      </c>
      <c r="BW167" s="37">
        <f t="shared" si="107"/>
        <v>-7.621671258034894</v>
      </c>
      <c r="BX167">
        <v>0</v>
      </c>
      <c r="BY167" s="83">
        <f t="shared" si="108"/>
        <v>0</v>
      </c>
      <c r="BZ167">
        <v>0</v>
      </c>
      <c r="CA167" s="83">
        <f t="shared" si="109"/>
        <v>0</v>
      </c>
      <c r="CB167" s="96">
        <f t="shared" si="110"/>
        <v>0.28521919944550339</v>
      </c>
      <c r="CC167" s="96">
        <f t="shared" si="111"/>
        <v>0.2805438177475657</v>
      </c>
      <c r="CD167" s="97">
        <f t="shared" si="112"/>
        <v>4.6753816979376861E-3</v>
      </c>
      <c r="CE167" s="96">
        <f t="shared" si="113"/>
        <v>0.23529411764705882</v>
      </c>
      <c r="CF167" s="96">
        <f t="shared" si="114"/>
        <v>0.18819188191881919</v>
      </c>
      <c r="CG167" s="96">
        <f t="shared" si="115"/>
        <v>4.7102235728239628E-2</v>
      </c>
      <c r="CH167" s="95">
        <f t="shared" si="116"/>
        <v>0.2846345044115296</v>
      </c>
      <c r="CI167" s="95">
        <f t="shared" si="117"/>
        <v>0.28152815575378842</v>
      </c>
      <c r="CJ167" s="98">
        <f t="shared" si="118"/>
        <v>3.1063486577411759E-3</v>
      </c>
      <c r="CK167" s="95">
        <f t="shared" si="119"/>
        <v>0.21929155313351498</v>
      </c>
      <c r="CL167" s="95">
        <f t="shared" si="120"/>
        <v>0.20477623166603987</v>
      </c>
      <c r="CM167" s="98">
        <f t="shared" si="121"/>
        <v>1.4515321467475112E-2</v>
      </c>
      <c r="CN167" s="94">
        <f t="shared" si="122"/>
        <v>1.4231725220576479</v>
      </c>
      <c r="CO167" s="94">
        <f t="shared" si="123"/>
        <v>1.0964577656675749</v>
      </c>
      <c r="CP167" s="141">
        <f>BD167-AZ167</f>
        <v>4.5</v>
      </c>
    </row>
    <row r="168" spans="1:94" ht="24.5" x14ac:dyDescent="0.35">
      <c r="A168" s="102">
        <v>250828</v>
      </c>
      <c r="B168" s="3" t="s">
        <v>72</v>
      </c>
      <c r="C168" s="43" t="s">
        <v>97</v>
      </c>
      <c r="D168" s="12" t="s">
        <v>74</v>
      </c>
      <c r="E168" s="4" t="s">
        <v>75</v>
      </c>
      <c r="F168" s="4" t="s">
        <v>76</v>
      </c>
      <c r="G168" s="12" t="s">
        <v>76</v>
      </c>
      <c r="H168" s="51" t="s">
        <v>77</v>
      </c>
      <c r="I168" s="23" t="s">
        <v>78</v>
      </c>
      <c r="J168" s="90"/>
      <c r="K168" s="90">
        <v>351</v>
      </c>
      <c r="L168" s="90"/>
      <c r="M168" s="90">
        <v>218</v>
      </c>
      <c r="N168" s="18">
        <v>0</v>
      </c>
      <c r="O168" s="18">
        <v>369</v>
      </c>
      <c r="P168" s="18">
        <v>0</v>
      </c>
      <c r="Q168" s="18">
        <v>321</v>
      </c>
      <c r="R168" s="90">
        <v>378</v>
      </c>
      <c r="S168" s="90">
        <v>0</v>
      </c>
      <c r="T168" s="90">
        <v>311</v>
      </c>
      <c r="U168" s="90">
        <v>0</v>
      </c>
      <c r="V168" s="90">
        <v>399</v>
      </c>
      <c r="W168" s="90">
        <v>0</v>
      </c>
      <c r="X168" s="90">
        <v>313</v>
      </c>
      <c r="Y168" s="90">
        <v>0</v>
      </c>
      <c r="Z168" s="90">
        <v>400</v>
      </c>
      <c r="AA168" s="90">
        <v>80</v>
      </c>
      <c r="AB168" s="90">
        <v>300</v>
      </c>
      <c r="AC168" s="90">
        <v>116</v>
      </c>
      <c r="AD168" s="90">
        <v>367</v>
      </c>
      <c r="AE168" s="90">
        <v>402.61099999999999</v>
      </c>
      <c r="AF168" s="90">
        <v>296</v>
      </c>
      <c r="AG168" s="90">
        <v>301.11900000000003</v>
      </c>
      <c r="AH168" s="90">
        <v>401</v>
      </c>
      <c r="AI168" s="90">
        <v>356</v>
      </c>
      <c r="AJ168" s="90">
        <v>263</v>
      </c>
      <c r="AK168" s="90">
        <v>370</v>
      </c>
      <c r="AL168" s="90">
        <v>353</v>
      </c>
      <c r="AM168" s="90">
        <v>342</v>
      </c>
      <c r="AN168" s="90">
        <v>308</v>
      </c>
      <c r="AO168" s="90">
        <v>347</v>
      </c>
      <c r="AP168" s="90">
        <v>378</v>
      </c>
      <c r="AQ168" s="90">
        <v>343</v>
      </c>
      <c r="AR168" s="90">
        <v>215</v>
      </c>
      <c r="AS168" s="90">
        <v>278</v>
      </c>
      <c r="AT168" s="90">
        <v>358</v>
      </c>
      <c r="AU168" s="90">
        <v>320</v>
      </c>
      <c r="AV168" s="90">
        <v>193</v>
      </c>
      <c r="AW168" s="90">
        <v>236</v>
      </c>
      <c r="AX168" s="90">
        <v>372</v>
      </c>
      <c r="AY168" s="90">
        <v>313</v>
      </c>
      <c r="AZ168" s="90">
        <v>225</v>
      </c>
      <c r="BA168" s="90">
        <v>316</v>
      </c>
      <c r="BB168" s="90">
        <v>341</v>
      </c>
      <c r="BC168" s="90">
        <v>324</v>
      </c>
      <c r="BD168" s="90">
        <v>302</v>
      </c>
      <c r="BE168" s="90">
        <v>240</v>
      </c>
      <c r="BF168" s="23">
        <v>28.634550000000001</v>
      </c>
      <c r="BG168" s="23">
        <v>77.315470000000005</v>
      </c>
      <c r="BH168" s="31">
        <f t="shared" si="93"/>
        <v>341</v>
      </c>
      <c r="BI168" s="31">
        <f t="shared" si="94"/>
        <v>324</v>
      </c>
      <c r="BJ168" s="37">
        <f t="shared" si="95"/>
        <v>17</v>
      </c>
      <c r="BK168" s="37">
        <f t="shared" si="96"/>
        <v>5.2469135802469129</v>
      </c>
      <c r="BL168" s="36">
        <f t="shared" si="97"/>
        <v>302</v>
      </c>
      <c r="BM168" s="36">
        <f t="shared" si="98"/>
        <v>240</v>
      </c>
      <c r="BN168" s="37">
        <f t="shared" si="99"/>
        <v>62</v>
      </c>
      <c r="BO168" s="37">
        <f t="shared" si="100"/>
        <v>25.833333333333336</v>
      </c>
      <c r="BP168" s="38">
        <f t="shared" si="101"/>
        <v>4467</v>
      </c>
      <c r="BQ168" s="39">
        <f>J168+N168+S168+W168+AA168+AE168+AI168+AM168+AQ168+AU168+Table1[[#This Row],[MS-0225]]+Table1[[#This Row],[MS-0325]]</f>
        <v>2480.6109999999999</v>
      </c>
      <c r="BR168" s="37">
        <f t="shared" si="102"/>
        <v>1986.3890000000001</v>
      </c>
      <c r="BS168" s="37">
        <f t="shared" si="103"/>
        <v>80.076602095209608</v>
      </c>
      <c r="BT168" s="36">
        <f t="shared" si="104"/>
        <v>3265</v>
      </c>
      <c r="BU168" s="36">
        <f t="shared" si="105"/>
        <v>2204.1190000000001</v>
      </c>
      <c r="BV168" s="37">
        <f t="shared" si="106"/>
        <v>1060.8809999999999</v>
      </c>
      <c r="BW168" s="37">
        <f t="shared" si="107"/>
        <v>48.131747877496622</v>
      </c>
      <c r="BX168">
        <v>68</v>
      </c>
      <c r="BY168" s="83">
        <f t="shared" si="108"/>
        <v>0.19941348973607037</v>
      </c>
      <c r="BZ168">
        <v>376</v>
      </c>
      <c r="CA168" s="83">
        <f t="shared" si="109"/>
        <v>8.4172822923662419E-2</v>
      </c>
      <c r="CB168" s="96">
        <f t="shared" si="110"/>
        <v>0.14900589906052</v>
      </c>
      <c r="CC168" s="96">
        <f t="shared" si="111"/>
        <v>0.14965357967667436</v>
      </c>
      <c r="CD168" s="97">
        <f t="shared" si="112"/>
        <v>-6.4768061615436134E-4</v>
      </c>
      <c r="CE168" s="96">
        <f t="shared" si="113"/>
        <v>0.30124688279301748</v>
      </c>
      <c r="CF168" s="96">
        <f t="shared" si="114"/>
        <v>0.26519337016574585</v>
      </c>
      <c r="CG168" s="96">
        <f t="shared" si="115"/>
        <v>3.6053512627271633E-2</v>
      </c>
      <c r="CH168" s="95">
        <f t="shared" si="116"/>
        <v>0.15943891208908878</v>
      </c>
      <c r="CI168" s="95">
        <f t="shared" si="117"/>
        <v>9.3551478352692716E-2</v>
      </c>
      <c r="CJ168" s="98">
        <f t="shared" si="118"/>
        <v>6.5887433736396064E-2</v>
      </c>
      <c r="CK168" s="95">
        <f t="shared" si="119"/>
        <v>0.2810052500215165</v>
      </c>
      <c r="CL168" s="95">
        <f t="shared" si="120"/>
        <v>0.17341612903225809</v>
      </c>
      <c r="CM168" s="98">
        <f t="shared" si="121"/>
        <v>0.10758912098925841</v>
      </c>
      <c r="CN168" s="94">
        <f t="shared" si="122"/>
        <v>0.95663347253453268</v>
      </c>
      <c r="CO168" s="94">
        <f t="shared" si="123"/>
        <v>1.6860315001290989</v>
      </c>
    </row>
    <row r="169" spans="1:94" ht="24.5" x14ac:dyDescent="0.35">
      <c r="A169" s="102">
        <v>112393</v>
      </c>
      <c r="B169" s="3" t="s">
        <v>72</v>
      </c>
      <c r="C169" s="41" t="s">
        <v>121</v>
      </c>
      <c r="D169" s="12" t="s">
        <v>122</v>
      </c>
      <c r="E169" s="4" t="s">
        <v>111</v>
      </c>
      <c r="F169" s="4" t="s">
        <v>112</v>
      </c>
      <c r="G169" s="12" t="s">
        <v>112</v>
      </c>
      <c r="H169" s="51" t="s">
        <v>113</v>
      </c>
      <c r="I169" s="23" t="s">
        <v>78</v>
      </c>
      <c r="J169" s="90">
        <v>265.50000299999999</v>
      </c>
      <c r="K169" s="90">
        <v>265.5</v>
      </c>
      <c r="L169" s="90">
        <v>22.5</v>
      </c>
      <c r="M169" s="90">
        <v>22.5</v>
      </c>
      <c r="N169" s="18">
        <v>274.50000399999999</v>
      </c>
      <c r="O169" s="18">
        <v>274.5</v>
      </c>
      <c r="P169" s="18">
        <v>31.5</v>
      </c>
      <c r="Q169" s="18">
        <v>31.5</v>
      </c>
      <c r="R169" s="90">
        <v>270</v>
      </c>
      <c r="S169" s="90">
        <v>270.00000399999999</v>
      </c>
      <c r="T169" s="90">
        <v>36</v>
      </c>
      <c r="U169" s="90">
        <v>36</v>
      </c>
      <c r="V169" s="90">
        <v>283.5</v>
      </c>
      <c r="W169" s="90">
        <v>283.50000199999999</v>
      </c>
      <c r="X169" s="90">
        <v>22.5</v>
      </c>
      <c r="Y169" s="90">
        <v>40.5</v>
      </c>
      <c r="Z169" s="90">
        <v>288</v>
      </c>
      <c r="AA169" s="90">
        <v>306</v>
      </c>
      <c r="AB169" s="90">
        <v>36</v>
      </c>
      <c r="AC169" s="90">
        <v>36</v>
      </c>
      <c r="AD169" s="90">
        <v>278.5</v>
      </c>
      <c r="AE169" s="90">
        <v>270</v>
      </c>
      <c r="AF169" s="90">
        <v>37.5</v>
      </c>
      <c r="AG169" s="90">
        <v>36</v>
      </c>
      <c r="AH169" s="90">
        <v>315</v>
      </c>
      <c r="AI169" s="90">
        <v>279</v>
      </c>
      <c r="AJ169" s="90">
        <v>45</v>
      </c>
      <c r="AK169" s="90">
        <v>27</v>
      </c>
      <c r="AL169" s="90">
        <v>290</v>
      </c>
      <c r="AM169" s="90">
        <v>279.00000599999998</v>
      </c>
      <c r="AN169" s="90">
        <v>30</v>
      </c>
      <c r="AO169" s="90">
        <v>27</v>
      </c>
      <c r="AP169" s="90">
        <v>295</v>
      </c>
      <c r="AQ169" s="90">
        <v>252</v>
      </c>
      <c r="AR169" s="90">
        <v>25</v>
      </c>
      <c r="AS169" s="90">
        <v>36</v>
      </c>
      <c r="AT169" s="90">
        <v>285</v>
      </c>
      <c r="AU169" s="90">
        <v>243</v>
      </c>
      <c r="AV169" s="90">
        <v>35</v>
      </c>
      <c r="AW169" s="90">
        <v>27</v>
      </c>
      <c r="AX169" s="90">
        <v>300</v>
      </c>
      <c r="AY169" s="90">
        <v>243</v>
      </c>
      <c r="AZ169" s="90">
        <v>40</v>
      </c>
      <c r="BA169" s="90">
        <v>27</v>
      </c>
      <c r="BB169" s="90">
        <v>340</v>
      </c>
      <c r="BC169" s="90">
        <v>261</v>
      </c>
      <c r="BD169" s="90">
        <v>60</v>
      </c>
      <c r="BE169" s="90">
        <v>27</v>
      </c>
      <c r="BF169" s="23">
        <v>28.491810000000001</v>
      </c>
      <c r="BG169" s="23">
        <v>77.304339999999996</v>
      </c>
      <c r="BH169" s="31">
        <f t="shared" si="93"/>
        <v>340</v>
      </c>
      <c r="BI169" s="31">
        <f t="shared" si="94"/>
        <v>261</v>
      </c>
      <c r="BJ169" s="37">
        <f t="shared" si="95"/>
        <v>79</v>
      </c>
      <c r="BK169" s="37">
        <f t="shared" si="96"/>
        <v>30.268199233716476</v>
      </c>
      <c r="BL169" s="36">
        <f t="shared" si="97"/>
        <v>60</v>
      </c>
      <c r="BM169" s="36">
        <f t="shared" si="98"/>
        <v>27</v>
      </c>
      <c r="BN169" s="37">
        <f t="shared" si="99"/>
        <v>33</v>
      </c>
      <c r="BO169" s="37">
        <f t="shared" si="100"/>
        <v>122.22222222222223</v>
      </c>
      <c r="BP169" s="38">
        <f t="shared" si="101"/>
        <v>3485</v>
      </c>
      <c r="BQ169" s="39">
        <f>J169+N169+S169+W169+AA169+AE169+AI169+AM169+AQ169+AU169+Table1[[#This Row],[MS-0225]]+Table1[[#This Row],[MS-0325]]</f>
        <v>3226.5000190000001</v>
      </c>
      <c r="BR169" s="37">
        <f t="shared" si="102"/>
        <v>258.49998099999993</v>
      </c>
      <c r="BS169" s="37">
        <f t="shared" si="103"/>
        <v>8.0117768317917974</v>
      </c>
      <c r="BT169" s="36">
        <f t="shared" si="104"/>
        <v>421</v>
      </c>
      <c r="BU169" s="36">
        <f t="shared" si="105"/>
        <v>373.5</v>
      </c>
      <c r="BV169" s="37">
        <f t="shared" si="106"/>
        <v>47.5</v>
      </c>
      <c r="BW169" s="37">
        <f t="shared" si="107"/>
        <v>12.717536813922356</v>
      </c>
      <c r="BX169">
        <v>35</v>
      </c>
      <c r="BY169" s="83">
        <f t="shared" si="108"/>
        <v>0.10294117647058823</v>
      </c>
      <c r="BZ169">
        <v>153</v>
      </c>
      <c r="CA169" s="83">
        <f t="shared" si="109"/>
        <v>4.3902439024390241E-2</v>
      </c>
      <c r="CB169" s="96">
        <f t="shared" si="110"/>
        <v>6.1762034514078114E-2</v>
      </c>
      <c r="CC169" s="96">
        <f t="shared" si="111"/>
        <v>4.9990423290557362E-2</v>
      </c>
      <c r="CD169" s="97">
        <f t="shared" si="112"/>
        <v>1.1771611223520752E-2</v>
      </c>
      <c r="CE169" s="96">
        <f t="shared" si="113"/>
        <v>4.1695621959694229E-2</v>
      </c>
      <c r="CF169" s="96">
        <f t="shared" si="114"/>
        <v>1.7363344051446947E-2</v>
      </c>
      <c r="CG169" s="96">
        <f t="shared" si="115"/>
        <v>2.4332277908247282E-2</v>
      </c>
      <c r="CH169" s="95">
        <f t="shared" si="116"/>
        <v>5.4267428642613559E-2</v>
      </c>
      <c r="CI169" s="95">
        <f t="shared" si="117"/>
        <v>5.0585976044011244E-2</v>
      </c>
      <c r="CJ169" s="98">
        <f t="shared" si="118"/>
        <v>3.6814525986023153E-3</v>
      </c>
      <c r="CK169" s="95">
        <f t="shared" si="119"/>
        <v>2.3451426024955438E-2</v>
      </c>
      <c r="CL169" s="95">
        <f t="shared" si="120"/>
        <v>1.7870813397129186E-2</v>
      </c>
      <c r="CM169" s="98">
        <f t="shared" si="121"/>
        <v>5.5806126278262515E-3</v>
      </c>
      <c r="CN169" s="94">
        <f t="shared" si="122"/>
        <v>0.59694171506874916</v>
      </c>
      <c r="CO169" s="94">
        <f t="shared" si="123"/>
        <v>0.25796568627450983</v>
      </c>
    </row>
    <row r="170" spans="1:94" ht="24.5" x14ac:dyDescent="0.35">
      <c r="A170" s="102">
        <v>112434</v>
      </c>
      <c r="B170" s="3" t="s">
        <v>72</v>
      </c>
      <c r="C170" s="43" t="s">
        <v>109</v>
      </c>
      <c r="D170" s="12" t="s">
        <v>110</v>
      </c>
      <c r="E170" s="4" t="s">
        <v>111</v>
      </c>
      <c r="F170" s="4" t="s">
        <v>112</v>
      </c>
      <c r="G170" s="12" t="s">
        <v>112</v>
      </c>
      <c r="H170" s="51" t="s">
        <v>113</v>
      </c>
      <c r="I170" s="23" t="s">
        <v>78</v>
      </c>
      <c r="J170" s="90">
        <v>328.50000399999999</v>
      </c>
      <c r="K170" s="90">
        <v>346.5</v>
      </c>
      <c r="L170" s="90">
        <v>139.5</v>
      </c>
      <c r="M170" s="90">
        <v>139.5</v>
      </c>
      <c r="N170" s="18">
        <v>364.50000399999999</v>
      </c>
      <c r="O170" s="18">
        <v>369</v>
      </c>
      <c r="P170" s="18">
        <v>157.5</v>
      </c>
      <c r="Q170" s="18">
        <v>135</v>
      </c>
      <c r="R170" s="90">
        <v>360</v>
      </c>
      <c r="S170" s="90">
        <v>351.00000399999999</v>
      </c>
      <c r="T170" s="90">
        <v>126</v>
      </c>
      <c r="U170" s="90">
        <v>153</v>
      </c>
      <c r="V170" s="90">
        <v>342</v>
      </c>
      <c r="W170" s="90">
        <v>324.000001</v>
      </c>
      <c r="X170" s="90">
        <v>108</v>
      </c>
      <c r="Y170" s="90">
        <v>144</v>
      </c>
      <c r="Z170" s="90">
        <v>337.5</v>
      </c>
      <c r="AA170" s="90">
        <v>324.000001</v>
      </c>
      <c r="AB170" s="90">
        <v>130.5</v>
      </c>
      <c r="AC170" s="90">
        <v>144</v>
      </c>
      <c r="AD170" s="90">
        <v>328</v>
      </c>
      <c r="AE170" s="90">
        <v>324.00000199999999</v>
      </c>
      <c r="AF170" s="90">
        <v>154</v>
      </c>
      <c r="AG170" s="90">
        <v>144</v>
      </c>
      <c r="AH170" s="90">
        <v>355</v>
      </c>
      <c r="AI170" s="90">
        <v>342</v>
      </c>
      <c r="AJ170" s="90">
        <v>125</v>
      </c>
      <c r="AK170" s="90">
        <v>162</v>
      </c>
      <c r="AL170" s="90">
        <v>320</v>
      </c>
      <c r="AM170" s="90">
        <v>306.00000399999999</v>
      </c>
      <c r="AN170" s="90">
        <v>100</v>
      </c>
      <c r="AO170" s="90">
        <v>126</v>
      </c>
      <c r="AP170" s="90">
        <v>335</v>
      </c>
      <c r="AQ170" s="90">
        <v>292.5</v>
      </c>
      <c r="AR170" s="90">
        <v>105</v>
      </c>
      <c r="AS170" s="90">
        <v>139.5</v>
      </c>
      <c r="AT170" s="90">
        <v>319</v>
      </c>
      <c r="AU170" s="90">
        <v>301.5</v>
      </c>
      <c r="AV170" s="90">
        <v>93</v>
      </c>
      <c r="AW170" s="90">
        <v>148.5</v>
      </c>
      <c r="AX170" s="90">
        <v>310</v>
      </c>
      <c r="AY170" s="90">
        <v>283.5</v>
      </c>
      <c r="AZ170" s="90">
        <v>110</v>
      </c>
      <c r="BA170" s="90">
        <v>130.5</v>
      </c>
      <c r="BB170" s="90">
        <v>340</v>
      </c>
      <c r="BC170" s="90">
        <v>292.5</v>
      </c>
      <c r="BD170" s="90">
        <v>100</v>
      </c>
      <c r="BE170" s="90">
        <v>139.5</v>
      </c>
      <c r="BF170" s="23">
        <v>28.563199999999998</v>
      </c>
      <c r="BG170" s="23">
        <v>77.264579999999995</v>
      </c>
      <c r="BH170" s="31">
        <f t="shared" si="93"/>
        <v>340</v>
      </c>
      <c r="BI170" s="31">
        <f t="shared" si="94"/>
        <v>292.5</v>
      </c>
      <c r="BJ170" s="37">
        <f t="shared" si="95"/>
        <v>47.5</v>
      </c>
      <c r="BK170" s="37">
        <f t="shared" si="96"/>
        <v>16.239316239316238</v>
      </c>
      <c r="BL170" s="36">
        <f t="shared" si="97"/>
        <v>100</v>
      </c>
      <c r="BM170" s="36">
        <f t="shared" si="98"/>
        <v>139.5</v>
      </c>
      <c r="BN170" s="37">
        <f t="shared" si="99"/>
        <v>-39.5</v>
      </c>
      <c r="BO170" s="37">
        <f t="shared" si="100"/>
        <v>-28.31541218637993</v>
      </c>
      <c r="BP170" s="38">
        <f t="shared" si="101"/>
        <v>4062</v>
      </c>
      <c r="BQ170" s="39">
        <f>J170+N170+S170+W170+AA170+AE170+AI170+AM170+AQ170+AU170+Table1[[#This Row],[MS-0225]]+Table1[[#This Row],[MS-0325]]</f>
        <v>3834.0000199999999</v>
      </c>
      <c r="BR170" s="37">
        <f t="shared" si="102"/>
        <v>227.99998000000005</v>
      </c>
      <c r="BS170" s="37">
        <f t="shared" si="103"/>
        <v>5.9467913096150706</v>
      </c>
      <c r="BT170" s="36">
        <f t="shared" si="104"/>
        <v>1426</v>
      </c>
      <c r="BU170" s="36">
        <f t="shared" si="105"/>
        <v>1728</v>
      </c>
      <c r="BV170" s="37">
        <f t="shared" si="106"/>
        <v>-302</v>
      </c>
      <c r="BW170" s="37">
        <f t="shared" si="107"/>
        <v>-17.476851851851851</v>
      </c>
      <c r="BX170">
        <v>45</v>
      </c>
      <c r="BY170" s="83">
        <f t="shared" si="108"/>
        <v>0.13235294117647059</v>
      </c>
      <c r="BZ170">
        <v>267.5</v>
      </c>
      <c r="CA170" s="83">
        <f t="shared" si="109"/>
        <v>6.5854258985721323E-2</v>
      </c>
      <c r="CB170" s="96">
        <f t="shared" si="110"/>
        <v>6.1762034514078114E-2</v>
      </c>
      <c r="CC170" s="96">
        <f t="shared" si="111"/>
        <v>5.6023750239417733E-2</v>
      </c>
      <c r="CD170" s="97">
        <f t="shared" si="112"/>
        <v>5.738284274660381E-3</v>
      </c>
      <c r="CE170" s="96">
        <f t="shared" si="113"/>
        <v>6.9492703266157058E-2</v>
      </c>
      <c r="CF170" s="96">
        <f t="shared" si="114"/>
        <v>8.9710610932475884E-2</v>
      </c>
      <c r="CG170" s="96">
        <f t="shared" si="115"/>
        <v>-2.0217907666318827E-2</v>
      </c>
      <c r="CH170" s="95">
        <f t="shared" si="116"/>
        <v>6.3252308506828198E-2</v>
      </c>
      <c r="CI170" s="95">
        <f t="shared" si="117"/>
        <v>6.0110532162516196E-2</v>
      </c>
      <c r="CJ170" s="98">
        <f t="shared" si="118"/>
        <v>3.1417763443120014E-3</v>
      </c>
      <c r="CK170" s="95">
        <f t="shared" si="119"/>
        <v>7.9434046345811055E-2</v>
      </c>
      <c r="CL170" s="95">
        <f t="shared" si="120"/>
        <v>8.2679425837320575E-2</v>
      </c>
      <c r="CM170" s="98">
        <f t="shared" si="121"/>
        <v>-3.2453794915095202E-3</v>
      </c>
      <c r="CN170" s="94">
        <f t="shared" si="122"/>
        <v>0.6957753935751102</v>
      </c>
      <c r="CO170" s="94">
        <f t="shared" si="123"/>
        <v>0.87377450980392157</v>
      </c>
    </row>
    <row r="171" spans="1:94" ht="24.5" x14ac:dyDescent="0.35">
      <c r="A171" s="103">
        <v>41056793</v>
      </c>
      <c r="B171" s="9" t="s">
        <v>380</v>
      </c>
      <c r="C171" s="47" t="s">
        <v>429</v>
      </c>
      <c r="D171" s="14" t="s">
        <v>430</v>
      </c>
      <c r="E171" s="10" t="s">
        <v>94</v>
      </c>
      <c r="F171" s="10" t="s">
        <v>247</v>
      </c>
      <c r="G171" s="12" t="s">
        <v>247</v>
      </c>
      <c r="H171" s="51" t="s">
        <v>248</v>
      </c>
      <c r="I171" s="25" t="s">
        <v>83</v>
      </c>
      <c r="J171" s="20">
        <v>278.5</v>
      </c>
      <c r="K171" s="20">
        <v>308.5</v>
      </c>
      <c r="L171" s="20">
        <v>69.5</v>
      </c>
      <c r="M171" s="20">
        <v>59.5</v>
      </c>
      <c r="N171" s="18">
        <v>268</v>
      </c>
      <c r="O171" s="18">
        <v>338.5</v>
      </c>
      <c r="P171" s="18">
        <v>58</v>
      </c>
      <c r="Q171" s="18">
        <v>60.5</v>
      </c>
      <c r="R171" s="20">
        <v>318.5</v>
      </c>
      <c r="S171" s="20">
        <v>278.5</v>
      </c>
      <c r="T171" s="20">
        <v>58.5</v>
      </c>
      <c r="U171" s="20">
        <v>68.5</v>
      </c>
      <c r="V171" s="20">
        <v>340.5</v>
      </c>
      <c r="W171" s="20">
        <v>297.5</v>
      </c>
      <c r="X171" s="20">
        <v>67.5</v>
      </c>
      <c r="Y171" s="20">
        <v>67.5</v>
      </c>
      <c r="Z171" s="20">
        <v>340.5</v>
      </c>
      <c r="AA171" s="20">
        <v>293</v>
      </c>
      <c r="AB171" s="20">
        <v>53.5</v>
      </c>
      <c r="AC171" s="20">
        <v>72</v>
      </c>
      <c r="AD171" s="20">
        <v>328</v>
      </c>
      <c r="AE171" s="20">
        <v>297.5</v>
      </c>
      <c r="AF171" s="20">
        <v>65</v>
      </c>
      <c r="AG171" s="20">
        <v>67.5</v>
      </c>
      <c r="AH171" s="20">
        <v>332</v>
      </c>
      <c r="AI171" s="20">
        <v>290.5</v>
      </c>
      <c r="AJ171" s="20">
        <v>56</v>
      </c>
      <c r="AK171" s="20">
        <v>61.5</v>
      </c>
      <c r="AL171" s="20">
        <v>310.5</v>
      </c>
      <c r="AM171" s="20">
        <v>297</v>
      </c>
      <c r="AN171" s="20">
        <v>58.5</v>
      </c>
      <c r="AO171" s="20">
        <v>57</v>
      </c>
      <c r="AP171" s="20">
        <v>418</v>
      </c>
      <c r="AQ171" s="20">
        <v>280</v>
      </c>
      <c r="AR171" s="20">
        <v>70</v>
      </c>
      <c r="AS171" s="20">
        <v>40</v>
      </c>
      <c r="AT171" s="20">
        <v>378.5</v>
      </c>
      <c r="AU171" s="20">
        <v>255</v>
      </c>
      <c r="AV171" s="20">
        <v>56.5</v>
      </c>
      <c r="AW171" s="20">
        <v>51</v>
      </c>
      <c r="AX171" s="20">
        <v>393</v>
      </c>
      <c r="AY171" s="20">
        <v>257</v>
      </c>
      <c r="AZ171" s="20">
        <v>65</v>
      </c>
      <c r="BA171" s="20">
        <v>50</v>
      </c>
      <c r="BB171" s="20">
        <v>338</v>
      </c>
      <c r="BC171" s="20">
        <v>288.5</v>
      </c>
      <c r="BD171" s="20">
        <v>54</v>
      </c>
      <c r="BE171" s="20">
        <v>56.5</v>
      </c>
      <c r="BF171" s="23">
        <v>28.567399999999999</v>
      </c>
      <c r="BG171" s="23">
        <v>77.224940000000004</v>
      </c>
      <c r="BH171" s="31">
        <f t="shared" si="93"/>
        <v>338</v>
      </c>
      <c r="BI171" s="31">
        <f t="shared" si="94"/>
        <v>288.5</v>
      </c>
      <c r="BJ171" s="37">
        <f t="shared" si="95"/>
        <v>49.5</v>
      </c>
      <c r="BK171" s="37">
        <f t="shared" si="96"/>
        <v>17.157712305025996</v>
      </c>
      <c r="BL171" s="36">
        <f t="shared" si="97"/>
        <v>54</v>
      </c>
      <c r="BM171" s="36">
        <f t="shared" si="98"/>
        <v>56.5</v>
      </c>
      <c r="BN171" s="37">
        <f t="shared" si="99"/>
        <v>-2.5</v>
      </c>
      <c r="BO171" s="37">
        <f t="shared" si="100"/>
        <v>-4.4247787610619467</v>
      </c>
      <c r="BP171" s="38">
        <f t="shared" si="101"/>
        <v>4144.5</v>
      </c>
      <c r="BQ171" s="39">
        <f>J171+N171+S171+W171+AA171+AE171+AI171+AM171+AQ171+AU171+Table1[[#This Row],[MS-0225]]+Table1[[#This Row],[MS-0325]]</f>
        <v>3381</v>
      </c>
      <c r="BR171" s="37">
        <f t="shared" si="102"/>
        <v>763.5</v>
      </c>
      <c r="BS171" s="37">
        <f t="shared" si="103"/>
        <v>22.582076308784384</v>
      </c>
      <c r="BT171" s="36">
        <f t="shared" si="104"/>
        <v>724.5</v>
      </c>
      <c r="BU171" s="36">
        <f t="shared" si="105"/>
        <v>719</v>
      </c>
      <c r="BV171" s="37">
        <f t="shared" si="106"/>
        <v>5.5</v>
      </c>
      <c r="BW171" s="37">
        <f t="shared" si="107"/>
        <v>0.76495132127955501</v>
      </c>
      <c r="BX171">
        <v>0</v>
      </c>
      <c r="BY171" s="83">
        <f t="shared" si="108"/>
        <v>0</v>
      </c>
      <c r="BZ171">
        <v>0</v>
      </c>
      <c r="CA171" s="83">
        <f t="shared" si="109"/>
        <v>0</v>
      </c>
      <c r="CB171" s="96">
        <f t="shared" si="110"/>
        <v>0.29391304347826086</v>
      </c>
      <c r="CC171" s="96">
        <f t="shared" si="111"/>
        <v>0.19143994691439947</v>
      </c>
      <c r="CD171" s="97">
        <f t="shared" si="112"/>
        <v>0.10247309656386139</v>
      </c>
      <c r="CE171" s="96">
        <f t="shared" si="113"/>
        <v>0.25</v>
      </c>
      <c r="CF171" s="96">
        <f t="shared" si="114"/>
        <v>0.14267676767676768</v>
      </c>
      <c r="CG171" s="96">
        <f t="shared" si="115"/>
        <v>0.10732323232323232</v>
      </c>
      <c r="CH171" s="95">
        <f t="shared" si="116"/>
        <v>0.23778651137439399</v>
      </c>
      <c r="CI171" s="95">
        <f t="shared" si="117"/>
        <v>0.19060773480662985</v>
      </c>
      <c r="CJ171" s="98">
        <f t="shared" si="118"/>
        <v>4.7178776567764147E-2</v>
      </c>
      <c r="CK171" s="95">
        <f t="shared" si="119"/>
        <v>0.19048245037465492</v>
      </c>
      <c r="CL171" s="95">
        <f t="shared" si="120"/>
        <v>0.14879966887417218</v>
      </c>
      <c r="CM171" s="98">
        <f t="shared" si="121"/>
        <v>4.1682781500482741E-2</v>
      </c>
      <c r="CN171" s="94">
        <f t="shared" si="122"/>
        <v>0.95114604549757598</v>
      </c>
      <c r="CO171" s="94">
        <f t="shared" si="123"/>
        <v>0.76192980149861966</v>
      </c>
    </row>
    <row r="172" spans="1:94" ht="36.5" x14ac:dyDescent="0.35">
      <c r="A172" s="102">
        <v>144348</v>
      </c>
      <c r="B172" s="3" t="s">
        <v>72</v>
      </c>
      <c r="C172" s="41" t="s">
        <v>233</v>
      </c>
      <c r="D172" s="12" t="s">
        <v>234</v>
      </c>
      <c r="E172" s="4" t="s">
        <v>81</v>
      </c>
      <c r="F172" s="4" t="s">
        <v>184</v>
      </c>
      <c r="G172" s="12" t="s">
        <v>184</v>
      </c>
      <c r="H172" s="51" t="s">
        <v>141</v>
      </c>
      <c r="I172" s="23" t="s">
        <v>83</v>
      </c>
      <c r="J172" s="90">
        <v>320</v>
      </c>
      <c r="K172" s="90">
        <v>275</v>
      </c>
      <c r="L172" s="90">
        <v>80</v>
      </c>
      <c r="M172" s="90">
        <v>65</v>
      </c>
      <c r="N172" s="18">
        <v>350</v>
      </c>
      <c r="O172" s="18">
        <v>265</v>
      </c>
      <c r="P172" s="18">
        <v>110</v>
      </c>
      <c r="Q172" s="18">
        <v>55</v>
      </c>
      <c r="R172" s="90">
        <v>260</v>
      </c>
      <c r="S172" s="90">
        <v>345</v>
      </c>
      <c r="T172" s="90">
        <v>60</v>
      </c>
      <c r="U172" s="90">
        <v>95</v>
      </c>
      <c r="V172" s="90">
        <v>285</v>
      </c>
      <c r="W172" s="90">
        <v>340</v>
      </c>
      <c r="X172" s="90">
        <v>55</v>
      </c>
      <c r="Y172" s="90">
        <v>100</v>
      </c>
      <c r="Z172" s="90">
        <v>280</v>
      </c>
      <c r="AA172" s="90">
        <v>350</v>
      </c>
      <c r="AB172" s="90">
        <v>60</v>
      </c>
      <c r="AC172" s="90">
        <v>90</v>
      </c>
      <c r="AD172" s="90">
        <v>285</v>
      </c>
      <c r="AE172" s="90">
        <v>305</v>
      </c>
      <c r="AF172" s="90">
        <v>55</v>
      </c>
      <c r="AG172" s="90">
        <v>75</v>
      </c>
      <c r="AH172" s="90">
        <v>285</v>
      </c>
      <c r="AI172" s="90">
        <v>320</v>
      </c>
      <c r="AJ172" s="90">
        <v>55</v>
      </c>
      <c r="AK172" s="90">
        <v>80</v>
      </c>
      <c r="AL172" s="90">
        <v>295</v>
      </c>
      <c r="AM172" s="90">
        <v>295</v>
      </c>
      <c r="AN172" s="90">
        <v>65</v>
      </c>
      <c r="AO172" s="90">
        <v>85</v>
      </c>
      <c r="AP172" s="90">
        <v>270</v>
      </c>
      <c r="AQ172" s="90">
        <v>265</v>
      </c>
      <c r="AR172" s="90">
        <v>50</v>
      </c>
      <c r="AS172" s="90">
        <v>55</v>
      </c>
      <c r="AT172" s="90">
        <v>280</v>
      </c>
      <c r="AU172" s="90">
        <v>255</v>
      </c>
      <c r="AV172" s="90">
        <v>60</v>
      </c>
      <c r="AW172" s="90">
        <v>65</v>
      </c>
      <c r="AX172" s="90">
        <v>280</v>
      </c>
      <c r="AY172" s="90">
        <v>255</v>
      </c>
      <c r="AZ172" s="90">
        <v>60</v>
      </c>
      <c r="BA172" s="90">
        <v>65</v>
      </c>
      <c r="BB172" s="90">
        <v>330</v>
      </c>
      <c r="BC172" s="90">
        <v>280</v>
      </c>
      <c r="BD172" s="90">
        <v>70</v>
      </c>
      <c r="BE172" s="90">
        <v>80</v>
      </c>
      <c r="BF172" s="23">
        <v>28.588699999999999</v>
      </c>
      <c r="BG172" s="23">
        <v>76.994410000000002</v>
      </c>
      <c r="BH172" s="31">
        <f t="shared" si="93"/>
        <v>330</v>
      </c>
      <c r="BI172" s="31">
        <f t="shared" si="94"/>
        <v>280</v>
      </c>
      <c r="BJ172" s="37">
        <f t="shared" si="95"/>
        <v>50</v>
      </c>
      <c r="BK172" s="37">
        <f t="shared" si="96"/>
        <v>17.857142857142858</v>
      </c>
      <c r="BL172" s="36">
        <f t="shared" si="97"/>
        <v>70</v>
      </c>
      <c r="BM172" s="36">
        <f t="shared" si="98"/>
        <v>80</v>
      </c>
      <c r="BN172" s="37">
        <f t="shared" si="99"/>
        <v>-10</v>
      </c>
      <c r="BO172" s="37">
        <f t="shared" si="100"/>
        <v>-12.5</v>
      </c>
      <c r="BP172" s="38">
        <f t="shared" si="101"/>
        <v>3390</v>
      </c>
      <c r="BQ172" s="39">
        <f>J172+N172+S172+W172+AA172+AE172+AI172+AM172+AQ172+AU172+Table1[[#This Row],[MS-0225]]+Table1[[#This Row],[MS-0325]]</f>
        <v>3680</v>
      </c>
      <c r="BR172" s="37">
        <f t="shared" si="102"/>
        <v>-290</v>
      </c>
      <c r="BS172" s="37">
        <f t="shared" si="103"/>
        <v>-7.8804347826086962</v>
      </c>
      <c r="BT172" s="36">
        <f t="shared" si="104"/>
        <v>710</v>
      </c>
      <c r="BU172" s="36">
        <f t="shared" si="105"/>
        <v>980</v>
      </c>
      <c r="BV172" s="37">
        <f t="shared" si="106"/>
        <v>-270</v>
      </c>
      <c r="BW172" s="37">
        <f t="shared" si="107"/>
        <v>-27.551020408163261</v>
      </c>
      <c r="BX172">
        <v>5</v>
      </c>
      <c r="BY172" s="83">
        <f t="shared" si="108"/>
        <v>1.5151515151515152E-2</v>
      </c>
      <c r="BZ172">
        <v>35</v>
      </c>
      <c r="CA172" s="83">
        <f t="shared" si="109"/>
        <v>1.0324483775811209E-2</v>
      </c>
      <c r="CB172" s="96">
        <f t="shared" si="110"/>
        <v>0.2412280701754386</v>
      </c>
      <c r="CC172" s="96">
        <f t="shared" si="111"/>
        <v>0.20918939110945087</v>
      </c>
      <c r="CD172" s="97">
        <f t="shared" si="112"/>
        <v>3.203867906598773E-2</v>
      </c>
      <c r="CE172" s="96">
        <f t="shared" si="113"/>
        <v>0.17241379310344829</v>
      </c>
      <c r="CF172" s="96">
        <f t="shared" si="114"/>
        <v>0.16859852476290832</v>
      </c>
      <c r="CG172" s="96">
        <f t="shared" si="115"/>
        <v>3.8152683405399679E-3</v>
      </c>
      <c r="CH172" s="95">
        <f t="shared" si="116"/>
        <v>0.21649583293418909</v>
      </c>
      <c r="CI172" s="95">
        <f t="shared" si="117"/>
        <v>0.22727974539109552</v>
      </c>
      <c r="CJ172" s="98">
        <f t="shared" si="118"/>
        <v>-1.0783912456906436E-2</v>
      </c>
      <c r="CK172" s="95">
        <f t="shared" si="119"/>
        <v>0.1559925299351862</v>
      </c>
      <c r="CL172" s="95">
        <f t="shared" si="120"/>
        <v>0.17966816390136583</v>
      </c>
      <c r="CM172" s="98">
        <f t="shared" si="121"/>
        <v>-2.3675633966179638E-2</v>
      </c>
      <c r="CN172" s="94">
        <f t="shared" si="122"/>
        <v>1.5154708305393236</v>
      </c>
      <c r="CO172" s="94">
        <f t="shared" si="123"/>
        <v>1.0919477095463033</v>
      </c>
    </row>
    <row r="173" spans="1:94" ht="36.5" x14ac:dyDescent="0.35">
      <c r="A173" s="102">
        <v>112443</v>
      </c>
      <c r="B173" s="3" t="s">
        <v>72</v>
      </c>
      <c r="C173" s="43" t="s">
        <v>147</v>
      </c>
      <c r="D173" s="12" t="s">
        <v>148</v>
      </c>
      <c r="E173" s="4" t="s">
        <v>103</v>
      </c>
      <c r="F173" s="4" t="s">
        <v>149</v>
      </c>
      <c r="G173" s="12" t="s">
        <v>149</v>
      </c>
      <c r="H173" s="51" t="s">
        <v>105</v>
      </c>
      <c r="I173" s="23" t="s">
        <v>78</v>
      </c>
      <c r="J173" s="90">
        <v>322.00000499999999</v>
      </c>
      <c r="K173" s="90">
        <v>314</v>
      </c>
      <c r="L173" s="90">
        <v>80</v>
      </c>
      <c r="M173" s="90">
        <v>92</v>
      </c>
      <c r="N173" s="18">
        <v>364.50000599999998</v>
      </c>
      <c r="O173" s="18">
        <v>331</v>
      </c>
      <c r="P173" s="18">
        <v>121.5</v>
      </c>
      <c r="Q173" s="18">
        <v>103</v>
      </c>
      <c r="R173" s="90">
        <v>297</v>
      </c>
      <c r="S173" s="90">
        <v>265.00000199999999</v>
      </c>
      <c r="T173" s="90">
        <v>95</v>
      </c>
      <c r="U173" s="90">
        <v>107</v>
      </c>
      <c r="V173" s="90">
        <v>348</v>
      </c>
      <c r="W173" s="90">
        <v>294.000001</v>
      </c>
      <c r="X173" s="90">
        <v>100</v>
      </c>
      <c r="Y173" s="90">
        <v>114</v>
      </c>
      <c r="Z173" s="90">
        <v>371</v>
      </c>
      <c r="AA173" s="90">
        <v>290</v>
      </c>
      <c r="AB173" s="90">
        <v>105</v>
      </c>
      <c r="AC173" s="90">
        <v>102</v>
      </c>
      <c r="AD173" s="90">
        <v>367</v>
      </c>
      <c r="AE173" s="90">
        <v>302</v>
      </c>
      <c r="AF173" s="90">
        <v>123</v>
      </c>
      <c r="AG173" s="90">
        <v>104</v>
      </c>
      <c r="AH173" s="90">
        <v>344</v>
      </c>
      <c r="AI173" s="90">
        <v>304</v>
      </c>
      <c r="AJ173" s="90">
        <v>104</v>
      </c>
      <c r="AK173" s="90">
        <v>88</v>
      </c>
      <c r="AL173" s="90">
        <v>336</v>
      </c>
      <c r="AM173" s="90">
        <v>301</v>
      </c>
      <c r="AN173" s="90">
        <v>112</v>
      </c>
      <c r="AO173" s="90">
        <v>91</v>
      </c>
      <c r="AP173" s="90">
        <v>314</v>
      </c>
      <c r="AQ173" s="90">
        <v>312</v>
      </c>
      <c r="AR173" s="90">
        <v>92</v>
      </c>
      <c r="AS173" s="90">
        <v>94</v>
      </c>
      <c r="AT173" s="90">
        <v>323</v>
      </c>
      <c r="AU173" s="90">
        <v>341</v>
      </c>
      <c r="AV173" s="90">
        <v>97</v>
      </c>
      <c r="AW173" s="90">
        <v>93</v>
      </c>
      <c r="AX173" s="90">
        <v>320</v>
      </c>
      <c r="AY173" s="90">
        <v>295</v>
      </c>
      <c r="AZ173" s="90">
        <v>100</v>
      </c>
      <c r="BA173" s="90">
        <v>97</v>
      </c>
      <c r="BB173" s="90">
        <v>328</v>
      </c>
      <c r="BC173" s="90">
        <v>322</v>
      </c>
      <c r="BD173" s="90">
        <v>134</v>
      </c>
      <c r="BE173" s="90">
        <v>126</v>
      </c>
      <c r="BF173" s="23">
        <v>28.614650000000001</v>
      </c>
      <c r="BG173" s="23">
        <v>77.240610000000004</v>
      </c>
      <c r="BH173" s="31">
        <f t="shared" si="93"/>
        <v>328</v>
      </c>
      <c r="BI173" s="31">
        <f t="shared" si="94"/>
        <v>322</v>
      </c>
      <c r="BJ173" s="37">
        <f t="shared" si="95"/>
        <v>6</v>
      </c>
      <c r="BK173" s="37">
        <f t="shared" si="96"/>
        <v>1.8633540372670807</v>
      </c>
      <c r="BL173" s="36">
        <f t="shared" si="97"/>
        <v>134</v>
      </c>
      <c r="BM173" s="36">
        <f t="shared" si="98"/>
        <v>126</v>
      </c>
      <c r="BN173" s="37">
        <f t="shared" si="99"/>
        <v>8</v>
      </c>
      <c r="BO173" s="37">
        <f t="shared" si="100"/>
        <v>6.3492063492063489</v>
      </c>
      <c r="BP173" s="38">
        <f t="shared" si="101"/>
        <v>3993</v>
      </c>
      <c r="BQ173" s="39">
        <f>J173+N173+S173+W173+AA173+AE173+AI173+AM173+AQ173+AU173+Table1[[#This Row],[MS-0225]]+Table1[[#This Row],[MS-0325]]</f>
        <v>3712.5000140000002</v>
      </c>
      <c r="BR173" s="37">
        <f t="shared" si="102"/>
        <v>280.49998599999981</v>
      </c>
      <c r="BS173" s="37">
        <f t="shared" si="103"/>
        <v>7.5555551499588436</v>
      </c>
      <c r="BT173" s="36">
        <f t="shared" si="104"/>
        <v>1257</v>
      </c>
      <c r="BU173" s="36">
        <f t="shared" si="105"/>
        <v>1217.5</v>
      </c>
      <c r="BV173" s="37">
        <f t="shared" si="106"/>
        <v>39.5</v>
      </c>
      <c r="BW173" s="37">
        <f t="shared" si="107"/>
        <v>3.2443531827515399</v>
      </c>
      <c r="BX173">
        <v>32</v>
      </c>
      <c r="BY173" s="83">
        <f t="shared" si="108"/>
        <v>9.7560975609756101E-2</v>
      </c>
      <c r="BZ173">
        <v>209</v>
      </c>
      <c r="CA173" s="83">
        <f t="shared" si="109"/>
        <v>5.2341597796143252E-2</v>
      </c>
      <c r="CB173" s="96">
        <f t="shared" si="110"/>
        <v>0.53858784893267653</v>
      </c>
      <c r="CC173" s="96">
        <f t="shared" si="111"/>
        <v>0.56491228070175437</v>
      </c>
      <c r="CD173" s="97">
        <f t="shared" si="112"/>
        <v>-2.6324431769077838E-2</v>
      </c>
      <c r="CE173" s="96">
        <f t="shared" si="113"/>
        <v>0.68717948717948718</v>
      </c>
      <c r="CF173" s="96">
        <f t="shared" si="114"/>
        <v>0.71590909090909094</v>
      </c>
      <c r="CG173" s="96">
        <f t="shared" si="115"/>
        <v>-2.8729603729603759E-2</v>
      </c>
      <c r="CH173" s="95">
        <f t="shared" si="116"/>
        <v>0.55737018425460638</v>
      </c>
      <c r="CI173" s="95">
        <f t="shared" si="117"/>
        <v>0.5508160246718955</v>
      </c>
      <c r="CJ173" s="98">
        <f t="shared" si="118"/>
        <v>6.5541595827108834E-3</v>
      </c>
      <c r="CK173" s="95">
        <f t="shared" si="119"/>
        <v>0.65095805282237185</v>
      </c>
      <c r="CL173" s="95">
        <f t="shared" si="120"/>
        <v>0.62371926229508201</v>
      </c>
      <c r="CM173" s="98">
        <f t="shared" si="121"/>
        <v>2.7238790527289836E-2</v>
      </c>
      <c r="CN173" s="94">
        <f t="shared" si="122"/>
        <v>1.1147403685092128</v>
      </c>
      <c r="CO173" s="94">
        <f t="shared" si="123"/>
        <v>1.3019161056447437</v>
      </c>
    </row>
    <row r="174" spans="1:94" ht="24.5" x14ac:dyDescent="0.35">
      <c r="A174" s="102">
        <v>112403</v>
      </c>
      <c r="B174" s="3" t="s">
        <v>72</v>
      </c>
      <c r="C174" s="41" t="s">
        <v>101</v>
      </c>
      <c r="D174" s="12" t="s">
        <v>102</v>
      </c>
      <c r="E174" s="4" t="s">
        <v>103</v>
      </c>
      <c r="F174" s="4" t="s">
        <v>104</v>
      </c>
      <c r="G174" s="12" t="s">
        <v>104</v>
      </c>
      <c r="H174" s="51" t="s">
        <v>105</v>
      </c>
      <c r="I174" s="23" t="s">
        <v>78</v>
      </c>
      <c r="J174" s="90">
        <v>301.500001</v>
      </c>
      <c r="K174" s="90">
        <v>321</v>
      </c>
      <c r="L174" s="90">
        <v>90.5</v>
      </c>
      <c r="M174" s="90">
        <v>81</v>
      </c>
      <c r="N174" s="18">
        <v>345.000001</v>
      </c>
      <c r="O174" s="18">
        <v>337</v>
      </c>
      <c r="P174" s="18">
        <v>117</v>
      </c>
      <c r="Q174" s="18">
        <v>81</v>
      </c>
      <c r="R174" s="90">
        <v>320.5</v>
      </c>
      <c r="S174" s="90">
        <v>313</v>
      </c>
      <c r="T174" s="90">
        <v>71.5</v>
      </c>
      <c r="U174" s="90">
        <v>101</v>
      </c>
      <c r="V174" s="90">
        <v>321.5</v>
      </c>
      <c r="W174" s="90">
        <v>324.5</v>
      </c>
      <c r="X174" s="90">
        <v>70.5</v>
      </c>
      <c r="Y174" s="90">
        <v>95.5</v>
      </c>
      <c r="Z174" s="90">
        <v>343</v>
      </c>
      <c r="AA174" s="90">
        <v>330</v>
      </c>
      <c r="AB174" s="90">
        <v>77</v>
      </c>
      <c r="AC174" s="90">
        <v>98</v>
      </c>
      <c r="AD174" s="90">
        <v>339.5</v>
      </c>
      <c r="AE174" s="90">
        <v>339</v>
      </c>
      <c r="AF174" s="90">
        <v>82.5</v>
      </c>
      <c r="AG174" s="90">
        <v>99</v>
      </c>
      <c r="AH174" s="90">
        <v>312</v>
      </c>
      <c r="AI174" s="90">
        <v>326.5</v>
      </c>
      <c r="AJ174" s="90">
        <v>72</v>
      </c>
      <c r="AK174" s="90">
        <v>105.5</v>
      </c>
      <c r="AL174" s="90">
        <v>311</v>
      </c>
      <c r="AM174" s="90">
        <v>321.5</v>
      </c>
      <c r="AN174" s="90">
        <v>67</v>
      </c>
      <c r="AO174" s="90">
        <v>66.5</v>
      </c>
      <c r="AP174" s="90">
        <v>272.80799999999999</v>
      </c>
      <c r="AQ174" s="90">
        <v>304.5</v>
      </c>
      <c r="AR174" s="90">
        <v>54</v>
      </c>
      <c r="AS174" s="90">
        <v>71.5</v>
      </c>
      <c r="AT174" s="90">
        <v>295.5</v>
      </c>
      <c r="AU174" s="90">
        <v>306</v>
      </c>
      <c r="AV174" s="90">
        <v>76.5</v>
      </c>
      <c r="AW174" s="90">
        <v>90</v>
      </c>
      <c r="AX174" s="90">
        <v>301</v>
      </c>
      <c r="AY174" s="90">
        <v>299</v>
      </c>
      <c r="AZ174" s="90">
        <v>79</v>
      </c>
      <c r="BA174" s="90">
        <v>77</v>
      </c>
      <c r="BB174" s="90">
        <v>327</v>
      </c>
      <c r="BC174" s="90">
        <v>306.5</v>
      </c>
      <c r="BD174" s="90">
        <v>75</v>
      </c>
      <c r="BE174" s="90">
        <v>79.5</v>
      </c>
      <c r="BF174" s="23">
        <v>28.5962</v>
      </c>
      <c r="BG174" s="23">
        <v>77.204920000000001</v>
      </c>
      <c r="BH174" s="31">
        <f t="shared" si="93"/>
        <v>327</v>
      </c>
      <c r="BI174" s="31">
        <f t="shared" si="94"/>
        <v>306.5</v>
      </c>
      <c r="BJ174" s="37">
        <f t="shared" si="95"/>
        <v>20.5</v>
      </c>
      <c r="BK174" s="37">
        <f t="shared" si="96"/>
        <v>6.6884176182707993</v>
      </c>
      <c r="BL174" s="36">
        <f t="shared" si="97"/>
        <v>75</v>
      </c>
      <c r="BM174" s="36">
        <f t="shared" si="98"/>
        <v>79.5</v>
      </c>
      <c r="BN174" s="37">
        <f t="shared" si="99"/>
        <v>-4.5</v>
      </c>
      <c r="BO174" s="37">
        <f t="shared" si="100"/>
        <v>-5.6603773584905666</v>
      </c>
      <c r="BP174" s="38">
        <f t="shared" si="101"/>
        <v>3801.808</v>
      </c>
      <c r="BQ174" s="39">
        <f>J174+N174+S174+W174+AA174+AE174+AI174+AM174+AQ174+AU174+Table1[[#This Row],[MS-0225]]+Table1[[#This Row],[MS-0325]]</f>
        <v>3817.0000019999998</v>
      </c>
      <c r="BR174" s="37">
        <f t="shared" si="102"/>
        <v>-15.192001999999775</v>
      </c>
      <c r="BS174" s="37">
        <f t="shared" si="103"/>
        <v>-0.39800895970761324</v>
      </c>
      <c r="BT174" s="36">
        <f t="shared" si="104"/>
        <v>887</v>
      </c>
      <c r="BU174" s="36">
        <f t="shared" si="105"/>
        <v>1091</v>
      </c>
      <c r="BV174" s="37">
        <f t="shared" si="106"/>
        <v>-204</v>
      </c>
      <c r="BW174" s="37">
        <f t="shared" si="107"/>
        <v>-18.698441796516956</v>
      </c>
      <c r="BX174">
        <v>44.5</v>
      </c>
      <c r="BY174" s="83">
        <f t="shared" si="108"/>
        <v>0.13608562691131498</v>
      </c>
      <c r="BZ174">
        <v>267</v>
      </c>
      <c r="CA174" s="83">
        <f t="shared" si="109"/>
        <v>7.022974332212463E-2</v>
      </c>
      <c r="CB174" s="96">
        <f t="shared" si="110"/>
        <v>0.24033131501821053</v>
      </c>
      <c r="CC174" s="96">
        <f t="shared" si="111"/>
        <v>0.22956359698069564</v>
      </c>
      <c r="CD174" s="97">
        <f t="shared" si="112"/>
        <v>1.076771803751489E-2</v>
      </c>
      <c r="CE174" s="96">
        <f t="shared" si="113"/>
        <v>0.16333606286042829</v>
      </c>
      <c r="CF174" s="96">
        <f t="shared" si="114"/>
        <v>0.15829180247572364</v>
      </c>
      <c r="CG174" s="96">
        <f t="shared" si="115"/>
        <v>5.0442603847046519E-3</v>
      </c>
      <c r="CH174" s="95">
        <f t="shared" si="116"/>
        <v>0.22638007285247685</v>
      </c>
      <c r="CI174" s="95">
        <f t="shared" si="117"/>
        <v>0.23489309819813639</v>
      </c>
      <c r="CJ174" s="98">
        <f t="shared" si="118"/>
        <v>-8.5130253456595362E-3</v>
      </c>
      <c r="CK174" s="95">
        <f t="shared" si="119"/>
        <v>0.15790458571081209</v>
      </c>
      <c r="CL174" s="95">
        <f t="shared" si="120"/>
        <v>0.177330445754355</v>
      </c>
      <c r="CM174" s="98">
        <f t="shared" si="121"/>
        <v>-1.9425860043542909E-2</v>
      </c>
      <c r="CN174" s="94">
        <f t="shared" si="122"/>
        <v>1.3582804371148611</v>
      </c>
      <c r="CO174" s="94">
        <f t="shared" si="123"/>
        <v>0.94742751426487248</v>
      </c>
    </row>
    <row r="175" spans="1:94" ht="24.5" x14ac:dyDescent="0.35">
      <c r="A175" s="104">
        <v>186865</v>
      </c>
      <c r="B175" s="5" t="s">
        <v>581</v>
      </c>
      <c r="C175" s="46" t="s">
        <v>928</v>
      </c>
      <c r="D175" s="13" t="s">
        <v>478</v>
      </c>
      <c r="E175" s="6" t="s">
        <v>228</v>
      </c>
      <c r="F175" s="6" t="s">
        <v>462</v>
      </c>
      <c r="G175" s="12" t="s">
        <v>462</v>
      </c>
      <c r="H175" s="51" t="s">
        <v>230</v>
      </c>
      <c r="I175" s="24" t="s">
        <v>78</v>
      </c>
      <c r="J175" s="19">
        <v>306</v>
      </c>
      <c r="K175" s="19">
        <v>337.5</v>
      </c>
      <c r="L175" s="19">
        <v>36</v>
      </c>
      <c r="M175" s="19">
        <v>40.5</v>
      </c>
      <c r="N175" s="18">
        <v>342</v>
      </c>
      <c r="O175" s="18">
        <v>342</v>
      </c>
      <c r="P175" s="18">
        <v>36</v>
      </c>
      <c r="Q175" s="18">
        <v>36</v>
      </c>
      <c r="R175" s="19">
        <v>343.5</v>
      </c>
      <c r="S175" s="19">
        <v>279</v>
      </c>
      <c r="T175" s="19">
        <v>36.5</v>
      </c>
      <c r="U175" s="19">
        <v>27</v>
      </c>
      <c r="V175" s="19">
        <v>344</v>
      </c>
      <c r="W175" s="19">
        <v>328.5</v>
      </c>
      <c r="X175" s="19">
        <v>36</v>
      </c>
      <c r="Y175" s="19">
        <v>31.5</v>
      </c>
      <c r="Z175" s="19">
        <v>342.5</v>
      </c>
      <c r="AA175" s="19">
        <v>346.5</v>
      </c>
      <c r="AB175" s="19">
        <v>35.5</v>
      </c>
      <c r="AC175" s="19">
        <v>31.5</v>
      </c>
      <c r="AD175" s="19">
        <v>334</v>
      </c>
      <c r="AE175" s="19">
        <v>324</v>
      </c>
      <c r="AF175" s="19">
        <v>32</v>
      </c>
      <c r="AG175" s="19">
        <v>36</v>
      </c>
      <c r="AH175" s="19">
        <v>368</v>
      </c>
      <c r="AI175" s="19">
        <v>348.5</v>
      </c>
      <c r="AJ175" s="19">
        <v>32</v>
      </c>
      <c r="AK175" s="19">
        <v>31.5</v>
      </c>
      <c r="AL175" s="19">
        <v>349.5</v>
      </c>
      <c r="AM175" s="19">
        <v>330</v>
      </c>
      <c r="AN175" s="19">
        <v>28.5</v>
      </c>
      <c r="AO175" s="19">
        <v>32</v>
      </c>
      <c r="AP175" s="19">
        <v>352.5</v>
      </c>
      <c r="AQ175" s="19">
        <v>333</v>
      </c>
      <c r="AR175" s="19">
        <v>27.5</v>
      </c>
      <c r="AS175" s="19">
        <v>27</v>
      </c>
      <c r="AT175" s="19">
        <v>329</v>
      </c>
      <c r="AU175" s="19">
        <v>310.5</v>
      </c>
      <c r="AV175" s="19">
        <v>29</v>
      </c>
      <c r="AW175" s="19">
        <v>31.5</v>
      </c>
      <c r="AX175" s="19">
        <v>317</v>
      </c>
      <c r="AY175" s="19">
        <v>310.5</v>
      </c>
      <c r="AZ175" s="19">
        <v>35</v>
      </c>
      <c r="BA175" s="19">
        <v>31.5</v>
      </c>
      <c r="BB175" s="19">
        <v>325</v>
      </c>
      <c r="BC175" s="19">
        <v>330.5</v>
      </c>
      <c r="BD175" s="19">
        <v>35</v>
      </c>
      <c r="BE175" s="19">
        <v>31.5</v>
      </c>
      <c r="BF175" s="23">
        <v>28.696400000000001</v>
      </c>
      <c r="BG175" s="23">
        <v>77.291399999999996</v>
      </c>
      <c r="BH175" s="31">
        <f t="shared" si="93"/>
        <v>325</v>
      </c>
      <c r="BI175" s="31">
        <f t="shared" si="94"/>
        <v>330.5</v>
      </c>
      <c r="BJ175" s="37">
        <f t="shared" si="95"/>
        <v>-5.5</v>
      </c>
      <c r="BK175" s="37">
        <f t="shared" si="96"/>
        <v>-1.6641452344931922</v>
      </c>
      <c r="BL175" s="36">
        <f t="shared" si="97"/>
        <v>35</v>
      </c>
      <c r="BM175" s="36">
        <f t="shared" si="98"/>
        <v>31.5</v>
      </c>
      <c r="BN175" s="37">
        <f t="shared" si="99"/>
        <v>3.5</v>
      </c>
      <c r="BO175" s="37">
        <f t="shared" si="100"/>
        <v>11.111111111111111</v>
      </c>
      <c r="BP175" s="38">
        <f t="shared" si="101"/>
        <v>4084.5</v>
      </c>
      <c r="BQ175" s="39">
        <f>J175+N175+S175+W175+AA175+AE175+AI175+AM175+AQ175+AU175+Table1[[#This Row],[MS-0225]]+Table1[[#This Row],[MS-0325]]</f>
        <v>3889</v>
      </c>
      <c r="BR175" s="37">
        <f t="shared" si="102"/>
        <v>195.5</v>
      </c>
      <c r="BS175" s="37">
        <f t="shared" si="103"/>
        <v>5.0269992285934686</v>
      </c>
      <c r="BT175" s="36">
        <f t="shared" si="104"/>
        <v>403.5</v>
      </c>
      <c r="BU175" s="36">
        <f t="shared" si="105"/>
        <v>383</v>
      </c>
      <c r="BV175" s="37">
        <f t="shared" si="106"/>
        <v>20.5</v>
      </c>
      <c r="BW175" s="37">
        <f t="shared" si="107"/>
        <v>5.3524804177545686</v>
      </c>
      <c r="BX175">
        <v>0</v>
      </c>
      <c r="BY175" s="83">
        <f t="shared" si="108"/>
        <v>0</v>
      </c>
      <c r="BZ175">
        <v>0</v>
      </c>
      <c r="CA175" s="83">
        <f t="shared" si="109"/>
        <v>0</v>
      </c>
      <c r="CB175" s="96">
        <f t="shared" si="110"/>
        <v>0.16813243662700467</v>
      </c>
      <c r="CC175" s="96">
        <f t="shared" si="111"/>
        <v>0.1675114039533705</v>
      </c>
      <c r="CD175" s="97">
        <f t="shared" si="112"/>
        <v>6.2103267363416981E-4</v>
      </c>
      <c r="CE175" s="96">
        <f t="shared" si="113"/>
        <v>0.1417004048582996</v>
      </c>
      <c r="CF175" s="96">
        <f t="shared" si="114"/>
        <v>0.11931818181818182</v>
      </c>
      <c r="CG175" s="96">
        <f t="shared" si="115"/>
        <v>2.2382223040117777E-2</v>
      </c>
      <c r="CH175" s="95">
        <f t="shared" si="116"/>
        <v>0.1712040238918579</v>
      </c>
      <c r="CI175" s="95">
        <f t="shared" si="117"/>
        <v>0.16690987124463519</v>
      </c>
      <c r="CJ175" s="98">
        <f t="shared" si="118"/>
        <v>4.2941526472227154E-3</v>
      </c>
      <c r="CK175" s="95">
        <f t="shared" si="119"/>
        <v>0.13001449975833737</v>
      </c>
      <c r="CL175" s="95">
        <f t="shared" si="120"/>
        <v>0.10591814159292036</v>
      </c>
      <c r="CM175" s="98">
        <f t="shared" si="121"/>
        <v>2.4096358165417012E-2</v>
      </c>
      <c r="CN175" s="94">
        <f t="shared" si="122"/>
        <v>0.85602011945928957</v>
      </c>
      <c r="CO175" s="94">
        <f t="shared" si="123"/>
        <v>0.65007249879168683</v>
      </c>
    </row>
    <row r="176" spans="1:94" x14ac:dyDescent="0.35">
      <c r="A176" s="102">
        <v>112408</v>
      </c>
      <c r="B176" s="3" t="s">
        <v>72</v>
      </c>
      <c r="C176" s="41" t="s">
        <v>132</v>
      </c>
      <c r="D176" s="12" t="s">
        <v>133</v>
      </c>
      <c r="E176" s="4" t="s">
        <v>81</v>
      </c>
      <c r="F176" s="4" t="s">
        <v>134</v>
      </c>
      <c r="G176" s="12" t="s">
        <v>134</v>
      </c>
      <c r="H176" s="51" t="s">
        <v>135</v>
      </c>
      <c r="I176" s="23" t="s">
        <v>83</v>
      </c>
      <c r="J176" s="90">
        <v>234.00000199999999</v>
      </c>
      <c r="K176" s="90">
        <v>261</v>
      </c>
      <c r="L176" s="90">
        <v>72</v>
      </c>
      <c r="M176" s="90">
        <v>63</v>
      </c>
      <c r="N176" s="18">
        <v>247.500001</v>
      </c>
      <c r="O176" s="18">
        <v>256.5</v>
      </c>
      <c r="P176" s="18">
        <v>76.5</v>
      </c>
      <c r="Q176" s="18">
        <v>67.5</v>
      </c>
      <c r="R176" s="90">
        <v>243</v>
      </c>
      <c r="S176" s="90">
        <v>238.500001</v>
      </c>
      <c r="T176" s="90">
        <v>63</v>
      </c>
      <c r="U176" s="90">
        <v>85.5</v>
      </c>
      <c r="V176" s="90">
        <v>243</v>
      </c>
      <c r="W176" s="90">
        <v>274.500001</v>
      </c>
      <c r="X176" s="90">
        <v>63</v>
      </c>
      <c r="Y176" s="90">
        <v>85.5</v>
      </c>
      <c r="Z176" s="90">
        <v>265.5</v>
      </c>
      <c r="AA176" s="90">
        <v>234.000001</v>
      </c>
      <c r="AB176" s="90">
        <v>76.5</v>
      </c>
      <c r="AC176" s="90">
        <v>72</v>
      </c>
      <c r="AD176" s="90">
        <v>274.5</v>
      </c>
      <c r="AE176" s="90">
        <v>225.00000199999999</v>
      </c>
      <c r="AF176" s="90">
        <v>67.5</v>
      </c>
      <c r="AG176" s="90">
        <v>63</v>
      </c>
      <c r="AH176" s="90">
        <v>264</v>
      </c>
      <c r="AI176" s="90">
        <v>247.5</v>
      </c>
      <c r="AJ176" s="90">
        <v>72</v>
      </c>
      <c r="AK176" s="90">
        <v>76.5</v>
      </c>
      <c r="AL176" s="90">
        <v>259.5</v>
      </c>
      <c r="AM176" s="90">
        <v>229.50000199999999</v>
      </c>
      <c r="AN176" s="90">
        <v>76.5</v>
      </c>
      <c r="AO176" s="90">
        <v>58.5</v>
      </c>
      <c r="AP176" s="90">
        <v>294</v>
      </c>
      <c r="AQ176" s="90">
        <v>229.5</v>
      </c>
      <c r="AR176" s="90">
        <v>54</v>
      </c>
      <c r="AS176" s="90">
        <v>58.5</v>
      </c>
      <c r="AT176" s="90">
        <v>256.5</v>
      </c>
      <c r="AU176" s="90">
        <v>229.5</v>
      </c>
      <c r="AV176" s="90">
        <v>67.5</v>
      </c>
      <c r="AW176" s="90">
        <v>58.5</v>
      </c>
      <c r="AX176" s="90">
        <v>274.5</v>
      </c>
      <c r="AY176" s="90">
        <v>208</v>
      </c>
      <c r="AZ176" s="90">
        <v>67.5</v>
      </c>
      <c r="BA176" s="90">
        <v>58</v>
      </c>
      <c r="BB176" s="90">
        <v>324.5</v>
      </c>
      <c r="BC176" s="90">
        <v>239</v>
      </c>
      <c r="BD176" s="90">
        <v>85.5</v>
      </c>
      <c r="BE176" s="90">
        <v>63</v>
      </c>
      <c r="BF176" s="23">
        <v>28.556069999999998</v>
      </c>
      <c r="BG176" s="23">
        <v>77.056640000000002</v>
      </c>
      <c r="BH176" s="31">
        <f t="shared" si="93"/>
        <v>324.5</v>
      </c>
      <c r="BI176" s="31">
        <f t="shared" si="94"/>
        <v>239</v>
      </c>
      <c r="BJ176" s="37">
        <f t="shared" si="95"/>
        <v>85.5</v>
      </c>
      <c r="BK176" s="37">
        <f t="shared" si="96"/>
        <v>35.77405857740586</v>
      </c>
      <c r="BL176" s="36">
        <f t="shared" si="97"/>
        <v>85.5</v>
      </c>
      <c r="BM176" s="36">
        <f t="shared" si="98"/>
        <v>63</v>
      </c>
      <c r="BN176" s="37">
        <f t="shared" si="99"/>
        <v>22.5</v>
      </c>
      <c r="BO176" s="37">
        <f t="shared" si="100"/>
        <v>35.714285714285715</v>
      </c>
      <c r="BP176" s="38">
        <f t="shared" si="101"/>
        <v>3216.5</v>
      </c>
      <c r="BQ176" s="39">
        <f>J176+N176+S176+W176+AA176+AE176+AI176+AM176+AQ176+AU176+Table1[[#This Row],[MS-0225]]+Table1[[#This Row],[MS-0325]]</f>
        <v>2836.5000099999997</v>
      </c>
      <c r="BR176" s="37">
        <f t="shared" si="102"/>
        <v>379.99999000000025</v>
      </c>
      <c r="BS176" s="37">
        <f t="shared" si="103"/>
        <v>13.396791421128896</v>
      </c>
      <c r="BT176" s="36">
        <f t="shared" si="104"/>
        <v>823.5</v>
      </c>
      <c r="BU176" s="36">
        <f t="shared" si="105"/>
        <v>827.5</v>
      </c>
      <c r="BV176" s="37">
        <f t="shared" si="106"/>
        <v>-4</v>
      </c>
      <c r="BW176" s="37">
        <f t="shared" si="107"/>
        <v>-0.4833836858006042</v>
      </c>
      <c r="BX176">
        <v>27</v>
      </c>
      <c r="BY176" s="83">
        <f t="shared" si="108"/>
        <v>8.3204930662557783E-2</v>
      </c>
      <c r="BZ176">
        <v>126</v>
      </c>
      <c r="CA176" s="83">
        <f t="shared" si="109"/>
        <v>3.9173014145810661E-2</v>
      </c>
      <c r="CB176" s="96">
        <f t="shared" si="110"/>
        <v>0.45480028030833919</v>
      </c>
      <c r="CC176" s="96">
        <f t="shared" si="111"/>
        <v>0.45741626794258372</v>
      </c>
      <c r="CD176" s="97">
        <f t="shared" si="112"/>
        <v>-2.6159876342445321E-3</v>
      </c>
      <c r="CE176" s="96">
        <f t="shared" si="113"/>
        <v>0.37748344370860926</v>
      </c>
      <c r="CF176" s="96">
        <f t="shared" si="114"/>
        <v>0.42424242424242425</v>
      </c>
      <c r="CG176" s="96">
        <f t="shared" si="115"/>
        <v>-4.6758980533814998E-2</v>
      </c>
      <c r="CH176" s="95">
        <f t="shared" si="116"/>
        <v>0.4187605780497331</v>
      </c>
      <c r="CI176" s="95">
        <f t="shared" si="117"/>
        <v>0.44934653552578763</v>
      </c>
      <c r="CJ176" s="98">
        <f t="shared" si="118"/>
        <v>-3.0585957476054526E-2</v>
      </c>
      <c r="CK176" s="95">
        <f t="shared" si="119"/>
        <v>0.37482931269913516</v>
      </c>
      <c r="CL176" s="95">
        <f t="shared" si="120"/>
        <v>0.45058535257282872</v>
      </c>
      <c r="CM176" s="98">
        <f t="shared" si="121"/>
        <v>-7.5756039873693559E-2</v>
      </c>
      <c r="CN176" s="94">
        <f t="shared" si="122"/>
        <v>0.8375211560994662</v>
      </c>
      <c r="CO176" s="94">
        <f t="shared" si="123"/>
        <v>0.74965862539827033</v>
      </c>
    </row>
    <row r="177" spans="1:94" x14ac:dyDescent="0.35">
      <c r="A177" s="103">
        <v>41056533</v>
      </c>
      <c r="B177" s="9" t="s">
        <v>380</v>
      </c>
      <c r="C177" s="47" t="s">
        <v>417</v>
      </c>
      <c r="D177" s="14" t="s">
        <v>418</v>
      </c>
      <c r="E177" s="10" t="s">
        <v>103</v>
      </c>
      <c r="F177" s="10" t="s">
        <v>211</v>
      </c>
      <c r="G177" s="12" t="s">
        <v>211</v>
      </c>
      <c r="H177" s="51" t="s">
        <v>135</v>
      </c>
      <c r="I177" s="25" t="s">
        <v>83</v>
      </c>
      <c r="J177" s="20">
        <v>243</v>
      </c>
      <c r="K177" s="20">
        <v>213</v>
      </c>
      <c r="L177" s="20">
        <v>203</v>
      </c>
      <c r="M177" s="20">
        <v>201</v>
      </c>
      <c r="N177" s="18">
        <v>299</v>
      </c>
      <c r="O177" s="18">
        <v>273</v>
      </c>
      <c r="P177" s="18">
        <v>229</v>
      </c>
      <c r="Q177" s="18">
        <v>189</v>
      </c>
      <c r="R177" s="20">
        <v>278</v>
      </c>
      <c r="S177" s="20">
        <v>279</v>
      </c>
      <c r="T177" s="20">
        <v>179</v>
      </c>
      <c r="U177" s="20">
        <v>244</v>
      </c>
      <c r="V177" s="20">
        <v>307</v>
      </c>
      <c r="W177" s="20">
        <v>289</v>
      </c>
      <c r="X177" s="20">
        <v>197</v>
      </c>
      <c r="Y177" s="20">
        <v>241</v>
      </c>
      <c r="Z177" s="20">
        <v>296</v>
      </c>
      <c r="AA177" s="20">
        <v>275</v>
      </c>
      <c r="AB177" s="20">
        <v>188</v>
      </c>
      <c r="AC177" s="20">
        <v>229</v>
      </c>
      <c r="AD177" s="20">
        <v>303</v>
      </c>
      <c r="AE177" s="20">
        <v>268</v>
      </c>
      <c r="AF177" s="20">
        <v>182</v>
      </c>
      <c r="AG177" s="20">
        <v>216</v>
      </c>
      <c r="AH177" s="20">
        <v>311.5</v>
      </c>
      <c r="AI177" s="20">
        <v>271</v>
      </c>
      <c r="AJ177" s="20">
        <v>196.5</v>
      </c>
      <c r="AK177" s="20">
        <v>244</v>
      </c>
      <c r="AL177" s="20">
        <v>319</v>
      </c>
      <c r="AM177" s="20">
        <v>270</v>
      </c>
      <c r="AN177" s="20">
        <v>168</v>
      </c>
      <c r="AO177" s="20">
        <v>188</v>
      </c>
      <c r="AP177" s="20">
        <v>299</v>
      </c>
      <c r="AQ177" s="20">
        <v>245</v>
      </c>
      <c r="AR177" s="20">
        <v>188</v>
      </c>
      <c r="AS177" s="20">
        <v>195</v>
      </c>
      <c r="AT177" s="20">
        <v>293</v>
      </c>
      <c r="AU177" s="20">
        <v>240</v>
      </c>
      <c r="AV177" s="20">
        <v>171</v>
      </c>
      <c r="AW177" s="20">
        <v>178</v>
      </c>
      <c r="AX177" s="20">
        <v>300</v>
      </c>
      <c r="AY177" s="20">
        <v>234</v>
      </c>
      <c r="AZ177" s="20">
        <v>182</v>
      </c>
      <c r="BA177" s="20">
        <v>184</v>
      </c>
      <c r="BB177" s="20">
        <v>323.5</v>
      </c>
      <c r="BC177" s="20">
        <v>276.5</v>
      </c>
      <c r="BD177" s="20">
        <v>198.5</v>
      </c>
      <c r="BE177" s="20">
        <v>196.5</v>
      </c>
      <c r="BF177" s="23">
        <v>28.544867</v>
      </c>
      <c r="BG177" s="23">
        <v>77.121420000000001</v>
      </c>
      <c r="BH177" s="31">
        <f t="shared" si="93"/>
        <v>323.5</v>
      </c>
      <c r="BI177" s="31">
        <f t="shared" si="94"/>
        <v>276.5</v>
      </c>
      <c r="BJ177" s="37">
        <f t="shared" si="95"/>
        <v>47</v>
      </c>
      <c r="BK177" s="37">
        <f t="shared" si="96"/>
        <v>16.998191681735985</v>
      </c>
      <c r="BL177" s="36">
        <f t="shared" si="97"/>
        <v>198.5</v>
      </c>
      <c r="BM177" s="36">
        <f t="shared" si="98"/>
        <v>196.5</v>
      </c>
      <c r="BN177" s="37">
        <f t="shared" si="99"/>
        <v>2</v>
      </c>
      <c r="BO177" s="37">
        <f t="shared" si="100"/>
        <v>1.0178117048346056</v>
      </c>
      <c r="BP177" s="38">
        <f t="shared" si="101"/>
        <v>3516</v>
      </c>
      <c r="BQ177" s="39">
        <f>J177+N177+S177+W177+AA177+AE177+AI177+AM177+AQ177+AU177+Table1[[#This Row],[MS-0225]]+Table1[[#This Row],[MS-0325]]</f>
        <v>3189.5</v>
      </c>
      <c r="BR177" s="37">
        <f t="shared" si="102"/>
        <v>326.5</v>
      </c>
      <c r="BS177" s="37">
        <f t="shared" si="103"/>
        <v>10.236714218529549</v>
      </c>
      <c r="BT177" s="36">
        <f t="shared" si="104"/>
        <v>2240</v>
      </c>
      <c r="BU177" s="36">
        <f t="shared" si="105"/>
        <v>2547.5</v>
      </c>
      <c r="BV177" s="37">
        <f t="shared" si="106"/>
        <v>-307.5</v>
      </c>
      <c r="BW177" s="37">
        <f t="shared" si="107"/>
        <v>-12.070657507360156</v>
      </c>
      <c r="BX177">
        <v>0</v>
      </c>
      <c r="BY177" s="83">
        <f t="shared" si="108"/>
        <v>0</v>
      </c>
      <c r="BZ177">
        <v>0</v>
      </c>
      <c r="CA177" s="83">
        <f t="shared" si="109"/>
        <v>0</v>
      </c>
      <c r="CB177" s="96">
        <f t="shared" si="110"/>
        <v>0.28489652135623073</v>
      </c>
      <c r="CC177" s="96">
        <f t="shared" si="111"/>
        <v>0.26883811375789984</v>
      </c>
      <c r="CD177" s="97">
        <f t="shared" si="112"/>
        <v>1.6058407598330882E-2</v>
      </c>
      <c r="CE177" s="96">
        <f t="shared" si="113"/>
        <v>0.27154582763337892</v>
      </c>
      <c r="CF177" s="96">
        <f t="shared" si="114"/>
        <v>0.29795299469294922</v>
      </c>
      <c r="CG177" s="96">
        <f t="shared" si="115"/>
        <v>-2.6407167059570302E-2</v>
      </c>
      <c r="CH177" s="95">
        <f t="shared" si="116"/>
        <v>0.25762960249129879</v>
      </c>
      <c r="CI177" s="95">
        <f t="shared" si="117"/>
        <v>0.26183146570425125</v>
      </c>
      <c r="CJ177" s="98">
        <f t="shared" si="118"/>
        <v>-4.2018632129524613E-3</v>
      </c>
      <c r="CK177" s="95">
        <f t="shared" si="119"/>
        <v>0.28882728386306494</v>
      </c>
      <c r="CL177" s="95">
        <f t="shared" si="120"/>
        <v>0.31891587381071607</v>
      </c>
      <c r="CM177" s="98">
        <f t="shared" si="121"/>
        <v>-3.0088589947651123E-2</v>
      </c>
      <c r="CN177" s="94">
        <f t="shared" si="122"/>
        <v>1.2881480124564939</v>
      </c>
      <c r="CO177" s="94">
        <f t="shared" si="123"/>
        <v>1.4441364193153248</v>
      </c>
    </row>
    <row r="178" spans="1:94" ht="24.5" x14ac:dyDescent="0.35">
      <c r="A178" s="103">
        <v>41063936</v>
      </c>
      <c r="B178" s="9" t="s">
        <v>380</v>
      </c>
      <c r="C178" s="48" t="s">
        <v>514</v>
      </c>
      <c r="D178" s="14" t="s">
        <v>515</v>
      </c>
      <c r="E178" s="10" t="s">
        <v>103</v>
      </c>
      <c r="F178" s="10" t="s">
        <v>216</v>
      </c>
      <c r="G178" s="12" t="s">
        <v>216</v>
      </c>
      <c r="H178" s="51" t="s">
        <v>217</v>
      </c>
      <c r="I178" s="25" t="s">
        <v>86</v>
      </c>
      <c r="J178" s="20">
        <v>185</v>
      </c>
      <c r="K178" s="20">
        <v>238</v>
      </c>
      <c r="L178" s="20">
        <v>265</v>
      </c>
      <c r="M178" s="20">
        <v>238</v>
      </c>
      <c r="N178" s="18">
        <v>198</v>
      </c>
      <c r="O178" s="18">
        <v>288</v>
      </c>
      <c r="P178" s="18">
        <v>263</v>
      </c>
      <c r="Q178" s="18">
        <v>292</v>
      </c>
      <c r="R178" s="20">
        <v>263</v>
      </c>
      <c r="S178" s="20">
        <v>195</v>
      </c>
      <c r="T178" s="20">
        <v>118</v>
      </c>
      <c r="U178" s="20">
        <v>280</v>
      </c>
      <c r="V178" s="20">
        <v>263</v>
      </c>
      <c r="W178" s="20">
        <v>200</v>
      </c>
      <c r="X178" s="20">
        <v>244</v>
      </c>
      <c r="Y178" s="20">
        <v>248</v>
      </c>
      <c r="Z178" s="20">
        <v>269</v>
      </c>
      <c r="AA178" s="20">
        <v>223</v>
      </c>
      <c r="AB178" s="20">
        <v>255</v>
      </c>
      <c r="AC178" s="20">
        <v>283</v>
      </c>
      <c r="AD178" s="20">
        <v>250</v>
      </c>
      <c r="AE178" s="20">
        <v>204.5</v>
      </c>
      <c r="AF178" s="20">
        <v>256</v>
      </c>
      <c r="AG178" s="20">
        <v>262.5</v>
      </c>
      <c r="AH178" s="20">
        <v>250</v>
      </c>
      <c r="AI178" s="20">
        <v>215</v>
      </c>
      <c r="AJ178" s="20">
        <v>212</v>
      </c>
      <c r="AK178" s="20">
        <v>274</v>
      </c>
      <c r="AL178" s="20">
        <v>242</v>
      </c>
      <c r="AM178" s="20">
        <v>230</v>
      </c>
      <c r="AN178" s="20">
        <v>286</v>
      </c>
      <c r="AO178" s="20">
        <v>266</v>
      </c>
      <c r="AP178" s="20">
        <v>238</v>
      </c>
      <c r="AQ178" s="20">
        <v>216</v>
      </c>
      <c r="AR178" s="20">
        <v>268</v>
      </c>
      <c r="AS178" s="20">
        <v>288</v>
      </c>
      <c r="AT178" s="20">
        <v>241</v>
      </c>
      <c r="AU178" s="20">
        <v>221</v>
      </c>
      <c r="AV178" s="20">
        <v>265</v>
      </c>
      <c r="AW178" s="20">
        <v>276</v>
      </c>
      <c r="AX178" s="20">
        <v>246</v>
      </c>
      <c r="AY178" s="20">
        <v>229</v>
      </c>
      <c r="AZ178" s="20">
        <v>245</v>
      </c>
      <c r="BA178" s="20">
        <v>266</v>
      </c>
      <c r="BB178" s="20">
        <v>279</v>
      </c>
      <c r="BC178" s="20">
        <v>256</v>
      </c>
      <c r="BD178" s="20">
        <v>249</v>
      </c>
      <c r="BE178" s="20">
        <v>264</v>
      </c>
      <c r="BF178" s="23" t="e">
        <v>#N/A</v>
      </c>
      <c r="BG178" s="23" t="e">
        <v>#N/A</v>
      </c>
      <c r="BH178" s="31">
        <f t="shared" si="93"/>
        <v>279</v>
      </c>
      <c r="BI178" s="31">
        <f t="shared" si="94"/>
        <v>256</v>
      </c>
      <c r="BJ178" s="37">
        <f t="shared" si="95"/>
        <v>23</v>
      </c>
      <c r="BK178" s="37">
        <f t="shared" si="96"/>
        <v>8.984375</v>
      </c>
      <c r="BL178" s="36">
        <f t="shared" si="97"/>
        <v>249</v>
      </c>
      <c r="BM178" s="36">
        <f t="shared" si="98"/>
        <v>264</v>
      </c>
      <c r="BN178" s="37">
        <f t="shared" si="99"/>
        <v>-15</v>
      </c>
      <c r="BO178" s="37">
        <f t="shared" si="100"/>
        <v>-5.6818181818181817</v>
      </c>
      <c r="BP178" s="38">
        <f t="shared" si="101"/>
        <v>3067</v>
      </c>
      <c r="BQ178" s="39">
        <f>J178+N178+S178+W178+AA178+AE178+AI178+AM178+AQ178+AU178+Table1[[#This Row],[MS-0225]]+Table1[[#This Row],[MS-0325]]</f>
        <v>2572.5</v>
      </c>
      <c r="BR178" s="37">
        <f t="shared" si="102"/>
        <v>494.5</v>
      </c>
      <c r="BS178" s="37">
        <f t="shared" si="103"/>
        <v>19.22254616132167</v>
      </c>
      <c r="BT178" s="36">
        <f t="shared" si="104"/>
        <v>2928</v>
      </c>
      <c r="BU178" s="36">
        <f t="shared" si="105"/>
        <v>3235.5</v>
      </c>
      <c r="BV178" s="37">
        <f t="shared" si="106"/>
        <v>-307.5</v>
      </c>
      <c r="BW178" s="37">
        <f t="shared" si="107"/>
        <v>-9.5039406583217421</v>
      </c>
      <c r="BX178">
        <v>0</v>
      </c>
      <c r="BY178" s="83">
        <f t="shared" si="108"/>
        <v>0</v>
      </c>
      <c r="BZ178">
        <v>0</v>
      </c>
      <c r="CA178" s="83">
        <f t="shared" si="109"/>
        <v>0</v>
      </c>
      <c r="CB178" s="96">
        <f t="shared" si="110"/>
        <v>0.16822429906542055</v>
      </c>
      <c r="CC178" s="96">
        <f t="shared" si="111"/>
        <v>0.17552279739458349</v>
      </c>
      <c r="CD178" s="97">
        <f t="shared" si="112"/>
        <v>-7.2984983291629335E-3</v>
      </c>
      <c r="CE178" s="96">
        <f t="shared" si="113"/>
        <v>0.41813602015113349</v>
      </c>
      <c r="CF178" s="96">
        <f t="shared" si="114"/>
        <v>0.44036697247706424</v>
      </c>
      <c r="CG178" s="96">
        <f t="shared" si="115"/>
        <v>-2.2230952325930753E-2</v>
      </c>
      <c r="CH178" s="95">
        <f t="shared" si="116"/>
        <v>0.1653681287574475</v>
      </c>
      <c r="CI178" s="95">
        <f t="shared" si="117"/>
        <v>0.15858582729480175</v>
      </c>
      <c r="CJ178" s="98">
        <f t="shared" si="118"/>
        <v>6.7823014626457456E-3</v>
      </c>
      <c r="CK178" s="95">
        <f t="shared" si="119"/>
        <v>0.43594133849475175</v>
      </c>
      <c r="CL178" s="95">
        <f t="shared" si="120"/>
        <v>0.44847182756947812</v>
      </c>
      <c r="CM178" s="98">
        <f t="shared" si="121"/>
        <v>-1.253048907472637E-2</v>
      </c>
      <c r="CN178" s="94">
        <f t="shared" si="122"/>
        <v>0.82684064378723754</v>
      </c>
      <c r="CO178" s="94">
        <f t="shared" si="123"/>
        <v>2.1797066924737587</v>
      </c>
      <c r="CP178" s="141">
        <f>BD178-AZ178</f>
        <v>4</v>
      </c>
    </row>
    <row r="179" spans="1:94" ht="24.5" x14ac:dyDescent="0.35">
      <c r="A179" s="102">
        <v>136152</v>
      </c>
      <c r="B179" s="3" t="s">
        <v>72</v>
      </c>
      <c r="C179" s="43" t="s">
        <v>343</v>
      </c>
      <c r="D179" s="12" t="s">
        <v>344</v>
      </c>
      <c r="E179" s="4" t="s">
        <v>89</v>
      </c>
      <c r="F179" s="4" t="s">
        <v>345</v>
      </c>
      <c r="G179" s="12" t="s">
        <v>345</v>
      </c>
      <c r="H179" s="51" t="s">
        <v>205</v>
      </c>
      <c r="I179" s="23" t="s">
        <v>86</v>
      </c>
      <c r="J179" s="90">
        <v>297</v>
      </c>
      <c r="K179" s="90">
        <v>316.5</v>
      </c>
      <c r="L179" s="90">
        <v>83</v>
      </c>
      <c r="M179" s="90">
        <v>81.5</v>
      </c>
      <c r="N179" s="18">
        <v>319.00000199999999</v>
      </c>
      <c r="O179" s="18">
        <v>338</v>
      </c>
      <c r="P179" s="18">
        <v>81</v>
      </c>
      <c r="Q179" s="18">
        <v>80</v>
      </c>
      <c r="R179" s="90">
        <v>325</v>
      </c>
      <c r="S179" s="90">
        <v>321.500001</v>
      </c>
      <c r="T179" s="90">
        <v>79</v>
      </c>
      <c r="U179" s="90">
        <v>98.5</v>
      </c>
      <c r="V179" s="90">
        <v>354</v>
      </c>
      <c r="W179" s="90">
        <v>342.500001</v>
      </c>
      <c r="X179" s="90">
        <v>74</v>
      </c>
      <c r="Y179" s="90">
        <v>95.5</v>
      </c>
      <c r="Z179" s="90">
        <v>341.5</v>
      </c>
      <c r="AA179" s="90">
        <v>317</v>
      </c>
      <c r="AB179" s="90">
        <v>72.5</v>
      </c>
      <c r="AC179" s="90">
        <v>85</v>
      </c>
      <c r="AD179" s="90">
        <v>328</v>
      </c>
      <c r="AE179" s="90">
        <v>313.00000299999999</v>
      </c>
      <c r="AF179" s="90">
        <v>72</v>
      </c>
      <c r="AG179" s="90">
        <v>89</v>
      </c>
      <c r="AH179" s="90">
        <v>347</v>
      </c>
      <c r="AI179" s="90">
        <v>311</v>
      </c>
      <c r="AJ179" s="90">
        <v>73</v>
      </c>
      <c r="AK179" s="90">
        <v>91</v>
      </c>
      <c r="AL179" s="90">
        <v>302</v>
      </c>
      <c r="AM179" s="90">
        <v>298.000001</v>
      </c>
      <c r="AN179" s="90">
        <v>62</v>
      </c>
      <c r="AO179" s="90">
        <v>74</v>
      </c>
      <c r="AP179" s="90">
        <v>309.5</v>
      </c>
      <c r="AQ179" s="90">
        <v>293.5</v>
      </c>
      <c r="AR179" s="90">
        <v>60.5</v>
      </c>
      <c r="AS179" s="90">
        <v>61.5</v>
      </c>
      <c r="AT179" s="90">
        <v>294.5</v>
      </c>
      <c r="AU179" s="90">
        <v>293</v>
      </c>
      <c r="AV179" s="90">
        <v>63.5</v>
      </c>
      <c r="AW179" s="90">
        <v>73</v>
      </c>
      <c r="AX179" s="90">
        <v>300</v>
      </c>
      <c r="AY179" s="90">
        <v>269</v>
      </c>
      <c r="AZ179" s="90">
        <v>62</v>
      </c>
      <c r="BA179" s="90">
        <v>67</v>
      </c>
      <c r="BB179" s="90">
        <v>322</v>
      </c>
      <c r="BC179" s="90">
        <v>329</v>
      </c>
      <c r="BD179" s="90">
        <v>58</v>
      </c>
      <c r="BE179" s="90">
        <v>79</v>
      </c>
      <c r="BF179" s="23">
        <v>28.700849999999999</v>
      </c>
      <c r="BG179" s="23">
        <v>77.11515</v>
      </c>
      <c r="BH179" s="31">
        <f t="shared" si="93"/>
        <v>322</v>
      </c>
      <c r="BI179" s="31">
        <f t="shared" si="94"/>
        <v>329</v>
      </c>
      <c r="BJ179" s="37">
        <f t="shared" si="95"/>
        <v>-7</v>
      </c>
      <c r="BK179" s="37">
        <f t="shared" si="96"/>
        <v>-2.1276595744680851</v>
      </c>
      <c r="BL179" s="36">
        <f t="shared" si="97"/>
        <v>58</v>
      </c>
      <c r="BM179" s="36">
        <f t="shared" si="98"/>
        <v>79</v>
      </c>
      <c r="BN179" s="37">
        <f t="shared" si="99"/>
        <v>-21</v>
      </c>
      <c r="BO179" s="37">
        <f t="shared" si="100"/>
        <v>-26.582278481012654</v>
      </c>
      <c r="BP179" s="38">
        <f t="shared" si="101"/>
        <v>3878</v>
      </c>
      <c r="BQ179" s="39">
        <f>J179+N179+S179+W179+AA179+AE179+AI179+AM179+AQ179+AU179+Table1[[#This Row],[MS-0225]]+Table1[[#This Row],[MS-0325]]</f>
        <v>3703.500008</v>
      </c>
      <c r="BR179" s="37">
        <f t="shared" si="102"/>
        <v>174.49999200000002</v>
      </c>
      <c r="BS179" s="37">
        <f t="shared" si="103"/>
        <v>4.7117589205632324</v>
      </c>
      <c r="BT179" s="36">
        <f t="shared" si="104"/>
        <v>838</v>
      </c>
      <c r="BU179" s="36">
        <f t="shared" si="105"/>
        <v>977.5</v>
      </c>
      <c r="BV179" s="37">
        <f t="shared" si="106"/>
        <v>-139.5</v>
      </c>
      <c r="BW179" s="37">
        <f t="shared" si="107"/>
        <v>-14.271099744245525</v>
      </c>
      <c r="BX179">
        <v>22</v>
      </c>
      <c r="BY179" s="83">
        <f t="shared" si="108"/>
        <v>6.8322981366459631E-2</v>
      </c>
      <c r="BZ179">
        <v>107.5</v>
      </c>
      <c r="CA179" s="83">
        <f t="shared" si="109"/>
        <v>2.7720474471376998E-2</v>
      </c>
      <c r="CB179" s="96">
        <f t="shared" si="110"/>
        <v>0.12644806597290398</v>
      </c>
      <c r="CC179" s="96">
        <f t="shared" si="111"/>
        <v>0.16760061130922058</v>
      </c>
      <c r="CD179" s="97">
        <f t="shared" si="112"/>
        <v>-4.1152545336316598E-2</v>
      </c>
      <c r="CE179" s="96">
        <f t="shared" si="113"/>
        <v>0.15045395590142671</v>
      </c>
      <c r="CF179" s="96">
        <f t="shared" si="114"/>
        <v>0.26245847176079734</v>
      </c>
      <c r="CG179" s="96">
        <f t="shared" si="115"/>
        <v>-0.11200451585937063</v>
      </c>
      <c r="CH179" s="95">
        <f t="shared" si="116"/>
        <v>0.13888441221237352</v>
      </c>
      <c r="CI179" s="95">
        <f t="shared" si="117"/>
        <v>0.14232188174857524</v>
      </c>
      <c r="CJ179" s="98">
        <f t="shared" si="118"/>
        <v>-3.4374695362017205E-3</v>
      </c>
      <c r="CK179" s="95">
        <f t="shared" si="119"/>
        <v>0.20673492043912667</v>
      </c>
      <c r="CL179" s="95">
        <f t="shared" si="120"/>
        <v>0.22291904218928163</v>
      </c>
      <c r="CM179" s="98">
        <f t="shared" si="121"/>
        <v>-1.6184121750154962E-2</v>
      </c>
      <c r="CN179" s="94">
        <f t="shared" si="122"/>
        <v>0.97219088548661459</v>
      </c>
      <c r="CO179" s="94">
        <f t="shared" si="123"/>
        <v>1.4471444430738867</v>
      </c>
    </row>
    <row r="180" spans="1:94" ht="36.5" x14ac:dyDescent="0.35">
      <c r="A180" s="104">
        <v>106340</v>
      </c>
      <c r="B180" s="5" t="s">
        <v>581</v>
      </c>
      <c r="C180" s="46" t="s">
        <v>889</v>
      </c>
      <c r="D180" s="13" t="s">
        <v>890</v>
      </c>
      <c r="E180" s="6" t="s">
        <v>94</v>
      </c>
      <c r="F180" s="6" t="s">
        <v>891</v>
      </c>
      <c r="G180" s="12" t="s">
        <v>891</v>
      </c>
      <c r="H180" s="51" t="s">
        <v>120</v>
      </c>
      <c r="I180" s="24" t="s">
        <v>83</v>
      </c>
      <c r="J180" s="19">
        <v>322.5</v>
      </c>
      <c r="K180" s="19">
        <v>357</v>
      </c>
      <c r="L180" s="19">
        <v>69.5</v>
      </c>
      <c r="M180" s="19">
        <v>77</v>
      </c>
      <c r="N180" s="18">
        <v>360.5</v>
      </c>
      <c r="O180" s="18">
        <v>415</v>
      </c>
      <c r="P180" s="18">
        <v>95.5</v>
      </c>
      <c r="Q180" s="18">
        <v>67</v>
      </c>
      <c r="R180" s="19">
        <v>350</v>
      </c>
      <c r="S180" s="19">
        <v>333</v>
      </c>
      <c r="T180" s="19">
        <v>76</v>
      </c>
      <c r="U180" s="19">
        <v>63</v>
      </c>
      <c r="V180" s="19">
        <v>425</v>
      </c>
      <c r="W180" s="19">
        <v>383.5</v>
      </c>
      <c r="X180" s="19">
        <v>67</v>
      </c>
      <c r="Y180" s="19">
        <v>90.5</v>
      </c>
      <c r="Z180" s="19">
        <v>373.5</v>
      </c>
      <c r="AA180" s="19">
        <v>390.5</v>
      </c>
      <c r="AB180" s="19">
        <v>66.5</v>
      </c>
      <c r="AC180" s="19">
        <v>81.5</v>
      </c>
      <c r="AD180" s="19">
        <v>358</v>
      </c>
      <c r="AE180" s="19">
        <v>381.5</v>
      </c>
      <c r="AF180" s="19">
        <v>70</v>
      </c>
      <c r="AG180" s="19">
        <v>78.5</v>
      </c>
      <c r="AH180" s="19">
        <v>389</v>
      </c>
      <c r="AI180" s="19">
        <v>365.5</v>
      </c>
      <c r="AJ180" s="19">
        <v>65</v>
      </c>
      <c r="AK180" s="19">
        <v>80.5</v>
      </c>
      <c r="AL180" s="19">
        <v>337.5</v>
      </c>
      <c r="AM180" s="19">
        <v>324.5</v>
      </c>
      <c r="AN180" s="19">
        <v>50.5</v>
      </c>
      <c r="AO180" s="19">
        <v>59.5</v>
      </c>
      <c r="AP180" s="19">
        <v>339.5</v>
      </c>
      <c r="AQ180" s="19">
        <v>370.5</v>
      </c>
      <c r="AR180" s="19">
        <v>48.5</v>
      </c>
      <c r="AS180" s="19">
        <v>63.5</v>
      </c>
      <c r="AT180" s="19">
        <v>338.5</v>
      </c>
      <c r="AU180" s="19">
        <v>361</v>
      </c>
      <c r="AV180" s="19">
        <v>59.5</v>
      </c>
      <c r="AW180" s="19">
        <v>67</v>
      </c>
      <c r="AX180" s="19">
        <v>324.5</v>
      </c>
      <c r="AY180" s="19">
        <v>340.5</v>
      </c>
      <c r="AZ180" s="19">
        <v>57.5</v>
      </c>
      <c r="BA180" s="19">
        <v>67.5</v>
      </c>
      <c r="BB180" s="19">
        <v>319</v>
      </c>
      <c r="BC180" s="19">
        <v>370</v>
      </c>
      <c r="BD180" s="19">
        <v>53</v>
      </c>
      <c r="BE180" s="19">
        <v>76</v>
      </c>
      <c r="BF180" s="23">
        <v>28.5489</v>
      </c>
      <c r="BG180" s="23">
        <v>77.188299999999998</v>
      </c>
      <c r="BH180" s="31">
        <f t="shared" si="93"/>
        <v>319</v>
      </c>
      <c r="BI180" s="31">
        <f t="shared" si="94"/>
        <v>370</v>
      </c>
      <c r="BJ180" s="37">
        <f t="shared" si="95"/>
        <v>-51</v>
      </c>
      <c r="BK180" s="37">
        <f t="shared" si="96"/>
        <v>-13.783783783783784</v>
      </c>
      <c r="BL180" s="36">
        <f t="shared" si="97"/>
        <v>53</v>
      </c>
      <c r="BM180" s="36">
        <f t="shared" si="98"/>
        <v>76</v>
      </c>
      <c r="BN180" s="37">
        <f t="shared" si="99"/>
        <v>-23</v>
      </c>
      <c r="BO180" s="37">
        <f t="shared" si="100"/>
        <v>-30.263157894736842</v>
      </c>
      <c r="BP180" s="38">
        <f t="shared" si="101"/>
        <v>4326.5</v>
      </c>
      <c r="BQ180" s="39">
        <f>J180+N180+S180+W180+AA180+AE180+AI180+AM180+AQ180+AU180+Table1[[#This Row],[MS-0225]]+Table1[[#This Row],[MS-0325]]</f>
        <v>4303.5</v>
      </c>
      <c r="BR180" s="37">
        <f t="shared" si="102"/>
        <v>23</v>
      </c>
      <c r="BS180" s="37">
        <f t="shared" si="103"/>
        <v>0.53444870454281401</v>
      </c>
      <c r="BT180" s="36">
        <f t="shared" si="104"/>
        <v>757.5</v>
      </c>
      <c r="BU180" s="36">
        <f t="shared" si="105"/>
        <v>892.5</v>
      </c>
      <c r="BV180" s="37">
        <f t="shared" si="106"/>
        <v>-135</v>
      </c>
      <c r="BW180" s="37">
        <f t="shared" si="107"/>
        <v>-15.126050420168067</v>
      </c>
      <c r="BX180">
        <v>0</v>
      </c>
      <c r="BY180" s="83">
        <f t="shared" si="108"/>
        <v>0</v>
      </c>
      <c r="BZ180">
        <v>0</v>
      </c>
      <c r="CA180" s="83">
        <f t="shared" si="109"/>
        <v>0</v>
      </c>
      <c r="CB180" s="96">
        <f t="shared" si="110"/>
        <v>1</v>
      </c>
      <c r="CC180" s="96">
        <f t="shared" si="111"/>
        <v>1</v>
      </c>
      <c r="CD180" s="97">
        <f t="shared" si="112"/>
        <v>0</v>
      </c>
      <c r="CE180" s="96">
        <f t="shared" si="113"/>
        <v>1</v>
      </c>
      <c r="CF180" s="96">
        <f t="shared" si="114"/>
        <v>1</v>
      </c>
      <c r="CG180" s="96">
        <f t="shared" si="115"/>
        <v>0</v>
      </c>
      <c r="CH180" s="95">
        <f t="shared" si="116"/>
        <v>1</v>
      </c>
      <c r="CI180" s="95">
        <f t="shared" si="117"/>
        <v>1</v>
      </c>
      <c r="CJ180" s="98">
        <f t="shared" si="118"/>
        <v>0</v>
      </c>
      <c r="CK180" s="95">
        <f t="shared" si="119"/>
        <v>1</v>
      </c>
      <c r="CL180" s="95">
        <f t="shared" si="120"/>
        <v>1</v>
      </c>
      <c r="CM180" s="98">
        <f t="shared" si="121"/>
        <v>0</v>
      </c>
      <c r="CN180" s="94">
        <f t="shared" si="122"/>
        <v>1</v>
      </c>
      <c r="CO180" s="94">
        <f t="shared" si="123"/>
        <v>1</v>
      </c>
    </row>
    <row r="181" spans="1:94" ht="24.5" x14ac:dyDescent="0.35">
      <c r="A181" s="103">
        <v>41019261</v>
      </c>
      <c r="B181" s="9" t="s">
        <v>380</v>
      </c>
      <c r="C181" s="47" t="s">
        <v>493</v>
      </c>
      <c r="D181" s="14" t="s">
        <v>454</v>
      </c>
      <c r="E181" s="10" t="s">
        <v>81</v>
      </c>
      <c r="F181" s="10" t="s">
        <v>455</v>
      </c>
      <c r="G181" s="12" t="s">
        <v>455</v>
      </c>
      <c r="H181" s="51" t="s">
        <v>141</v>
      </c>
      <c r="I181" s="25" t="s">
        <v>83</v>
      </c>
      <c r="J181" s="20">
        <v>250</v>
      </c>
      <c r="K181" s="20">
        <v>288.5</v>
      </c>
      <c r="L181" s="20">
        <v>102</v>
      </c>
      <c r="M181" s="20">
        <v>85.5</v>
      </c>
      <c r="N181" s="18">
        <v>272</v>
      </c>
      <c r="O181" s="18">
        <v>328.5</v>
      </c>
      <c r="P181" s="18">
        <v>91</v>
      </c>
      <c r="Q181" s="18">
        <v>89.5</v>
      </c>
      <c r="R181" s="20">
        <v>295</v>
      </c>
      <c r="S181" s="20">
        <v>270</v>
      </c>
      <c r="T181" s="20">
        <v>86</v>
      </c>
      <c r="U181" s="20">
        <v>100</v>
      </c>
      <c r="V181" s="20">
        <v>326.5</v>
      </c>
      <c r="W181" s="20">
        <v>276</v>
      </c>
      <c r="X181" s="20">
        <v>109.5</v>
      </c>
      <c r="Y181" s="20">
        <v>98</v>
      </c>
      <c r="Z181" s="20">
        <v>339.5</v>
      </c>
      <c r="AA181" s="20">
        <v>304</v>
      </c>
      <c r="AB181" s="20">
        <v>96.5</v>
      </c>
      <c r="AC181" s="20">
        <v>92</v>
      </c>
      <c r="AD181" s="20">
        <v>290</v>
      </c>
      <c r="AE181" s="20">
        <v>274</v>
      </c>
      <c r="AF181" s="20">
        <v>104</v>
      </c>
      <c r="AG181" s="20">
        <v>100</v>
      </c>
      <c r="AH181" s="20">
        <v>323</v>
      </c>
      <c r="AI181" s="20">
        <v>276</v>
      </c>
      <c r="AJ181" s="20">
        <v>95</v>
      </c>
      <c r="AK181" s="20">
        <v>101</v>
      </c>
      <c r="AL181" s="20">
        <v>360.5</v>
      </c>
      <c r="AM181" s="20">
        <v>317</v>
      </c>
      <c r="AN181" s="20">
        <v>100.5</v>
      </c>
      <c r="AO181" s="20">
        <v>90</v>
      </c>
      <c r="AP181" s="20">
        <v>295</v>
      </c>
      <c r="AQ181" s="20">
        <v>258.5</v>
      </c>
      <c r="AR181" s="20">
        <v>92</v>
      </c>
      <c r="AS181" s="20">
        <v>80.5</v>
      </c>
      <c r="AT181" s="20">
        <v>304</v>
      </c>
      <c r="AU181" s="20">
        <v>283.5</v>
      </c>
      <c r="AV181" s="20">
        <v>87</v>
      </c>
      <c r="AW181" s="20">
        <v>99.5</v>
      </c>
      <c r="AX181" s="20">
        <v>296.5</v>
      </c>
      <c r="AY181" s="20">
        <v>294</v>
      </c>
      <c r="AZ181" s="20">
        <v>96.5</v>
      </c>
      <c r="BA181" s="20">
        <v>109</v>
      </c>
      <c r="BB181" s="20">
        <v>318</v>
      </c>
      <c r="BC181" s="20">
        <v>297.5</v>
      </c>
      <c r="BD181" s="20">
        <v>112</v>
      </c>
      <c r="BE181" s="20">
        <v>92.5</v>
      </c>
      <c r="BF181" s="23">
        <v>28.653241999999999</v>
      </c>
      <c r="BG181" s="23">
        <v>77.033928000000003</v>
      </c>
      <c r="BH181" s="31">
        <f t="shared" si="93"/>
        <v>318</v>
      </c>
      <c r="BI181" s="31">
        <f t="shared" si="94"/>
        <v>297.5</v>
      </c>
      <c r="BJ181" s="37">
        <f t="shared" si="95"/>
        <v>20.5</v>
      </c>
      <c r="BK181" s="37">
        <f t="shared" si="96"/>
        <v>6.8907563025210088</v>
      </c>
      <c r="BL181" s="36">
        <f t="shared" si="97"/>
        <v>112</v>
      </c>
      <c r="BM181" s="36">
        <f t="shared" si="98"/>
        <v>92.5</v>
      </c>
      <c r="BN181" s="37">
        <f t="shared" si="99"/>
        <v>19.5</v>
      </c>
      <c r="BO181" s="37">
        <f t="shared" si="100"/>
        <v>21.081081081081081</v>
      </c>
      <c r="BP181" s="38">
        <f t="shared" si="101"/>
        <v>3765</v>
      </c>
      <c r="BQ181" s="39">
        <f>J181+N181+S181+W181+AA181+AE181+AI181+AM181+AQ181+AU181+Table1[[#This Row],[MS-0225]]+Table1[[#This Row],[MS-0325]]</f>
        <v>3372.5</v>
      </c>
      <c r="BR181" s="37">
        <f t="shared" si="102"/>
        <v>392.5</v>
      </c>
      <c r="BS181" s="37">
        <f t="shared" si="103"/>
        <v>11.638250555967383</v>
      </c>
      <c r="BT181" s="36">
        <f t="shared" si="104"/>
        <v>1154</v>
      </c>
      <c r="BU181" s="36">
        <f t="shared" si="105"/>
        <v>1155.5</v>
      </c>
      <c r="BV181" s="37">
        <f t="shared" si="106"/>
        <v>-1.5</v>
      </c>
      <c r="BW181" s="37">
        <f t="shared" si="107"/>
        <v>-0.12981393336218089</v>
      </c>
      <c r="BX181">
        <v>0</v>
      </c>
      <c r="BY181" s="83">
        <f t="shared" si="108"/>
        <v>0</v>
      </c>
      <c r="BZ181">
        <v>0</v>
      </c>
      <c r="CA181" s="83">
        <f t="shared" si="109"/>
        <v>0</v>
      </c>
      <c r="CB181" s="96">
        <f t="shared" si="110"/>
        <v>0.50961538461538458</v>
      </c>
      <c r="CC181" s="96">
        <f t="shared" si="111"/>
        <v>0.50811272416737829</v>
      </c>
      <c r="CD181" s="97">
        <f t="shared" si="112"/>
        <v>1.5026604480062877E-3</v>
      </c>
      <c r="CE181" s="96">
        <f t="shared" si="113"/>
        <v>0.56565656565656564</v>
      </c>
      <c r="CF181" s="96">
        <f t="shared" si="114"/>
        <v>0.55223880597014929</v>
      </c>
      <c r="CG181" s="96">
        <f t="shared" si="115"/>
        <v>1.3417759686416342E-2</v>
      </c>
      <c r="CH181" s="95">
        <f t="shared" si="116"/>
        <v>0.51713481216949386</v>
      </c>
      <c r="CI181" s="95">
        <f t="shared" si="117"/>
        <v>0.52445377497861756</v>
      </c>
      <c r="CJ181" s="98">
        <f t="shared" si="118"/>
        <v>-7.3189628091236969E-3</v>
      </c>
      <c r="CK181" s="95">
        <f t="shared" si="119"/>
        <v>0.55149342891278375</v>
      </c>
      <c r="CL181" s="95">
        <f t="shared" si="120"/>
        <v>0.55036913550845434</v>
      </c>
      <c r="CM181" s="98">
        <f t="shared" si="121"/>
        <v>1.1242934043294017E-3</v>
      </c>
      <c r="CN181" s="94">
        <f t="shared" si="122"/>
        <v>1.0342696243389877</v>
      </c>
      <c r="CO181" s="94">
        <f t="shared" si="123"/>
        <v>1.1029868578255675</v>
      </c>
    </row>
    <row r="182" spans="1:94" x14ac:dyDescent="0.35">
      <c r="A182" s="104">
        <v>254645</v>
      </c>
      <c r="B182" s="5" t="s">
        <v>581</v>
      </c>
      <c r="C182" s="46" t="s">
        <v>621</v>
      </c>
      <c r="D182" s="13" t="s">
        <v>622</v>
      </c>
      <c r="E182" s="6" t="s">
        <v>85</v>
      </c>
      <c r="F182" s="6" t="s">
        <v>177</v>
      </c>
      <c r="G182" s="12" t="s">
        <v>177</v>
      </c>
      <c r="H182" s="51" t="s">
        <v>178</v>
      </c>
      <c r="I182" s="24" t="s">
        <v>86</v>
      </c>
      <c r="J182" s="19">
        <v>53.5</v>
      </c>
      <c r="K182" s="19">
        <v>58</v>
      </c>
      <c r="L182" s="19">
        <v>246.5</v>
      </c>
      <c r="M182" s="19">
        <v>196</v>
      </c>
      <c r="N182" s="18">
        <v>40.5</v>
      </c>
      <c r="O182" s="18">
        <v>53</v>
      </c>
      <c r="P182" s="18">
        <v>235.5</v>
      </c>
      <c r="Q182" s="18">
        <v>193</v>
      </c>
      <c r="R182" s="19">
        <v>75</v>
      </c>
      <c r="S182" s="19">
        <v>45.5</v>
      </c>
      <c r="T182" s="19">
        <v>183</v>
      </c>
      <c r="U182" s="19">
        <v>236.5</v>
      </c>
      <c r="V182" s="19">
        <v>60</v>
      </c>
      <c r="W182" s="19">
        <v>60.5</v>
      </c>
      <c r="X182" s="19">
        <v>192</v>
      </c>
      <c r="Y182" s="19">
        <v>259.5</v>
      </c>
      <c r="Z182" s="19">
        <v>57</v>
      </c>
      <c r="AA182" s="19">
        <v>56.5</v>
      </c>
      <c r="AB182" s="19">
        <v>193</v>
      </c>
      <c r="AC182" s="19">
        <v>203.5</v>
      </c>
      <c r="AD182" s="19">
        <v>54</v>
      </c>
      <c r="AE182" s="19">
        <v>57.5</v>
      </c>
      <c r="AF182" s="19">
        <v>200</v>
      </c>
      <c r="AG182" s="19">
        <v>228.5</v>
      </c>
      <c r="AH182" s="19">
        <v>59</v>
      </c>
      <c r="AI182" s="19">
        <v>63</v>
      </c>
      <c r="AJ182" s="19">
        <v>175</v>
      </c>
      <c r="AK182" s="19">
        <v>207</v>
      </c>
      <c r="AL182" s="19">
        <v>64</v>
      </c>
      <c r="AM182" s="19">
        <v>58</v>
      </c>
      <c r="AN182" s="19">
        <v>200</v>
      </c>
      <c r="AO182" s="19">
        <v>144</v>
      </c>
      <c r="AP182" s="19">
        <v>75.5</v>
      </c>
      <c r="AQ182" s="19">
        <v>57.5</v>
      </c>
      <c r="AR182" s="19">
        <v>164.5</v>
      </c>
      <c r="AS182" s="19">
        <v>190.5</v>
      </c>
      <c r="AT182" s="19">
        <v>56.5</v>
      </c>
      <c r="AU182" s="19">
        <v>60.5</v>
      </c>
      <c r="AV182" s="19">
        <v>193.5</v>
      </c>
      <c r="AW182" s="19">
        <v>211.5</v>
      </c>
      <c r="AX182" s="19">
        <v>61.5</v>
      </c>
      <c r="AY182" s="19">
        <v>58.5</v>
      </c>
      <c r="AZ182" s="19">
        <v>226.5</v>
      </c>
      <c r="BA182" s="19">
        <v>193.5</v>
      </c>
      <c r="BB182" s="19">
        <v>48.5</v>
      </c>
      <c r="BC182" s="19">
        <v>62</v>
      </c>
      <c r="BD182" s="19">
        <v>193.5</v>
      </c>
      <c r="BE182" s="19">
        <v>190</v>
      </c>
      <c r="BF182" s="23">
        <v>28.673825999999998</v>
      </c>
      <c r="BG182" s="23">
        <v>77.143057999999996</v>
      </c>
      <c r="BH182" s="31">
        <f t="shared" si="93"/>
        <v>48.5</v>
      </c>
      <c r="BI182" s="31">
        <f t="shared" si="94"/>
        <v>62</v>
      </c>
      <c r="BJ182" s="37">
        <f t="shared" si="95"/>
        <v>-13.5</v>
      </c>
      <c r="BK182" s="37">
        <f t="shared" si="96"/>
        <v>-21.774193548387096</v>
      </c>
      <c r="BL182" s="36">
        <f t="shared" si="97"/>
        <v>193.5</v>
      </c>
      <c r="BM182" s="36">
        <f t="shared" si="98"/>
        <v>190</v>
      </c>
      <c r="BN182" s="37">
        <f t="shared" si="99"/>
        <v>3.5</v>
      </c>
      <c r="BO182" s="37">
        <f t="shared" si="100"/>
        <v>1.8421052631578945</v>
      </c>
      <c r="BP182" s="38">
        <f t="shared" si="101"/>
        <v>722</v>
      </c>
      <c r="BQ182" s="39">
        <f>J182+N182+S182+W182+AA182+AE182+AI182+AM182+AQ182+AU182+Table1[[#This Row],[MS-0225]]+Table1[[#This Row],[MS-0325]]</f>
        <v>673.5</v>
      </c>
      <c r="BR182" s="37">
        <f t="shared" si="102"/>
        <v>48.5</v>
      </c>
      <c r="BS182" s="37">
        <f t="shared" si="103"/>
        <v>7.2011878247958432</v>
      </c>
      <c r="BT182" s="36">
        <f t="shared" si="104"/>
        <v>2310</v>
      </c>
      <c r="BU182" s="36">
        <f t="shared" si="105"/>
        <v>2546.5</v>
      </c>
      <c r="BV182" s="37">
        <f t="shared" si="106"/>
        <v>-236.5</v>
      </c>
      <c r="BW182" s="37">
        <f t="shared" si="107"/>
        <v>-9.2872570194384458</v>
      </c>
      <c r="BX182">
        <v>0</v>
      </c>
      <c r="BY182" s="83">
        <f t="shared" si="108"/>
        <v>0</v>
      </c>
      <c r="BZ182">
        <v>0</v>
      </c>
      <c r="CA182" s="83">
        <f t="shared" si="109"/>
        <v>0</v>
      </c>
      <c r="CB182" s="96">
        <f t="shared" si="110"/>
        <v>8.4999439178957997E-2</v>
      </c>
      <c r="CC182" s="96">
        <f t="shared" si="111"/>
        <v>0.11564380960552403</v>
      </c>
      <c r="CD182" s="97">
        <f t="shared" si="112"/>
        <v>-3.0644370426566037E-2</v>
      </c>
      <c r="CE182" s="96">
        <f t="shared" si="113"/>
        <v>0.19057205100830835</v>
      </c>
      <c r="CF182" s="96">
        <f t="shared" si="114"/>
        <v>0.2009931175725109</v>
      </c>
      <c r="CG182" s="96">
        <f t="shared" si="115"/>
        <v>-1.0421066564202552E-2</v>
      </c>
      <c r="CH182" s="95">
        <f t="shared" si="116"/>
        <v>0.10620591149164144</v>
      </c>
      <c r="CI182" s="95">
        <f t="shared" si="117"/>
        <v>0.10763619254588601</v>
      </c>
      <c r="CJ182" s="98">
        <f t="shared" si="118"/>
        <v>-1.4302810542445726E-3</v>
      </c>
      <c r="CK182" s="95">
        <f t="shared" si="119"/>
        <v>0.20692247958342472</v>
      </c>
      <c r="CL182" s="95">
        <f t="shared" si="120"/>
        <v>0.20546520501417398</v>
      </c>
      <c r="CM182" s="98">
        <f t="shared" si="121"/>
        <v>1.4572745692507383E-3</v>
      </c>
      <c r="CN182" s="94">
        <f t="shared" si="122"/>
        <v>0.53102955745820712</v>
      </c>
      <c r="CO182" s="94">
        <f t="shared" si="123"/>
        <v>1.0346123979171236</v>
      </c>
    </row>
    <row r="183" spans="1:94" ht="24.5" x14ac:dyDescent="0.35">
      <c r="A183" s="104">
        <v>177589</v>
      </c>
      <c r="B183" s="5" t="s">
        <v>581</v>
      </c>
      <c r="C183" s="46" t="s">
        <v>900</v>
      </c>
      <c r="D183" s="13" t="s">
        <v>901</v>
      </c>
      <c r="E183" s="6" t="s">
        <v>81</v>
      </c>
      <c r="F183" s="6" t="s">
        <v>154</v>
      </c>
      <c r="G183" s="12" t="s">
        <v>154</v>
      </c>
      <c r="H183" s="51" t="s">
        <v>135</v>
      </c>
      <c r="I183" s="24" t="s">
        <v>83</v>
      </c>
      <c r="J183" s="19">
        <v>275</v>
      </c>
      <c r="K183" s="19">
        <v>300</v>
      </c>
      <c r="L183" s="19">
        <v>65</v>
      </c>
      <c r="M183" s="19">
        <v>60</v>
      </c>
      <c r="N183" s="18">
        <v>290</v>
      </c>
      <c r="O183" s="18">
        <v>315</v>
      </c>
      <c r="P183" s="18">
        <v>70</v>
      </c>
      <c r="Q183" s="18">
        <v>65</v>
      </c>
      <c r="R183" s="19">
        <v>300</v>
      </c>
      <c r="S183" s="19">
        <v>275</v>
      </c>
      <c r="T183" s="19">
        <v>80</v>
      </c>
      <c r="U183" s="19">
        <v>65</v>
      </c>
      <c r="V183" s="19">
        <v>335</v>
      </c>
      <c r="W183" s="19">
        <v>305</v>
      </c>
      <c r="X183" s="19">
        <v>65</v>
      </c>
      <c r="Y183" s="19">
        <v>75</v>
      </c>
      <c r="Z183" s="19">
        <v>340</v>
      </c>
      <c r="AA183" s="19">
        <v>310</v>
      </c>
      <c r="AB183" s="19">
        <v>60</v>
      </c>
      <c r="AC183" s="19">
        <v>70</v>
      </c>
      <c r="AD183" s="19">
        <v>315</v>
      </c>
      <c r="AE183" s="19">
        <v>295</v>
      </c>
      <c r="AF183" s="19">
        <v>65</v>
      </c>
      <c r="AG183" s="19">
        <v>65</v>
      </c>
      <c r="AH183" s="19">
        <v>320</v>
      </c>
      <c r="AI183" s="19">
        <v>295</v>
      </c>
      <c r="AJ183" s="19">
        <v>60</v>
      </c>
      <c r="AK183" s="19">
        <v>65</v>
      </c>
      <c r="AL183" s="19">
        <v>285</v>
      </c>
      <c r="AM183" s="19">
        <v>270</v>
      </c>
      <c r="AN183" s="19">
        <v>55</v>
      </c>
      <c r="AO183" s="19">
        <v>50</v>
      </c>
      <c r="AP183" s="19">
        <v>320</v>
      </c>
      <c r="AQ183" s="19">
        <v>270</v>
      </c>
      <c r="AR183" s="19">
        <v>80</v>
      </c>
      <c r="AS183" s="19">
        <v>50</v>
      </c>
      <c r="AT183" s="19">
        <v>285</v>
      </c>
      <c r="AU183" s="19">
        <v>270</v>
      </c>
      <c r="AV183" s="19">
        <v>75</v>
      </c>
      <c r="AW183" s="19">
        <v>50</v>
      </c>
      <c r="AX183" s="19">
        <v>290</v>
      </c>
      <c r="AY183" s="19">
        <v>250</v>
      </c>
      <c r="AZ183" s="19">
        <v>90</v>
      </c>
      <c r="BA183" s="19">
        <v>50</v>
      </c>
      <c r="BB183" s="19">
        <v>315</v>
      </c>
      <c r="BC183" s="19">
        <v>295</v>
      </c>
      <c r="BD183" s="19">
        <v>85</v>
      </c>
      <c r="BE183" s="19">
        <v>65</v>
      </c>
      <c r="BF183" s="23">
        <v>28.590699999999998</v>
      </c>
      <c r="BG183" s="23">
        <v>77.037000000000006</v>
      </c>
      <c r="BH183" s="31">
        <f t="shared" si="93"/>
        <v>315</v>
      </c>
      <c r="BI183" s="31">
        <f t="shared" si="94"/>
        <v>295</v>
      </c>
      <c r="BJ183" s="37">
        <f t="shared" si="95"/>
        <v>20</v>
      </c>
      <c r="BK183" s="37">
        <f t="shared" si="96"/>
        <v>6.7796610169491522</v>
      </c>
      <c r="BL183" s="36">
        <f t="shared" si="97"/>
        <v>85</v>
      </c>
      <c r="BM183" s="36">
        <f t="shared" si="98"/>
        <v>65</v>
      </c>
      <c r="BN183" s="37">
        <f t="shared" si="99"/>
        <v>20</v>
      </c>
      <c r="BO183" s="37">
        <f t="shared" si="100"/>
        <v>30.76923076923077</v>
      </c>
      <c r="BP183" s="38">
        <f t="shared" si="101"/>
        <v>3720</v>
      </c>
      <c r="BQ183" s="39">
        <f>J183+N183+S183+W183+AA183+AE183+AI183+AM183+AQ183+AU183+Table1[[#This Row],[MS-0225]]+Table1[[#This Row],[MS-0325]]</f>
        <v>3400</v>
      </c>
      <c r="BR183" s="37">
        <f t="shared" si="102"/>
        <v>320</v>
      </c>
      <c r="BS183" s="37">
        <f t="shared" si="103"/>
        <v>9.4117647058823533</v>
      </c>
      <c r="BT183" s="36">
        <f t="shared" si="104"/>
        <v>840</v>
      </c>
      <c r="BU183" s="36">
        <f t="shared" si="105"/>
        <v>740</v>
      </c>
      <c r="BV183" s="37">
        <f t="shared" si="106"/>
        <v>100</v>
      </c>
      <c r="BW183" s="37">
        <f t="shared" si="107"/>
        <v>13.513513513513514</v>
      </c>
      <c r="BX183">
        <v>0</v>
      </c>
      <c r="BY183" s="83">
        <f t="shared" si="108"/>
        <v>0</v>
      </c>
      <c r="BZ183">
        <v>0</v>
      </c>
      <c r="CA183" s="83">
        <f t="shared" si="109"/>
        <v>0</v>
      </c>
      <c r="CB183" s="96">
        <f t="shared" si="110"/>
        <v>0.18124280782508631</v>
      </c>
      <c r="CC183" s="96">
        <f t="shared" si="111"/>
        <v>0.19193233571893298</v>
      </c>
      <c r="CD183" s="97">
        <f t="shared" si="112"/>
        <v>-1.0689527893846668E-2</v>
      </c>
      <c r="CE183" s="96">
        <f t="shared" si="113"/>
        <v>0.26234567901234568</v>
      </c>
      <c r="CF183" s="96">
        <f t="shared" si="114"/>
        <v>0.21311475409836064</v>
      </c>
      <c r="CG183" s="96">
        <f t="shared" si="115"/>
        <v>4.9230924913985036E-2</v>
      </c>
      <c r="CH183" s="95">
        <f t="shared" si="116"/>
        <v>0.18742442563482467</v>
      </c>
      <c r="CI183" s="95">
        <f t="shared" si="117"/>
        <v>0.18824571602580073</v>
      </c>
      <c r="CJ183" s="98">
        <f t="shared" si="118"/>
        <v>-8.2129039097605938E-4</v>
      </c>
      <c r="CK183" s="95">
        <f t="shared" si="119"/>
        <v>0.22813688212927757</v>
      </c>
      <c r="CL183" s="95">
        <f t="shared" si="120"/>
        <v>0.19673002791439587</v>
      </c>
      <c r="CM183" s="98">
        <f t="shared" si="121"/>
        <v>3.1406854214881708E-2</v>
      </c>
      <c r="CN183" s="94">
        <f t="shared" si="122"/>
        <v>0.74969770253929868</v>
      </c>
      <c r="CO183" s="94">
        <f t="shared" si="123"/>
        <v>0.9125475285171103</v>
      </c>
    </row>
    <row r="184" spans="1:94" ht="24.5" x14ac:dyDescent="0.35">
      <c r="A184" s="104">
        <v>182561</v>
      </c>
      <c r="B184" s="5" t="s">
        <v>581</v>
      </c>
      <c r="C184" s="46" t="s">
        <v>917</v>
      </c>
      <c r="D184" s="13" t="s">
        <v>918</v>
      </c>
      <c r="E184" s="6" t="s">
        <v>94</v>
      </c>
      <c r="F184" s="6" t="s">
        <v>919</v>
      </c>
      <c r="G184" s="12" t="s">
        <v>919</v>
      </c>
      <c r="H184" s="51" t="s">
        <v>920</v>
      </c>
      <c r="I184" s="24" t="s">
        <v>83</v>
      </c>
      <c r="J184" s="19">
        <v>274.5</v>
      </c>
      <c r="K184" s="19">
        <v>300</v>
      </c>
      <c r="L184" s="19">
        <v>229.5</v>
      </c>
      <c r="M184" s="19">
        <v>270</v>
      </c>
      <c r="N184" s="18">
        <v>279</v>
      </c>
      <c r="O184" s="18">
        <v>301</v>
      </c>
      <c r="P184" s="18">
        <v>261</v>
      </c>
      <c r="Q184" s="18">
        <v>315</v>
      </c>
      <c r="R184" s="19">
        <v>296.5</v>
      </c>
      <c r="S184" s="19">
        <v>283.5</v>
      </c>
      <c r="T184" s="19">
        <v>249.5</v>
      </c>
      <c r="U184" s="19">
        <v>292.5</v>
      </c>
      <c r="V184" s="19">
        <v>315.5</v>
      </c>
      <c r="W184" s="19">
        <v>299.5</v>
      </c>
      <c r="X184" s="19">
        <v>254.5</v>
      </c>
      <c r="Y184" s="19">
        <v>258.5</v>
      </c>
      <c r="Z184" s="19">
        <v>301</v>
      </c>
      <c r="AA184" s="19">
        <v>296.5</v>
      </c>
      <c r="AB184" s="19">
        <v>243</v>
      </c>
      <c r="AC184" s="19">
        <v>261.5</v>
      </c>
      <c r="AD184" s="19">
        <v>304</v>
      </c>
      <c r="AE184" s="19">
        <v>287.5</v>
      </c>
      <c r="AF184" s="19">
        <v>254</v>
      </c>
      <c r="AG184" s="19">
        <v>238.5</v>
      </c>
      <c r="AH184" s="19">
        <v>325</v>
      </c>
      <c r="AI184" s="19">
        <v>332.5</v>
      </c>
      <c r="AJ184" s="19">
        <v>227</v>
      </c>
      <c r="AK184" s="19">
        <v>271.5</v>
      </c>
      <c r="AL184" s="19">
        <v>296.5</v>
      </c>
      <c r="AM184" s="19">
        <v>282.5</v>
      </c>
      <c r="AN184" s="19">
        <v>243.5</v>
      </c>
      <c r="AO184" s="19">
        <v>215.5</v>
      </c>
      <c r="AP184" s="19">
        <v>323.5</v>
      </c>
      <c r="AQ184" s="19">
        <v>309</v>
      </c>
      <c r="AR184" s="19">
        <v>214.5</v>
      </c>
      <c r="AS184" s="19">
        <v>211</v>
      </c>
      <c r="AT184" s="19">
        <v>275.5</v>
      </c>
      <c r="AU184" s="19">
        <v>247</v>
      </c>
      <c r="AV184" s="19">
        <v>244.5</v>
      </c>
      <c r="AW184" s="19">
        <v>273</v>
      </c>
      <c r="AX184" s="19">
        <v>298.5</v>
      </c>
      <c r="AY184" s="19">
        <v>309</v>
      </c>
      <c r="AZ184" s="19">
        <v>235.5</v>
      </c>
      <c r="BA184" s="19">
        <v>187</v>
      </c>
      <c r="BB184" s="19">
        <v>313.5</v>
      </c>
      <c r="BC184" s="19">
        <v>272</v>
      </c>
      <c r="BD184" s="19">
        <v>260.5</v>
      </c>
      <c r="BE184" s="19">
        <v>260</v>
      </c>
      <c r="BF184" s="23">
        <v>28.4498</v>
      </c>
      <c r="BG184" s="23">
        <v>77.183999999999997</v>
      </c>
      <c r="BH184" s="31">
        <f t="shared" si="93"/>
        <v>313.5</v>
      </c>
      <c r="BI184" s="31">
        <f t="shared" si="94"/>
        <v>272</v>
      </c>
      <c r="BJ184" s="37">
        <f t="shared" si="95"/>
        <v>41.5</v>
      </c>
      <c r="BK184" s="37">
        <f t="shared" si="96"/>
        <v>15.257352941176471</v>
      </c>
      <c r="BL184" s="36">
        <f t="shared" si="97"/>
        <v>260.5</v>
      </c>
      <c r="BM184" s="36">
        <f t="shared" si="98"/>
        <v>260</v>
      </c>
      <c r="BN184" s="37">
        <f t="shared" si="99"/>
        <v>0.5</v>
      </c>
      <c r="BO184" s="37">
        <f t="shared" si="100"/>
        <v>0.19230769230769232</v>
      </c>
      <c r="BP184" s="38">
        <f t="shared" si="101"/>
        <v>3650.5</v>
      </c>
      <c r="BQ184" s="39">
        <f>J184+N184+S184+W184+AA184+AE184+AI184+AM184+AQ184+AU184+Table1[[#This Row],[MS-0225]]+Table1[[#This Row],[MS-0325]]</f>
        <v>3472.5</v>
      </c>
      <c r="BR184" s="37">
        <f t="shared" si="102"/>
        <v>178</v>
      </c>
      <c r="BS184" s="37">
        <f t="shared" si="103"/>
        <v>5.1259899208063358</v>
      </c>
      <c r="BT184" s="36">
        <f t="shared" si="104"/>
        <v>3011.5</v>
      </c>
      <c r="BU184" s="36">
        <f t="shared" si="105"/>
        <v>2959.5</v>
      </c>
      <c r="BV184" s="37">
        <f t="shared" si="106"/>
        <v>52</v>
      </c>
      <c r="BW184" s="37">
        <f t="shared" si="107"/>
        <v>1.7570535563439769</v>
      </c>
      <c r="BX184">
        <v>0</v>
      </c>
      <c r="BY184" s="83">
        <f t="shared" si="108"/>
        <v>0</v>
      </c>
      <c r="BZ184">
        <v>0</v>
      </c>
      <c r="CA184" s="83">
        <f t="shared" si="109"/>
        <v>0</v>
      </c>
      <c r="CB184" s="96">
        <f t="shared" si="110"/>
        <v>1</v>
      </c>
      <c r="CC184" s="96">
        <f t="shared" si="111"/>
        <v>1</v>
      </c>
      <c r="CD184" s="97">
        <f t="shared" si="112"/>
        <v>0</v>
      </c>
      <c r="CE184" s="96">
        <f t="shared" si="113"/>
        <v>1</v>
      </c>
      <c r="CF184" s="96">
        <f t="shared" si="114"/>
        <v>1</v>
      </c>
      <c r="CG184" s="96">
        <f t="shared" si="115"/>
        <v>0</v>
      </c>
      <c r="CH184" s="95">
        <f t="shared" si="116"/>
        <v>1</v>
      </c>
      <c r="CI184" s="95">
        <f t="shared" si="117"/>
        <v>1</v>
      </c>
      <c r="CJ184" s="98">
        <f t="shared" si="118"/>
        <v>0</v>
      </c>
      <c r="CK184" s="95">
        <f t="shared" si="119"/>
        <v>1</v>
      </c>
      <c r="CL184" s="95">
        <f t="shared" si="120"/>
        <v>1</v>
      </c>
      <c r="CM184" s="98">
        <f t="shared" si="121"/>
        <v>0</v>
      </c>
      <c r="CN184" s="94">
        <f t="shared" si="122"/>
        <v>1</v>
      </c>
      <c r="CO184" s="94">
        <f t="shared" si="123"/>
        <v>1</v>
      </c>
    </row>
    <row r="185" spans="1:94" ht="24.5" x14ac:dyDescent="0.35">
      <c r="A185" s="102">
        <v>112461</v>
      </c>
      <c r="B185" s="3" t="s">
        <v>72</v>
      </c>
      <c r="C185" s="43" t="s">
        <v>364</v>
      </c>
      <c r="D185" s="12" t="s">
        <v>365</v>
      </c>
      <c r="E185" s="4" t="s">
        <v>187</v>
      </c>
      <c r="F185" s="4" t="s">
        <v>366</v>
      </c>
      <c r="G185" s="12" t="s">
        <v>366</v>
      </c>
      <c r="H185" s="51" t="s">
        <v>367</v>
      </c>
      <c r="I185" s="23" t="s">
        <v>86</v>
      </c>
      <c r="J185" s="90">
        <v>321.50000399999999</v>
      </c>
      <c r="K185" s="90">
        <v>314</v>
      </c>
      <c r="L185" s="90">
        <v>730.5</v>
      </c>
      <c r="M185" s="90">
        <v>280</v>
      </c>
      <c r="N185" s="18">
        <v>322.50000199999999</v>
      </c>
      <c r="O185" s="18">
        <v>333</v>
      </c>
      <c r="P185" s="18">
        <v>837.5</v>
      </c>
      <c r="Q185" s="18">
        <v>239</v>
      </c>
      <c r="R185" s="90">
        <v>308</v>
      </c>
      <c r="S185" s="90">
        <v>309.50000299999999</v>
      </c>
      <c r="T185" s="90">
        <v>220</v>
      </c>
      <c r="U185" s="90">
        <v>834.5</v>
      </c>
      <c r="V185" s="90">
        <v>321</v>
      </c>
      <c r="W185" s="90">
        <v>337</v>
      </c>
      <c r="X185" s="90">
        <v>208</v>
      </c>
      <c r="Y185" s="90">
        <v>663</v>
      </c>
      <c r="Z185" s="90">
        <v>299</v>
      </c>
      <c r="AA185" s="90">
        <v>323.000001</v>
      </c>
      <c r="AB185" s="90">
        <v>251</v>
      </c>
      <c r="AC185" s="90">
        <v>531</v>
      </c>
      <c r="AD185" s="90">
        <v>260</v>
      </c>
      <c r="AE185" s="90">
        <v>352.500001</v>
      </c>
      <c r="AF185" s="90">
        <v>290</v>
      </c>
      <c r="AG185" s="90">
        <v>507.5</v>
      </c>
      <c r="AH185" s="90">
        <v>263</v>
      </c>
      <c r="AI185" s="90">
        <v>345</v>
      </c>
      <c r="AJ185" s="90">
        <v>287</v>
      </c>
      <c r="AK185" s="90">
        <v>503</v>
      </c>
      <c r="AL185" s="90">
        <v>296</v>
      </c>
      <c r="AM185" s="90">
        <v>315</v>
      </c>
      <c r="AN185" s="90">
        <v>364</v>
      </c>
      <c r="AO185" s="90">
        <v>395</v>
      </c>
      <c r="AP185" s="90">
        <v>315</v>
      </c>
      <c r="AQ185" s="90">
        <v>320</v>
      </c>
      <c r="AR185" s="90">
        <v>279</v>
      </c>
      <c r="AS185" s="90">
        <v>402</v>
      </c>
      <c r="AT185" s="90">
        <v>297</v>
      </c>
      <c r="AU185" s="90">
        <v>314</v>
      </c>
      <c r="AV185" s="90">
        <v>297</v>
      </c>
      <c r="AW185" s="90">
        <v>414</v>
      </c>
      <c r="AX185" s="90">
        <v>298</v>
      </c>
      <c r="AY185" s="90">
        <v>296</v>
      </c>
      <c r="AZ185" s="90">
        <v>274</v>
      </c>
      <c r="BA185" s="90">
        <v>340</v>
      </c>
      <c r="BB185" s="90">
        <v>313</v>
      </c>
      <c r="BC185" s="90">
        <v>319</v>
      </c>
      <c r="BD185" s="90">
        <v>347</v>
      </c>
      <c r="BE185" s="90">
        <v>361</v>
      </c>
      <c r="BF185" s="23">
        <v>28.673719999999999</v>
      </c>
      <c r="BG185" s="23">
        <v>77.186999999999998</v>
      </c>
      <c r="BH185" s="31">
        <f t="shared" si="93"/>
        <v>313</v>
      </c>
      <c r="BI185" s="31">
        <f t="shared" si="94"/>
        <v>319</v>
      </c>
      <c r="BJ185" s="37">
        <f t="shared" si="95"/>
        <v>-6</v>
      </c>
      <c r="BK185" s="37">
        <f t="shared" si="96"/>
        <v>-1.8808777429467085</v>
      </c>
      <c r="BL185" s="36">
        <f t="shared" si="97"/>
        <v>347</v>
      </c>
      <c r="BM185" s="36">
        <f t="shared" si="98"/>
        <v>361</v>
      </c>
      <c r="BN185" s="37">
        <f t="shared" si="99"/>
        <v>-14</v>
      </c>
      <c r="BO185" s="37">
        <f t="shared" si="100"/>
        <v>-3.8781163434903045</v>
      </c>
      <c r="BP185" s="38">
        <f t="shared" si="101"/>
        <v>3617</v>
      </c>
      <c r="BQ185" s="39">
        <f>J185+N185+S185+W185+AA185+AE185+AI185+AM185+AQ185+AU185+Table1[[#This Row],[MS-0225]]+Table1[[#This Row],[MS-0325]]</f>
        <v>3875.0000109999996</v>
      </c>
      <c r="BR185" s="37">
        <f t="shared" si="102"/>
        <v>-258.00001099999963</v>
      </c>
      <c r="BS185" s="37">
        <f t="shared" si="103"/>
        <v>-6.6580647810996778</v>
      </c>
      <c r="BT185" s="36">
        <f t="shared" si="104"/>
        <v>3336</v>
      </c>
      <c r="BU185" s="36">
        <f t="shared" si="105"/>
        <v>6519</v>
      </c>
      <c r="BV185" s="37">
        <f t="shared" si="106"/>
        <v>-3183</v>
      </c>
      <c r="BW185" s="37">
        <f t="shared" si="107"/>
        <v>-48.826507132995857</v>
      </c>
      <c r="BX185">
        <v>5</v>
      </c>
      <c r="BY185" s="83">
        <f t="shared" si="108"/>
        <v>1.5974440894568689E-2</v>
      </c>
      <c r="BZ185">
        <v>123</v>
      </c>
      <c r="CA185" s="83">
        <f t="shared" si="109"/>
        <v>3.4006082388719931E-2</v>
      </c>
      <c r="CB185" s="96">
        <f t="shared" si="110"/>
        <v>0.18250728862973761</v>
      </c>
      <c r="CC185" s="96">
        <f t="shared" si="111"/>
        <v>0.17876155785934436</v>
      </c>
      <c r="CD185" s="97">
        <f t="shared" si="112"/>
        <v>3.7457307703932519E-3</v>
      </c>
      <c r="CE185" s="96">
        <f t="shared" si="113"/>
        <v>0.37191854233654875</v>
      </c>
      <c r="CF185" s="96">
        <f t="shared" si="114"/>
        <v>0.30947278182597515</v>
      </c>
      <c r="CG185" s="96">
        <f t="shared" si="115"/>
        <v>6.24457605105736E-2</v>
      </c>
      <c r="CH185" s="95">
        <f t="shared" si="116"/>
        <v>0.1687309028992606</v>
      </c>
      <c r="CI185" s="95">
        <f t="shared" si="117"/>
        <v>0.17987281289987039</v>
      </c>
      <c r="CJ185" s="98">
        <f t="shared" si="118"/>
        <v>-1.1141910000609795E-2</v>
      </c>
      <c r="CK185" s="95">
        <f t="shared" si="119"/>
        <v>0.27098818082125015</v>
      </c>
      <c r="CL185" s="95">
        <f t="shared" si="120"/>
        <v>0.41535520866518</v>
      </c>
      <c r="CM185" s="98">
        <f t="shared" si="121"/>
        <v>-0.14436702784392985</v>
      </c>
      <c r="CN185" s="94">
        <f t="shared" si="122"/>
        <v>1.0123854173955635</v>
      </c>
      <c r="CO185" s="94">
        <f t="shared" si="123"/>
        <v>1.6259290849275008</v>
      </c>
    </row>
    <row r="186" spans="1:94" ht="36.5" x14ac:dyDescent="0.35">
      <c r="A186" s="102">
        <v>112418</v>
      </c>
      <c r="B186" s="3" t="s">
        <v>72</v>
      </c>
      <c r="C186" s="41" t="s">
        <v>313</v>
      </c>
      <c r="D186" s="12" t="s">
        <v>314</v>
      </c>
      <c r="E186" s="4" t="s">
        <v>103</v>
      </c>
      <c r="F186" s="4" t="s">
        <v>315</v>
      </c>
      <c r="G186" s="12" t="s">
        <v>315</v>
      </c>
      <c r="H186" s="51" t="s">
        <v>189</v>
      </c>
      <c r="I186" s="23" t="s">
        <v>86</v>
      </c>
      <c r="J186" s="90">
        <v>256.50000199999999</v>
      </c>
      <c r="K186" s="90">
        <v>279</v>
      </c>
      <c r="L186" s="90">
        <v>175.5</v>
      </c>
      <c r="M186" s="90">
        <v>217</v>
      </c>
      <c r="N186" s="18">
        <v>288.00000199999999</v>
      </c>
      <c r="O186" s="18">
        <v>293</v>
      </c>
      <c r="P186" s="18">
        <v>216</v>
      </c>
      <c r="Q186" s="18">
        <v>243</v>
      </c>
      <c r="R186" s="90">
        <v>278.5</v>
      </c>
      <c r="S186" s="90">
        <v>256.50000199999999</v>
      </c>
      <c r="T186" s="90">
        <v>231.5</v>
      </c>
      <c r="U186" s="90">
        <v>193.5</v>
      </c>
      <c r="V186" s="90">
        <v>305.5</v>
      </c>
      <c r="W186" s="90">
        <v>283.500001</v>
      </c>
      <c r="X186" s="90">
        <v>226.5</v>
      </c>
      <c r="Y186" s="90">
        <v>220.5</v>
      </c>
      <c r="Z186" s="90">
        <v>313</v>
      </c>
      <c r="AA186" s="90">
        <v>274.50000199999999</v>
      </c>
      <c r="AB186" s="90">
        <v>223</v>
      </c>
      <c r="AC186" s="90">
        <v>193.5</v>
      </c>
      <c r="AD186" s="90">
        <v>321</v>
      </c>
      <c r="AE186" s="90">
        <v>279.00000199999999</v>
      </c>
      <c r="AF186" s="90">
        <v>171</v>
      </c>
      <c r="AG186" s="90">
        <v>189</v>
      </c>
      <c r="AH186" s="90">
        <v>318.5</v>
      </c>
      <c r="AI186" s="90">
        <v>283.5</v>
      </c>
      <c r="AJ186" s="90">
        <v>179.5</v>
      </c>
      <c r="AK186" s="90">
        <v>238.5</v>
      </c>
      <c r="AL186" s="90">
        <v>294</v>
      </c>
      <c r="AM186" s="90">
        <v>275.5</v>
      </c>
      <c r="AN186" s="90">
        <v>182</v>
      </c>
      <c r="AO186" s="90">
        <v>190.5</v>
      </c>
      <c r="AP186" s="90">
        <v>305</v>
      </c>
      <c r="AQ186" s="90">
        <v>263.5</v>
      </c>
      <c r="AR186" s="90">
        <v>187</v>
      </c>
      <c r="AS186" s="90">
        <v>224.5</v>
      </c>
      <c r="AT186" s="90">
        <v>285.5</v>
      </c>
      <c r="AU186" s="90">
        <v>264</v>
      </c>
      <c r="AV186" s="90">
        <v>218.5</v>
      </c>
      <c r="AW186" s="90">
        <v>252</v>
      </c>
      <c r="AX186" s="90">
        <v>294.5</v>
      </c>
      <c r="AY186" s="90">
        <v>237</v>
      </c>
      <c r="AZ186" s="90">
        <v>223.5</v>
      </c>
      <c r="BA186" s="90">
        <v>217</v>
      </c>
      <c r="BB186" s="90">
        <v>312.5</v>
      </c>
      <c r="BC186" s="90">
        <v>286.5</v>
      </c>
      <c r="BD186" s="90">
        <v>153.5</v>
      </c>
      <c r="BE186" s="90">
        <v>257.5</v>
      </c>
      <c r="BF186" s="23">
        <v>28.644459999999999</v>
      </c>
      <c r="BG186" s="23">
        <v>77.198800000000006</v>
      </c>
      <c r="BH186" s="31">
        <f t="shared" si="93"/>
        <v>312.5</v>
      </c>
      <c r="BI186" s="31">
        <f t="shared" si="94"/>
        <v>286.5</v>
      </c>
      <c r="BJ186" s="37">
        <f t="shared" si="95"/>
        <v>26</v>
      </c>
      <c r="BK186" s="37">
        <f t="shared" si="96"/>
        <v>9.0750436300174506</v>
      </c>
      <c r="BL186" s="36">
        <f t="shared" si="97"/>
        <v>153.5</v>
      </c>
      <c r="BM186" s="36">
        <f t="shared" si="98"/>
        <v>257.5</v>
      </c>
      <c r="BN186" s="37">
        <f t="shared" si="99"/>
        <v>-104</v>
      </c>
      <c r="BO186" s="37">
        <f t="shared" si="100"/>
        <v>-40.388349514563103</v>
      </c>
      <c r="BP186" s="38">
        <f t="shared" si="101"/>
        <v>3600</v>
      </c>
      <c r="BQ186" s="39">
        <f>J186+N186+S186+W186+AA186+AE186+AI186+AM186+AQ186+AU186+Table1[[#This Row],[MS-0225]]+Table1[[#This Row],[MS-0325]]</f>
        <v>3248.0000110000001</v>
      </c>
      <c r="BR186" s="37">
        <f t="shared" si="102"/>
        <v>351.99998899999991</v>
      </c>
      <c r="BS186" s="37">
        <f t="shared" si="103"/>
        <v>10.837438048272221</v>
      </c>
      <c r="BT186" s="36">
        <f t="shared" si="104"/>
        <v>2456</v>
      </c>
      <c r="BU186" s="36">
        <f t="shared" si="105"/>
        <v>2568</v>
      </c>
      <c r="BV186" s="37">
        <f t="shared" si="106"/>
        <v>-112</v>
      </c>
      <c r="BW186" s="37">
        <f t="shared" si="107"/>
        <v>-4.361370716510903</v>
      </c>
      <c r="BX186">
        <v>25</v>
      </c>
      <c r="BY186" s="83">
        <f t="shared" si="108"/>
        <v>0.08</v>
      </c>
      <c r="BZ186">
        <v>103.5</v>
      </c>
      <c r="CA186" s="83">
        <f t="shared" si="109"/>
        <v>2.8750000000000001E-2</v>
      </c>
      <c r="CB186" s="96">
        <f t="shared" si="110"/>
        <v>0.23918867202449293</v>
      </c>
      <c r="CC186" s="96">
        <f t="shared" si="111"/>
        <v>0.23658133773740711</v>
      </c>
      <c r="CD186" s="97">
        <f t="shared" si="112"/>
        <v>2.6073342870858163E-3</v>
      </c>
      <c r="CE186" s="96">
        <f t="shared" si="113"/>
        <v>0.35573580533024335</v>
      </c>
      <c r="CF186" s="96">
        <f t="shared" si="114"/>
        <v>0.4470486111111111</v>
      </c>
      <c r="CG186" s="96">
        <f t="shared" si="115"/>
        <v>-9.1312805780867756E-2</v>
      </c>
      <c r="CH186" s="95">
        <f t="shared" si="116"/>
        <v>0.23275360444818</v>
      </c>
      <c r="CI186" s="95">
        <f t="shared" si="117"/>
        <v>0.22361445832692284</v>
      </c>
      <c r="CJ186" s="98">
        <f t="shared" si="118"/>
        <v>9.1391461212571579E-3</v>
      </c>
      <c r="CK186" s="95">
        <f t="shared" si="119"/>
        <v>0.4</v>
      </c>
      <c r="CL186" s="95">
        <f t="shared" si="120"/>
        <v>0.38686351310635736</v>
      </c>
      <c r="CM186" s="98">
        <f t="shared" si="121"/>
        <v>1.3136486893642663E-2</v>
      </c>
      <c r="CN186" s="94">
        <f t="shared" si="122"/>
        <v>0.93101441779271998</v>
      </c>
      <c r="CO186" s="94">
        <f t="shared" si="123"/>
        <v>1.6</v>
      </c>
    </row>
    <row r="187" spans="1:94" ht="24.5" x14ac:dyDescent="0.35">
      <c r="A187" s="103">
        <v>41056993</v>
      </c>
      <c r="B187" s="9" t="s">
        <v>380</v>
      </c>
      <c r="C187" s="48" t="s">
        <v>508</v>
      </c>
      <c r="D187" s="14" t="s">
        <v>434</v>
      </c>
      <c r="E187" s="10" t="s">
        <v>200</v>
      </c>
      <c r="F187" s="10" t="s">
        <v>300</v>
      </c>
      <c r="G187" s="12" t="s">
        <v>300</v>
      </c>
      <c r="H187" s="51" t="s">
        <v>261</v>
      </c>
      <c r="I187" s="25" t="s">
        <v>83</v>
      </c>
      <c r="J187" s="20">
        <v>218</v>
      </c>
      <c r="K187" s="20">
        <v>309</v>
      </c>
      <c r="L187" s="20">
        <v>230</v>
      </c>
      <c r="M187" s="20">
        <v>339</v>
      </c>
      <c r="N187" s="18">
        <v>280</v>
      </c>
      <c r="O187" s="18">
        <v>333</v>
      </c>
      <c r="P187" s="18">
        <v>340</v>
      </c>
      <c r="Q187" s="18">
        <v>357</v>
      </c>
      <c r="R187" s="20">
        <v>345</v>
      </c>
      <c r="S187" s="20">
        <v>303.5</v>
      </c>
      <c r="T187" s="20">
        <v>377</v>
      </c>
      <c r="U187" s="20">
        <v>348.5</v>
      </c>
      <c r="V187" s="20">
        <v>300</v>
      </c>
      <c r="W187" s="20">
        <v>261</v>
      </c>
      <c r="X187" s="20">
        <v>366</v>
      </c>
      <c r="Y187" s="20">
        <v>325</v>
      </c>
      <c r="Z187" s="20">
        <v>342</v>
      </c>
      <c r="AA187" s="20">
        <v>300.5</v>
      </c>
      <c r="AB187" s="20">
        <v>346</v>
      </c>
      <c r="AC187" s="20">
        <v>323.5</v>
      </c>
      <c r="AD187" s="20">
        <v>290</v>
      </c>
      <c r="AE187" s="20">
        <v>275.5</v>
      </c>
      <c r="AF187" s="20">
        <v>378</v>
      </c>
      <c r="AG187" s="20">
        <v>352.5</v>
      </c>
      <c r="AH187" s="20">
        <v>362</v>
      </c>
      <c r="AI187" s="20">
        <v>266</v>
      </c>
      <c r="AJ187" s="20">
        <v>389</v>
      </c>
      <c r="AK187" s="20">
        <v>390</v>
      </c>
      <c r="AL187" s="20">
        <v>367</v>
      </c>
      <c r="AM187" s="20">
        <v>291.5</v>
      </c>
      <c r="AN187" s="20">
        <v>383</v>
      </c>
      <c r="AO187" s="20">
        <v>328.5</v>
      </c>
      <c r="AP187" s="20">
        <v>322</v>
      </c>
      <c r="AQ187" s="20">
        <v>268.5</v>
      </c>
      <c r="AR187" s="20">
        <v>381</v>
      </c>
      <c r="AS187" s="20">
        <v>297.5</v>
      </c>
      <c r="AT187" s="20">
        <v>322</v>
      </c>
      <c r="AU187" s="20">
        <v>269.5</v>
      </c>
      <c r="AV187" s="20">
        <v>414</v>
      </c>
      <c r="AW187" s="20">
        <v>332.5</v>
      </c>
      <c r="AX187" s="20">
        <v>290</v>
      </c>
      <c r="AY187" s="20">
        <v>246</v>
      </c>
      <c r="AZ187" s="20">
        <v>396</v>
      </c>
      <c r="BA187" s="20">
        <v>320</v>
      </c>
      <c r="BB187" s="20">
        <v>312</v>
      </c>
      <c r="BC187" s="20">
        <v>307</v>
      </c>
      <c r="BD187" s="20">
        <v>396</v>
      </c>
      <c r="BE187" s="20">
        <v>339</v>
      </c>
      <c r="BF187" s="23">
        <v>28.853649999999998</v>
      </c>
      <c r="BG187" s="23">
        <v>77.124629999999996</v>
      </c>
      <c r="BH187" s="31">
        <f t="shared" si="93"/>
        <v>312</v>
      </c>
      <c r="BI187" s="31">
        <f t="shared" si="94"/>
        <v>307</v>
      </c>
      <c r="BJ187" s="37">
        <f t="shared" si="95"/>
        <v>5</v>
      </c>
      <c r="BK187" s="37">
        <f t="shared" si="96"/>
        <v>1.6286644951140066</v>
      </c>
      <c r="BL187" s="36">
        <f t="shared" si="97"/>
        <v>396</v>
      </c>
      <c r="BM187" s="36">
        <f t="shared" si="98"/>
        <v>339</v>
      </c>
      <c r="BN187" s="37">
        <f t="shared" si="99"/>
        <v>57</v>
      </c>
      <c r="BO187" s="37">
        <f t="shared" si="100"/>
        <v>16.814159292035399</v>
      </c>
      <c r="BP187" s="38">
        <f t="shared" si="101"/>
        <v>3894</v>
      </c>
      <c r="BQ187" s="39">
        <f>J187+N187+S187+W187+AA187+AE187+AI187+AM187+AQ187+AU187+Table1[[#This Row],[MS-0225]]+Table1[[#This Row],[MS-0325]]</f>
        <v>3287</v>
      </c>
      <c r="BR187" s="37">
        <f t="shared" si="102"/>
        <v>607</v>
      </c>
      <c r="BS187" s="37">
        <f t="shared" si="103"/>
        <v>18.466686948585338</v>
      </c>
      <c r="BT187" s="36">
        <f t="shared" si="104"/>
        <v>4522</v>
      </c>
      <c r="BU187" s="36">
        <f t="shared" si="105"/>
        <v>3927</v>
      </c>
      <c r="BV187" s="37">
        <f t="shared" si="106"/>
        <v>595</v>
      </c>
      <c r="BW187" s="37">
        <f t="shared" si="107"/>
        <v>15.151515151515152</v>
      </c>
      <c r="BX187">
        <v>0</v>
      </c>
      <c r="BY187" s="83">
        <f t="shared" si="108"/>
        <v>0</v>
      </c>
      <c r="BZ187">
        <v>0</v>
      </c>
      <c r="CA187" s="83">
        <f t="shared" si="109"/>
        <v>0</v>
      </c>
      <c r="CB187" s="96">
        <f t="shared" si="110"/>
        <v>0.58263305322128855</v>
      </c>
      <c r="CC187" s="96">
        <f t="shared" si="111"/>
        <v>0.55919854280510017</v>
      </c>
      <c r="CD187" s="97">
        <f t="shared" si="112"/>
        <v>2.3434510416188381E-2</v>
      </c>
      <c r="CE187" s="96">
        <f t="shared" si="113"/>
        <v>0.59414853713428362</v>
      </c>
      <c r="CF187" s="96">
        <f t="shared" si="114"/>
        <v>0.52968749999999998</v>
      </c>
      <c r="CG187" s="96">
        <f t="shared" si="115"/>
        <v>6.4461037134283639E-2</v>
      </c>
      <c r="CH187" s="95">
        <f t="shared" si="116"/>
        <v>0.5665236051502146</v>
      </c>
      <c r="CI187" s="95">
        <f t="shared" si="117"/>
        <v>0.5450174100480849</v>
      </c>
      <c r="CJ187" s="98">
        <f t="shared" si="118"/>
        <v>2.1506195102129699E-2</v>
      </c>
      <c r="CK187" s="95">
        <f t="shared" si="119"/>
        <v>0.5757209243109046</v>
      </c>
      <c r="CL187" s="95">
        <f t="shared" si="120"/>
        <v>0.53632887189292544</v>
      </c>
      <c r="CM187" s="98">
        <f t="shared" si="121"/>
        <v>3.9392052417979162E-2</v>
      </c>
      <c r="CN187" s="94">
        <f t="shared" si="122"/>
        <v>3.3991416309012878</v>
      </c>
      <c r="CO187" s="94">
        <f t="shared" si="123"/>
        <v>3.4543255458654274</v>
      </c>
    </row>
    <row r="188" spans="1:94" x14ac:dyDescent="0.35">
      <c r="A188" s="103">
        <v>41028209</v>
      </c>
      <c r="B188" s="9" t="s">
        <v>380</v>
      </c>
      <c r="C188" s="48" t="s">
        <v>565</v>
      </c>
      <c r="D188" s="14" t="s">
        <v>566</v>
      </c>
      <c r="E188" s="10" t="s">
        <v>85</v>
      </c>
      <c r="F188" s="10" t="s">
        <v>318</v>
      </c>
      <c r="G188" s="12" t="s">
        <v>318</v>
      </c>
      <c r="H188" s="51" t="s">
        <v>304</v>
      </c>
      <c r="I188" s="25" t="s">
        <v>86</v>
      </c>
      <c r="J188" s="20">
        <v>238.5</v>
      </c>
      <c r="K188" s="20">
        <v>251</v>
      </c>
      <c r="L188" s="20">
        <v>31.5</v>
      </c>
      <c r="M188" s="20">
        <v>38</v>
      </c>
      <c r="N188" s="18">
        <v>252</v>
      </c>
      <c r="O188" s="18">
        <v>274</v>
      </c>
      <c r="P188" s="18">
        <v>54</v>
      </c>
      <c r="Q188" s="18">
        <v>47</v>
      </c>
      <c r="R188" s="20">
        <v>242</v>
      </c>
      <c r="S188" s="20">
        <v>252</v>
      </c>
      <c r="T188" s="20">
        <v>41</v>
      </c>
      <c r="U188" s="20">
        <v>36</v>
      </c>
      <c r="V188" s="20">
        <v>272</v>
      </c>
      <c r="W188" s="20">
        <v>261</v>
      </c>
      <c r="X188" s="20">
        <v>39</v>
      </c>
      <c r="Y188" s="20">
        <v>45</v>
      </c>
      <c r="Z188" s="20">
        <v>263</v>
      </c>
      <c r="AA188" s="20">
        <v>274.5</v>
      </c>
      <c r="AB188" s="20">
        <v>47</v>
      </c>
      <c r="AC188" s="20">
        <v>49.5</v>
      </c>
      <c r="AD188" s="20">
        <v>268</v>
      </c>
      <c r="AE188" s="20">
        <v>252</v>
      </c>
      <c r="AF188" s="20">
        <v>44</v>
      </c>
      <c r="AG188" s="20">
        <v>36</v>
      </c>
      <c r="AH188" s="20">
        <v>271</v>
      </c>
      <c r="AI188" s="20">
        <v>256.5</v>
      </c>
      <c r="AJ188" s="20">
        <v>49</v>
      </c>
      <c r="AK188" s="20">
        <v>49.5</v>
      </c>
      <c r="AL188" s="20">
        <v>252</v>
      </c>
      <c r="AM188" s="20">
        <v>262.5</v>
      </c>
      <c r="AN188" s="20">
        <v>36</v>
      </c>
      <c r="AO188" s="20">
        <v>45.5</v>
      </c>
      <c r="AP188" s="20">
        <v>246</v>
      </c>
      <c r="AQ188" s="20">
        <v>252</v>
      </c>
      <c r="AR188" s="20">
        <v>40</v>
      </c>
      <c r="AS188" s="20">
        <v>36</v>
      </c>
      <c r="AT188" s="20">
        <v>232</v>
      </c>
      <c r="AU188" s="20">
        <v>249</v>
      </c>
      <c r="AV188" s="20">
        <v>36</v>
      </c>
      <c r="AW188" s="20">
        <v>64</v>
      </c>
      <c r="AX188" s="20">
        <v>228</v>
      </c>
      <c r="AY188" s="20">
        <v>222</v>
      </c>
      <c r="AZ188" s="20">
        <v>43</v>
      </c>
      <c r="BA188" s="20">
        <v>45</v>
      </c>
      <c r="BB188" s="20">
        <v>242</v>
      </c>
      <c r="BC188" s="20">
        <v>272</v>
      </c>
      <c r="BD188" s="20">
        <v>45</v>
      </c>
      <c r="BE188" s="20">
        <v>39</v>
      </c>
      <c r="BF188" s="23">
        <v>28.662459999999999</v>
      </c>
      <c r="BG188" s="23">
        <v>77.079899999999995</v>
      </c>
      <c r="BH188" s="31">
        <f t="shared" si="93"/>
        <v>242</v>
      </c>
      <c r="BI188" s="31">
        <f t="shared" si="94"/>
        <v>272</v>
      </c>
      <c r="BJ188" s="37">
        <f t="shared" si="95"/>
        <v>-30</v>
      </c>
      <c r="BK188" s="37">
        <f t="shared" si="96"/>
        <v>-11.029411764705882</v>
      </c>
      <c r="BL188" s="36">
        <f t="shared" si="97"/>
        <v>45</v>
      </c>
      <c r="BM188" s="36">
        <f t="shared" si="98"/>
        <v>39</v>
      </c>
      <c r="BN188" s="37">
        <f t="shared" si="99"/>
        <v>6</v>
      </c>
      <c r="BO188" s="37">
        <f t="shared" si="100"/>
        <v>15.384615384615385</v>
      </c>
      <c r="BP188" s="38">
        <f t="shared" si="101"/>
        <v>3041</v>
      </c>
      <c r="BQ188" s="39">
        <f>J188+N188+S188+W188+AA188+AE188+AI188+AM188+AQ188+AU188+Table1[[#This Row],[MS-0225]]+Table1[[#This Row],[MS-0325]]</f>
        <v>3044</v>
      </c>
      <c r="BR188" s="37">
        <f t="shared" si="102"/>
        <v>-3</v>
      </c>
      <c r="BS188" s="37">
        <f t="shared" si="103"/>
        <v>-9.8554533508541389E-2</v>
      </c>
      <c r="BT188" s="36">
        <f t="shared" si="104"/>
        <v>505</v>
      </c>
      <c r="BU188" s="36">
        <f t="shared" si="105"/>
        <v>531</v>
      </c>
      <c r="BV188" s="37">
        <f t="shared" si="106"/>
        <v>-26</v>
      </c>
      <c r="BW188" s="37">
        <f t="shared" si="107"/>
        <v>-4.8964218455743875</v>
      </c>
      <c r="BX188">
        <v>0</v>
      </c>
      <c r="BY188" s="83">
        <f t="shared" si="108"/>
        <v>0</v>
      </c>
      <c r="BZ188">
        <v>0</v>
      </c>
      <c r="CA188" s="83">
        <f t="shared" si="109"/>
        <v>0</v>
      </c>
      <c r="CB188" s="96">
        <f t="shared" si="110"/>
        <v>0.31758530183727035</v>
      </c>
      <c r="CC188" s="96">
        <f t="shared" si="111"/>
        <v>0.37414030261348008</v>
      </c>
      <c r="CD188" s="97">
        <f t="shared" si="112"/>
        <v>-5.655500077620973E-2</v>
      </c>
      <c r="CE188" s="96">
        <f t="shared" si="113"/>
        <v>0.36</v>
      </c>
      <c r="CF188" s="96">
        <f t="shared" si="114"/>
        <v>0.31451612903225806</v>
      </c>
      <c r="CG188" s="96">
        <f t="shared" si="115"/>
        <v>4.5483870967741924E-2</v>
      </c>
      <c r="CH188" s="95">
        <f t="shared" si="116"/>
        <v>0.34572532969531605</v>
      </c>
      <c r="CI188" s="95">
        <f t="shared" si="117"/>
        <v>0.35071144651189584</v>
      </c>
      <c r="CJ188" s="98">
        <f t="shared" si="118"/>
        <v>-4.9861168165797887E-3</v>
      </c>
      <c r="CK188" s="95">
        <f t="shared" si="119"/>
        <v>0.35314685314685312</v>
      </c>
      <c r="CL188" s="95">
        <f t="shared" si="120"/>
        <v>0.32586683031604785</v>
      </c>
      <c r="CM188" s="98">
        <f t="shared" si="121"/>
        <v>2.7280022830805273E-2</v>
      </c>
      <c r="CN188" s="94">
        <f t="shared" si="122"/>
        <v>0.69145065939063211</v>
      </c>
      <c r="CO188" s="94">
        <f t="shared" si="123"/>
        <v>0.70629370629370625</v>
      </c>
      <c r="CP188" s="141">
        <f>BD188-AZ188</f>
        <v>2</v>
      </c>
    </row>
    <row r="189" spans="1:94" ht="24.5" x14ac:dyDescent="0.35">
      <c r="A189" s="104">
        <v>106280</v>
      </c>
      <c r="B189" s="5" t="s">
        <v>581</v>
      </c>
      <c r="C189" s="46" t="s">
        <v>786</v>
      </c>
      <c r="D189" s="13" t="s">
        <v>787</v>
      </c>
      <c r="E189" s="6" t="s">
        <v>94</v>
      </c>
      <c r="F189" s="6" t="s">
        <v>788</v>
      </c>
      <c r="G189" s="12" t="s">
        <v>788</v>
      </c>
      <c r="H189" s="51" t="s">
        <v>126</v>
      </c>
      <c r="I189" s="24" t="s">
        <v>83</v>
      </c>
      <c r="J189" s="19">
        <v>272</v>
      </c>
      <c r="K189" s="19">
        <v>299</v>
      </c>
      <c r="L189" s="19">
        <v>52</v>
      </c>
      <c r="M189" s="19">
        <v>67</v>
      </c>
      <c r="N189" s="18">
        <v>296</v>
      </c>
      <c r="O189" s="18">
        <v>290.5</v>
      </c>
      <c r="P189" s="18">
        <v>64</v>
      </c>
      <c r="Q189" s="18">
        <v>61.5</v>
      </c>
      <c r="R189" s="19">
        <v>304</v>
      </c>
      <c r="S189" s="19">
        <v>284</v>
      </c>
      <c r="T189" s="19">
        <v>56</v>
      </c>
      <c r="U189" s="19">
        <v>64</v>
      </c>
      <c r="V189" s="19">
        <v>316</v>
      </c>
      <c r="W189" s="19">
        <v>296</v>
      </c>
      <c r="X189" s="19">
        <v>56</v>
      </c>
      <c r="Y189" s="19">
        <v>64</v>
      </c>
      <c r="Z189" s="19">
        <v>308</v>
      </c>
      <c r="AA189" s="19">
        <v>304</v>
      </c>
      <c r="AB189" s="19">
        <v>64</v>
      </c>
      <c r="AC189" s="19">
        <v>56</v>
      </c>
      <c r="AD189" s="19">
        <v>312</v>
      </c>
      <c r="AE189" s="19">
        <v>280</v>
      </c>
      <c r="AF189" s="19">
        <v>60</v>
      </c>
      <c r="AG189" s="19">
        <v>56</v>
      </c>
      <c r="AH189" s="19">
        <v>300</v>
      </c>
      <c r="AI189" s="19">
        <v>296</v>
      </c>
      <c r="AJ189" s="19">
        <v>60</v>
      </c>
      <c r="AK189" s="19">
        <v>64</v>
      </c>
      <c r="AL189" s="19">
        <v>276</v>
      </c>
      <c r="AM189" s="19">
        <v>276</v>
      </c>
      <c r="AN189" s="19">
        <v>48</v>
      </c>
      <c r="AO189" s="19">
        <v>48</v>
      </c>
      <c r="AP189" s="19">
        <v>292</v>
      </c>
      <c r="AQ189" s="19">
        <v>260</v>
      </c>
      <c r="AR189" s="19">
        <v>56</v>
      </c>
      <c r="AS189" s="19">
        <v>40</v>
      </c>
      <c r="AT189" s="19">
        <v>273.5</v>
      </c>
      <c r="AU189" s="19">
        <v>272</v>
      </c>
      <c r="AV189" s="19">
        <v>44.5</v>
      </c>
      <c r="AW189" s="19">
        <v>52</v>
      </c>
      <c r="AX189" s="19">
        <v>288</v>
      </c>
      <c r="AY189" s="19">
        <v>224</v>
      </c>
      <c r="AZ189" s="19">
        <v>48</v>
      </c>
      <c r="BA189" s="19">
        <v>76</v>
      </c>
      <c r="BB189" s="19">
        <v>308</v>
      </c>
      <c r="BC189" s="19">
        <v>268</v>
      </c>
      <c r="BD189" s="19">
        <v>64</v>
      </c>
      <c r="BE189" s="19">
        <v>44</v>
      </c>
      <c r="BF189" s="23">
        <v>28.558800000000002</v>
      </c>
      <c r="BG189" s="23">
        <v>77.240499999999997</v>
      </c>
      <c r="BH189" s="31">
        <f t="shared" si="93"/>
        <v>308</v>
      </c>
      <c r="BI189" s="31">
        <f t="shared" si="94"/>
        <v>268</v>
      </c>
      <c r="BJ189" s="37">
        <f t="shared" si="95"/>
        <v>40</v>
      </c>
      <c r="BK189" s="37">
        <f t="shared" si="96"/>
        <v>14.925373134328357</v>
      </c>
      <c r="BL189" s="36">
        <f t="shared" si="97"/>
        <v>64</v>
      </c>
      <c r="BM189" s="36">
        <f t="shared" si="98"/>
        <v>44</v>
      </c>
      <c r="BN189" s="37">
        <f t="shared" si="99"/>
        <v>20</v>
      </c>
      <c r="BO189" s="37">
        <f t="shared" si="100"/>
        <v>45.454545454545453</v>
      </c>
      <c r="BP189" s="38">
        <f t="shared" si="101"/>
        <v>3567</v>
      </c>
      <c r="BQ189" s="39">
        <f>J189+N189+S189+W189+AA189+AE189+AI189+AM189+AQ189+AU189+Table1[[#This Row],[MS-0225]]+Table1[[#This Row],[MS-0325]]</f>
        <v>3328</v>
      </c>
      <c r="BR189" s="37">
        <f t="shared" si="102"/>
        <v>239</v>
      </c>
      <c r="BS189" s="37">
        <f t="shared" si="103"/>
        <v>7.1814903846153841</v>
      </c>
      <c r="BT189" s="36">
        <f t="shared" si="104"/>
        <v>685</v>
      </c>
      <c r="BU189" s="36">
        <f t="shared" si="105"/>
        <v>680</v>
      </c>
      <c r="BV189" s="37">
        <f t="shared" si="106"/>
        <v>5</v>
      </c>
      <c r="BW189" s="37">
        <f t="shared" si="107"/>
        <v>0.73529411764705876</v>
      </c>
      <c r="BX189">
        <v>0</v>
      </c>
      <c r="BY189" s="83">
        <f t="shared" si="108"/>
        <v>0</v>
      </c>
      <c r="BZ189">
        <v>0</v>
      </c>
      <c r="CA189" s="83">
        <f t="shared" si="109"/>
        <v>0</v>
      </c>
      <c r="CB189" s="96">
        <f t="shared" si="110"/>
        <v>1</v>
      </c>
      <c r="CC189" s="96">
        <f t="shared" si="111"/>
        <v>1</v>
      </c>
      <c r="CD189" s="97">
        <f t="shared" si="112"/>
        <v>0</v>
      </c>
      <c r="CE189" s="96">
        <f t="shared" si="113"/>
        <v>1</v>
      </c>
      <c r="CF189" s="96">
        <f t="shared" si="114"/>
        <v>1</v>
      </c>
      <c r="CG189" s="96">
        <f t="shared" si="115"/>
        <v>0</v>
      </c>
      <c r="CH189" s="95">
        <f t="shared" si="116"/>
        <v>1</v>
      </c>
      <c r="CI189" s="95">
        <f t="shared" si="117"/>
        <v>1</v>
      </c>
      <c r="CJ189" s="98">
        <f t="shared" si="118"/>
        <v>0</v>
      </c>
      <c r="CK189" s="95">
        <f t="shared" si="119"/>
        <v>1</v>
      </c>
      <c r="CL189" s="95">
        <f t="shared" si="120"/>
        <v>1</v>
      </c>
      <c r="CM189" s="98">
        <f t="shared" si="121"/>
        <v>0</v>
      </c>
      <c r="CN189" s="94">
        <f t="shared" si="122"/>
        <v>1</v>
      </c>
      <c r="CO189" s="94">
        <f t="shared" si="123"/>
        <v>1</v>
      </c>
    </row>
    <row r="190" spans="1:94" ht="24.5" x14ac:dyDescent="0.35">
      <c r="A190" s="103">
        <v>41019298</v>
      </c>
      <c r="B190" s="9" t="s">
        <v>380</v>
      </c>
      <c r="C190" s="47" t="s">
        <v>453</v>
      </c>
      <c r="D190" s="14" t="s">
        <v>454</v>
      </c>
      <c r="E190" s="10" t="s">
        <v>81</v>
      </c>
      <c r="F190" s="10" t="s">
        <v>455</v>
      </c>
      <c r="G190" s="12" t="s">
        <v>455</v>
      </c>
      <c r="H190" s="51" t="s">
        <v>141</v>
      </c>
      <c r="I190" s="25" t="s">
        <v>83</v>
      </c>
      <c r="J190" s="20">
        <v>223</v>
      </c>
      <c r="K190" s="20">
        <v>265</v>
      </c>
      <c r="L190" s="20">
        <v>55</v>
      </c>
      <c r="M190" s="20">
        <v>75</v>
      </c>
      <c r="N190" s="18">
        <v>234</v>
      </c>
      <c r="O190" s="18">
        <v>308.5</v>
      </c>
      <c r="P190" s="18">
        <v>84</v>
      </c>
      <c r="Q190" s="18">
        <v>89.5</v>
      </c>
      <c r="R190" s="20">
        <v>281</v>
      </c>
      <c r="S190" s="20">
        <v>250</v>
      </c>
      <c r="T190" s="20">
        <v>75</v>
      </c>
      <c r="U190" s="20">
        <v>90</v>
      </c>
      <c r="V190" s="20">
        <v>307</v>
      </c>
      <c r="W190" s="20">
        <v>260</v>
      </c>
      <c r="X190" s="20">
        <v>75</v>
      </c>
      <c r="Y190" s="20">
        <v>80</v>
      </c>
      <c r="Z190" s="20">
        <v>301.5</v>
      </c>
      <c r="AA190" s="20">
        <v>275</v>
      </c>
      <c r="AB190" s="20">
        <v>74.5</v>
      </c>
      <c r="AC190" s="20">
        <v>85</v>
      </c>
      <c r="AD190" s="20">
        <v>285</v>
      </c>
      <c r="AE190" s="20">
        <v>243</v>
      </c>
      <c r="AF190" s="20">
        <v>75</v>
      </c>
      <c r="AG190" s="20">
        <v>75</v>
      </c>
      <c r="AH190" s="20">
        <v>300</v>
      </c>
      <c r="AI190" s="20">
        <v>270</v>
      </c>
      <c r="AJ190" s="20">
        <v>80</v>
      </c>
      <c r="AK190" s="20">
        <v>90</v>
      </c>
      <c r="AL190" s="20">
        <v>293.5</v>
      </c>
      <c r="AM190" s="20">
        <v>270</v>
      </c>
      <c r="AN190" s="20">
        <v>84.5</v>
      </c>
      <c r="AO190" s="20">
        <v>70</v>
      </c>
      <c r="AP190" s="20">
        <v>290</v>
      </c>
      <c r="AQ190" s="20">
        <v>255</v>
      </c>
      <c r="AR190" s="20">
        <v>70</v>
      </c>
      <c r="AS190" s="20">
        <v>65</v>
      </c>
      <c r="AT190" s="20">
        <v>270</v>
      </c>
      <c r="AU190" s="20">
        <v>245</v>
      </c>
      <c r="AV190" s="20">
        <v>64</v>
      </c>
      <c r="AW190" s="20">
        <v>80</v>
      </c>
      <c r="AX190" s="20">
        <v>308</v>
      </c>
      <c r="AY190" s="20">
        <v>245</v>
      </c>
      <c r="AZ190" s="20">
        <v>90</v>
      </c>
      <c r="BA190" s="20">
        <v>95</v>
      </c>
      <c r="BB190" s="20">
        <v>306</v>
      </c>
      <c r="BC190" s="20">
        <v>288</v>
      </c>
      <c r="BD190" s="20">
        <v>86</v>
      </c>
      <c r="BE190" s="20">
        <v>75</v>
      </c>
      <c r="BF190" s="23">
        <v>28.652802000000001</v>
      </c>
      <c r="BG190" s="23">
        <v>77.034554</v>
      </c>
      <c r="BH190" s="31">
        <f t="shared" si="93"/>
        <v>306</v>
      </c>
      <c r="BI190" s="31">
        <f t="shared" si="94"/>
        <v>288</v>
      </c>
      <c r="BJ190" s="37">
        <f t="shared" si="95"/>
        <v>18</v>
      </c>
      <c r="BK190" s="37">
        <f t="shared" si="96"/>
        <v>6.25</v>
      </c>
      <c r="BL190" s="36">
        <f t="shared" si="97"/>
        <v>86</v>
      </c>
      <c r="BM190" s="36">
        <f t="shared" si="98"/>
        <v>75</v>
      </c>
      <c r="BN190" s="37">
        <f t="shared" si="99"/>
        <v>11</v>
      </c>
      <c r="BO190" s="37">
        <f t="shared" si="100"/>
        <v>14.666666666666666</v>
      </c>
      <c r="BP190" s="38">
        <f t="shared" si="101"/>
        <v>3515.5</v>
      </c>
      <c r="BQ190" s="39">
        <f>J190+N190+S190+W190+AA190+AE190+AI190+AM190+AQ190+AU190+Table1[[#This Row],[MS-0225]]+Table1[[#This Row],[MS-0325]]</f>
        <v>3058</v>
      </c>
      <c r="BR190" s="37">
        <f t="shared" si="102"/>
        <v>457.5</v>
      </c>
      <c r="BS190" s="37">
        <f t="shared" si="103"/>
        <v>14.960758665794637</v>
      </c>
      <c r="BT190" s="36">
        <f t="shared" si="104"/>
        <v>938.5</v>
      </c>
      <c r="BU190" s="36">
        <f t="shared" si="105"/>
        <v>944</v>
      </c>
      <c r="BV190" s="37">
        <f t="shared" si="106"/>
        <v>-5.5</v>
      </c>
      <c r="BW190" s="37">
        <f t="shared" si="107"/>
        <v>-0.5826271186440678</v>
      </c>
      <c r="BX190">
        <v>0</v>
      </c>
      <c r="BY190" s="83">
        <f t="shared" si="108"/>
        <v>0</v>
      </c>
      <c r="BZ190">
        <v>0</v>
      </c>
      <c r="CA190" s="83">
        <f t="shared" si="109"/>
        <v>0</v>
      </c>
      <c r="CB190" s="96">
        <f t="shared" si="110"/>
        <v>0.49038461538461536</v>
      </c>
      <c r="CC190" s="96">
        <f t="shared" si="111"/>
        <v>0.49188727583262171</v>
      </c>
      <c r="CD190" s="97">
        <f t="shared" si="112"/>
        <v>-1.5026604480063432E-3</v>
      </c>
      <c r="CE190" s="96">
        <f t="shared" si="113"/>
        <v>0.43434343434343436</v>
      </c>
      <c r="CF190" s="96">
        <f t="shared" si="114"/>
        <v>0.44776119402985076</v>
      </c>
      <c r="CG190" s="96">
        <f t="shared" si="115"/>
        <v>-1.3417759686416397E-2</v>
      </c>
      <c r="CH190" s="95">
        <f t="shared" si="116"/>
        <v>0.48286518783050614</v>
      </c>
      <c r="CI190" s="95">
        <f t="shared" si="117"/>
        <v>0.4755462250213825</v>
      </c>
      <c r="CJ190" s="98">
        <f t="shared" si="118"/>
        <v>7.3189628091236414E-3</v>
      </c>
      <c r="CK190" s="95">
        <f t="shared" si="119"/>
        <v>0.44850657108721625</v>
      </c>
      <c r="CL190" s="95">
        <f t="shared" si="120"/>
        <v>0.4496308644915456</v>
      </c>
      <c r="CM190" s="98">
        <f t="shared" si="121"/>
        <v>-1.1242934043293462E-3</v>
      </c>
      <c r="CN190" s="94">
        <f t="shared" si="122"/>
        <v>0.96573037566101227</v>
      </c>
      <c r="CO190" s="94">
        <f t="shared" si="123"/>
        <v>0.89701314217443251</v>
      </c>
    </row>
    <row r="191" spans="1:94" ht="24.5" x14ac:dyDescent="0.35">
      <c r="A191" s="102">
        <v>200922</v>
      </c>
      <c r="B191" s="3" t="s">
        <v>72</v>
      </c>
      <c r="C191" s="41" t="s">
        <v>329</v>
      </c>
      <c r="D191" s="12" t="s">
        <v>213</v>
      </c>
      <c r="E191" s="4" t="s">
        <v>85</v>
      </c>
      <c r="F191" s="4" t="s">
        <v>177</v>
      </c>
      <c r="G191" s="12" t="s">
        <v>177</v>
      </c>
      <c r="H191" s="51" t="s">
        <v>178</v>
      </c>
      <c r="I191" s="23" t="s">
        <v>86</v>
      </c>
      <c r="J191" s="90">
        <v>277.76799999999997</v>
      </c>
      <c r="K191" s="90">
        <v>303</v>
      </c>
      <c r="L191" s="90">
        <v>85.941000000000003</v>
      </c>
      <c r="M191" s="90">
        <v>76</v>
      </c>
      <c r="N191" s="18">
        <v>295.43200000000002</v>
      </c>
      <c r="O191" s="18">
        <v>303</v>
      </c>
      <c r="P191" s="18">
        <v>91.853999999999999</v>
      </c>
      <c r="Q191" s="18">
        <v>71</v>
      </c>
      <c r="R191" s="90">
        <v>289.5</v>
      </c>
      <c r="S191" s="90">
        <v>286.90300000000002</v>
      </c>
      <c r="T191" s="90">
        <v>51</v>
      </c>
      <c r="U191" s="90">
        <v>87.257000000000005</v>
      </c>
      <c r="V191" s="90">
        <v>309</v>
      </c>
      <c r="W191" s="90">
        <v>289</v>
      </c>
      <c r="X191" s="90">
        <v>60</v>
      </c>
      <c r="Y191" s="90">
        <v>79.731999999999999</v>
      </c>
      <c r="Z191" s="90">
        <v>306</v>
      </c>
      <c r="AA191" s="90">
        <v>281</v>
      </c>
      <c r="AB191" s="90">
        <v>55</v>
      </c>
      <c r="AC191" s="90">
        <v>77.44</v>
      </c>
      <c r="AD191" s="90">
        <v>300</v>
      </c>
      <c r="AE191" s="90">
        <v>269</v>
      </c>
      <c r="AF191" s="90">
        <v>62</v>
      </c>
      <c r="AG191" s="90">
        <v>82.813999999999993</v>
      </c>
      <c r="AH191" s="90">
        <v>310</v>
      </c>
      <c r="AI191" s="90">
        <v>284.32100000000003</v>
      </c>
      <c r="AJ191" s="90">
        <v>70</v>
      </c>
      <c r="AK191" s="90">
        <v>83.718999999999994</v>
      </c>
      <c r="AL191" s="90">
        <v>292</v>
      </c>
      <c r="AM191" s="90">
        <v>281.36799999999999</v>
      </c>
      <c r="AN191" s="90">
        <v>58</v>
      </c>
      <c r="AO191" s="90">
        <v>78.474000000000004</v>
      </c>
      <c r="AP191" s="90">
        <v>289</v>
      </c>
      <c r="AQ191" s="90">
        <v>268.60500000000002</v>
      </c>
      <c r="AR191" s="90">
        <v>56</v>
      </c>
      <c r="AS191" s="90">
        <v>61.387999999999998</v>
      </c>
      <c r="AT191" s="90">
        <v>272.142</v>
      </c>
      <c r="AU191" s="90">
        <v>271.20299999999997</v>
      </c>
      <c r="AV191" s="90">
        <v>54.188000000000002</v>
      </c>
      <c r="AW191" s="90">
        <v>70.528000000000006</v>
      </c>
      <c r="AX191" s="90">
        <v>271.88099999999997</v>
      </c>
      <c r="AY191" s="90">
        <v>239.46</v>
      </c>
      <c r="AZ191" s="90">
        <v>63.048999999999999</v>
      </c>
      <c r="BA191" s="90">
        <v>62.372999999999998</v>
      </c>
      <c r="BB191" s="90">
        <v>304.09199999999998</v>
      </c>
      <c r="BC191" s="90">
        <v>283.62900000000002</v>
      </c>
      <c r="BD191" s="90">
        <v>65.864000000000004</v>
      </c>
      <c r="BE191" s="90">
        <v>67.805999999999997</v>
      </c>
      <c r="BF191" s="23">
        <v>28.672374999999999</v>
      </c>
      <c r="BG191" s="23">
        <v>77.152867999999998</v>
      </c>
      <c r="BH191" s="31">
        <f t="shared" si="93"/>
        <v>304.09199999999998</v>
      </c>
      <c r="BI191" s="31">
        <f t="shared" si="94"/>
        <v>283.62900000000002</v>
      </c>
      <c r="BJ191" s="37">
        <f t="shared" si="95"/>
        <v>20.462999999999965</v>
      </c>
      <c r="BK191" s="37">
        <f t="shared" si="96"/>
        <v>7.2147065356504321</v>
      </c>
      <c r="BL191" s="36">
        <f t="shared" si="97"/>
        <v>65.864000000000004</v>
      </c>
      <c r="BM191" s="36">
        <f t="shared" si="98"/>
        <v>67.805999999999997</v>
      </c>
      <c r="BN191" s="37">
        <f t="shared" si="99"/>
        <v>-1.9419999999999931</v>
      </c>
      <c r="BO191" s="37">
        <f t="shared" si="100"/>
        <v>-2.8640533286139767</v>
      </c>
      <c r="BP191" s="38">
        <f t="shared" si="101"/>
        <v>3549.6149999999998</v>
      </c>
      <c r="BQ191" s="39">
        <f>J191+N191+S191+W191+AA191+AE191+AI191+AM191+AQ191+AU191+Table1[[#This Row],[MS-0225]]+Table1[[#This Row],[MS-0325]]</f>
        <v>3327.6889999999999</v>
      </c>
      <c r="BR191" s="37">
        <f t="shared" si="102"/>
        <v>221.92599999999993</v>
      </c>
      <c r="BS191" s="37">
        <f t="shared" si="103"/>
        <v>6.6690727408721173</v>
      </c>
      <c r="BT191" s="36">
        <f t="shared" si="104"/>
        <v>742.101</v>
      </c>
      <c r="BU191" s="36">
        <f t="shared" si="105"/>
        <v>929.32600000000025</v>
      </c>
      <c r="BV191" s="37">
        <f t="shared" si="106"/>
        <v>-187.22500000000025</v>
      </c>
      <c r="BW191" s="37">
        <f t="shared" si="107"/>
        <v>-20.146321097225321</v>
      </c>
      <c r="BX191">
        <v>22.193000000000001</v>
      </c>
      <c r="BY191" s="83">
        <f t="shared" si="108"/>
        <v>7.2981203056969604E-2</v>
      </c>
      <c r="BZ191">
        <v>140.601</v>
      </c>
      <c r="CA191" s="83">
        <f t="shared" si="109"/>
        <v>3.9610211248262139E-2</v>
      </c>
      <c r="CB191" s="96">
        <f t="shared" si="110"/>
        <v>0.53294122595479776</v>
      </c>
      <c r="CC191" s="96">
        <f t="shared" si="111"/>
        <v>0.52903125926782546</v>
      </c>
      <c r="CD191" s="97">
        <f t="shared" si="112"/>
        <v>3.9099666869722993E-3</v>
      </c>
      <c r="CE191" s="96">
        <f t="shared" si="113"/>
        <v>6.4867377610393906E-2</v>
      </c>
      <c r="CF191" s="96">
        <f t="shared" si="114"/>
        <v>7.1729154369061437E-2</v>
      </c>
      <c r="CG191" s="96">
        <f t="shared" si="115"/>
        <v>-6.8617767586675316E-3</v>
      </c>
      <c r="CH191" s="95">
        <f t="shared" si="116"/>
        <v>0.52214694808781548</v>
      </c>
      <c r="CI191" s="95">
        <f t="shared" si="117"/>
        <v>0.53181852106433092</v>
      </c>
      <c r="CJ191" s="98">
        <f t="shared" si="118"/>
        <v>-9.6715729765154412E-3</v>
      </c>
      <c r="CK191" s="95">
        <f t="shared" si="119"/>
        <v>6.6475055853393542E-2</v>
      </c>
      <c r="CL191" s="95">
        <f t="shared" si="120"/>
        <v>7.498297942862843E-2</v>
      </c>
      <c r="CM191" s="98">
        <f t="shared" si="121"/>
        <v>-8.5079235752348881E-3</v>
      </c>
      <c r="CN191" s="94">
        <f t="shared" si="122"/>
        <v>2.6107347404390775</v>
      </c>
      <c r="CO191" s="94">
        <f t="shared" si="123"/>
        <v>0.33237527926696769</v>
      </c>
    </row>
    <row r="192" spans="1:94" ht="24.5" x14ac:dyDescent="0.35">
      <c r="A192" s="104">
        <v>186846</v>
      </c>
      <c r="B192" s="5" t="s">
        <v>581</v>
      </c>
      <c r="C192" s="46" t="s">
        <v>116</v>
      </c>
      <c r="D192" s="13" t="s">
        <v>706</v>
      </c>
      <c r="E192" s="6" t="s">
        <v>103</v>
      </c>
      <c r="F192" s="6" t="s">
        <v>119</v>
      </c>
      <c r="G192" s="12" t="s">
        <v>119</v>
      </c>
      <c r="H192" s="51" t="s">
        <v>120</v>
      </c>
      <c r="I192" s="24" t="s">
        <v>83</v>
      </c>
      <c r="J192" s="19">
        <v>270</v>
      </c>
      <c r="K192" s="19">
        <v>288</v>
      </c>
      <c r="L192" s="19">
        <v>90</v>
      </c>
      <c r="M192" s="19">
        <v>90</v>
      </c>
      <c r="N192" s="18">
        <v>310</v>
      </c>
      <c r="O192" s="18">
        <v>328</v>
      </c>
      <c r="P192" s="18">
        <v>108</v>
      </c>
      <c r="Q192" s="18">
        <v>81</v>
      </c>
      <c r="R192" s="19">
        <v>289</v>
      </c>
      <c r="S192" s="19">
        <v>270</v>
      </c>
      <c r="T192" s="19">
        <v>85</v>
      </c>
      <c r="U192" s="19">
        <v>90</v>
      </c>
      <c r="V192" s="19">
        <v>328.5</v>
      </c>
      <c r="W192" s="19">
        <v>310.5</v>
      </c>
      <c r="X192" s="19">
        <v>85.5</v>
      </c>
      <c r="Y192" s="19">
        <v>85.5</v>
      </c>
      <c r="Z192" s="19">
        <v>353.5</v>
      </c>
      <c r="AA192" s="19">
        <v>316</v>
      </c>
      <c r="AB192" s="19">
        <v>80.5</v>
      </c>
      <c r="AC192" s="19">
        <v>86</v>
      </c>
      <c r="AD192" s="19">
        <v>301.5</v>
      </c>
      <c r="AE192" s="19">
        <v>297</v>
      </c>
      <c r="AF192" s="19">
        <v>76.5</v>
      </c>
      <c r="AG192" s="19">
        <v>99</v>
      </c>
      <c r="AH192" s="19">
        <v>319.5</v>
      </c>
      <c r="AI192" s="19">
        <v>306</v>
      </c>
      <c r="AJ192" s="19">
        <v>82.5</v>
      </c>
      <c r="AK192" s="19">
        <v>108</v>
      </c>
      <c r="AL192" s="19">
        <v>286</v>
      </c>
      <c r="AM192" s="19">
        <v>275</v>
      </c>
      <c r="AN192" s="19">
        <v>70</v>
      </c>
      <c r="AO192" s="19">
        <v>77.5</v>
      </c>
      <c r="AP192" s="19">
        <v>274</v>
      </c>
      <c r="AQ192" s="19">
        <v>288</v>
      </c>
      <c r="AR192" s="19">
        <v>70</v>
      </c>
      <c r="AS192" s="19">
        <v>72</v>
      </c>
      <c r="AT192" s="19">
        <v>274</v>
      </c>
      <c r="AU192" s="19">
        <v>269.5</v>
      </c>
      <c r="AV192" s="19">
        <v>64</v>
      </c>
      <c r="AW192" s="19">
        <v>76.5</v>
      </c>
      <c r="AX192" s="19">
        <v>265</v>
      </c>
      <c r="AY192" s="19">
        <v>257.5</v>
      </c>
      <c r="AZ192" s="19">
        <v>75</v>
      </c>
      <c r="BA192" s="19">
        <v>80.5</v>
      </c>
      <c r="BB192" s="19">
        <v>304</v>
      </c>
      <c r="BC192" s="19">
        <v>291</v>
      </c>
      <c r="BD192" s="19">
        <v>80</v>
      </c>
      <c r="BE192" s="19">
        <v>81</v>
      </c>
      <c r="BF192" s="23">
        <v>28.570699999999999</v>
      </c>
      <c r="BG192" s="23">
        <v>77.163300000000007</v>
      </c>
      <c r="BH192" s="31">
        <f t="shared" si="93"/>
        <v>304</v>
      </c>
      <c r="BI192" s="31">
        <f t="shared" si="94"/>
        <v>291</v>
      </c>
      <c r="BJ192" s="37">
        <f t="shared" si="95"/>
        <v>13</v>
      </c>
      <c r="BK192" s="37">
        <f t="shared" si="96"/>
        <v>4.4673539518900345</v>
      </c>
      <c r="BL192" s="36">
        <f t="shared" si="97"/>
        <v>80</v>
      </c>
      <c r="BM192" s="36">
        <f t="shared" si="98"/>
        <v>81</v>
      </c>
      <c r="BN192" s="37">
        <f t="shared" si="99"/>
        <v>-1</v>
      </c>
      <c r="BO192" s="37">
        <f t="shared" si="100"/>
        <v>-1.2345679012345678</v>
      </c>
      <c r="BP192" s="38">
        <f t="shared" si="101"/>
        <v>3611</v>
      </c>
      <c r="BQ192" s="39">
        <f>J192+N192+S192+W192+AA192+AE192+AI192+AM192+AQ192+AU192+Table1[[#This Row],[MS-0225]]+Table1[[#This Row],[MS-0325]]</f>
        <v>3460.5</v>
      </c>
      <c r="BR192" s="37">
        <f t="shared" si="102"/>
        <v>150.5</v>
      </c>
      <c r="BS192" s="37">
        <f t="shared" si="103"/>
        <v>4.3490825025285362</v>
      </c>
      <c r="BT192" s="36">
        <f t="shared" si="104"/>
        <v>940</v>
      </c>
      <c r="BU192" s="36">
        <f t="shared" si="105"/>
        <v>1054</v>
      </c>
      <c r="BV192" s="37">
        <f t="shared" si="106"/>
        <v>-114</v>
      </c>
      <c r="BW192" s="37">
        <f t="shared" si="107"/>
        <v>-10.815939278937382</v>
      </c>
      <c r="BX192">
        <v>0</v>
      </c>
      <c r="BY192" s="83">
        <f t="shared" si="108"/>
        <v>0</v>
      </c>
      <c r="BZ192">
        <v>0</v>
      </c>
      <c r="CA192" s="83">
        <f t="shared" si="109"/>
        <v>0</v>
      </c>
      <c r="CB192" s="96">
        <f t="shared" si="110"/>
        <v>0.25945650689608085</v>
      </c>
      <c r="CC192" s="96">
        <f t="shared" si="111"/>
        <v>0.26114135824017648</v>
      </c>
      <c r="CD192" s="97">
        <f t="shared" si="112"/>
        <v>-1.6848513440956281E-3</v>
      </c>
      <c r="CE192" s="96">
        <f t="shared" si="113"/>
        <v>0.23734083330366573</v>
      </c>
      <c r="CF192" s="96">
        <f t="shared" si="114"/>
        <v>0.2326329454202902</v>
      </c>
      <c r="CG192" s="96">
        <f t="shared" si="115"/>
        <v>4.7078878833755333E-3</v>
      </c>
      <c r="CH192" s="95">
        <f t="shared" si="116"/>
        <v>0.25771052991237053</v>
      </c>
      <c r="CI192" s="95">
        <f t="shared" si="117"/>
        <v>0.25931413976571283</v>
      </c>
      <c r="CJ192" s="98">
        <f t="shared" si="118"/>
        <v>-1.6036098533422916E-3</v>
      </c>
      <c r="CK192" s="95">
        <f t="shared" si="119"/>
        <v>0.24395003903200624</v>
      </c>
      <c r="CL192" s="95">
        <f t="shared" si="120"/>
        <v>0.2542801820202199</v>
      </c>
      <c r="CM192" s="98">
        <f t="shared" si="121"/>
        <v>-1.0330142988213664E-2</v>
      </c>
      <c r="CN192" s="94">
        <f t="shared" si="122"/>
        <v>1.0308421196494821</v>
      </c>
      <c r="CO192" s="94">
        <f t="shared" si="123"/>
        <v>0.97580015612802495</v>
      </c>
    </row>
    <row r="193" spans="1:94" ht="24.5" x14ac:dyDescent="0.35">
      <c r="A193" s="104">
        <v>106247</v>
      </c>
      <c r="B193" s="5" t="s">
        <v>581</v>
      </c>
      <c r="C193" s="46" t="s">
        <v>725</v>
      </c>
      <c r="D193" s="13" t="s">
        <v>726</v>
      </c>
      <c r="E193" s="6" t="s">
        <v>169</v>
      </c>
      <c r="F193" s="6" t="s">
        <v>76</v>
      </c>
      <c r="G193" s="12" t="s">
        <v>76</v>
      </c>
      <c r="H193" s="51" t="s">
        <v>77</v>
      </c>
      <c r="I193" s="24" t="s">
        <v>78</v>
      </c>
      <c r="J193" s="19">
        <v>315</v>
      </c>
      <c r="K193" s="19">
        <v>336</v>
      </c>
      <c r="L193" s="19">
        <v>69</v>
      </c>
      <c r="M193" s="19">
        <v>48</v>
      </c>
      <c r="N193" s="18">
        <v>344</v>
      </c>
      <c r="O193" s="18">
        <v>336</v>
      </c>
      <c r="P193" s="18">
        <v>88</v>
      </c>
      <c r="Q193" s="18">
        <v>60</v>
      </c>
      <c r="R193" s="19">
        <v>332</v>
      </c>
      <c r="S193" s="19">
        <v>337.5</v>
      </c>
      <c r="T193" s="19">
        <v>64</v>
      </c>
      <c r="U193" s="19">
        <v>88.5</v>
      </c>
      <c r="V193" s="19">
        <v>332</v>
      </c>
      <c r="W193" s="19">
        <v>313</v>
      </c>
      <c r="X193" s="19">
        <v>64</v>
      </c>
      <c r="Y193" s="19">
        <v>77</v>
      </c>
      <c r="Z193" s="19">
        <v>356</v>
      </c>
      <c r="AA193" s="19">
        <v>340</v>
      </c>
      <c r="AB193" s="19">
        <v>66</v>
      </c>
      <c r="AC193" s="19">
        <v>80</v>
      </c>
      <c r="AD193" s="19">
        <v>329.5</v>
      </c>
      <c r="AE193" s="19">
        <v>292</v>
      </c>
      <c r="AF193" s="19">
        <v>48.5</v>
      </c>
      <c r="AG193" s="19">
        <v>68</v>
      </c>
      <c r="AH193" s="19">
        <v>330</v>
      </c>
      <c r="AI193" s="19">
        <v>330</v>
      </c>
      <c r="AJ193" s="19">
        <v>56</v>
      </c>
      <c r="AK193" s="19">
        <v>60</v>
      </c>
      <c r="AL193" s="19">
        <v>328</v>
      </c>
      <c r="AM193" s="19">
        <v>322</v>
      </c>
      <c r="AN193" s="19">
        <v>44</v>
      </c>
      <c r="AO193" s="19">
        <v>56</v>
      </c>
      <c r="AP193" s="19">
        <v>314</v>
      </c>
      <c r="AQ193" s="19">
        <v>299.5</v>
      </c>
      <c r="AR193" s="19">
        <v>40</v>
      </c>
      <c r="AS193" s="19">
        <v>48.5</v>
      </c>
      <c r="AT193" s="19">
        <v>280</v>
      </c>
      <c r="AU193" s="19">
        <v>284</v>
      </c>
      <c r="AV193" s="19">
        <v>44</v>
      </c>
      <c r="AW193" s="19">
        <v>52</v>
      </c>
      <c r="AX193" s="19">
        <v>308</v>
      </c>
      <c r="AY193" s="19">
        <v>274</v>
      </c>
      <c r="AZ193" s="19">
        <v>52</v>
      </c>
      <c r="BA193" s="19">
        <v>44</v>
      </c>
      <c r="BB193" s="19">
        <v>304</v>
      </c>
      <c r="BC193" s="19">
        <v>286</v>
      </c>
      <c r="BD193" s="19">
        <v>44</v>
      </c>
      <c r="BE193" s="19">
        <v>52</v>
      </c>
      <c r="BF193" s="23">
        <v>28.669599999999999</v>
      </c>
      <c r="BG193" s="23">
        <v>77.322900000000004</v>
      </c>
      <c r="BH193" s="31">
        <f t="shared" si="93"/>
        <v>304</v>
      </c>
      <c r="BI193" s="31">
        <f t="shared" si="94"/>
        <v>286</v>
      </c>
      <c r="BJ193" s="37">
        <f t="shared" si="95"/>
        <v>18</v>
      </c>
      <c r="BK193" s="37">
        <f t="shared" si="96"/>
        <v>6.2937062937062942</v>
      </c>
      <c r="BL193" s="36">
        <f t="shared" si="97"/>
        <v>44</v>
      </c>
      <c r="BM193" s="36">
        <f t="shared" si="98"/>
        <v>52</v>
      </c>
      <c r="BN193" s="37">
        <f t="shared" si="99"/>
        <v>-8</v>
      </c>
      <c r="BO193" s="37">
        <f t="shared" si="100"/>
        <v>-15.384615384615385</v>
      </c>
      <c r="BP193" s="38">
        <f t="shared" si="101"/>
        <v>3885.5</v>
      </c>
      <c r="BQ193" s="39">
        <f>J193+N193+S193+W193+AA193+AE193+AI193+AM193+AQ193+AU193+Table1[[#This Row],[MS-0225]]+Table1[[#This Row],[MS-0325]]</f>
        <v>3737</v>
      </c>
      <c r="BR193" s="37">
        <f t="shared" si="102"/>
        <v>148.5</v>
      </c>
      <c r="BS193" s="37">
        <f t="shared" si="103"/>
        <v>3.9737757559539739</v>
      </c>
      <c r="BT193" s="36">
        <f t="shared" si="104"/>
        <v>630.5</v>
      </c>
      <c r="BU193" s="36">
        <f t="shared" si="105"/>
        <v>783</v>
      </c>
      <c r="BV193" s="37">
        <f t="shared" si="106"/>
        <v>-152.5</v>
      </c>
      <c r="BW193" s="37">
        <f t="shared" si="107"/>
        <v>-19.476372924648786</v>
      </c>
      <c r="BX193">
        <v>0</v>
      </c>
      <c r="BY193" s="83">
        <f t="shared" si="108"/>
        <v>0</v>
      </c>
      <c r="BZ193">
        <v>0</v>
      </c>
      <c r="CA193" s="83">
        <f t="shared" si="109"/>
        <v>0</v>
      </c>
      <c r="CB193" s="96">
        <f t="shared" si="110"/>
        <v>0.13283810356128467</v>
      </c>
      <c r="CC193" s="96">
        <f t="shared" si="111"/>
        <v>0.13210161662817552</v>
      </c>
      <c r="CD193" s="97">
        <f t="shared" si="112"/>
        <v>7.3648693310915392E-4</v>
      </c>
      <c r="CE193" s="96">
        <f t="shared" si="113"/>
        <v>4.3890274314214467E-2</v>
      </c>
      <c r="CF193" s="96">
        <f t="shared" si="114"/>
        <v>5.7458563535911604E-2</v>
      </c>
      <c r="CG193" s="96">
        <f t="shared" si="115"/>
        <v>-1.3568289221697137E-2</v>
      </c>
      <c r="CH193" s="95">
        <f t="shared" si="116"/>
        <v>0.13868365635150087</v>
      </c>
      <c r="CI193" s="95">
        <f t="shared" si="117"/>
        <v>0.14093377583345904</v>
      </c>
      <c r="CJ193" s="98">
        <f t="shared" si="118"/>
        <v>-2.2501194819581627E-3</v>
      </c>
      <c r="CK193" s="95">
        <f t="shared" si="119"/>
        <v>5.4264566658060072E-2</v>
      </c>
      <c r="CL193" s="95">
        <f t="shared" si="120"/>
        <v>6.1605035405192764E-2</v>
      </c>
      <c r="CM193" s="98">
        <f t="shared" si="121"/>
        <v>-7.3404687471326918E-3</v>
      </c>
      <c r="CN193" s="94">
        <f t="shared" si="122"/>
        <v>0.83210193810900523</v>
      </c>
      <c r="CO193" s="94">
        <f t="shared" si="123"/>
        <v>0.32558739994836045</v>
      </c>
    </row>
    <row r="194" spans="1:94" x14ac:dyDescent="0.35">
      <c r="A194" s="103">
        <v>41037146</v>
      </c>
      <c r="B194" s="9" t="s">
        <v>380</v>
      </c>
      <c r="C194" s="48" t="s">
        <v>567</v>
      </c>
      <c r="D194" s="14" t="s">
        <v>568</v>
      </c>
      <c r="E194" s="10" t="s">
        <v>85</v>
      </c>
      <c r="F194" s="10" t="s">
        <v>373</v>
      </c>
      <c r="G194" s="12" t="s">
        <v>373</v>
      </c>
      <c r="H194" s="51" t="s">
        <v>120</v>
      </c>
      <c r="I194" s="25" t="s">
        <v>86</v>
      </c>
      <c r="J194" s="20">
        <v>360</v>
      </c>
      <c r="K194" s="20">
        <v>374.5</v>
      </c>
      <c r="L194" s="20">
        <v>108</v>
      </c>
      <c r="M194" s="20">
        <v>83.5</v>
      </c>
      <c r="N194" s="18">
        <v>400.5</v>
      </c>
      <c r="O194" s="18">
        <v>445.5</v>
      </c>
      <c r="P194" s="18">
        <v>85.5</v>
      </c>
      <c r="Q194" s="18">
        <v>76.5</v>
      </c>
      <c r="R194" s="20">
        <v>421</v>
      </c>
      <c r="S194" s="20">
        <v>436.5</v>
      </c>
      <c r="T194" s="20">
        <v>86</v>
      </c>
      <c r="U194" s="20">
        <v>85.5</v>
      </c>
      <c r="V194" s="20">
        <v>423</v>
      </c>
      <c r="W194" s="20">
        <v>396</v>
      </c>
      <c r="X194" s="20">
        <v>63</v>
      </c>
      <c r="Y194" s="20">
        <v>90</v>
      </c>
      <c r="Z194" s="20">
        <v>423</v>
      </c>
      <c r="AA194" s="20">
        <v>409.5</v>
      </c>
      <c r="AB194" s="20">
        <v>81</v>
      </c>
      <c r="AC194" s="20">
        <v>94.5</v>
      </c>
      <c r="AD194" s="20">
        <v>418.5</v>
      </c>
      <c r="AE194" s="20">
        <v>414</v>
      </c>
      <c r="AF194" s="20">
        <v>67.5</v>
      </c>
      <c r="AG194" s="20">
        <v>72</v>
      </c>
      <c r="AH194" s="20">
        <v>419</v>
      </c>
      <c r="AI194" s="20">
        <v>400.5</v>
      </c>
      <c r="AJ194" s="20">
        <v>63</v>
      </c>
      <c r="AK194" s="20">
        <v>121.5</v>
      </c>
      <c r="AL194" s="20">
        <v>405</v>
      </c>
      <c r="AM194" s="20">
        <v>423</v>
      </c>
      <c r="AN194" s="20">
        <v>63</v>
      </c>
      <c r="AO194" s="20">
        <v>95</v>
      </c>
      <c r="AP194" s="20">
        <v>399.5</v>
      </c>
      <c r="AQ194" s="20">
        <v>360</v>
      </c>
      <c r="AR194" s="20">
        <v>72.5</v>
      </c>
      <c r="AS194" s="20">
        <v>72</v>
      </c>
      <c r="AT194" s="20">
        <v>376.5</v>
      </c>
      <c r="AU194" s="20">
        <v>377</v>
      </c>
      <c r="AV194" s="20">
        <v>67.5</v>
      </c>
      <c r="AW194" s="20">
        <v>82</v>
      </c>
      <c r="AX194" s="20">
        <v>369</v>
      </c>
      <c r="AY194" s="20">
        <v>360.5</v>
      </c>
      <c r="AZ194" s="20">
        <v>81</v>
      </c>
      <c r="BA194" s="20">
        <v>76.5</v>
      </c>
      <c r="BB194" s="20">
        <v>387</v>
      </c>
      <c r="BC194" s="20">
        <v>426</v>
      </c>
      <c r="BD194" s="20">
        <v>81</v>
      </c>
      <c r="BE194" s="20">
        <v>92</v>
      </c>
      <c r="BF194" s="23">
        <v>28.656289999999998</v>
      </c>
      <c r="BG194" s="23">
        <v>77.089550000000003</v>
      </c>
      <c r="BH194" s="31">
        <f t="shared" si="93"/>
        <v>387</v>
      </c>
      <c r="BI194" s="31">
        <f t="shared" si="94"/>
        <v>426</v>
      </c>
      <c r="BJ194" s="37">
        <f t="shared" si="95"/>
        <v>-39</v>
      </c>
      <c r="BK194" s="37">
        <f t="shared" si="96"/>
        <v>-9.1549295774647899</v>
      </c>
      <c r="BL194" s="36">
        <f t="shared" si="97"/>
        <v>81</v>
      </c>
      <c r="BM194" s="36">
        <f t="shared" si="98"/>
        <v>92</v>
      </c>
      <c r="BN194" s="37">
        <f t="shared" si="99"/>
        <v>-11</v>
      </c>
      <c r="BO194" s="37">
        <f t="shared" si="100"/>
        <v>-11.956521739130435</v>
      </c>
      <c r="BP194" s="38">
        <f t="shared" si="101"/>
        <v>4861.5</v>
      </c>
      <c r="BQ194" s="39">
        <f>J194+N194+S194+W194+AA194+AE194+AI194+AM194+AQ194+AU194+Table1[[#This Row],[MS-0225]]+Table1[[#This Row],[MS-0325]]</f>
        <v>4763.5</v>
      </c>
      <c r="BR194" s="37">
        <f t="shared" si="102"/>
        <v>98</v>
      </c>
      <c r="BS194" s="37">
        <f t="shared" si="103"/>
        <v>2.0573108008817047</v>
      </c>
      <c r="BT194" s="36">
        <f t="shared" si="104"/>
        <v>885.5</v>
      </c>
      <c r="BU194" s="36">
        <f t="shared" si="105"/>
        <v>1074.5</v>
      </c>
      <c r="BV194" s="37">
        <f t="shared" si="106"/>
        <v>-189</v>
      </c>
      <c r="BW194" s="37">
        <f t="shared" si="107"/>
        <v>-17.589576547231271</v>
      </c>
      <c r="BX194">
        <v>0</v>
      </c>
      <c r="BY194" s="83">
        <f t="shared" si="108"/>
        <v>0</v>
      </c>
      <c r="BZ194">
        <v>0</v>
      </c>
      <c r="CA194" s="83">
        <f t="shared" si="109"/>
        <v>0</v>
      </c>
      <c r="CB194" s="96">
        <f t="shared" si="110"/>
        <v>0.23355461677730838</v>
      </c>
      <c r="CC194" s="96">
        <f t="shared" si="111"/>
        <v>0.26616682286785381</v>
      </c>
      <c r="CD194" s="97">
        <f t="shared" si="112"/>
        <v>-3.2612206090545437E-2</v>
      </c>
      <c r="CE194" s="96">
        <f t="shared" si="113"/>
        <v>0.21921515561569688</v>
      </c>
      <c r="CF194" s="96">
        <f t="shared" si="114"/>
        <v>0.22688039457459927</v>
      </c>
      <c r="CG194" s="96">
        <f t="shared" si="115"/>
        <v>-7.6652389589023928E-3</v>
      </c>
      <c r="CH194" s="95">
        <f t="shared" si="116"/>
        <v>0.25159136780003105</v>
      </c>
      <c r="CI194" s="95">
        <f t="shared" si="117"/>
        <v>0.25081613298981964</v>
      </c>
      <c r="CJ194" s="98">
        <f t="shared" si="118"/>
        <v>7.752348102114115E-4</v>
      </c>
      <c r="CK194" s="95">
        <f t="shared" si="119"/>
        <v>0.20970988750740083</v>
      </c>
      <c r="CL194" s="95">
        <f t="shared" si="120"/>
        <v>0.231923159939564</v>
      </c>
      <c r="CM194" s="98">
        <f t="shared" si="121"/>
        <v>-2.2213272432163172E-2</v>
      </c>
      <c r="CN194" s="94">
        <f t="shared" si="122"/>
        <v>1.2579568390001552</v>
      </c>
      <c r="CO194" s="94">
        <f t="shared" si="123"/>
        <v>1.0485494375370041</v>
      </c>
      <c r="CP194" s="141">
        <f>BD194-AZ194</f>
        <v>0</v>
      </c>
    </row>
    <row r="195" spans="1:94" ht="24.5" x14ac:dyDescent="0.35">
      <c r="A195" s="102">
        <v>112438</v>
      </c>
      <c r="B195" s="3" t="s">
        <v>72</v>
      </c>
      <c r="C195" s="43" t="s">
        <v>371</v>
      </c>
      <c r="D195" s="12" t="s">
        <v>372</v>
      </c>
      <c r="E195" s="4" t="s">
        <v>85</v>
      </c>
      <c r="F195" s="4" t="s">
        <v>373</v>
      </c>
      <c r="G195" s="12" t="s">
        <v>373</v>
      </c>
      <c r="H195" s="51" t="s">
        <v>120</v>
      </c>
      <c r="I195" s="23" t="s">
        <v>86</v>
      </c>
      <c r="J195" s="90">
        <v>291.50000199999999</v>
      </c>
      <c r="K195" s="90">
        <v>301.5</v>
      </c>
      <c r="L195" s="90">
        <v>92.5</v>
      </c>
      <c r="M195" s="90">
        <v>76.5</v>
      </c>
      <c r="N195" s="18">
        <v>340.50000199999999</v>
      </c>
      <c r="O195" s="18">
        <v>333</v>
      </c>
      <c r="P195" s="18">
        <v>91.5</v>
      </c>
      <c r="Q195" s="18">
        <v>81</v>
      </c>
      <c r="R195" s="90">
        <v>328.5</v>
      </c>
      <c r="S195" s="90">
        <v>305.50000199999999</v>
      </c>
      <c r="T195" s="90">
        <v>67.5</v>
      </c>
      <c r="U195" s="90">
        <v>84.5</v>
      </c>
      <c r="V195" s="90">
        <v>333</v>
      </c>
      <c r="W195" s="90">
        <v>319.5</v>
      </c>
      <c r="X195" s="90">
        <v>81</v>
      </c>
      <c r="Y195" s="90">
        <v>94.5</v>
      </c>
      <c r="Z195" s="90">
        <v>351</v>
      </c>
      <c r="AA195" s="90">
        <v>277.5</v>
      </c>
      <c r="AB195" s="90">
        <v>81</v>
      </c>
      <c r="AC195" s="90">
        <v>82.5</v>
      </c>
      <c r="AD195" s="90">
        <v>308.5</v>
      </c>
      <c r="AE195" s="90">
        <v>282.5</v>
      </c>
      <c r="AF195" s="90">
        <v>65.5</v>
      </c>
      <c r="AG195" s="90">
        <v>83.5</v>
      </c>
      <c r="AH195" s="90">
        <v>320</v>
      </c>
      <c r="AI195" s="90">
        <v>312.5</v>
      </c>
      <c r="AJ195" s="90">
        <v>60</v>
      </c>
      <c r="AK195" s="90">
        <v>89.5</v>
      </c>
      <c r="AL195" s="90">
        <v>294</v>
      </c>
      <c r="AM195" s="90">
        <v>333.00000299999999</v>
      </c>
      <c r="AN195" s="90">
        <v>50</v>
      </c>
      <c r="AO195" s="90">
        <v>63</v>
      </c>
      <c r="AP195" s="90">
        <v>275</v>
      </c>
      <c r="AQ195" s="90">
        <v>301.5</v>
      </c>
      <c r="AR195" s="90">
        <v>45</v>
      </c>
      <c r="AS195" s="90">
        <v>58.5</v>
      </c>
      <c r="AT195" s="90">
        <v>259</v>
      </c>
      <c r="AU195" s="90">
        <v>301.5</v>
      </c>
      <c r="AV195" s="90">
        <v>45</v>
      </c>
      <c r="AW195" s="90">
        <v>76.5</v>
      </c>
      <c r="AX195" s="90">
        <v>274</v>
      </c>
      <c r="AY195" s="90">
        <v>292.5</v>
      </c>
      <c r="AZ195" s="90">
        <v>50</v>
      </c>
      <c r="BA195" s="90">
        <v>54.5</v>
      </c>
      <c r="BB195" s="90">
        <v>299</v>
      </c>
      <c r="BC195" s="90">
        <v>324</v>
      </c>
      <c r="BD195" s="90">
        <v>53.5</v>
      </c>
      <c r="BE195" s="90">
        <v>72</v>
      </c>
      <c r="BF195" s="23">
        <v>28.67531</v>
      </c>
      <c r="BG195" s="23">
        <v>77.093429999999998</v>
      </c>
      <c r="BH195" s="31">
        <f t="shared" si="93"/>
        <v>299</v>
      </c>
      <c r="BI195" s="31">
        <f t="shared" si="94"/>
        <v>324</v>
      </c>
      <c r="BJ195" s="37">
        <f t="shared" si="95"/>
        <v>-25</v>
      </c>
      <c r="BK195" s="37">
        <f t="shared" si="96"/>
        <v>-7.716049382716049</v>
      </c>
      <c r="BL195" s="36">
        <f t="shared" si="97"/>
        <v>53.5</v>
      </c>
      <c r="BM195" s="36">
        <f t="shared" si="98"/>
        <v>72</v>
      </c>
      <c r="BN195" s="37">
        <f t="shared" si="99"/>
        <v>-18.5</v>
      </c>
      <c r="BO195" s="37">
        <f t="shared" si="100"/>
        <v>-25.694444444444443</v>
      </c>
      <c r="BP195" s="38">
        <f t="shared" si="101"/>
        <v>3676.5</v>
      </c>
      <c r="BQ195" s="39">
        <f>J195+N195+S195+W195+AA195+AE195+AI195+AM195+AQ195+AU195+Table1[[#This Row],[MS-0225]]+Table1[[#This Row],[MS-0325]]</f>
        <v>3682.0000090000003</v>
      </c>
      <c r="BR195" s="37">
        <f t="shared" si="102"/>
        <v>-5.5000090000003183</v>
      </c>
      <c r="BS195" s="37">
        <f t="shared" si="103"/>
        <v>-0.149375583556668</v>
      </c>
      <c r="BT195" s="36">
        <f t="shared" si="104"/>
        <v>756</v>
      </c>
      <c r="BU195" s="36">
        <f t="shared" si="105"/>
        <v>943</v>
      </c>
      <c r="BV195" s="37">
        <f t="shared" si="106"/>
        <v>-187</v>
      </c>
      <c r="BW195" s="37">
        <f t="shared" si="107"/>
        <v>-19.830328738069987</v>
      </c>
      <c r="BX195">
        <v>20</v>
      </c>
      <c r="BY195" s="83">
        <f t="shared" si="108"/>
        <v>6.6889632107023408E-2</v>
      </c>
      <c r="BZ195">
        <v>88</v>
      </c>
      <c r="CA195" s="83">
        <f t="shared" si="109"/>
        <v>2.393580851353189E-2</v>
      </c>
      <c r="CB195" s="96">
        <f t="shared" si="110"/>
        <v>0.18044659022329512</v>
      </c>
      <c r="CC195" s="96">
        <f t="shared" si="111"/>
        <v>0.20243673851921273</v>
      </c>
      <c r="CD195" s="97">
        <f t="shared" si="112"/>
        <v>-2.1990148295917611E-2</v>
      </c>
      <c r="CE195" s="96">
        <f t="shared" si="113"/>
        <v>0.14479025710419485</v>
      </c>
      <c r="CF195" s="96">
        <f t="shared" si="114"/>
        <v>0.17755856966707767</v>
      </c>
      <c r="CG195" s="96">
        <f t="shared" si="115"/>
        <v>-3.2768312562882818E-2</v>
      </c>
      <c r="CH195" s="95">
        <f t="shared" si="116"/>
        <v>0.19026548672566371</v>
      </c>
      <c r="CI195" s="95">
        <f t="shared" si="117"/>
        <v>0.19387110400458932</v>
      </c>
      <c r="CJ195" s="98">
        <f t="shared" si="118"/>
        <v>-3.6056172789256102E-3</v>
      </c>
      <c r="CK195" s="95">
        <f t="shared" si="119"/>
        <v>0.17904085257548846</v>
      </c>
      <c r="CL195" s="95">
        <f t="shared" si="120"/>
        <v>0.20353982300884957</v>
      </c>
      <c r="CM195" s="98">
        <f t="shared" si="121"/>
        <v>-2.4498970433361106E-2</v>
      </c>
      <c r="CN195" s="94">
        <f t="shared" si="122"/>
        <v>0.95132743362831851</v>
      </c>
      <c r="CO195" s="94">
        <f t="shared" si="123"/>
        <v>0.89520426287744237</v>
      </c>
    </row>
    <row r="196" spans="1:94" ht="36.5" x14ac:dyDescent="0.35">
      <c r="A196" s="104">
        <v>255817</v>
      </c>
      <c r="B196" s="5" t="s">
        <v>581</v>
      </c>
      <c r="C196" s="46" t="s">
        <v>887</v>
      </c>
      <c r="D196" s="13" t="s">
        <v>888</v>
      </c>
      <c r="E196" s="6" t="s">
        <v>103</v>
      </c>
      <c r="F196" s="6" t="s">
        <v>439</v>
      </c>
      <c r="G196" s="12" t="s">
        <v>439</v>
      </c>
      <c r="H196" s="51" t="s">
        <v>135</v>
      </c>
      <c r="I196" s="24" t="s">
        <v>83</v>
      </c>
      <c r="J196" s="19">
        <v>234</v>
      </c>
      <c r="K196" s="19">
        <v>257.5</v>
      </c>
      <c r="L196" s="19">
        <v>54</v>
      </c>
      <c r="M196" s="19">
        <v>51</v>
      </c>
      <c r="N196" s="18">
        <v>252</v>
      </c>
      <c r="O196" s="18">
        <v>272.5</v>
      </c>
      <c r="P196" s="18">
        <v>54</v>
      </c>
      <c r="Q196" s="18">
        <v>49</v>
      </c>
      <c r="R196" s="19">
        <v>263.5</v>
      </c>
      <c r="S196" s="19">
        <v>257.5</v>
      </c>
      <c r="T196" s="19">
        <v>46</v>
      </c>
      <c r="U196" s="19">
        <v>54.5</v>
      </c>
      <c r="V196" s="19">
        <v>293</v>
      </c>
      <c r="W196" s="19">
        <v>258</v>
      </c>
      <c r="X196" s="19">
        <v>54</v>
      </c>
      <c r="Y196" s="19">
        <v>60</v>
      </c>
      <c r="Z196" s="19">
        <v>284</v>
      </c>
      <c r="AA196" s="19">
        <v>276</v>
      </c>
      <c r="AB196" s="19">
        <v>61</v>
      </c>
      <c r="AC196" s="19">
        <v>56</v>
      </c>
      <c r="AD196" s="19">
        <v>274.5</v>
      </c>
      <c r="AE196" s="19">
        <v>257.5</v>
      </c>
      <c r="AF196" s="19">
        <v>57</v>
      </c>
      <c r="AG196" s="19">
        <v>48.5</v>
      </c>
      <c r="AH196" s="19">
        <v>285</v>
      </c>
      <c r="AI196" s="19">
        <v>280</v>
      </c>
      <c r="AJ196" s="19">
        <v>48.5</v>
      </c>
      <c r="AK196" s="19">
        <v>62</v>
      </c>
      <c r="AL196" s="19">
        <v>273.5</v>
      </c>
      <c r="AM196" s="19">
        <v>244.5</v>
      </c>
      <c r="AN196" s="19">
        <v>58</v>
      </c>
      <c r="AO196" s="19">
        <v>45.5</v>
      </c>
      <c r="AP196" s="19">
        <v>277.5</v>
      </c>
      <c r="AQ196" s="19">
        <v>251.5</v>
      </c>
      <c r="AR196" s="19">
        <v>49.5</v>
      </c>
      <c r="AS196" s="19">
        <v>44.5</v>
      </c>
      <c r="AT196" s="19">
        <v>274.5</v>
      </c>
      <c r="AU196" s="19">
        <v>238.5</v>
      </c>
      <c r="AV196" s="19">
        <v>57</v>
      </c>
      <c r="AW196" s="19">
        <v>53</v>
      </c>
      <c r="AX196" s="19">
        <v>279.5</v>
      </c>
      <c r="AY196" s="19">
        <v>226</v>
      </c>
      <c r="AZ196" s="19">
        <v>47.5</v>
      </c>
      <c r="BA196" s="19">
        <v>41</v>
      </c>
      <c r="BB196" s="19">
        <v>296</v>
      </c>
      <c r="BC196" s="19">
        <v>266</v>
      </c>
      <c r="BD196" s="19">
        <v>55.5</v>
      </c>
      <c r="BE196" s="19">
        <v>57</v>
      </c>
      <c r="BF196" s="23">
        <v>28.572198</v>
      </c>
      <c r="BG196" s="23">
        <v>77.137435999999994</v>
      </c>
      <c r="BH196" s="31">
        <f t="shared" si="93"/>
        <v>296</v>
      </c>
      <c r="BI196" s="31">
        <f t="shared" si="94"/>
        <v>266</v>
      </c>
      <c r="BJ196" s="37">
        <f t="shared" si="95"/>
        <v>30</v>
      </c>
      <c r="BK196" s="37">
        <f t="shared" si="96"/>
        <v>11.278195488721805</v>
      </c>
      <c r="BL196" s="36">
        <f t="shared" si="97"/>
        <v>55.5</v>
      </c>
      <c r="BM196" s="36">
        <f t="shared" si="98"/>
        <v>57</v>
      </c>
      <c r="BN196" s="37">
        <f t="shared" si="99"/>
        <v>-1.5</v>
      </c>
      <c r="BO196" s="37">
        <f t="shared" si="100"/>
        <v>-2.6315789473684208</v>
      </c>
      <c r="BP196" s="38">
        <f t="shared" si="101"/>
        <v>3331</v>
      </c>
      <c r="BQ196" s="39">
        <f>J196+N196+S196+W196+AA196+AE196+AI196+AM196+AQ196+AU196+Table1[[#This Row],[MS-0225]]+Table1[[#This Row],[MS-0325]]</f>
        <v>3041.5</v>
      </c>
      <c r="BR196" s="37">
        <f t="shared" si="102"/>
        <v>289.5</v>
      </c>
      <c r="BS196" s="37">
        <f t="shared" si="103"/>
        <v>9.5183297714943293</v>
      </c>
      <c r="BT196" s="36">
        <f t="shared" si="104"/>
        <v>634</v>
      </c>
      <c r="BU196" s="36">
        <f t="shared" si="105"/>
        <v>630</v>
      </c>
      <c r="BV196" s="37">
        <f t="shared" si="106"/>
        <v>4</v>
      </c>
      <c r="BW196" s="37">
        <f t="shared" si="107"/>
        <v>0.63492063492063489</v>
      </c>
      <c r="BX196">
        <v>0</v>
      </c>
      <c r="BY196" s="83">
        <f t="shared" si="108"/>
        <v>0</v>
      </c>
      <c r="BZ196">
        <v>0</v>
      </c>
      <c r="CA196" s="83">
        <f t="shared" si="109"/>
        <v>0</v>
      </c>
      <c r="CB196" s="96">
        <f t="shared" si="110"/>
        <v>0.20757363253856942</v>
      </c>
      <c r="CC196" s="96">
        <f t="shared" si="111"/>
        <v>0.18015577378936676</v>
      </c>
      <c r="CD196" s="97">
        <f t="shared" si="112"/>
        <v>2.7417858749202662E-2</v>
      </c>
      <c r="CE196" s="96">
        <f t="shared" si="113"/>
        <v>8.7885985748218529E-2</v>
      </c>
      <c r="CF196" s="96">
        <f t="shared" si="114"/>
        <v>6.8141063956963538E-2</v>
      </c>
      <c r="CG196" s="96">
        <f t="shared" si="115"/>
        <v>1.9744921791254991E-2</v>
      </c>
      <c r="CH196" s="95">
        <f t="shared" si="116"/>
        <v>0.18449693982109724</v>
      </c>
      <c r="CI196" s="95">
        <f t="shared" si="117"/>
        <v>0.17710425946953154</v>
      </c>
      <c r="CJ196" s="98">
        <f t="shared" si="118"/>
        <v>7.3926803515657058E-3</v>
      </c>
      <c r="CK196" s="95">
        <f t="shared" si="119"/>
        <v>6.9966341113502181E-2</v>
      </c>
      <c r="CL196" s="95">
        <f t="shared" si="120"/>
        <v>6.7531353842855607E-2</v>
      </c>
      <c r="CM196" s="98">
        <f t="shared" si="121"/>
        <v>2.4349872706465742E-3</v>
      </c>
      <c r="CN196" s="94">
        <f t="shared" si="122"/>
        <v>0.55349081946329171</v>
      </c>
      <c r="CO196" s="94">
        <f t="shared" si="123"/>
        <v>0.20989902334050653</v>
      </c>
    </row>
    <row r="197" spans="1:94" ht="24.5" x14ac:dyDescent="0.35">
      <c r="A197" s="104">
        <v>186856</v>
      </c>
      <c r="B197" s="5" t="s">
        <v>581</v>
      </c>
      <c r="C197" s="46" t="s">
        <v>634</v>
      </c>
      <c r="D197" s="13" t="s">
        <v>391</v>
      </c>
      <c r="E197" s="6" t="s">
        <v>89</v>
      </c>
      <c r="F197" s="6" t="s">
        <v>237</v>
      </c>
      <c r="G197" s="12" t="s">
        <v>392</v>
      </c>
      <c r="H197" s="51" t="s">
        <v>1007</v>
      </c>
      <c r="I197" s="24" t="s">
        <v>86</v>
      </c>
      <c r="J197" s="19">
        <v>296</v>
      </c>
      <c r="K197" s="19">
        <v>325</v>
      </c>
      <c r="L197" s="19">
        <v>112</v>
      </c>
      <c r="M197" s="19">
        <v>95</v>
      </c>
      <c r="N197" s="18">
        <v>297.5</v>
      </c>
      <c r="O197" s="18">
        <v>312</v>
      </c>
      <c r="P197" s="18">
        <v>104.5</v>
      </c>
      <c r="Q197" s="18">
        <v>86</v>
      </c>
      <c r="R197" s="19">
        <v>310.5</v>
      </c>
      <c r="S197" s="19">
        <v>304</v>
      </c>
      <c r="T197" s="19">
        <v>87.5</v>
      </c>
      <c r="U197" s="19">
        <v>104</v>
      </c>
      <c r="V197" s="19">
        <v>341</v>
      </c>
      <c r="W197" s="19">
        <v>316.5</v>
      </c>
      <c r="X197" s="19">
        <v>95</v>
      </c>
      <c r="Y197" s="19">
        <v>99.5</v>
      </c>
      <c r="Z197" s="19">
        <v>321.5</v>
      </c>
      <c r="AA197" s="19">
        <v>321</v>
      </c>
      <c r="AB197" s="19">
        <v>94.5</v>
      </c>
      <c r="AC197" s="19">
        <v>101</v>
      </c>
      <c r="AD197" s="19">
        <v>331.5</v>
      </c>
      <c r="AE197" s="19">
        <v>306</v>
      </c>
      <c r="AF197" s="19">
        <v>104.5</v>
      </c>
      <c r="AG197" s="19">
        <v>90</v>
      </c>
      <c r="AH197" s="19">
        <v>345</v>
      </c>
      <c r="AI197" s="19">
        <v>322</v>
      </c>
      <c r="AJ197" s="19">
        <v>85</v>
      </c>
      <c r="AK197" s="19">
        <v>104</v>
      </c>
      <c r="AL197" s="19">
        <v>306</v>
      </c>
      <c r="AM197" s="19">
        <v>282.5</v>
      </c>
      <c r="AN197" s="19">
        <v>84</v>
      </c>
      <c r="AO197" s="19">
        <v>73.5</v>
      </c>
      <c r="AP197" s="19">
        <v>303</v>
      </c>
      <c r="AQ197" s="19">
        <v>318</v>
      </c>
      <c r="AR197" s="19">
        <v>89</v>
      </c>
      <c r="AS197" s="19">
        <v>76</v>
      </c>
      <c r="AT197" s="19">
        <v>275.5</v>
      </c>
      <c r="AU197" s="19">
        <v>289.5</v>
      </c>
      <c r="AV197" s="19">
        <v>92.5</v>
      </c>
      <c r="AW197" s="19">
        <v>76.5</v>
      </c>
      <c r="AX197" s="19">
        <v>289</v>
      </c>
      <c r="AY197" s="19">
        <v>289</v>
      </c>
      <c r="AZ197" s="19">
        <v>91</v>
      </c>
      <c r="BA197" s="19">
        <v>87</v>
      </c>
      <c r="BB197" s="19">
        <v>276</v>
      </c>
      <c r="BC197" s="19">
        <v>317.5</v>
      </c>
      <c r="BD197" s="19">
        <v>86</v>
      </c>
      <c r="BE197" s="19">
        <v>84.5</v>
      </c>
      <c r="BF197" s="23">
        <v>28.688300000000002</v>
      </c>
      <c r="BG197" s="23">
        <v>77.112899999999996</v>
      </c>
      <c r="BH197" s="31">
        <f t="shared" si="93"/>
        <v>276</v>
      </c>
      <c r="BI197" s="31">
        <f t="shared" si="94"/>
        <v>317.5</v>
      </c>
      <c r="BJ197" s="37">
        <f t="shared" si="95"/>
        <v>-41.5</v>
      </c>
      <c r="BK197" s="37">
        <f t="shared" si="96"/>
        <v>-13.070866141732285</v>
      </c>
      <c r="BL197" s="36">
        <f t="shared" si="97"/>
        <v>86</v>
      </c>
      <c r="BM197" s="36">
        <f t="shared" si="98"/>
        <v>84.5</v>
      </c>
      <c r="BN197" s="37">
        <f t="shared" si="99"/>
        <v>1.5</v>
      </c>
      <c r="BO197" s="37">
        <f t="shared" si="100"/>
        <v>1.7751479289940828</v>
      </c>
      <c r="BP197" s="38">
        <f t="shared" si="101"/>
        <v>3736</v>
      </c>
      <c r="BQ197" s="39">
        <f>J197+N197+S197+W197+AA197+AE197+AI197+AM197+AQ197+AU197+Table1[[#This Row],[MS-0225]]+Table1[[#This Row],[MS-0325]]</f>
        <v>3659.5</v>
      </c>
      <c r="BR197" s="37">
        <f t="shared" si="102"/>
        <v>76.5</v>
      </c>
      <c r="BS197" s="37">
        <f t="shared" si="103"/>
        <v>2.0904495149610605</v>
      </c>
      <c r="BT197" s="36">
        <f t="shared" si="104"/>
        <v>1090</v>
      </c>
      <c r="BU197" s="36">
        <f t="shared" si="105"/>
        <v>1112.5</v>
      </c>
      <c r="BV197" s="37">
        <f t="shared" si="106"/>
        <v>-22.5</v>
      </c>
      <c r="BW197" s="37">
        <f t="shared" si="107"/>
        <v>-2.0224719101123596</v>
      </c>
      <c r="BX197">
        <v>0</v>
      </c>
      <c r="BY197" s="83">
        <f t="shared" si="108"/>
        <v>0</v>
      </c>
      <c r="BZ197">
        <v>0</v>
      </c>
      <c r="CA197" s="83">
        <f t="shared" si="109"/>
        <v>0</v>
      </c>
      <c r="CB197" s="96">
        <f t="shared" si="110"/>
        <v>0.18253968253968253</v>
      </c>
      <c r="CC197" s="96">
        <f t="shared" si="111"/>
        <v>0.2004419191919192</v>
      </c>
      <c r="CD197" s="97">
        <f t="shared" si="112"/>
        <v>-1.7902236652236669E-2</v>
      </c>
      <c r="CE197" s="96">
        <f t="shared" si="113"/>
        <v>0.18614718614718614</v>
      </c>
      <c r="CF197" s="96">
        <f t="shared" si="114"/>
        <v>0.13651050080775445</v>
      </c>
      <c r="CG197" s="96">
        <f t="shared" si="115"/>
        <v>4.9636685339431691E-2</v>
      </c>
      <c r="CH197" s="95">
        <f t="shared" si="116"/>
        <v>0.20076307163200602</v>
      </c>
      <c r="CI197" s="95">
        <f t="shared" si="117"/>
        <v>0.20014204369883717</v>
      </c>
      <c r="CJ197" s="98">
        <f t="shared" si="118"/>
        <v>6.2102793316884397E-4</v>
      </c>
      <c r="CK197" s="95">
        <f t="shared" si="119"/>
        <v>0.1877044945755123</v>
      </c>
      <c r="CL197" s="95">
        <f t="shared" si="120"/>
        <v>0.14685499306976438</v>
      </c>
      <c r="CM197" s="98">
        <f t="shared" si="121"/>
        <v>4.0849501505747926E-2</v>
      </c>
      <c r="CN197" s="94">
        <f t="shared" si="122"/>
        <v>1.00381535816003</v>
      </c>
      <c r="CO197" s="94">
        <f t="shared" si="123"/>
        <v>0.93852247287756152</v>
      </c>
    </row>
    <row r="198" spans="1:94" ht="24.5" x14ac:dyDescent="0.35">
      <c r="A198" s="104">
        <v>106241</v>
      </c>
      <c r="B198" s="5" t="s">
        <v>581</v>
      </c>
      <c r="C198" s="46" t="s">
        <v>698</v>
      </c>
      <c r="D198" s="13" t="s">
        <v>699</v>
      </c>
      <c r="E198" s="6" t="s">
        <v>103</v>
      </c>
      <c r="F198" s="6" t="s">
        <v>145</v>
      </c>
      <c r="G198" s="12" t="s">
        <v>145</v>
      </c>
      <c r="H198" s="51" t="s">
        <v>96</v>
      </c>
      <c r="I198" s="24" t="s">
        <v>83</v>
      </c>
      <c r="J198" s="19">
        <v>265.5</v>
      </c>
      <c r="K198" s="19">
        <v>282.5</v>
      </c>
      <c r="L198" s="19">
        <v>94.5</v>
      </c>
      <c r="M198" s="19">
        <v>81.5</v>
      </c>
      <c r="N198" s="18">
        <v>261</v>
      </c>
      <c r="O198" s="18">
        <v>314.5</v>
      </c>
      <c r="P198" s="18">
        <v>81</v>
      </c>
      <c r="Q198" s="18">
        <v>85.5</v>
      </c>
      <c r="R198" s="19">
        <v>275</v>
      </c>
      <c r="S198" s="19">
        <v>229.5</v>
      </c>
      <c r="T198" s="19">
        <v>73</v>
      </c>
      <c r="U198" s="19">
        <v>76.5</v>
      </c>
      <c r="V198" s="19">
        <v>325.5</v>
      </c>
      <c r="W198" s="19">
        <v>302</v>
      </c>
      <c r="X198" s="19">
        <v>80.5</v>
      </c>
      <c r="Y198" s="19">
        <v>82</v>
      </c>
      <c r="Z198" s="19">
        <v>311.5</v>
      </c>
      <c r="AA198" s="19">
        <v>279</v>
      </c>
      <c r="AB198" s="19">
        <v>72.5</v>
      </c>
      <c r="AC198" s="19">
        <v>81</v>
      </c>
      <c r="AD198" s="19">
        <v>300.5</v>
      </c>
      <c r="AE198" s="19">
        <v>276.5</v>
      </c>
      <c r="AF198" s="19">
        <v>77.5</v>
      </c>
      <c r="AG198" s="19">
        <v>85.5</v>
      </c>
      <c r="AH198" s="19">
        <v>300.5</v>
      </c>
      <c r="AI198" s="19">
        <v>276.5</v>
      </c>
      <c r="AJ198" s="19">
        <v>81.5</v>
      </c>
      <c r="AK198" s="19">
        <v>105.5</v>
      </c>
      <c r="AL198" s="19">
        <v>285</v>
      </c>
      <c r="AM198" s="19">
        <v>268.5</v>
      </c>
      <c r="AN198" s="19">
        <v>83</v>
      </c>
      <c r="AO198" s="19">
        <v>77.5</v>
      </c>
      <c r="AP198" s="19">
        <v>280</v>
      </c>
      <c r="AQ198" s="19">
        <v>290.5</v>
      </c>
      <c r="AR198" s="19">
        <v>68</v>
      </c>
      <c r="AS198" s="19">
        <v>73.5</v>
      </c>
      <c r="AT198" s="19">
        <v>263.5</v>
      </c>
      <c r="AU198" s="19">
        <v>255.5</v>
      </c>
      <c r="AV198" s="19">
        <v>68.5</v>
      </c>
      <c r="AW198" s="19">
        <v>78.5</v>
      </c>
      <c r="AX198" s="19">
        <v>270.5</v>
      </c>
      <c r="AY198" s="19">
        <v>258.5</v>
      </c>
      <c r="AZ198" s="19">
        <v>73.5</v>
      </c>
      <c r="BA198" s="19">
        <v>81.5</v>
      </c>
      <c r="BB198" s="19">
        <v>293.5</v>
      </c>
      <c r="BC198" s="19">
        <v>283</v>
      </c>
      <c r="BD198" s="19">
        <v>72.5</v>
      </c>
      <c r="BE198" s="19">
        <v>81</v>
      </c>
      <c r="BF198" s="23">
        <v>28.5351</v>
      </c>
      <c r="BG198" s="23">
        <v>77.143199999999993</v>
      </c>
      <c r="BH198" s="31">
        <f t="shared" si="93"/>
        <v>293.5</v>
      </c>
      <c r="BI198" s="31">
        <f t="shared" si="94"/>
        <v>283</v>
      </c>
      <c r="BJ198" s="37">
        <f t="shared" si="95"/>
        <v>10.5</v>
      </c>
      <c r="BK198" s="37">
        <f t="shared" si="96"/>
        <v>3.7102473498233217</v>
      </c>
      <c r="BL198" s="36">
        <f t="shared" si="97"/>
        <v>72.5</v>
      </c>
      <c r="BM198" s="36">
        <f t="shared" si="98"/>
        <v>81</v>
      </c>
      <c r="BN198" s="37">
        <f t="shared" si="99"/>
        <v>-8.5</v>
      </c>
      <c r="BO198" s="37">
        <f t="shared" si="100"/>
        <v>-10.493827160493826</v>
      </c>
      <c r="BP198" s="38">
        <f t="shared" si="101"/>
        <v>3502.5</v>
      </c>
      <c r="BQ198" s="39">
        <f>J198+N198+S198+W198+AA198+AE198+AI198+AM198+AQ198+AU198+Table1[[#This Row],[MS-0225]]+Table1[[#This Row],[MS-0325]]</f>
        <v>3246</v>
      </c>
      <c r="BR198" s="37">
        <f t="shared" si="102"/>
        <v>256.5</v>
      </c>
      <c r="BS198" s="37">
        <f t="shared" si="103"/>
        <v>7.9020332717190387</v>
      </c>
      <c r="BT198" s="36">
        <f t="shared" si="104"/>
        <v>917.5</v>
      </c>
      <c r="BU198" s="36">
        <f t="shared" si="105"/>
        <v>998</v>
      </c>
      <c r="BV198" s="37">
        <f t="shared" si="106"/>
        <v>-80.5</v>
      </c>
      <c r="BW198" s="37">
        <f t="shared" si="107"/>
        <v>-8.0661322645290578</v>
      </c>
      <c r="BX198">
        <v>0</v>
      </c>
      <c r="BY198" s="83">
        <f t="shared" si="108"/>
        <v>0</v>
      </c>
      <c r="BZ198">
        <v>0</v>
      </c>
      <c r="CA198" s="83">
        <f t="shared" si="109"/>
        <v>0</v>
      </c>
      <c r="CB198" s="96">
        <f t="shared" si="110"/>
        <v>0.19553630912724851</v>
      </c>
      <c r="CC198" s="96">
        <f t="shared" si="111"/>
        <v>0.20816476645825671</v>
      </c>
      <c r="CD198" s="97">
        <f t="shared" si="112"/>
        <v>-1.2628457331008203E-2</v>
      </c>
      <c r="CE198" s="96">
        <f t="shared" si="113"/>
        <v>0.18079800498753118</v>
      </c>
      <c r="CF198" s="96">
        <f t="shared" si="114"/>
        <v>0.18556701030927836</v>
      </c>
      <c r="CG198" s="96">
        <f t="shared" si="115"/>
        <v>-4.7690053217471773E-3</v>
      </c>
      <c r="CH198" s="95">
        <f t="shared" si="116"/>
        <v>0.20868088655862727</v>
      </c>
      <c r="CI198" s="95">
        <f t="shared" si="117"/>
        <v>0.20097204569114691</v>
      </c>
      <c r="CJ198" s="98">
        <f t="shared" si="118"/>
        <v>7.7088408674803599E-3</v>
      </c>
      <c r="CK198" s="95">
        <f t="shared" si="119"/>
        <v>0.19397463002114165</v>
      </c>
      <c r="CL198" s="95">
        <f t="shared" si="120"/>
        <v>0.18842631926744077</v>
      </c>
      <c r="CM198" s="98">
        <f t="shared" si="121"/>
        <v>5.5483107537008802E-3</v>
      </c>
      <c r="CN198" s="94">
        <f t="shared" si="122"/>
        <v>0.83472354623450906</v>
      </c>
      <c r="CO198" s="94">
        <f t="shared" si="123"/>
        <v>0.77589852008456661</v>
      </c>
    </row>
    <row r="199" spans="1:94" ht="48.5" x14ac:dyDescent="0.35">
      <c r="A199" s="104">
        <v>106256</v>
      </c>
      <c r="B199" s="5" t="s">
        <v>581</v>
      </c>
      <c r="C199" s="46" t="s">
        <v>741</v>
      </c>
      <c r="D199" s="13" t="s">
        <v>742</v>
      </c>
      <c r="E199" s="6" t="s">
        <v>111</v>
      </c>
      <c r="F199" s="6" t="s">
        <v>483</v>
      </c>
      <c r="G199" s="12" t="s">
        <v>483</v>
      </c>
      <c r="H199" s="51" t="s">
        <v>105</v>
      </c>
      <c r="I199" s="24" t="s">
        <v>78</v>
      </c>
      <c r="J199" s="19">
        <v>224</v>
      </c>
      <c r="K199" s="19">
        <v>264</v>
      </c>
      <c r="L199" s="19">
        <v>52</v>
      </c>
      <c r="M199" s="19">
        <v>60</v>
      </c>
      <c r="N199" s="18">
        <v>264</v>
      </c>
      <c r="O199" s="18">
        <v>296</v>
      </c>
      <c r="P199" s="18">
        <v>60</v>
      </c>
      <c r="Q199" s="18">
        <v>88</v>
      </c>
      <c r="R199" s="19">
        <v>260</v>
      </c>
      <c r="S199" s="19">
        <v>240</v>
      </c>
      <c r="T199" s="19">
        <v>64</v>
      </c>
      <c r="U199" s="19">
        <v>48</v>
      </c>
      <c r="V199" s="19">
        <v>284</v>
      </c>
      <c r="W199" s="19">
        <v>260</v>
      </c>
      <c r="X199" s="19">
        <v>88</v>
      </c>
      <c r="Y199" s="19">
        <v>64</v>
      </c>
      <c r="Z199" s="19">
        <v>272</v>
      </c>
      <c r="AA199" s="19">
        <v>276</v>
      </c>
      <c r="AB199" s="19">
        <v>124</v>
      </c>
      <c r="AC199" s="19">
        <v>48</v>
      </c>
      <c r="AD199" s="19">
        <v>253</v>
      </c>
      <c r="AE199" s="19">
        <v>257.5</v>
      </c>
      <c r="AF199" s="19">
        <v>125</v>
      </c>
      <c r="AG199" s="19">
        <v>48.5</v>
      </c>
      <c r="AH199" s="19">
        <v>262</v>
      </c>
      <c r="AI199" s="19">
        <v>262</v>
      </c>
      <c r="AJ199" s="19">
        <v>122</v>
      </c>
      <c r="AK199" s="19">
        <v>56</v>
      </c>
      <c r="AL199" s="19">
        <v>262</v>
      </c>
      <c r="AM199" s="19">
        <v>234</v>
      </c>
      <c r="AN199" s="19">
        <v>90</v>
      </c>
      <c r="AO199" s="19">
        <v>36</v>
      </c>
      <c r="AP199" s="19">
        <v>261.5</v>
      </c>
      <c r="AQ199" s="19">
        <v>240</v>
      </c>
      <c r="AR199" s="19">
        <v>110.5</v>
      </c>
      <c r="AS199" s="19">
        <v>48</v>
      </c>
      <c r="AT199" s="19">
        <v>239</v>
      </c>
      <c r="AU199" s="19">
        <v>224</v>
      </c>
      <c r="AV199" s="19">
        <v>83</v>
      </c>
      <c r="AW199" s="19">
        <v>40</v>
      </c>
      <c r="AX199" s="19">
        <v>230</v>
      </c>
      <c r="AY199" s="19">
        <v>224</v>
      </c>
      <c r="AZ199" s="19">
        <v>64</v>
      </c>
      <c r="BA199" s="19">
        <v>40</v>
      </c>
      <c r="BB199" s="19">
        <v>293</v>
      </c>
      <c r="BC199" s="19">
        <v>244</v>
      </c>
      <c r="BD199" s="19">
        <v>57</v>
      </c>
      <c r="BE199" s="19">
        <v>44</v>
      </c>
      <c r="BF199" s="23">
        <v>28.5869</v>
      </c>
      <c r="BG199" s="23">
        <v>77.212100000000007</v>
      </c>
      <c r="BH199" s="31">
        <f t="shared" si="93"/>
        <v>293</v>
      </c>
      <c r="BI199" s="31">
        <f t="shared" si="94"/>
        <v>244</v>
      </c>
      <c r="BJ199" s="37">
        <f t="shared" si="95"/>
        <v>49</v>
      </c>
      <c r="BK199" s="37">
        <f t="shared" si="96"/>
        <v>20.081967213114755</v>
      </c>
      <c r="BL199" s="36">
        <f t="shared" si="97"/>
        <v>57</v>
      </c>
      <c r="BM199" s="36">
        <f t="shared" si="98"/>
        <v>44</v>
      </c>
      <c r="BN199" s="37">
        <f t="shared" si="99"/>
        <v>13</v>
      </c>
      <c r="BO199" s="37">
        <f t="shared" si="100"/>
        <v>29.545454545454547</v>
      </c>
      <c r="BP199" s="38">
        <f t="shared" si="101"/>
        <v>3176.5</v>
      </c>
      <c r="BQ199" s="39">
        <f>J199+N199+S199+W199+AA199+AE199+AI199+AM199+AQ199+AU199+Table1[[#This Row],[MS-0225]]+Table1[[#This Row],[MS-0325]]</f>
        <v>2949.5</v>
      </c>
      <c r="BR199" s="37">
        <f t="shared" si="102"/>
        <v>227</v>
      </c>
      <c r="BS199" s="37">
        <f t="shared" si="103"/>
        <v>7.696219698253941</v>
      </c>
      <c r="BT199" s="36">
        <f t="shared" si="104"/>
        <v>1075.5</v>
      </c>
      <c r="BU199" s="36">
        <f t="shared" si="105"/>
        <v>584.5</v>
      </c>
      <c r="BV199" s="37">
        <f t="shared" si="106"/>
        <v>491</v>
      </c>
      <c r="BW199" s="37">
        <f t="shared" si="107"/>
        <v>84.003421727972622</v>
      </c>
      <c r="BX199">
        <v>0</v>
      </c>
      <c r="BY199" s="83">
        <f t="shared" si="108"/>
        <v>0</v>
      </c>
      <c r="BZ199">
        <v>0</v>
      </c>
      <c r="CA199" s="83">
        <f t="shared" si="109"/>
        <v>0</v>
      </c>
      <c r="CB199" s="96">
        <f t="shared" si="110"/>
        <v>0.36195182211241506</v>
      </c>
      <c r="CC199" s="96">
        <f t="shared" si="111"/>
        <v>0.33356117566643884</v>
      </c>
      <c r="CD199" s="97">
        <f t="shared" si="112"/>
        <v>2.839064644597622E-2</v>
      </c>
      <c r="CE199" s="96">
        <f t="shared" si="113"/>
        <v>0.27078384798099764</v>
      </c>
      <c r="CF199" s="96">
        <f t="shared" si="114"/>
        <v>0.23719676549865229</v>
      </c>
      <c r="CG199" s="96">
        <f t="shared" si="115"/>
        <v>3.3587082482345348E-2</v>
      </c>
      <c r="CH199" s="95">
        <f t="shared" si="116"/>
        <v>0.32791369877154952</v>
      </c>
      <c r="CI199" s="95">
        <f t="shared" si="117"/>
        <v>0.33099539894512403</v>
      </c>
      <c r="CJ199" s="98">
        <f t="shared" si="118"/>
        <v>-3.0817001735745086E-3</v>
      </c>
      <c r="CK199" s="95">
        <f t="shared" si="119"/>
        <v>0.36706484641638226</v>
      </c>
      <c r="CL199" s="95">
        <f t="shared" si="120"/>
        <v>0.21948929778445361</v>
      </c>
      <c r="CM199" s="98">
        <f t="shared" si="121"/>
        <v>0.14757554863192865</v>
      </c>
      <c r="CN199" s="94">
        <f t="shared" si="122"/>
        <v>0.98374109631464857</v>
      </c>
      <c r="CO199" s="94">
        <f t="shared" si="123"/>
        <v>1.1011945392491467</v>
      </c>
    </row>
    <row r="200" spans="1:94" ht="24.5" x14ac:dyDescent="0.35">
      <c r="A200" s="102">
        <v>112439</v>
      </c>
      <c r="B200" s="3" t="s">
        <v>72</v>
      </c>
      <c r="C200" s="43" t="s">
        <v>354</v>
      </c>
      <c r="D200" s="12" t="s">
        <v>355</v>
      </c>
      <c r="E200" s="4" t="s">
        <v>187</v>
      </c>
      <c r="F200" s="4" t="s">
        <v>356</v>
      </c>
      <c r="G200" s="12" t="s">
        <v>356</v>
      </c>
      <c r="H200" s="51" t="s">
        <v>189</v>
      </c>
      <c r="I200" s="23" t="s">
        <v>86</v>
      </c>
      <c r="J200" s="90">
        <v>301.00000199999999</v>
      </c>
      <c r="K200" s="90">
        <v>305</v>
      </c>
      <c r="L200" s="90">
        <v>235</v>
      </c>
      <c r="M200" s="90">
        <v>249</v>
      </c>
      <c r="N200" s="18">
        <v>319.00000199999999</v>
      </c>
      <c r="O200" s="18">
        <v>322</v>
      </c>
      <c r="P200" s="18">
        <v>253</v>
      </c>
      <c r="Q200" s="18">
        <v>274</v>
      </c>
      <c r="R200" s="90">
        <v>285</v>
      </c>
      <c r="S200" s="90">
        <v>302.500001</v>
      </c>
      <c r="T200" s="90">
        <v>269</v>
      </c>
      <c r="U200" s="90">
        <v>263.5</v>
      </c>
      <c r="V200" s="90">
        <v>343</v>
      </c>
      <c r="W200" s="90">
        <v>326.500001</v>
      </c>
      <c r="X200" s="90">
        <v>263</v>
      </c>
      <c r="Y200" s="90">
        <v>255.5</v>
      </c>
      <c r="Z200" s="90">
        <v>325</v>
      </c>
      <c r="AA200" s="90">
        <v>339</v>
      </c>
      <c r="AB200" s="90">
        <v>231</v>
      </c>
      <c r="AC200" s="90">
        <v>243</v>
      </c>
      <c r="AD200" s="90">
        <v>341</v>
      </c>
      <c r="AE200" s="90">
        <v>317.500001</v>
      </c>
      <c r="AF200" s="90">
        <v>229</v>
      </c>
      <c r="AG200" s="90">
        <v>246.5</v>
      </c>
      <c r="AH200" s="90">
        <v>325</v>
      </c>
      <c r="AI200" s="90">
        <v>336</v>
      </c>
      <c r="AJ200" s="90">
        <v>253</v>
      </c>
      <c r="AK200" s="90">
        <v>232</v>
      </c>
      <c r="AL200" s="90">
        <v>297</v>
      </c>
      <c r="AM200" s="90">
        <v>299.000001</v>
      </c>
      <c r="AN200" s="90">
        <v>259</v>
      </c>
      <c r="AO200" s="90">
        <v>231</v>
      </c>
      <c r="AP200" s="90">
        <v>304</v>
      </c>
      <c r="AQ200" s="90">
        <v>294</v>
      </c>
      <c r="AR200" s="90">
        <v>248</v>
      </c>
      <c r="AS200" s="90">
        <v>242</v>
      </c>
      <c r="AT200" s="90">
        <v>283</v>
      </c>
      <c r="AU200" s="90">
        <v>307.5</v>
      </c>
      <c r="AV200" s="90">
        <v>229</v>
      </c>
      <c r="AW200" s="90">
        <v>242.5</v>
      </c>
      <c r="AX200" s="90">
        <v>269</v>
      </c>
      <c r="AY200" s="90">
        <v>266.5</v>
      </c>
      <c r="AZ200" s="90">
        <v>269</v>
      </c>
      <c r="BA200" s="90">
        <v>231.5</v>
      </c>
      <c r="BB200" s="90">
        <v>293</v>
      </c>
      <c r="BC200" s="90">
        <v>293</v>
      </c>
      <c r="BD200" s="90">
        <v>279</v>
      </c>
      <c r="BE200" s="90">
        <v>253</v>
      </c>
      <c r="BF200" s="23">
        <v>28.67831</v>
      </c>
      <c r="BG200" s="23">
        <v>77.224699999999999</v>
      </c>
      <c r="BH200" s="31">
        <f t="shared" ref="BH200:BH263" si="124">BB200</f>
        <v>293</v>
      </c>
      <c r="BI200" s="31">
        <f t="shared" ref="BI200:BI263" si="125">BC200</f>
        <v>293</v>
      </c>
      <c r="BJ200" s="37">
        <f t="shared" ref="BJ200:BJ263" si="126">(BH200-BI200)</f>
        <v>0</v>
      </c>
      <c r="BK200" s="37">
        <f t="shared" ref="BK200:BK263" si="127">(BJ200)/BI200*100</f>
        <v>0</v>
      </c>
      <c r="BL200" s="36">
        <f t="shared" ref="BL200:BL263" si="128">BD200</f>
        <v>279</v>
      </c>
      <c r="BM200" s="36">
        <f t="shared" ref="BM200:BM263" si="129">BE200</f>
        <v>253</v>
      </c>
      <c r="BN200" s="37">
        <f t="shared" ref="BN200:BN263" si="130">(BL200-BM200)</f>
        <v>26</v>
      </c>
      <c r="BO200" s="37">
        <f t="shared" ref="BO200:BO263" si="131">(BN200)/BM200*100</f>
        <v>10.276679841897234</v>
      </c>
      <c r="BP200" s="38">
        <f t="shared" ref="BP200:BP263" si="132">K200+O200+R200+V200+Z200+AD200+AH200+AL200+AP200+AT200+AX200+BB200</f>
        <v>3692</v>
      </c>
      <c r="BQ200" s="39">
        <f>J200+N200+S200+W200+AA200+AE200+AI200+AM200+AQ200+AU200+Table1[[#This Row],[MS-0225]]+Table1[[#This Row],[MS-0325]]</f>
        <v>3701.500008</v>
      </c>
      <c r="BR200" s="37">
        <f t="shared" ref="BR200:BR263" si="133">(BP200-BQ200)</f>
        <v>-9.5000079999999798</v>
      </c>
      <c r="BS200" s="37">
        <f t="shared" ref="BS200:BS263" si="134">(BR200)/BQ200*100</f>
        <v>-0.25665292393537065</v>
      </c>
      <c r="BT200" s="36">
        <f t="shared" ref="BT200:BT263" si="135">M200+Q200+T200+X200+AB200+AF200+AJ200+AN200+AR200+AV200+AZ200+BD200</f>
        <v>3052</v>
      </c>
      <c r="BU200" s="36">
        <f t="shared" ref="BU200:BU263" si="136">L200+P200+U200+Y200+AC200+AG200+AK200+AO200+AS200+AW200+BA200+BE200</f>
        <v>2928.5</v>
      </c>
      <c r="BV200" s="37">
        <f t="shared" ref="BV200:BV263" si="137">(BT200-BU200)</f>
        <v>123.5</v>
      </c>
      <c r="BW200" s="37">
        <f t="shared" ref="BW200:BW263" si="138">(BV200)/BU200*100</f>
        <v>4.2171760286836264</v>
      </c>
      <c r="BX200">
        <v>29</v>
      </c>
      <c r="BY200" s="83">
        <f t="shared" ref="BY200:BY263" si="139">BX200/BH200</f>
        <v>9.8976109215017066E-2</v>
      </c>
      <c r="BZ200">
        <v>193.5</v>
      </c>
      <c r="CA200" s="83">
        <f t="shared" ref="CA200:CA263" si="140">BZ200/BP200</f>
        <v>5.2410617551462625E-2</v>
      </c>
      <c r="CB200" s="96">
        <f t="shared" ref="CB200:CB263" si="141">BH200/SUMIFS(BH$2:BH$398,G$2:G$398,G200)</f>
        <v>0.4109396914446003</v>
      </c>
      <c r="CC200" s="96">
        <f t="shared" ref="CC200:CC263" si="142">BI200/SUMIFS(BI$2:BI$398,G$2:G$398,G200)</f>
        <v>0.4100769769069279</v>
      </c>
      <c r="CD200" s="97">
        <f t="shared" ref="CD200:CD263" si="143">CB200-CC200</f>
        <v>8.6271453767239326E-4</v>
      </c>
      <c r="CE200" s="96">
        <f t="shared" ref="CE200:CE263" si="144">BL200/SUMIFS(BL$2:BL$398,G$2:G$398,G200)</f>
        <v>0.16787003610108303</v>
      </c>
      <c r="CF200" s="96">
        <f t="shared" ref="CF200:CF263" si="145">BM200/SUMIFS(BM$2:BM$398,G$2:G$398,G200)</f>
        <v>0.16089030206677266</v>
      </c>
      <c r="CG200" s="96">
        <f t="shared" ref="CG200:CG263" si="146">CE200-CF200</f>
        <v>6.9797340343103753E-3</v>
      </c>
      <c r="CH200" s="95">
        <f t="shared" ref="CH200:CH263" si="147">BP200/SUMIFS(BP$2:BP$398,G$2:G$398,G200)</f>
        <v>0.40863309352517985</v>
      </c>
      <c r="CI200" s="95">
        <f t="shared" ref="CI200:CI263" si="148">BQ200/SUMIFS(BQ$2:BQ$398,G$2:G$398,G200)</f>
        <v>0.42327044077916948</v>
      </c>
      <c r="CJ200" s="98">
        <f t="shared" ref="CJ200:CJ263" si="149">CH200-CI200</f>
        <v>-1.463734725398963E-2</v>
      </c>
      <c r="CK200" s="95">
        <f t="shared" ref="CK200:CK263" si="150">BT200/SUMIFS(BT$2:BT$398,G$2:G$398,G200)</f>
        <v>0.18464516909673906</v>
      </c>
      <c r="CL200" s="95">
        <f t="shared" ref="CL200:CL263" si="151">BU200/SUMIFS(BU$2:BU$398,G$2:G$398,G200)</f>
        <v>0.16953224499247424</v>
      </c>
      <c r="CM200" s="98">
        <f t="shared" ref="CM200:CM263" si="152">CK200-CL200</f>
        <v>1.5112924104264819E-2</v>
      </c>
      <c r="CN200" s="94">
        <f t="shared" ref="CN200:CN263" si="153">COUNTIFS(G$2:G$398,G200)*CH200</f>
        <v>1.2258992805755395</v>
      </c>
      <c r="CO200" s="94">
        <f t="shared" ref="CO200:CO263" si="154">COUNTIFS(G$2:G$398,G200)*CK200</f>
        <v>0.55393550729021723</v>
      </c>
    </row>
    <row r="201" spans="1:94" ht="36.5" x14ac:dyDescent="0.35">
      <c r="A201" s="103">
        <v>41056826</v>
      </c>
      <c r="B201" s="9" t="s">
        <v>380</v>
      </c>
      <c r="C201" s="47" t="s">
        <v>546</v>
      </c>
      <c r="D201" s="14" t="s">
        <v>273</v>
      </c>
      <c r="E201" s="10" t="s">
        <v>111</v>
      </c>
      <c r="F201" s="10" t="s">
        <v>414</v>
      </c>
      <c r="G201" s="12" t="s">
        <v>414</v>
      </c>
      <c r="H201" s="51" t="s">
        <v>275</v>
      </c>
      <c r="I201" s="25" t="s">
        <v>78</v>
      </c>
      <c r="J201" s="20">
        <v>300</v>
      </c>
      <c r="K201" s="20">
        <v>329</v>
      </c>
      <c r="L201" s="20">
        <v>126</v>
      </c>
      <c r="M201" s="20">
        <v>149</v>
      </c>
      <c r="N201" s="18">
        <v>346.5</v>
      </c>
      <c r="O201" s="18">
        <v>388</v>
      </c>
      <c r="P201" s="18">
        <v>175.5</v>
      </c>
      <c r="Q201" s="18">
        <v>173</v>
      </c>
      <c r="R201" s="20">
        <v>323.5</v>
      </c>
      <c r="S201" s="20">
        <v>340.5</v>
      </c>
      <c r="T201" s="20">
        <v>158.5</v>
      </c>
      <c r="U201" s="20">
        <v>157.5</v>
      </c>
      <c r="V201" s="20">
        <v>378</v>
      </c>
      <c r="W201" s="20">
        <v>372</v>
      </c>
      <c r="X201" s="20">
        <v>160</v>
      </c>
      <c r="Y201" s="20">
        <v>144</v>
      </c>
      <c r="Z201" s="20">
        <v>348.5</v>
      </c>
      <c r="AA201" s="20">
        <v>385</v>
      </c>
      <c r="AB201" s="20">
        <v>116.5</v>
      </c>
      <c r="AC201" s="20">
        <v>165</v>
      </c>
      <c r="AD201" s="20">
        <v>391</v>
      </c>
      <c r="AE201" s="20">
        <v>328.5</v>
      </c>
      <c r="AF201" s="20">
        <v>155</v>
      </c>
      <c r="AG201" s="20">
        <v>148.5</v>
      </c>
      <c r="AH201" s="20">
        <v>354.5</v>
      </c>
      <c r="AI201" s="20">
        <v>364</v>
      </c>
      <c r="AJ201" s="20">
        <v>163.5</v>
      </c>
      <c r="AK201" s="20">
        <v>145</v>
      </c>
      <c r="AL201" s="20">
        <v>348</v>
      </c>
      <c r="AM201" s="20">
        <v>363.5</v>
      </c>
      <c r="AN201" s="20">
        <v>169</v>
      </c>
      <c r="AO201" s="20">
        <v>123.5</v>
      </c>
      <c r="AP201" s="20">
        <v>360.5</v>
      </c>
      <c r="AQ201" s="20">
        <v>337.5</v>
      </c>
      <c r="AR201" s="20">
        <v>121.5</v>
      </c>
      <c r="AS201" s="20">
        <v>112.5</v>
      </c>
      <c r="AT201" s="20">
        <v>317</v>
      </c>
      <c r="AU201" s="20">
        <v>331.5</v>
      </c>
      <c r="AV201" s="20">
        <v>118</v>
      </c>
      <c r="AW201" s="20">
        <v>127.5</v>
      </c>
      <c r="AX201" s="20">
        <v>291</v>
      </c>
      <c r="AY201" s="20">
        <v>317</v>
      </c>
      <c r="AZ201" s="20">
        <v>203</v>
      </c>
      <c r="BA201" s="20">
        <v>185</v>
      </c>
      <c r="BB201" s="20">
        <v>291</v>
      </c>
      <c r="BC201" s="20">
        <v>325</v>
      </c>
      <c r="BD201" s="20">
        <v>126</v>
      </c>
      <c r="BE201" s="20">
        <v>135</v>
      </c>
      <c r="BF201" s="23">
        <v>28.545860000000001</v>
      </c>
      <c r="BG201" s="23">
        <v>77.264039999999994</v>
      </c>
      <c r="BH201" s="31">
        <f t="shared" si="124"/>
        <v>291</v>
      </c>
      <c r="BI201" s="31">
        <f t="shared" si="125"/>
        <v>325</v>
      </c>
      <c r="BJ201" s="37">
        <f t="shared" si="126"/>
        <v>-34</v>
      </c>
      <c r="BK201" s="37">
        <f t="shared" si="127"/>
        <v>-10.461538461538462</v>
      </c>
      <c r="BL201" s="36">
        <f t="shared" si="128"/>
        <v>126</v>
      </c>
      <c r="BM201" s="36">
        <f t="shared" si="129"/>
        <v>135</v>
      </c>
      <c r="BN201" s="37">
        <f t="shared" si="130"/>
        <v>-9</v>
      </c>
      <c r="BO201" s="37">
        <f t="shared" si="131"/>
        <v>-6.666666666666667</v>
      </c>
      <c r="BP201" s="38">
        <f t="shared" si="132"/>
        <v>4120</v>
      </c>
      <c r="BQ201" s="39">
        <f>J201+N201+S201+W201+AA201+AE201+AI201+AM201+AQ201+AU201+Table1[[#This Row],[MS-0225]]+Table1[[#This Row],[MS-0325]]</f>
        <v>4111</v>
      </c>
      <c r="BR201" s="37">
        <f t="shared" si="133"/>
        <v>9</v>
      </c>
      <c r="BS201" s="37">
        <f t="shared" si="134"/>
        <v>0.21892483580637315</v>
      </c>
      <c r="BT201" s="36">
        <f t="shared" si="135"/>
        <v>1813</v>
      </c>
      <c r="BU201" s="36">
        <f t="shared" si="136"/>
        <v>1745</v>
      </c>
      <c r="BV201" s="37">
        <f t="shared" si="137"/>
        <v>68</v>
      </c>
      <c r="BW201" s="37">
        <f t="shared" si="138"/>
        <v>3.8968481375358168</v>
      </c>
      <c r="BX201">
        <v>0</v>
      </c>
      <c r="BY201" s="83">
        <f t="shared" si="139"/>
        <v>0</v>
      </c>
      <c r="BZ201">
        <v>0</v>
      </c>
      <c r="CA201" s="83">
        <f t="shared" si="140"/>
        <v>0</v>
      </c>
      <c r="CB201" s="96">
        <f t="shared" si="141"/>
        <v>0.32423398328690806</v>
      </c>
      <c r="CC201" s="96">
        <f t="shared" si="142"/>
        <v>0.37878787878787878</v>
      </c>
      <c r="CD201" s="97">
        <f t="shared" si="143"/>
        <v>-5.4553895500970728E-2</v>
      </c>
      <c r="CE201" s="96">
        <f t="shared" si="144"/>
        <v>0.25480283114256824</v>
      </c>
      <c r="CF201" s="96">
        <f t="shared" si="145"/>
        <v>0.26011560693641617</v>
      </c>
      <c r="CG201" s="96">
        <f t="shared" si="146"/>
        <v>-5.3127757938479236E-3</v>
      </c>
      <c r="CH201" s="95">
        <f t="shared" si="147"/>
        <v>0.37567247196133857</v>
      </c>
      <c r="CI201" s="95">
        <f t="shared" si="148"/>
        <v>0.3837752053771471</v>
      </c>
      <c r="CJ201" s="98">
        <f t="shared" si="149"/>
        <v>-8.1027334158085274E-3</v>
      </c>
      <c r="CK201" s="95">
        <f t="shared" si="150"/>
        <v>0.27654057352043931</v>
      </c>
      <c r="CL201" s="95">
        <f t="shared" si="151"/>
        <v>0.25982611751287593</v>
      </c>
      <c r="CM201" s="98">
        <f t="shared" si="152"/>
        <v>1.6714456007563383E-2</v>
      </c>
      <c r="CN201" s="94">
        <f t="shared" si="153"/>
        <v>1.1270174158840156</v>
      </c>
      <c r="CO201" s="94">
        <f t="shared" si="154"/>
        <v>0.82962172056131789</v>
      </c>
    </row>
    <row r="202" spans="1:94" ht="24.5" x14ac:dyDescent="0.35">
      <c r="A202" s="104">
        <v>106275</v>
      </c>
      <c r="B202" s="5" t="s">
        <v>581</v>
      </c>
      <c r="C202" s="46" t="s">
        <v>785</v>
      </c>
      <c r="D202" s="13" t="s">
        <v>579</v>
      </c>
      <c r="E202" s="6" t="s">
        <v>85</v>
      </c>
      <c r="F202" s="6" t="s">
        <v>580</v>
      </c>
      <c r="G202" s="12" t="s">
        <v>580</v>
      </c>
      <c r="H202" s="51" t="s">
        <v>304</v>
      </c>
      <c r="I202" s="24" t="s">
        <v>86</v>
      </c>
      <c r="J202" s="19">
        <v>673</v>
      </c>
      <c r="K202" s="19">
        <v>716</v>
      </c>
      <c r="L202" s="19">
        <v>179</v>
      </c>
      <c r="M202" s="19">
        <v>176</v>
      </c>
      <c r="N202" s="18">
        <v>688.5</v>
      </c>
      <c r="O202" s="18">
        <v>728</v>
      </c>
      <c r="P202" s="18">
        <v>211.5</v>
      </c>
      <c r="Q202" s="18">
        <v>180</v>
      </c>
      <c r="R202" s="19">
        <v>686</v>
      </c>
      <c r="S202" s="19">
        <v>663.5</v>
      </c>
      <c r="T202" s="19">
        <v>168</v>
      </c>
      <c r="U202" s="19">
        <v>146.5</v>
      </c>
      <c r="V202" s="19">
        <v>742</v>
      </c>
      <c r="W202" s="19">
        <v>724</v>
      </c>
      <c r="X202" s="19">
        <v>160</v>
      </c>
      <c r="Y202" s="19">
        <v>142</v>
      </c>
      <c r="Z202" s="19">
        <v>746</v>
      </c>
      <c r="AA202" s="19">
        <v>720</v>
      </c>
      <c r="AB202" s="19">
        <v>168</v>
      </c>
      <c r="AC202" s="19">
        <v>148</v>
      </c>
      <c r="AD202" s="19">
        <v>720</v>
      </c>
      <c r="AE202" s="19">
        <v>680</v>
      </c>
      <c r="AF202" s="19">
        <v>180</v>
      </c>
      <c r="AG202" s="19">
        <v>152</v>
      </c>
      <c r="AH202" s="19">
        <v>719</v>
      </c>
      <c r="AI202" s="19">
        <v>702</v>
      </c>
      <c r="AJ202" s="19">
        <v>169</v>
      </c>
      <c r="AK202" s="19">
        <v>176</v>
      </c>
      <c r="AL202" s="19">
        <v>678</v>
      </c>
      <c r="AM202" s="19">
        <v>678</v>
      </c>
      <c r="AN202" s="19">
        <v>150</v>
      </c>
      <c r="AO202" s="19">
        <v>164</v>
      </c>
      <c r="AP202" s="19">
        <v>668</v>
      </c>
      <c r="AQ202" s="19">
        <v>674</v>
      </c>
      <c r="AR202" s="19">
        <v>146</v>
      </c>
      <c r="AS202" s="19">
        <v>148</v>
      </c>
      <c r="AT202" s="19">
        <v>636</v>
      </c>
      <c r="AU202" s="19">
        <v>636</v>
      </c>
      <c r="AV202" s="19">
        <v>140</v>
      </c>
      <c r="AW202" s="19">
        <v>148</v>
      </c>
      <c r="AX202" s="19">
        <v>609</v>
      </c>
      <c r="AY202" s="19">
        <v>584</v>
      </c>
      <c r="AZ202" s="19">
        <v>145</v>
      </c>
      <c r="BA202" s="19">
        <v>160</v>
      </c>
      <c r="BB202" s="19">
        <v>689</v>
      </c>
      <c r="BC202" s="19">
        <v>670</v>
      </c>
      <c r="BD202" s="19">
        <v>173</v>
      </c>
      <c r="BE202" s="19">
        <v>172</v>
      </c>
      <c r="BF202" s="23">
        <v>28.630400000000002</v>
      </c>
      <c r="BG202" s="23">
        <v>77.091200000000001</v>
      </c>
      <c r="BH202" s="31">
        <f t="shared" si="124"/>
        <v>689</v>
      </c>
      <c r="BI202" s="31">
        <f t="shared" si="125"/>
        <v>670</v>
      </c>
      <c r="BJ202" s="37">
        <f t="shared" si="126"/>
        <v>19</v>
      </c>
      <c r="BK202" s="37">
        <f t="shared" si="127"/>
        <v>2.8358208955223883</v>
      </c>
      <c r="BL202" s="36">
        <f t="shared" si="128"/>
        <v>173</v>
      </c>
      <c r="BM202" s="36">
        <f t="shared" si="129"/>
        <v>172</v>
      </c>
      <c r="BN202" s="37">
        <f t="shared" si="130"/>
        <v>1</v>
      </c>
      <c r="BO202" s="37">
        <f t="shared" si="131"/>
        <v>0.58139534883720934</v>
      </c>
      <c r="BP202" s="38">
        <f t="shared" si="132"/>
        <v>8337</v>
      </c>
      <c r="BQ202" s="39">
        <f>J202+N202+S202+W202+AA202+AE202+AI202+AM202+AQ202+AU202+Table1[[#This Row],[MS-0225]]+Table1[[#This Row],[MS-0325]]</f>
        <v>8093</v>
      </c>
      <c r="BR202" s="37">
        <f t="shared" si="133"/>
        <v>244</v>
      </c>
      <c r="BS202" s="37">
        <f t="shared" si="134"/>
        <v>3.0149511923884837</v>
      </c>
      <c r="BT202" s="36">
        <f t="shared" si="135"/>
        <v>1955</v>
      </c>
      <c r="BU202" s="36">
        <f t="shared" si="136"/>
        <v>1947</v>
      </c>
      <c r="BV202" s="37">
        <f t="shared" si="137"/>
        <v>8</v>
      </c>
      <c r="BW202" s="37">
        <f t="shared" si="138"/>
        <v>0.41088854648176681</v>
      </c>
      <c r="BX202">
        <v>0</v>
      </c>
      <c r="BY202" s="83">
        <f t="shared" si="139"/>
        <v>0</v>
      </c>
      <c r="BZ202">
        <v>0</v>
      </c>
      <c r="CA202" s="83">
        <f t="shared" si="140"/>
        <v>0</v>
      </c>
      <c r="CB202" s="96">
        <f t="shared" si="141"/>
        <v>0.34675390035228987</v>
      </c>
      <c r="CC202" s="96">
        <f t="shared" si="142"/>
        <v>0.36602021305654192</v>
      </c>
      <c r="CD202" s="97">
        <f t="shared" si="143"/>
        <v>-1.9266312704252053E-2</v>
      </c>
      <c r="CE202" s="96">
        <f t="shared" si="144"/>
        <v>0.50437317784256563</v>
      </c>
      <c r="CF202" s="96">
        <f t="shared" si="145"/>
        <v>0.44387096774193546</v>
      </c>
      <c r="CG202" s="96">
        <f t="shared" si="146"/>
        <v>6.0502210100630172E-2</v>
      </c>
      <c r="CH202" s="95">
        <f t="shared" si="147"/>
        <v>0.36144108211219977</v>
      </c>
      <c r="CI202" s="95">
        <f t="shared" si="148"/>
        <v>0.36687973162881365</v>
      </c>
      <c r="CJ202" s="98">
        <f t="shared" si="149"/>
        <v>-5.4386495166138804E-3</v>
      </c>
      <c r="CK202" s="95">
        <f t="shared" si="150"/>
        <v>0.44331065759637189</v>
      </c>
      <c r="CL202" s="95">
        <f t="shared" si="151"/>
        <v>0.42669296515450361</v>
      </c>
      <c r="CM202" s="98">
        <f t="shared" si="152"/>
        <v>1.6617692441868281E-2</v>
      </c>
      <c r="CN202" s="94">
        <f t="shared" si="153"/>
        <v>1.8072054105609989</v>
      </c>
      <c r="CO202" s="94">
        <f t="shared" si="154"/>
        <v>2.2165532879818595</v>
      </c>
    </row>
    <row r="203" spans="1:94" ht="24.5" x14ac:dyDescent="0.35">
      <c r="A203" s="103">
        <v>41056396</v>
      </c>
      <c r="B203" s="9" t="s">
        <v>380</v>
      </c>
      <c r="C203" s="48" t="s">
        <v>411</v>
      </c>
      <c r="D203" s="14" t="s">
        <v>412</v>
      </c>
      <c r="E203" s="10" t="s">
        <v>169</v>
      </c>
      <c r="F203" s="10" t="s">
        <v>100</v>
      </c>
      <c r="G203" s="12" t="s">
        <v>100</v>
      </c>
      <c r="H203" s="51" t="s">
        <v>77</v>
      </c>
      <c r="I203" s="25" t="s">
        <v>78</v>
      </c>
      <c r="J203" s="20">
        <v>277</v>
      </c>
      <c r="K203" s="20">
        <v>267</v>
      </c>
      <c r="L203" s="20">
        <v>36</v>
      </c>
      <c r="M203" s="20">
        <v>28</v>
      </c>
      <c r="N203" s="18">
        <v>267.5</v>
      </c>
      <c r="O203" s="18">
        <v>296.5</v>
      </c>
      <c r="P203" s="18">
        <v>45.5</v>
      </c>
      <c r="Q203" s="18">
        <v>44.5</v>
      </c>
      <c r="R203" s="20">
        <v>300.5</v>
      </c>
      <c r="S203" s="20">
        <v>249.5</v>
      </c>
      <c r="T203" s="20">
        <v>36.5</v>
      </c>
      <c r="U203" s="20">
        <v>27.5</v>
      </c>
      <c r="V203" s="20">
        <v>336.5</v>
      </c>
      <c r="W203" s="20">
        <v>283.5</v>
      </c>
      <c r="X203" s="20">
        <v>53.5</v>
      </c>
      <c r="Y203" s="20">
        <v>40.5</v>
      </c>
      <c r="Z203" s="20">
        <v>312</v>
      </c>
      <c r="AA203" s="20">
        <v>247.5</v>
      </c>
      <c r="AB203" s="20">
        <v>49</v>
      </c>
      <c r="AC203" s="20">
        <v>22.5</v>
      </c>
      <c r="AD203" s="20">
        <v>320.5</v>
      </c>
      <c r="AE203" s="20">
        <v>265.5</v>
      </c>
      <c r="AF203" s="20">
        <v>44.5</v>
      </c>
      <c r="AG203" s="20">
        <v>22.5</v>
      </c>
      <c r="AH203" s="20">
        <v>313</v>
      </c>
      <c r="AI203" s="20">
        <v>271.5</v>
      </c>
      <c r="AJ203" s="20">
        <v>41</v>
      </c>
      <c r="AK203" s="20">
        <v>33.5</v>
      </c>
      <c r="AL203" s="20">
        <v>287</v>
      </c>
      <c r="AM203" s="20">
        <v>267</v>
      </c>
      <c r="AN203" s="20">
        <v>47</v>
      </c>
      <c r="AO203" s="20">
        <v>32</v>
      </c>
      <c r="AP203" s="20">
        <v>301</v>
      </c>
      <c r="AQ203" s="20">
        <v>269</v>
      </c>
      <c r="AR203" s="20">
        <v>47</v>
      </c>
      <c r="AS203" s="20">
        <v>35</v>
      </c>
      <c r="AT203" s="20">
        <v>272.5</v>
      </c>
      <c r="AU203" s="20">
        <v>265</v>
      </c>
      <c r="AV203" s="20">
        <v>33.5</v>
      </c>
      <c r="AW203" s="20">
        <v>47</v>
      </c>
      <c r="AX203" s="20">
        <v>276</v>
      </c>
      <c r="AY203" s="20">
        <v>238.5</v>
      </c>
      <c r="AZ203" s="20">
        <v>42</v>
      </c>
      <c r="BA203" s="20">
        <v>29.5</v>
      </c>
      <c r="BB203" s="20">
        <v>285.5</v>
      </c>
      <c r="BC203" s="20">
        <v>279</v>
      </c>
      <c r="BD203" s="20">
        <v>28.5</v>
      </c>
      <c r="BE203" s="20">
        <v>29</v>
      </c>
      <c r="BF203" s="23">
        <v>28.666350000000001</v>
      </c>
      <c r="BG203" s="23">
        <v>77.307010000000005</v>
      </c>
      <c r="BH203" s="31">
        <f t="shared" si="124"/>
        <v>285.5</v>
      </c>
      <c r="BI203" s="31">
        <f t="shared" si="125"/>
        <v>279</v>
      </c>
      <c r="BJ203" s="37">
        <f t="shared" si="126"/>
        <v>6.5</v>
      </c>
      <c r="BK203" s="37">
        <f t="shared" si="127"/>
        <v>2.3297491039426523</v>
      </c>
      <c r="BL203" s="36">
        <f t="shared" si="128"/>
        <v>28.5</v>
      </c>
      <c r="BM203" s="36">
        <f t="shared" si="129"/>
        <v>29</v>
      </c>
      <c r="BN203" s="37">
        <f t="shared" si="130"/>
        <v>-0.5</v>
      </c>
      <c r="BO203" s="37">
        <f t="shared" si="131"/>
        <v>-1.7241379310344827</v>
      </c>
      <c r="BP203" s="38">
        <f t="shared" si="132"/>
        <v>3568</v>
      </c>
      <c r="BQ203" s="39">
        <f>J203+N203+S203+W203+AA203+AE203+AI203+AM203+AQ203+AU203+Table1[[#This Row],[MS-0225]]+Table1[[#This Row],[MS-0325]]</f>
        <v>3180.5</v>
      </c>
      <c r="BR203" s="37">
        <f t="shared" si="133"/>
        <v>387.5</v>
      </c>
      <c r="BS203" s="37">
        <f t="shared" si="134"/>
        <v>12.183618927841534</v>
      </c>
      <c r="BT203" s="36">
        <f t="shared" si="135"/>
        <v>495</v>
      </c>
      <c r="BU203" s="36">
        <f t="shared" si="136"/>
        <v>400.5</v>
      </c>
      <c r="BV203" s="37">
        <f t="shared" si="137"/>
        <v>94.5</v>
      </c>
      <c r="BW203" s="37">
        <f t="shared" si="138"/>
        <v>23.595505617977526</v>
      </c>
      <c r="BX203">
        <v>0</v>
      </c>
      <c r="BY203" s="83">
        <f t="shared" si="139"/>
        <v>0</v>
      </c>
      <c r="BZ203">
        <v>0</v>
      </c>
      <c r="CA203" s="83">
        <f t="shared" si="140"/>
        <v>0</v>
      </c>
      <c r="CB203" s="96">
        <f t="shared" si="141"/>
        <v>6.9136699358275822E-2</v>
      </c>
      <c r="CC203" s="96">
        <f t="shared" si="142"/>
        <v>7.3517786561264828E-2</v>
      </c>
      <c r="CD203" s="97">
        <f t="shared" si="143"/>
        <v>-4.3810872029890063E-3</v>
      </c>
      <c r="CE203" s="96">
        <f t="shared" si="144"/>
        <v>4.4705882352941179E-2</v>
      </c>
      <c r="CF203" s="96">
        <f t="shared" si="145"/>
        <v>4.3283582089552242E-2</v>
      </c>
      <c r="CG203" s="96">
        <f t="shared" si="146"/>
        <v>1.422300263388937E-3</v>
      </c>
      <c r="CH203" s="95">
        <f t="shared" si="147"/>
        <v>7.2687578938267633E-2</v>
      </c>
      <c r="CI203" s="95">
        <f t="shared" si="148"/>
        <v>6.9492543714220714E-2</v>
      </c>
      <c r="CJ203" s="98">
        <f t="shared" si="149"/>
        <v>3.1950352240469188E-3</v>
      </c>
      <c r="CK203" s="95">
        <f t="shared" si="150"/>
        <v>6.378497834844038E-2</v>
      </c>
      <c r="CL203" s="95">
        <f t="shared" si="151"/>
        <v>4.7360578969774372E-2</v>
      </c>
      <c r="CM203" s="98">
        <f t="shared" si="152"/>
        <v>1.6424399378666008E-2</v>
      </c>
      <c r="CN203" s="94">
        <f t="shared" si="153"/>
        <v>0.58150063150614106</v>
      </c>
      <c r="CO203" s="94">
        <f t="shared" si="154"/>
        <v>0.51027982678752304</v>
      </c>
    </row>
    <row r="204" spans="1:94" ht="24.5" x14ac:dyDescent="0.35">
      <c r="A204" s="102">
        <v>144329</v>
      </c>
      <c r="B204" s="3" t="s">
        <v>72</v>
      </c>
      <c r="C204" s="41" t="s">
        <v>190</v>
      </c>
      <c r="D204" s="12" t="s">
        <v>191</v>
      </c>
      <c r="E204" s="4" t="s">
        <v>85</v>
      </c>
      <c r="F204" s="4" t="s">
        <v>192</v>
      </c>
      <c r="G204" s="12" t="s">
        <v>192</v>
      </c>
      <c r="H204" s="51" t="s">
        <v>178</v>
      </c>
      <c r="I204" s="23" t="s">
        <v>86</v>
      </c>
      <c r="J204" s="90">
        <v>300</v>
      </c>
      <c r="K204" s="90">
        <v>322</v>
      </c>
      <c r="L204" s="90">
        <v>592</v>
      </c>
      <c r="M204" s="90">
        <v>350</v>
      </c>
      <c r="N204" s="18">
        <v>325</v>
      </c>
      <c r="O204" s="18">
        <v>315</v>
      </c>
      <c r="P204" s="18">
        <v>515</v>
      </c>
      <c r="Q204" s="18">
        <v>345</v>
      </c>
      <c r="R204" s="90">
        <v>345</v>
      </c>
      <c r="S204" s="90">
        <v>310</v>
      </c>
      <c r="T204" s="90">
        <v>315</v>
      </c>
      <c r="U204" s="90">
        <v>502</v>
      </c>
      <c r="V204" s="90">
        <v>314</v>
      </c>
      <c r="W204" s="90">
        <v>305</v>
      </c>
      <c r="X204" s="90">
        <v>312</v>
      </c>
      <c r="Y204" s="90">
        <v>387</v>
      </c>
      <c r="Z204" s="90">
        <v>311</v>
      </c>
      <c r="AA204" s="90">
        <v>300</v>
      </c>
      <c r="AB204" s="90">
        <v>319</v>
      </c>
      <c r="AC204" s="90">
        <v>300</v>
      </c>
      <c r="AD204" s="90">
        <v>311</v>
      </c>
      <c r="AE204" s="90">
        <v>229.5</v>
      </c>
      <c r="AF204" s="90">
        <v>317</v>
      </c>
      <c r="AG204" s="90">
        <v>314.5</v>
      </c>
      <c r="AH204" s="90">
        <v>330</v>
      </c>
      <c r="AI204" s="90">
        <v>264</v>
      </c>
      <c r="AJ204" s="90">
        <v>334</v>
      </c>
      <c r="AK204" s="90">
        <v>308</v>
      </c>
      <c r="AL204" s="90">
        <v>320</v>
      </c>
      <c r="AM204" s="90">
        <v>260</v>
      </c>
      <c r="AN204" s="90">
        <v>394</v>
      </c>
      <c r="AO204" s="90">
        <v>300</v>
      </c>
      <c r="AP204" s="90">
        <v>331</v>
      </c>
      <c r="AQ204" s="90">
        <v>278</v>
      </c>
      <c r="AR204" s="90">
        <v>327</v>
      </c>
      <c r="AS204" s="90">
        <v>404</v>
      </c>
      <c r="AT204" s="90">
        <v>309</v>
      </c>
      <c r="AU204" s="90">
        <v>255</v>
      </c>
      <c r="AV204" s="90">
        <v>321</v>
      </c>
      <c r="AW204" s="90">
        <v>465</v>
      </c>
      <c r="AX204" s="90">
        <v>331</v>
      </c>
      <c r="AY204" s="90">
        <v>280</v>
      </c>
      <c r="AZ204" s="90">
        <v>289</v>
      </c>
      <c r="BA204" s="90">
        <v>380</v>
      </c>
      <c r="BB204" s="90">
        <v>285</v>
      </c>
      <c r="BC204" s="90">
        <v>310</v>
      </c>
      <c r="BD204" s="90">
        <v>469</v>
      </c>
      <c r="BE204" s="90">
        <v>340</v>
      </c>
      <c r="BF204" s="140">
        <v>28.683620000000001</v>
      </c>
      <c r="BG204" s="140">
        <v>77.009349999999998</v>
      </c>
      <c r="BH204" s="31">
        <f t="shared" si="124"/>
        <v>285</v>
      </c>
      <c r="BI204" s="31">
        <f t="shared" si="125"/>
        <v>310</v>
      </c>
      <c r="BJ204" s="37">
        <f t="shared" si="126"/>
        <v>-25</v>
      </c>
      <c r="BK204" s="37">
        <f t="shared" si="127"/>
        <v>-8.064516129032258</v>
      </c>
      <c r="BL204" s="36">
        <f t="shared" si="128"/>
        <v>469</v>
      </c>
      <c r="BM204" s="36">
        <f t="shared" si="129"/>
        <v>340</v>
      </c>
      <c r="BN204" s="37">
        <f t="shared" si="130"/>
        <v>129</v>
      </c>
      <c r="BO204" s="37">
        <f t="shared" si="131"/>
        <v>37.941176470588232</v>
      </c>
      <c r="BP204" s="38">
        <f t="shared" si="132"/>
        <v>3824</v>
      </c>
      <c r="BQ204" s="39">
        <f>J204+N204+S204+W204+AA204+AE204+AI204+AM204+AQ204+AU204+Table1[[#This Row],[MS-0225]]+Table1[[#This Row],[MS-0325]]</f>
        <v>3416.5</v>
      </c>
      <c r="BR204" s="37">
        <f t="shared" si="133"/>
        <v>407.5</v>
      </c>
      <c r="BS204" s="37">
        <f t="shared" si="134"/>
        <v>11.927411093224059</v>
      </c>
      <c r="BT204" s="36">
        <f t="shared" si="135"/>
        <v>4092</v>
      </c>
      <c r="BU204" s="36">
        <f t="shared" si="136"/>
        <v>4807.5</v>
      </c>
      <c r="BV204" s="37">
        <f t="shared" si="137"/>
        <v>-715.5</v>
      </c>
      <c r="BW204" s="37">
        <f t="shared" si="138"/>
        <v>-14.882995319812792</v>
      </c>
      <c r="BX204">
        <v>52</v>
      </c>
      <c r="BY204" s="83">
        <f t="shared" si="139"/>
        <v>0.18245614035087721</v>
      </c>
      <c r="BZ204">
        <v>437.5</v>
      </c>
      <c r="CA204" s="83">
        <f t="shared" si="140"/>
        <v>0.11440899581589958</v>
      </c>
      <c r="CB204" s="96">
        <f t="shared" si="141"/>
        <v>0.23274806043282972</v>
      </c>
      <c r="CC204" s="96">
        <f t="shared" si="142"/>
        <v>0.25441116126384899</v>
      </c>
      <c r="CD204" s="97">
        <f t="shared" si="143"/>
        <v>-2.1663100831019272E-2</v>
      </c>
      <c r="CE204" s="96">
        <f t="shared" si="144"/>
        <v>0.40378820490744727</v>
      </c>
      <c r="CF204" s="96">
        <f t="shared" si="145"/>
        <v>0.34889687018984095</v>
      </c>
      <c r="CG204" s="96">
        <f t="shared" si="146"/>
        <v>5.4891334717606322E-2</v>
      </c>
      <c r="CH204" s="95">
        <f t="shared" si="147"/>
        <v>0.26033085982708148</v>
      </c>
      <c r="CI204" s="95">
        <f t="shared" si="148"/>
        <v>0.24551758830081563</v>
      </c>
      <c r="CJ204" s="98">
        <f t="shared" si="149"/>
        <v>1.4813271526265853E-2</v>
      </c>
      <c r="CK204" s="95">
        <f t="shared" si="150"/>
        <v>0.34722104369961815</v>
      </c>
      <c r="CL204" s="95">
        <f t="shared" si="151"/>
        <v>0.36331003211789153</v>
      </c>
      <c r="CM204" s="98">
        <f t="shared" si="152"/>
        <v>-1.6088988418273387E-2</v>
      </c>
      <c r="CN204" s="94">
        <f t="shared" si="153"/>
        <v>2.6033085982708148</v>
      </c>
      <c r="CO204" s="94">
        <f t="shared" si="154"/>
        <v>3.4722104369961815</v>
      </c>
    </row>
    <row r="205" spans="1:94" ht="24.5" x14ac:dyDescent="0.35">
      <c r="A205" s="103">
        <v>41056999</v>
      </c>
      <c r="B205" s="9" t="s">
        <v>380</v>
      </c>
      <c r="C205" s="48" t="s">
        <v>424</v>
      </c>
      <c r="D205" s="14" t="s">
        <v>425</v>
      </c>
      <c r="E205" s="10" t="s">
        <v>75</v>
      </c>
      <c r="F205" s="10" t="s">
        <v>220</v>
      </c>
      <c r="G205" s="12" t="s">
        <v>220</v>
      </c>
      <c r="H205" s="51" t="s">
        <v>77</v>
      </c>
      <c r="I205" s="25" t="s">
        <v>78</v>
      </c>
      <c r="J205" s="20">
        <v>220</v>
      </c>
      <c r="K205" s="20">
        <v>239.5</v>
      </c>
      <c r="L205" s="20">
        <v>230</v>
      </c>
      <c r="M205" s="20">
        <v>253.5</v>
      </c>
      <c r="N205" s="18">
        <v>250</v>
      </c>
      <c r="O205" s="18">
        <v>282</v>
      </c>
      <c r="P205" s="18">
        <v>250</v>
      </c>
      <c r="Q205" s="18">
        <v>313</v>
      </c>
      <c r="R205" s="20">
        <v>257.5</v>
      </c>
      <c r="S205" s="20">
        <v>235</v>
      </c>
      <c r="T205" s="20">
        <v>266.5</v>
      </c>
      <c r="U205" s="20">
        <v>215</v>
      </c>
      <c r="V205" s="20">
        <v>264</v>
      </c>
      <c r="W205" s="20">
        <v>260</v>
      </c>
      <c r="X205" s="20">
        <v>263</v>
      </c>
      <c r="Y205" s="20">
        <v>240</v>
      </c>
      <c r="Z205" s="20">
        <v>265.5</v>
      </c>
      <c r="AA205" s="20">
        <v>249</v>
      </c>
      <c r="AB205" s="20">
        <v>262.5</v>
      </c>
      <c r="AC205" s="20">
        <v>244</v>
      </c>
      <c r="AD205" s="20">
        <v>265</v>
      </c>
      <c r="AE205" s="20">
        <v>234</v>
      </c>
      <c r="AF205" s="20">
        <v>271</v>
      </c>
      <c r="AG205" s="20">
        <v>259</v>
      </c>
      <c r="AH205" s="20">
        <v>265</v>
      </c>
      <c r="AI205" s="20">
        <v>264</v>
      </c>
      <c r="AJ205" s="20">
        <v>349</v>
      </c>
      <c r="AK205" s="20">
        <v>254</v>
      </c>
      <c r="AL205" s="20">
        <v>254</v>
      </c>
      <c r="AM205" s="20">
        <v>249.5</v>
      </c>
      <c r="AN205" s="20">
        <v>296</v>
      </c>
      <c r="AO205" s="20">
        <v>293.5</v>
      </c>
      <c r="AP205" s="20">
        <v>254</v>
      </c>
      <c r="AQ205" s="20">
        <v>235</v>
      </c>
      <c r="AR205" s="20">
        <v>280</v>
      </c>
      <c r="AS205" s="20">
        <v>240</v>
      </c>
      <c r="AT205" s="20">
        <v>252</v>
      </c>
      <c r="AU205" s="20">
        <v>238.5</v>
      </c>
      <c r="AV205" s="20">
        <v>257</v>
      </c>
      <c r="AW205" s="20">
        <v>249.5</v>
      </c>
      <c r="AX205" s="20">
        <v>244</v>
      </c>
      <c r="AY205" s="20">
        <v>221</v>
      </c>
      <c r="AZ205" s="20">
        <v>240</v>
      </c>
      <c r="BA205" s="20">
        <v>208</v>
      </c>
      <c r="BB205" s="20">
        <v>283</v>
      </c>
      <c r="BC205" s="20">
        <v>257</v>
      </c>
      <c r="BD205" s="20">
        <v>300</v>
      </c>
      <c r="BE205" s="20">
        <v>256</v>
      </c>
      <c r="BF205" s="23">
        <v>28.619721999999999</v>
      </c>
      <c r="BG205" s="23">
        <v>77.340833000000003</v>
      </c>
      <c r="BH205" s="31">
        <f t="shared" si="124"/>
        <v>283</v>
      </c>
      <c r="BI205" s="31">
        <f t="shared" si="125"/>
        <v>257</v>
      </c>
      <c r="BJ205" s="37">
        <f t="shared" si="126"/>
        <v>26</v>
      </c>
      <c r="BK205" s="37">
        <f t="shared" si="127"/>
        <v>10.116731517509727</v>
      </c>
      <c r="BL205" s="36">
        <f t="shared" si="128"/>
        <v>300</v>
      </c>
      <c r="BM205" s="36">
        <f t="shared" si="129"/>
        <v>256</v>
      </c>
      <c r="BN205" s="37">
        <f t="shared" si="130"/>
        <v>44</v>
      </c>
      <c r="BO205" s="37">
        <f t="shared" si="131"/>
        <v>17.1875</v>
      </c>
      <c r="BP205" s="38">
        <f t="shared" si="132"/>
        <v>3125.5</v>
      </c>
      <c r="BQ205" s="39">
        <f>J205+N205+S205+W205+AA205+AE205+AI205+AM205+AQ205+AU205+Table1[[#This Row],[MS-0225]]+Table1[[#This Row],[MS-0325]]</f>
        <v>2913</v>
      </c>
      <c r="BR205" s="37">
        <f t="shared" si="133"/>
        <v>212.5</v>
      </c>
      <c r="BS205" s="37">
        <f t="shared" si="134"/>
        <v>7.294884998283556</v>
      </c>
      <c r="BT205" s="36">
        <f t="shared" si="135"/>
        <v>3351.5</v>
      </c>
      <c r="BU205" s="36">
        <f t="shared" si="136"/>
        <v>2939</v>
      </c>
      <c r="BV205" s="37">
        <f t="shared" si="137"/>
        <v>412.5</v>
      </c>
      <c r="BW205" s="37">
        <f t="shared" si="138"/>
        <v>14.035386185777476</v>
      </c>
      <c r="BX205">
        <v>0</v>
      </c>
      <c r="BY205" s="83">
        <f t="shared" si="139"/>
        <v>0</v>
      </c>
      <c r="BZ205">
        <v>0</v>
      </c>
      <c r="CA205" s="83">
        <f t="shared" si="140"/>
        <v>0</v>
      </c>
      <c r="CB205" s="96">
        <f t="shared" si="141"/>
        <v>0.14072600696171059</v>
      </c>
      <c r="CC205" s="96">
        <f t="shared" si="142"/>
        <v>0.1403604587657018</v>
      </c>
      <c r="CD205" s="97">
        <f t="shared" si="143"/>
        <v>3.6554819600878585E-4</v>
      </c>
      <c r="CE205" s="96">
        <f t="shared" si="144"/>
        <v>0.45731707317073172</v>
      </c>
      <c r="CF205" s="96">
        <f t="shared" si="145"/>
        <v>0.36571428571428571</v>
      </c>
      <c r="CG205" s="96">
        <f t="shared" si="146"/>
        <v>9.1602787456446011E-2</v>
      </c>
      <c r="CH205" s="95">
        <f t="shared" si="147"/>
        <v>0.13470821480906819</v>
      </c>
      <c r="CI205" s="95">
        <f t="shared" si="148"/>
        <v>0.13251148603988508</v>
      </c>
      <c r="CJ205" s="98">
        <f t="shared" si="149"/>
        <v>2.196728769183115E-3</v>
      </c>
      <c r="CK205" s="95">
        <f t="shared" si="150"/>
        <v>0.42205011963228811</v>
      </c>
      <c r="CL205" s="95">
        <f t="shared" si="151"/>
        <v>0.34834656868555175</v>
      </c>
      <c r="CM205" s="98">
        <f t="shared" si="152"/>
        <v>7.3703550946736363E-2</v>
      </c>
      <c r="CN205" s="94">
        <f t="shared" si="153"/>
        <v>0.80824928885440916</v>
      </c>
      <c r="CO205" s="94">
        <f t="shared" si="154"/>
        <v>2.5323007177937287</v>
      </c>
    </row>
    <row r="206" spans="1:94" x14ac:dyDescent="0.35">
      <c r="A206" s="103">
        <v>41057012</v>
      </c>
      <c r="B206" s="9" t="s">
        <v>380</v>
      </c>
      <c r="C206" s="47" t="s">
        <v>520</v>
      </c>
      <c r="D206" s="14" t="s">
        <v>521</v>
      </c>
      <c r="E206" s="10" t="s">
        <v>111</v>
      </c>
      <c r="F206" s="10" t="s">
        <v>149</v>
      </c>
      <c r="G206" s="12" t="s">
        <v>149</v>
      </c>
      <c r="H206" s="51" t="s">
        <v>105</v>
      </c>
      <c r="I206" s="25" t="s">
        <v>78</v>
      </c>
      <c r="J206" s="20">
        <v>212</v>
      </c>
      <c r="K206" s="20">
        <v>212</v>
      </c>
      <c r="L206" s="20">
        <v>61</v>
      </c>
      <c r="M206" s="20">
        <v>54</v>
      </c>
      <c r="N206" s="18">
        <v>274</v>
      </c>
      <c r="O206" s="18">
        <v>310</v>
      </c>
      <c r="P206" s="18">
        <v>73</v>
      </c>
      <c r="Q206" s="18">
        <v>68</v>
      </c>
      <c r="R206" s="20">
        <v>234</v>
      </c>
      <c r="S206" s="20">
        <v>261</v>
      </c>
      <c r="T206" s="20">
        <v>47</v>
      </c>
      <c r="U206" s="20">
        <v>73</v>
      </c>
      <c r="V206" s="20">
        <v>250</v>
      </c>
      <c r="W206" s="20">
        <v>294.5</v>
      </c>
      <c r="X206" s="20">
        <v>57</v>
      </c>
      <c r="Y206" s="20">
        <v>84.5</v>
      </c>
      <c r="Z206" s="20">
        <v>291</v>
      </c>
      <c r="AA206" s="20">
        <v>267</v>
      </c>
      <c r="AB206" s="20">
        <v>60</v>
      </c>
      <c r="AC206" s="20">
        <v>69</v>
      </c>
      <c r="AD206" s="20">
        <v>273</v>
      </c>
      <c r="AE206" s="20">
        <v>254.5</v>
      </c>
      <c r="AF206" s="20">
        <v>59</v>
      </c>
      <c r="AG206" s="20">
        <v>58.5</v>
      </c>
      <c r="AH206" s="20">
        <v>264</v>
      </c>
      <c r="AI206" s="20">
        <v>251.5</v>
      </c>
      <c r="AJ206" s="20">
        <v>60</v>
      </c>
      <c r="AK206" s="20">
        <v>65.5</v>
      </c>
      <c r="AL206" s="20">
        <v>309</v>
      </c>
      <c r="AM206" s="20">
        <v>255</v>
      </c>
      <c r="AN206" s="20">
        <v>51</v>
      </c>
      <c r="AO206" s="20">
        <v>45</v>
      </c>
      <c r="AP206" s="20">
        <v>255</v>
      </c>
      <c r="AQ206" s="20">
        <v>209</v>
      </c>
      <c r="AR206" s="20">
        <v>52</v>
      </c>
      <c r="AS206" s="20">
        <v>51</v>
      </c>
      <c r="AT206" s="20">
        <v>249</v>
      </c>
      <c r="AU206" s="20">
        <v>254</v>
      </c>
      <c r="AV206" s="20">
        <v>50</v>
      </c>
      <c r="AW206" s="20">
        <v>49</v>
      </c>
      <c r="AX206" s="20">
        <v>243</v>
      </c>
      <c r="AY206" s="20">
        <v>247</v>
      </c>
      <c r="AZ206" s="20">
        <v>55</v>
      </c>
      <c r="BA206" s="20">
        <v>55</v>
      </c>
      <c r="BB206" s="20">
        <v>281</v>
      </c>
      <c r="BC206" s="20">
        <v>248</v>
      </c>
      <c r="BD206" s="20">
        <v>61</v>
      </c>
      <c r="BE206" s="20">
        <v>50</v>
      </c>
      <c r="BF206" s="23">
        <v>28.6068</v>
      </c>
      <c r="BG206" s="23">
        <v>77.239890000000003</v>
      </c>
      <c r="BH206" s="31">
        <f t="shared" si="124"/>
        <v>281</v>
      </c>
      <c r="BI206" s="31">
        <f t="shared" si="125"/>
        <v>248</v>
      </c>
      <c r="BJ206" s="37">
        <f t="shared" si="126"/>
        <v>33</v>
      </c>
      <c r="BK206" s="37">
        <f t="shared" si="127"/>
        <v>13.306451612903224</v>
      </c>
      <c r="BL206" s="36">
        <f t="shared" si="128"/>
        <v>61</v>
      </c>
      <c r="BM206" s="36">
        <f t="shared" si="129"/>
        <v>50</v>
      </c>
      <c r="BN206" s="37">
        <f t="shared" si="130"/>
        <v>11</v>
      </c>
      <c r="BO206" s="37">
        <f t="shared" si="131"/>
        <v>22</v>
      </c>
      <c r="BP206" s="38">
        <f t="shared" si="132"/>
        <v>3171</v>
      </c>
      <c r="BQ206" s="39">
        <f>J206+N206+S206+W206+AA206+AE206+AI206+AM206+AQ206+AU206+Table1[[#This Row],[MS-0225]]+Table1[[#This Row],[MS-0325]]</f>
        <v>3027.5</v>
      </c>
      <c r="BR206" s="37">
        <f t="shared" si="133"/>
        <v>143.5</v>
      </c>
      <c r="BS206" s="37">
        <f t="shared" si="134"/>
        <v>4.7398843930635834</v>
      </c>
      <c r="BT206" s="36">
        <f t="shared" si="135"/>
        <v>674</v>
      </c>
      <c r="BU206" s="36">
        <f t="shared" si="136"/>
        <v>734.5</v>
      </c>
      <c r="BV206" s="37">
        <f t="shared" si="137"/>
        <v>-60.5</v>
      </c>
      <c r="BW206" s="37">
        <f t="shared" si="138"/>
        <v>-8.2368958475153153</v>
      </c>
      <c r="BX206">
        <v>0</v>
      </c>
      <c r="BY206" s="83">
        <f t="shared" si="139"/>
        <v>0</v>
      </c>
      <c r="BZ206">
        <v>0</v>
      </c>
      <c r="CA206" s="83">
        <f t="shared" si="140"/>
        <v>0</v>
      </c>
      <c r="CB206" s="96">
        <f t="shared" si="141"/>
        <v>0.46141215106732347</v>
      </c>
      <c r="CC206" s="96">
        <f t="shared" si="142"/>
        <v>0.43508771929824563</v>
      </c>
      <c r="CD206" s="97">
        <f t="shared" si="143"/>
        <v>2.6324431769077838E-2</v>
      </c>
      <c r="CE206" s="96">
        <f t="shared" si="144"/>
        <v>0.31282051282051282</v>
      </c>
      <c r="CF206" s="96">
        <f t="shared" si="145"/>
        <v>0.28409090909090912</v>
      </c>
      <c r="CG206" s="96">
        <f t="shared" si="146"/>
        <v>2.8729603729603703E-2</v>
      </c>
      <c r="CH206" s="95">
        <f t="shared" si="147"/>
        <v>0.44262981574539362</v>
      </c>
      <c r="CI206" s="95">
        <f t="shared" si="148"/>
        <v>0.4491839753281045</v>
      </c>
      <c r="CJ206" s="98">
        <f t="shared" si="149"/>
        <v>-6.5541595827108834E-3</v>
      </c>
      <c r="CK206" s="95">
        <f t="shared" si="150"/>
        <v>0.34904194717762815</v>
      </c>
      <c r="CL206" s="95">
        <f t="shared" si="151"/>
        <v>0.37628073770491804</v>
      </c>
      <c r="CM206" s="98">
        <f t="shared" si="152"/>
        <v>-2.7238790527289891E-2</v>
      </c>
      <c r="CN206" s="94">
        <f t="shared" si="153"/>
        <v>0.88525963149078724</v>
      </c>
      <c r="CO206" s="94">
        <f t="shared" si="154"/>
        <v>0.69808389435525631</v>
      </c>
    </row>
    <row r="207" spans="1:94" ht="36.5" x14ac:dyDescent="0.35">
      <c r="A207" s="102">
        <v>112425</v>
      </c>
      <c r="B207" s="3" t="s">
        <v>72</v>
      </c>
      <c r="C207" s="40" t="s">
        <v>206</v>
      </c>
      <c r="D207" s="12" t="s">
        <v>207</v>
      </c>
      <c r="E207" s="4" t="s">
        <v>103</v>
      </c>
      <c r="F207" s="4" t="s">
        <v>208</v>
      </c>
      <c r="G207" s="12" t="s">
        <v>208</v>
      </c>
      <c r="H207" s="51" t="s">
        <v>105</v>
      </c>
      <c r="I207" s="23" t="s">
        <v>83</v>
      </c>
      <c r="J207" s="90">
        <v>220.00000199999999</v>
      </c>
      <c r="K207" s="90">
        <v>268</v>
      </c>
      <c r="L207" s="90">
        <v>110</v>
      </c>
      <c r="M207" s="90">
        <v>124</v>
      </c>
      <c r="N207" s="18">
        <v>285.50000699999998</v>
      </c>
      <c r="O207" s="18">
        <v>293</v>
      </c>
      <c r="P207" s="18">
        <v>128.5</v>
      </c>
      <c r="Q207" s="18">
        <v>113</v>
      </c>
      <c r="R207" s="90">
        <v>266</v>
      </c>
      <c r="S207" s="90">
        <v>269.50000599999998</v>
      </c>
      <c r="T207" s="90">
        <v>98</v>
      </c>
      <c r="U207" s="90">
        <v>132.5</v>
      </c>
      <c r="V207" s="90">
        <v>293</v>
      </c>
      <c r="W207" s="90">
        <v>308.00000199999999</v>
      </c>
      <c r="X207" s="90">
        <v>113</v>
      </c>
      <c r="Y207" s="90">
        <v>138</v>
      </c>
      <c r="Z207" s="90">
        <v>282</v>
      </c>
      <c r="AA207" s="90">
        <v>286.50000299999999</v>
      </c>
      <c r="AB207" s="90">
        <v>108</v>
      </c>
      <c r="AC207" s="90">
        <v>133.5</v>
      </c>
      <c r="AD207" s="90">
        <v>283</v>
      </c>
      <c r="AE207" s="90">
        <v>266.00000299999999</v>
      </c>
      <c r="AF207" s="90">
        <v>109</v>
      </c>
      <c r="AG207" s="90">
        <v>122</v>
      </c>
      <c r="AH207" s="90">
        <v>281</v>
      </c>
      <c r="AI207" s="90">
        <v>291.5</v>
      </c>
      <c r="AJ207" s="90">
        <v>111</v>
      </c>
      <c r="AK207" s="90">
        <v>136.5</v>
      </c>
      <c r="AL207" s="90">
        <v>258</v>
      </c>
      <c r="AM207" s="90">
        <v>241.500001</v>
      </c>
      <c r="AN207" s="90">
        <v>92</v>
      </c>
      <c r="AO207" s="90">
        <v>108.5</v>
      </c>
      <c r="AP207" s="90">
        <v>253</v>
      </c>
      <c r="AQ207" s="90">
        <v>267</v>
      </c>
      <c r="AR207" s="90">
        <v>83</v>
      </c>
      <c r="AS207" s="90">
        <v>111</v>
      </c>
      <c r="AT207" s="90">
        <v>247</v>
      </c>
      <c r="AU207" s="90">
        <v>262</v>
      </c>
      <c r="AV207" s="90">
        <v>89</v>
      </c>
      <c r="AW207" s="90">
        <v>102</v>
      </c>
      <c r="AX207" s="90">
        <v>225.5</v>
      </c>
      <c r="AY207" s="90">
        <v>233</v>
      </c>
      <c r="AZ207" s="90">
        <v>90.5</v>
      </c>
      <c r="BA207" s="90">
        <v>115</v>
      </c>
      <c r="BB207" s="90">
        <v>280</v>
      </c>
      <c r="BC207" s="90">
        <v>278</v>
      </c>
      <c r="BD207" s="90">
        <v>98</v>
      </c>
      <c r="BE207" s="90">
        <v>124</v>
      </c>
      <c r="BF207" s="23">
        <v>28.62452</v>
      </c>
      <c r="BG207" s="23">
        <v>77.218779999999995</v>
      </c>
      <c r="BH207" s="31">
        <f t="shared" si="124"/>
        <v>280</v>
      </c>
      <c r="BI207" s="31">
        <f t="shared" si="125"/>
        <v>278</v>
      </c>
      <c r="BJ207" s="37">
        <f t="shared" si="126"/>
        <v>2</v>
      </c>
      <c r="BK207" s="37">
        <f t="shared" si="127"/>
        <v>0.71942446043165476</v>
      </c>
      <c r="BL207" s="36">
        <f t="shared" si="128"/>
        <v>98</v>
      </c>
      <c r="BM207" s="36">
        <f t="shared" si="129"/>
        <v>124</v>
      </c>
      <c r="BN207" s="37">
        <f t="shared" si="130"/>
        <v>-26</v>
      </c>
      <c r="BO207" s="37">
        <f t="shared" si="131"/>
        <v>-20.967741935483872</v>
      </c>
      <c r="BP207" s="38">
        <f t="shared" si="132"/>
        <v>3229.5</v>
      </c>
      <c r="BQ207" s="39">
        <f>J207+N207+S207+W207+AA207+AE207+AI207+AM207+AQ207+AU207+Table1[[#This Row],[MS-0225]]+Table1[[#This Row],[MS-0325]]</f>
        <v>3208.5000239999999</v>
      </c>
      <c r="BR207" s="37">
        <f t="shared" si="133"/>
        <v>20.999976000000061</v>
      </c>
      <c r="BS207" s="37">
        <f t="shared" si="134"/>
        <v>0.65451070104153009</v>
      </c>
      <c r="BT207" s="36">
        <f t="shared" si="135"/>
        <v>1228.5</v>
      </c>
      <c r="BU207" s="36">
        <f t="shared" si="136"/>
        <v>1461.5</v>
      </c>
      <c r="BV207" s="37">
        <f t="shared" si="137"/>
        <v>-233</v>
      </c>
      <c r="BW207" s="37">
        <f t="shared" si="138"/>
        <v>-15.942524803284297</v>
      </c>
      <c r="BX207">
        <v>15</v>
      </c>
      <c r="BY207" s="83">
        <f t="shared" si="139"/>
        <v>5.3571428571428568E-2</v>
      </c>
      <c r="BZ207">
        <v>117</v>
      </c>
      <c r="CA207" s="83">
        <f t="shared" si="140"/>
        <v>3.6228518346493266E-2</v>
      </c>
      <c r="CB207" s="96">
        <f t="shared" si="141"/>
        <v>0.23819651212250106</v>
      </c>
      <c r="CC207" s="96">
        <f t="shared" si="142"/>
        <v>0.24832514515408666</v>
      </c>
      <c r="CD207" s="97">
        <f t="shared" si="143"/>
        <v>-1.0128633031585593E-2</v>
      </c>
      <c r="CE207" s="96">
        <f t="shared" si="144"/>
        <v>0.33968804159445409</v>
      </c>
      <c r="CF207" s="96">
        <f t="shared" si="145"/>
        <v>0.39553429027113235</v>
      </c>
      <c r="CG207" s="96">
        <f t="shared" si="146"/>
        <v>-5.5846248676678256E-2</v>
      </c>
      <c r="CH207" s="95">
        <f t="shared" si="147"/>
        <v>0.22871813031161473</v>
      </c>
      <c r="CI207" s="95">
        <f t="shared" si="148"/>
        <v>0.24192271579218508</v>
      </c>
      <c r="CJ207" s="98">
        <f t="shared" si="149"/>
        <v>-1.3204585480570352E-2</v>
      </c>
      <c r="CK207" s="95">
        <f t="shared" si="150"/>
        <v>0.35858143607705778</v>
      </c>
      <c r="CL207" s="95">
        <f t="shared" si="151"/>
        <v>0.36846085969998738</v>
      </c>
      <c r="CM207" s="98">
        <f t="shared" si="152"/>
        <v>-9.8794236229295951E-3</v>
      </c>
      <c r="CN207" s="94">
        <f t="shared" si="153"/>
        <v>2.2871813031161472</v>
      </c>
      <c r="CO207" s="94">
        <f t="shared" si="154"/>
        <v>3.5858143607705779</v>
      </c>
    </row>
    <row r="208" spans="1:94" ht="24.5" x14ac:dyDescent="0.35">
      <c r="A208" s="103">
        <v>41056343</v>
      </c>
      <c r="B208" s="9" t="s">
        <v>380</v>
      </c>
      <c r="C208" s="47" t="s">
        <v>386</v>
      </c>
      <c r="D208" s="14" t="s">
        <v>387</v>
      </c>
      <c r="E208" s="10" t="s">
        <v>85</v>
      </c>
      <c r="F208" s="10" t="s">
        <v>192</v>
      </c>
      <c r="G208" s="12" t="s">
        <v>192</v>
      </c>
      <c r="H208" s="51" t="s">
        <v>178</v>
      </c>
      <c r="I208" s="25" t="s">
        <v>86</v>
      </c>
      <c r="J208" s="20">
        <v>12</v>
      </c>
      <c r="K208" s="20">
        <v>28</v>
      </c>
      <c r="L208" s="20">
        <v>24</v>
      </c>
      <c r="M208" s="20">
        <v>20</v>
      </c>
      <c r="N208" s="18">
        <v>24</v>
      </c>
      <c r="O208" s="18">
        <v>33</v>
      </c>
      <c r="P208" s="18">
        <v>36</v>
      </c>
      <c r="Q208" s="18">
        <v>33</v>
      </c>
      <c r="R208" s="20">
        <v>40</v>
      </c>
      <c r="S208" s="20">
        <v>24</v>
      </c>
      <c r="T208" s="20">
        <v>20</v>
      </c>
      <c r="U208" s="20">
        <v>12</v>
      </c>
      <c r="V208" s="20">
        <v>20</v>
      </c>
      <c r="W208" s="20">
        <v>28</v>
      </c>
      <c r="X208" s="20">
        <v>28</v>
      </c>
      <c r="Y208" s="20">
        <v>20</v>
      </c>
      <c r="Z208" s="20">
        <v>33</v>
      </c>
      <c r="AA208" s="20">
        <v>24</v>
      </c>
      <c r="AB208" s="20">
        <v>29</v>
      </c>
      <c r="AC208" s="20">
        <v>24</v>
      </c>
      <c r="AD208" s="20">
        <v>21</v>
      </c>
      <c r="AE208" s="20">
        <v>24</v>
      </c>
      <c r="AF208" s="20">
        <v>21</v>
      </c>
      <c r="AG208" s="20">
        <v>24</v>
      </c>
      <c r="AH208" s="20">
        <v>20</v>
      </c>
      <c r="AI208" s="20">
        <v>41</v>
      </c>
      <c r="AJ208" s="20">
        <v>16</v>
      </c>
      <c r="AK208" s="20">
        <v>37</v>
      </c>
      <c r="AL208" s="20">
        <v>24</v>
      </c>
      <c r="AM208" s="20">
        <v>16</v>
      </c>
      <c r="AN208" s="20">
        <v>12</v>
      </c>
      <c r="AO208" s="20">
        <v>20</v>
      </c>
      <c r="AP208" s="20">
        <v>24</v>
      </c>
      <c r="AQ208" s="20">
        <v>29</v>
      </c>
      <c r="AR208" s="20">
        <v>12</v>
      </c>
      <c r="AS208" s="20">
        <v>25</v>
      </c>
      <c r="AT208" s="20">
        <v>28</v>
      </c>
      <c r="AU208" s="20">
        <v>32</v>
      </c>
      <c r="AV208" s="20">
        <v>8</v>
      </c>
      <c r="AW208" s="20">
        <v>28</v>
      </c>
      <c r="AX208" s="20">
        <v>28</v>
      </c>
      <c r="AY208" s="20">
        <v>24</v>
      </c>
      <c r="AZ208" s="20">
        <v>20</v>
      </c>
      <c r="BA208" s="20">
        <v>24</v>
      </c>
      <c r="BB208" s="20">
        <v>28</v>
      </c>
      <c r="BC208" s="20">
        <v>36</v>
      </c>
      <c r="BD208" s="20">
        <v>20</v>
      </c>
      <c r="BE208" s="20">
        <v>24</v>
      </c>
      <c r="BF208" s="140">
        <v>28.687819999999999</v>
      </c>
      <c r="BG208" s="140">
        <v>76.962130000000002</v>
      </c>
      <c r="BH208" s="31">
        <f t="shared" si="124"/>
        <v>28</v>
      </c>
      <c r="BI208" s="31">
        <f t="shared" si="125"/>
        <v>36</v>
      </c>
      <c r="BJ208" s="37">
        <f t="shared" si="126"/>
        <v>-8</v>
      </c>
      <c r="BK208" s="37">
        <f t="shared" si="127"/>
        <v>-22.222222222222221</v>
      </c>
      <c r="BL208" s="36">
        <f t="shared" si="128"/>
        <v>20</v>
      </c>
      <c r="BM208" s="36">
        <f t="shared" si="129"/>
        <v>24</v>
      </c>
      <c r="BN208" s="37">
        <f t="shared" si="130"/>
        <v>-4</v>
      </c>
      <c r="BO208" s="37">
        <f t="shared" si="131"/>
        <v>-16.666666666666664</v>
      </c>
      <c r="BP208" s="38">
        <f t="shared" si="132"/>
        <v>327</v>
      </c>
      <c r="BQ208" s="39">
        <f>J208+N208+S208+W208+AA208+AE208+AI208+AM208+AQ208+AU208+Table1[[#This Row],[MS-0225]]+Table1[[#This Row],[MS-0325]]</f>
        <v>314</v>
      </c>
      <c r="BR208" s="37">
        <f t="shared" si="133"/>
        <v>13</v>
      </c>
      <c r="BS208" s="37">
        <f t="shared" si="134"/>
        <v>4.1401273885350314</v>
      </c>
      <c r="BT208" s="36">
        <f t="shared" si="135"/>
        <v>239</v>
      </c>
      <c r="BU208" s="36">
        <f t="shared" si="136"/>
        <v>298</v>
      </c>
      <c r="BV208" s="37">
        <f t="shared" si="137"/>
        <v>-59</v>
      </c>
      <c r="BW208" s="37">
        <f t="shared" si="138"/>
        <v>-19.798657718120804</v>
      </c>
      <c r="BX208">
        <v>0</v>
      </c>
      <c r="BY208" s="83">
        <f t="shared" si="139"/>
        <v>0</v>
      </c>
      <c r="BZ208">
        <v>0</v>
      </c>
      <c r="CA208" s="83">
        <f t="shared" si="140"/>
        <v>0</v>
      </c>
      <c r="CB208" s="96">
        <f t="shared" si="141"/>
        <v>2.2866476112699062E-2</v>
      </c>
      <c r="CC208" s="96">
        <f t="shared" si="142"/>
        <v>2.9544521953221173E-2</v>
      </c>
      <c r="CD208" s="97">
        <f t="shared" si="143"/>
        <v>-6.6780458405221108E-3</v>
      </c>
      <c r="CE208" s="96">
        <f t="shared" si="144"/>
        <v>1.7219113215669393E-2</v>
      </c>
      <c r="CF208" s="96">
        <f t="shared" si="145"/>
        <v>2.4628014366341714E-2</v>
      </c>
      <c r="CG208" s="96">
        <f t="shared" si="146"/>
        <v>-7.4089011506723208E-3</v>
      </c>
      <c r="CH208" s="95">
        <f t="shared" si="147"/>
        <v>2.2261556266594051E-2</v>
      </c>
      <c r="CI208" s="95">
        <f t="shared" si="148"/>
        <v>2.2564765908519278E-2</v>
      </c>
      <c r="CJ208" s="98">
        <f t="shared" si="149"/>
        <v>-3.0320964192522698E-4</v>
      </c>
      <c r="CK208" s="95">
        <f t="shared" si="150"/>
        <v>2.0280016970725498E-2</v>
      </c>
      <c r="CL208" s="95">
        <f t="shared" si="151"/>
        <v>2.2520309843189118E-2</v>
      </c>
      <c r="CM208" s="98">
        <f t="shared" si="152"/>
        <v>-2.2402928724636201E-3</v>
      </c>
      <c r="CN208" s="94">
        <f t="shared" si="153"/>
        <v>0.22261556266594051</v>
      </c>
      <c r="CO208" s="94">
        <f t="shared" si="154"/>
        <v>0.20280016970725498</v>
      </c>
      <c r="CP208" s="141">
        <f>BD208-AZ208</f>
        <v>0</v>
      </c>
    </row>
    <row r="209" spans="1:94" ht="48.5" x14ac:dyDescent="0.35">
      <c r="A209" s="103">
        <v>41056828</v>
      </c>
      <c r="B209" s="9" t="s">
        <v>380</v>
      </c>
      <c r="C209" s="48" t="s">
        <v>481</v>
      </c>
      <c r="D209" s="14" t="s">
        <v>482</v>
      </c>
      <c r="E209" s="10" t="s">
        <v>103</v>
      </c>
      <c r="F209" s="10" t="s">
        <v>483</v>
      </c>
      <c r="G209" s="12" t="s">
        <v>483</v>
      </c>
      <c r="H209" s="51" t="s">
        <v>105</v>
      </c>
      <c r="I209" s="25" t="s">
        <v>78</v>
      </c>
      <c r="J209" s="20">
        <v>255.5</v>
      </c>
      <c r="K209" s="20">
        <v>302.5</v>
      </c>
      <c r="L209" s="20">
        <v>82.5</v>
      </c>
      <c r="M209" s="20">
        <v>83.5</v>
      </c>
      <c r="N209" s="18">
        <v>292.5</v>
      </c>
      <c r="O209" s="18">
        <v>370</v>
      </c>
      <c r="P209" s="18">
        <v>103.5</v>
      </c>
      <c r="Q209" s="18">
        <v>95</v>
      </c>
      <c r="R209" s="20">
        <v>268</v>
      </c>
      <c r="S209" s="20">
        <v>270</v>
      </c>
      <c r="T209" s="20">
        <v>78</v>
      </c>
      <c r="U209" s="20">
        <v>90</v>
      </c>
      <c r="V209" s="20">
        <v>297</v>
      </c>
      <c r="W209" s="20">
        <v>283.5</v>
      </c>
      <c r="X209" s="20">
        <v>75</v>
      </c>
      <c r="Y209" s="20">
        <v>94.5</v>
      </c>
      <c r="Z209" s="20">
        <v>304.5</v>
      </c>
      <c r="AA209" s="20">
        <v>274.5</v>
      </c>
      <c r="AB209" s="20">
        <v>74.5</v>
      </c>
      <c r="AC209" s="20">
        <v>85.5</v>
      </c>
      <c r="AD209" s="20">
        <v>302.5</v>
      </c>
      <c r="AE209" s="20">
        <v>261</v>
      </c>
      <c r="AF209" s="20">
        <v>73.5</v>
      </c>
      <c r="AG209" s="20">
        <v>81</v>
      </c>
      <c r="AH209" s="20">
        <v>300</v>
      </c>
      <c r="AI209" s="20">
        <v>285</v>
      </c>
      <c r="AJ209" s="20">
        <v>69</v>
      </c>
      <c r="AK209" s="20">
        <v>96</v>
      </c>
      <c r="AL209" s="20">
        <v>286</v>
      </c>
      <c r="AM209" s="20">
        <v>288</v>
      </c>
      <c r="AN209" s="20">
        <v>71</v>
      </c>
      <c r="AO209" s="20">
        <v>72</v>
      </c>
      <c r="AP209" s="20">
        <v>300</v>
      </c>
      <c r="AQ209" s="20">
        <v>247.5</v>
      </c>
      <c r="AR209" s="20">
        <v>63</v>
      </c>
      <c r="AS209" s="20">
        <v>58.5</v>
      </c>
      <c r="AT209" s="20">
        <v>272</v>
      </c>
      <c r="AU209" s="20">
        <v>255.5</v>
      </c>
      <c r="AV209" s="20">
        <v>66</v>
      </c>
      <c r="AW209" s="20">
        <v>77.5</v>
      </c>
      <c r="AX209" s="20">
        <v>282</v>
      </c>
      <c r="AY209" s="20">
        <v>238.5</v>
      </c>
      <c r="AZ209" s="20">
        <v>60</v>
      </c>
      <c r="BA209" s="20">
        <v>66.5</v>
      </c>
      <c r="BB209" s="20">
        <v>278.5</v>
      </c>
      <c r="BC209" s="20">
        <v>262</v>
      </c>
      <c r="BD209" s="20">
        <v>73.5</v>
      </c>
      <c r="BE209" s="20">
        <v>65</v>
      </c>
      <c r="BF209" s="23">
        <v>28.573740000000001</v>
      </c>
      <c r="BG209" s="23">
        <v>77.209010000000006</v>
      </c>
      <c r="BH209" s="31">
        <f t="shared" si="124"/>
        <v>278.5</v>
      </c>
      <c r="BI209" s="31">
        <f t="shared" si="125"/>
        <v>262</v>
      </c>
      <c r="BJ209" s="37">
        <f t="shared" si="126"/>
        <v>16.5</v>
      </c>
      <c r="BK209" s="37">
        <f t="shared" si="127"/>
        <v>6.2977099236641214</v>
      </c>
      <c r="BL209" s="36">
        <f t="shared" si="128"/>
        <v>73.5</v>
      </c>
      <c r="BM209" s="36">
        <f t="shared" si="129"/>
        <v>65</v>
      </c>
      <c r="BN209" s="37">
        <f t="shared" si="130"/>
        <v>8.5</v>
      </c>
      <c r="BO209" s="37">
        <f t="shared" si="131"/>
        <v>13.076923076923078</v>
      </c>
      <c r="BP209" s="38">
        <f t="shared" si="132"/>
        <v>3563</v>
      </c>
      <c r="BQ209" s="39">
        <f>J209+N209+S209+W209+AA209+AE209+AI209+AM209+AQ209+AU209+Table1[[#This Row],[MS-0225]]+Table1[[#This Row],[MS-0325]]</f>
        <v>3213.5</v>
      </c>
      <c r="BR209" s="37">
        <f t="shared" si="133"/>
        <v>349.5</v>
      </c>
      <c r="BS209" s="37">
        <f t="shared" si="134"/>
        <v>10.875991909133344</v>
      </c>
      <c r="BT209" s="36">
        <f t="shared" si="135"/>
        <v>882</v>
      </c>
      <c r="BU209" s="36">
        <f t="shared" si="136"/>
        <v>972.5</v>
      </c>
      <c r="BV209" s="37">
        <f t="shared" si="137"/>
        <v>-90.5</v>
      </c>
      <c r="BW209" s="37">
        <f t="shared" si="138"/>
        <v>-9.3059125964010274</v>
      </c>
      <c r="BX209">
        <v>0</v>
      </c>
      <c r="BY209" s="83">
        <f t="shared" si="139"/>
        <v>0</v>
      </c>
      <c r="BZ209">
        <v>0</v>
      </c>
      <c r="CA209" s="83">
        <f t="shared" si="140"/>
        <v>0</v>
      </c>
      <c r="CB209" s="96">
        <f t="shared" si="141"/>
        <v>0.34403953057442865</v>
      </c>
      <c r="CC209" s="96">
        <f t="shared" si="142"/>
        <v>0.35816814764183186</v>
      </c>
      <c r="CD209" s="97">
        <f t="shared" si="143"/>
        <v>-1.4128617067403204E-2</v>
      </c>
      <c r="CE209" s="96">
        <f t="shared" si="144"/>
        <v>0.34916864608076009</v>
      </c>
      <c r="CF209" s="96">
        <f t="shared" si="145"/>
        <v>0.35040431266846361</v>
      </c>
      <c r="CG209" s="96">
        <f t="shared" si="146"/>
        <v>-1.2356665877035211E-3</v>
      </c>
      <c r="CH209" s="95">
        <f t="shared" si="147"/>
        <v>0.36781253225972954</v>
      </c>
      <c r="CI209" s="95">
        <f t="shared" si="148"/>
        <v>0.3606217035125126</v>
      </c>
      <c r="CJ209" s="98">
        <f t="shared" si="149"/>
        <v>7.1908287472169374E-3</v>
      </c>
      <c r="CK209" s="95">
        <f t="shared" si="150"/>
        <v>0.30102389078498293</v>
      </c>
      <c r="CL209" s="95">
        <f t="shared" si="151"/>
        <v>0.36518963574915508</v>
      </c>
      <c r="CM209" s="98">
        <f t="shared" si="152"/>
        <v>-6.4165744964172156E-2</v>
      </c>
      <c r="CN209" s="94">
        <f t="shared" si="153"/>
        <v>1.1034375967791887</v>
      </c>
      <c r="CO209" s="94">
        <f t="shared" si="154"/>
        <v>0.90307167235494878</v>
      </c>
    </row>
    <row r="210" spans="1:94" ht="24.5" x14ac:dyDescent="0.35">
      <c r="A210" s="104">
        <v>106285</v>
      </c>
      <c r="B210" s="5" t="s">
        <v>581</v>
      </c>
      <c r="C210" s="46" t="s">
        <v>606</v>
      </c>
      <c r="D210" s="13" t="s">
        <v>607</v>
      </c>
      <c r="E210" s="6" t="s">
        <v>89</v>
      </c>
      <c r="F210" s="6" t="s">
        <v>342</v>
      </c>
      <c r="G210" s="12" t="s">
        <v>342</v>
      </c>
      <c r="H210" s="51" t="s">
        <v>205</v>
      </c>
      <c r="I210" s="24" t="s">
        <v>86</v>
      </c>
      <c r="J210" s="19">
        <v>301.5</v>
      </c>
      <c r="K210" s="19">
        <v>337.5</v>
      </c>
      <c r="L210" s="19">
        <v>94.5</v>
      </c>
      <c r="M210" s="19">
        <v>76.5</v>
      </c>
      <c r="N210" s="18">
        <v>310.5</v>
      </c>
      <c r="O210" s="18">
        <v>351</v>
      </c>
      <c r="P210" s="18">
        <v>103.5</v>
      </c>
      <c r="Q210" s="18">
        <v>81</v>
      </c>
      <c r="R210" s="19">
        <v>342</v>
      </c>
      <c r="S210" s="19">
        <v>301.5</v>
      </c>
      <c r="T210" s="19">
        <v>90</v>
      </c>
      <c r="U210" s="19">
        <v>94.5</v>
      </c>
      <c r="V210" s="19">
        <v>369</v>
      </c>
      <c r="W210" s="19">
        <v>329.5</v>
      </c>
      <c r="X210" s="19">
        <v>81</v>
      </c>
      <c r="Y210" s="19">
        <v>86.5</v>
      </c>
      <c r="Z210" s="19">
        <v>369</v>
      </c>
      <c r="AA210" s="19">
        <v>330.5</v>
      </c>
      <c r="AB210" s="19">
        <v>81</v>
      </c>
      <c r="AC210" s="19">
        <v>85.5</v>
      </c>
      <c r="AD210" s="19">
        <v>364.5</v>
      </c>
      <c r="AE210" s="19">
        <v>328.5</v>
      </c>
      <c r="AF210" s="19">
        <v>85.5</v>
      </c>
      <c r="AG210" s="19">
        <v>85.5</v>
      </c>
      <c r="AH210" s="19">
        <v>368</v>
      </c>
      <c r="AI210" s="19">
        <v>346.5</v>
      </c>
      <c r="AJ210" s="19">
        <v>76</v>
      </c>
      <c r="AK210" s="19">
        <v>85.5</v>
      </c>
      <c r="AL210" s="19">
        <v>346.5</v>
      </c>
      <c r="AM210" s="19">
        <v>288</v>
      </c>
      <c r="AN210" s="19">
        <v>67.5</v>
      </c>
      <c r="AO210" s="19">
        <v>72</v>
      </c>
      <c r="AP210" s="19">
        <v>346.5</v>
      </c>
      <c r="AQ210" s="19">
        <v>312</v>
      </c>
      <c r="AR210" s="19">
        <v>67.5</v>
      </c>
      <c r="AS210" s="19">
        <v>68</v>
      </c>
      <c r="AT210" s="19">
        <v>342</v>
      </c>
      <c r="AU210" s="19">
        <v>303</v>
      </c>
      <c r="AV210" s="19">
        <v>72</v>
      </c>
      <c r="AW210" s="19">
        <v>77</v>
      </c>
      <c r="AX210" s="19">
        <v>316.5</v>
      </c>
      <c r="AY210" s="19">
        <v>283.5</v>
      </c>
      <c r="AZ210" s="19">
        <v>81.5</v>
      </c>
      <c r="BA210" s="19">
        <v>76.5</v>
      </c>
      <c r="BB210" s="19">
        <v>364.5</v>
      </c>
      <c r="BC210" s="19">
        <v>310.5</v>
      </c>
      <c r="BD210" s="19">
        <v>85.5</v>
      </c>
      <c r="BE210" s="19">
        <v>85.5</v>
      </c>
      <c r="BF210" s="23">
        <v>28.7349</v>
      </c>
      <c r="BG210" s="23">
        <v>77.114000000000004</v>
      </c>
      <c r="BH210" s="31">
        <f t="shared" si="124"/>
        <v>364.5</v>
      </c>
      <c r="BI210" s="31">
        <f t="shared" si="125"/>
        <v>310.5</v>
      </c>
      <c r="BJ210" s="37">
        <f t="shared" si="126"/>
        <v>54</v>
      </c>
      <c r="BK210" s="37">
        <f t="shared" si="127"/>
        <v>17.391304347826086</v>
      </c>
      <c r="BL210" s="36">
        <f t="shared" si="128"/>
        <v>85.5</v>
      </c>
      <c r="BM210" s="36">
        <f t="shared" si="129"/>
        <v>85.5</v>
      </c>
      <c r="BN210" s="37">
        <f t="shared" si="130"/>
        <v>0</v>
      </c>
      <c r="BO210" s="37">
        <f t="shared" si="131"/>
        <v>0</v>
      </c>
      <c r="BP210" s="38">
        <f t="shared" si="132"/>
        <v>4217</v>
      </c>
      <c r="BQ210" s="39">
        <f>J210+N210+S210+W210+AA210+AE210+AI210+AM210+AQ210+AU210+Table1[[#This Row],[MS-0225]]+Table1[[#This Row],[MS-0325]]</f>
        <v>3745.5</v>
      </c>
      <c r="BR210" s="37">
        <f t="shared" si="133"/>
        <v>471.5</v>
      </c>
      <c r="BS210" s="37">
        <f t="shared" si="134"/>
        <v>12.588439460686157</v>
      </c>
      <c r="BT210" s="36">
        <f t="shared" si="135"/>
        <v>945</v>
      </c>
      <c r="BU210" s="36">
        <f t="shared" si="136"/>
        <v>1014.5</v>
      </c>
      <c r="BV210" s="37">
        <f t="shared" si="137"/>
        <v>-69.5</v>
      </c>
      <c r="BW210" s="37">
        <f t="shared" si="138"/>
        <v>-6.8506653523903411</v>
      </c>
      <c r="BX210">
        <v>0</v>
      </c>
      <c r="BY210" s="83">
        <f t="shared" si="139"/>
        <v>0</v>
      </c>
      <c r="BZ210">
        <v>0</v>
      </c>
      <c r="CA210" s="83">
        <f t="shared" si="140"/>
        <v>0</v>
      </c>
      <c r="CB210" s="96">
        <f t="shared" si="141"/>
        <v>0.18827479338842976</v>
      </c>
      <c r="CC210" s="96">
        <f t="shared" si="142"/>
        <v>0.16820151679306608</v>
      </c>
      <c r="CD210" s="97">
        <f t="shared" si="143"/>
        <v>2.0073276595363676E-2</v>
      </c>
      <c r="CE210" s="96">
        <f t="shared" si="144"/>
        <v>0.20552884615384615</v>
      </c>
      <c r="CF210" s="96">
        <f t="shared" si="145"/>
        <v>0.19170403587443946</v>
      </c>
      <c r="CG210" s="96">
        <f t="shared" si="146"/>
        <v>1.3824810279406685E-2</v>
      </c>
      <c r="CH210" s="95">
        <f t="shared" si="147"/>
        <v>0.18530969173642695</v>
      </c>
      <c r="CI210" s="95">
        <f t="shared" si="148"/>
        <v>0.17013786367302741</v>
      </c>
      <c r="CJ210" s="98">
        <f t="shared" si="149"/>
        <v>1.5171828063399534E-2</v>
      </c>
      <c r="CK210" s="95">
        <f t="shared" si="150"/>
        <v>0.18164344065353197</v>
      </c>
      <c r="CL210" s="95">
        <f t="shared" si="151"/>
        <v>0.18427027517936609</v>
      </c>
      <c r="CM210" s="98">
        <f t="shared" si="152"/>
        <v>-2.6268345258341208E-3</v>
      </c>
      <c r="CN210" s="94">
        <f t="shared" si="153"/>
        <v>1.2971678421549886</v>
      </c>
      <c r="CO210" s="94">
        <f t="shared" si="154"/>
        <v>1.2715040845747239</v>
      </c>
    </row>
    <row r="211" spans="1:94" ht="24.5" x14ac:dyDescent="0.35">
      <c r="A211" s="102">
        <v>112411</v>
      </c>
      <c r="B211" s="3" t="s">
        <v>72</v>
      </c>
      <c r="C211" s="41" t="s">
        <v>142</v>
      </c>
      <c r="D211" s="12" t="s">
        <v>143</v>
      </c>
      <c r="E211" s="4" t="s">
        <v>103</v>
      </c>
      <c r="F211" s="4" t="s">
        <v>144</v>
      </c>
      <c r="G211" s="12" t="s">
        <v>144</v>
      </c>
      <c r="H211" s="51" t="s">
        <v>105</v>
      </c>
      <c r="I211" s="23" t="s">
        <v>78</v>
      </c>
      <c r="J211" s="90">
        <v>263.50000199999999</v>
      </c>
      <c r="K211" s="90">
        <v>294</v>
      </c>
      <c r="L211" s="90">
        <v>48.5</v>
      </c>
      <c r="M211" s="90">
        <v>66</v>
      </c>
      <c r="N211" s="18">
        <v>288.50000299999999</v>
      </c>
      <c r="O211" s="18">
        <v>296</v>
      </c>
      <c r="P211" s="18">
        <v>89.5</v>
      </c>
      <c r="Q211" s="18">
        <v>76</v>
      </c>
      <c r="R211" s="90">
        <v>282</v>
      </c>
      <c r="S211" s="90">
        <v>259.50000299999999</v>
      </c>
      <c r="T211" s="90">
        <v>72</v>
      </c>
      <c r="U211" s="90">
        <v>94.5</v>
      </c>
      <c r="V211" s="90">
        <v>324.5</v>
      </c>
      <c r="W211" s="90">
        <v>296.5</v>
      </c>
      <c r="X211" s="90">
        <v>89.5</v>
      </c>
      <c r="Y211" s="90">
        <v>87.5</v>
      </c>
      <c r="Z211" s="90">
        <v>326.5</v>
      </c>
      <c r="AA211" s="90">
        <v>296.500001</v>
      </c>
      <c r="AB211" s="90">
        <v>75.5</v>
      </c>
      <c r="AC211" s="90">
        <v>101.5</v>
      </c>
      <c r="AD211" s="90">
        <v>294.5</v>
      </c>
      <c r="AE211" s="90">
        <v>283</v>
      </c>
      <c r="AF211" s="90">
        <v>89.5</v>
      </c>
      <c r="AG211" s="90">
        <v>67</v>
      </c>
      <c r="AH211" s="90">
        <v>311</v>
      </c>
      <c r="AI211" s="90">
        <v>289</v>
      </c>
      <c r="AJ211" s="90">
        <v>81</v>
      </c>
      <c r="AK211" s="90">
        <v>103</v>
      </c>
      <c r="AL211" s="90">
        <v>285</v>
      </c>
      <c r="AM211" s="90">
        <v>261.00000199999999</v>
      </c>
      <c r="AN211" s="90">
        <v>95</v>
      </c>
      <c r="AO211" s="90">
        <v>61</v>
      </c>
      <c r="AP211" s="90">
        <v>285</v>
      </c>
      <c r="AQ211" s="90">
        <v>263.5</v>
      </c>
      <c r="AR211" s="90">
        <v>69</v>
      </c>
      <c r="AS211" s="90">
        <v>60.5</v>
      </c>
      <c r="AT211" s="90">
        <v>254.5</v>
      </c>
      <c r="AU211" s="90">
        <v>253.5</v>
      </c>
      <c r="AV211" s="90">
        <v>75.5</v>
      </c>
      <c r="AW211" s="90">
        <v>82.5</v>
      </c>
      <c r="AX211" s="90">
        <v>288</v>
      </c>
      <c r="AY211" s="90">
        <v>253</v>
      </c>
      <c r="AZ211" s="90">
        <v>70</v>
      </c>
      <c r="BA211" s="90">
        <v>65</v>
      </c>
      <c r="BB211" s="90">
        <v>273</v>
      </c>
      <c r="BC211" s="90">
        <v>281</v>
      </c>
      <c r="BD211" s="90">
        <v>79</v>
      </c>
      <c r="BE211" s="90">
        <v>79</v>
      </c>
      <c r="BF211" s="23">
        <v>28.60455</v>
      </c>
      <c r="BG211" s="23">
        <v>77.224590000000006</v>
      </c>
      <c r="BH211" s="31">
        <f t="shared" si="124"/>
        <v>273</v>
      </c>
      <c r="BI211" s="31">
        <f t="shared" si="125"/>
        <v>281</v>
      </c>
      <c r="BJ211" s="37">
        <f t="shared" si="126"/>
        <v>-8</v>
      </c>
      <c r="BK211" s="37">
        <f t="shared" si="127"/>
        <v>-2.8469750889679712</v>
      </c>
      <c r="BL211" s="36">
        <f t="shared" si="128"/>
        <v>79</v>
      </c>
      <c r="BM211" s="36">
        <f t="shared" si="129"/>
        <v>79</v>
      </c>
      <c r="BN211" s="37">
        <f t="shared" si="130"/>
        <v>0</v>
      </c>
      <c r="BO211" s="37">
        <f t="shared" si="131"/>
        <v>0</v>
      </c>
      <c r="BP211" s="38">
        <f t="shared" si="132"/>
        <v>3514</v>
      </c>
      <c r="BQ211" s="39">
        <f>J211+N211+S211+W211+AA211+AE211+AI211+AM211+AQ211+AU211+Table1[[#This Row],[MS-0225]]+Table1[[#This Row],[MS-0325]]</f>
        <v>3288.5000110000001</v>
      </c>
      <c r="BR211" s="37">
        <f t="shared" si="133"/>
        <v>225.49998899999991</v>
      </c>
      <c r="BS211" s="37">
        <f t="shared" si="134"/>
        <v>6.8572293825666621</v>
      </c>
      <c r="BT211" s="36">
        <f t="shared" si="135"/>
        <v>938</v>
      </c>
      <c r="BU211" s="36">
        <f t="shared" si="136"/>
        <v>939.5</v>
      </c>
      <c r="BV211" s="37">
        <f t="shared" si="137"/>
        <v>-1.5</v>
      </c>
      <c r="BW211" s="37">
        <f t="shared" si="138"/>
        <v>-0.15965939329430548</v>
      </c>
      <c r="BX211">
        <v>30.5</v>
      </c>
      <c r="BY211" s="83">
        <f t="shared" si="139"/>
        <v>0.11172161172161173</v>
      </c>
      <c r="BZ211">
        <v>158.5</v>
      </c>
      <c r="CA211" s="83">
        <f t="shared" si="140"/>
        <v>4.5105293113261238E-2</v>
      </c>
      <c r="CB211" s="96">
        <f t="shared" si="141"/>
        <v>0.42924528301886794</v>
      </c>
      <c r="CC211" s="96">
        <f t="shared" si="142"/>
        <v>0.44321766561514198</v>
      </c>
      <c r="CD211" s="97">
        <f t="shared" si="143"/>
        <v>-1.3972382596274036E-2</v>
      </c>
      <c r="CE211" s="96">
        <f t="shared" si="144"/>
        <v>0.49685534591194969</v>
      </c>
      <c r="CF211" s="96">
        <f t="shared" si="145"/>
        <v>0.42934782608695654</v>
      </c>
      <c r="CG211" s="96">
        <f t="shared" si="146"/>
        <v>6.7507519824993145E-2</v>
      </c>
      <c r="CH211" s="95">
        <f t="shared" si="147"/>
        <v>0.44226291611604052</v>
      </c>
      <c r="CI211" s="95">
        <f t="shared" si="148"/>
        <v>0.4371842603284995</v>
      </c>
      <c r="CJ211" s="98">
        <f t="shared" si="149"/>
        <v>5.0786557875410199E-3</v>
      </c>
      <c r="CK211" s="95">
        <f t="shared" si="150"/>
        <v>0.39737343783096801</v>
      </c>
      <c r="CL211" s="95">
        <f t="shared" si="151"/>
        <v>0.4051315222078482</v>
      </c>
      <c r="CM211" s="98">
        <f t="shared" si="152"/>
        <v>-7.7580843768801921E-3</v>
      </c>
      <c r="CN211" s="94">
        <f t="shared" si="153"/>
        <v>0.88452583223208103</v>
      </c>
      <c r="CO211" s="94">
        <f t="shared" si="154"/>
        <v>0.79474687566193603</v>
      </c>
    </row>
    <row r="212" spans="1:94" ht="24.5" x14ac:dyDescent="0.35">
      <c r="A212" s="104">
        <v>102115</v>
      </c>
      <c r="B212" s="5" t="s">
        <v>581</v>
      </c>
      <c r="C212" s="46" t="s">
        <v>646</v>
      </c>
      <c r="D212" s="13" t="s">
        <v>647</v>
      </c>
      <c r="E212" s="6" t="s">
        <v>89</v>
      </c>
      <c r="F212" s="6" t="s">
        <v>237</v>
      </c>
      <c r="G212" s="12" t="s">
        <v>345</v>
      </c>
      <c r="H212" s="51" t="s">
        <v>120</v>
      </c>
      <c r="I212" s="24" t="s">
        <v>86</v>
      </c>
      <c r="J212" s="19">
        <v>216</v>
      </c>
      <c r="K212" s="19">
        <v>210</v>
      </c>
      <c r="L212" s="19">
        <v>0</v>
      </c>
      <c r="M212" s="19">
        <v>0</v>
      </c>
      <c r="N212" s="18">
        <v>210</v>
      </c>
      <c r="O212" s="18">
        <v>218</v>
      </c>
      <c r="P212" s="18">
        <v>0</v>
      </c>
      <c r="Q212" s="18">
        <v>0</v>
      </c>
      <c r="R212" s="19">
        <v>224</v>
      </c>
      <c r="S212" s="19">
        <v>204</v>
      </c>
      <c r="T212" s="19">
        <v>0</v>
      </c>
      <c r="U212" s="19">
        <v>0</v>
      </c>
      <c r="V212" s="19">
        <v>224</v>
      </c>
      <c r="W212" s="19">
        <v>204</v>
      </c>
      <c r="X212" s="19">
        <v>0</v>
      </c>
      <c r="Y212" s="19">
        <v>0</v>
      </c>
      <c r="Z212" s="19">
        <v>214</v>
      </c>
      <c r="AA212" s="19">
        <v>216</v>
      </c>
      <c r="AB212" s="19">
        <v>0</v>
      </c>
      <c r="AC212" s="19">
        <v>0</v>
      </c>
      <c r="AD212" s="19">
        <v>210</v>
      </c>
      <c r="AE212" s="19">
        <v>194</v>
      </c>
      <c r="AF212" s="19">
        <v>0</v>
      </c>
      <c r="AG212" s="19">
        <v>0</v>
      </c>
      <c r="AH212" s="19">
        <v>238</v>
      </c>
      <c r="AI212" s="19">
        <v>210</v>
      </c>
      <c r="AJ212" s="19">
        <v>0</v>
      </c>
      <c r="AK212" s="19">
        <v>0</v>
      </c>
      <c r="AL212" s="19">
        <v>210</v>
      </c>
      <c r="AM212" s="19">
        <v>200</v>
      </c>
      <c r="AN212" s="19">
        <v>0</v>
      </c>
      <c r="AO212" s="19">
        <v>0</v>
      </c>
      <c r="AP212" s="19">
        <v>224</v>
      </c>
      <c r="AQ212" s="19">
        <v>182</v>
      </c>
      <c r="AR212" s="19">
        <v>0</v>
      </c>
      <c r="AS212" s="19">
        <v>0</v>
      </c>
      <c r="AT212" s="19">
        <v>210</v>
      </c>
      <c r="AU212" s="19">
        <v>196</v>
      </c>
      <c r="AV212" s="19">
        <v>0</v>
      </c>
      <c r="AW212" s="19">
        <v>0</v>
      </c>
      <c r="AX212" s="19">
        <v>210</v>
      </c>
      <c r="AY212" s="19">
        <v>194</v>
      </c>
      <c r="AZ212" s="19">
        <v>0</v>
      </c>
      <c r="BA212" s="19">
        <v>0</v>
      </c>
      <c r="BB212" s="19">
        <v>350</v>
      </c>
      <c r="BC212" s="19">
        <v>210</v>
      </c>
      <c r="BD212" s="19">
        <v>0</v>
      </c>
      <c r="BE212" s="19">
        <v>0</v>
      </c>
      <c r="BF212" s="23">
        <v>28.694299999999998</v>
      </c>
      <c r="BG212" s="23">
        <v>77.1053</v>
      </c>
      <c r="BH212" s="31">
        <f t="shared" si="124"/>
        <v>350</v>
      </c>
      <c r="BI212" s="31">
        <f t="shared" si="125"/>
        <v>210</v>
      </c>
      <c r="BJ212" s="37">
        <f t="shared" si="126"/>
        <v>140</v>
      </c>
      <c r="BK212" s="37">
        <f t="shared" si="127"/>
        <v>66.666666666666657</v>
      </c>
      <c r="BL212" s="36">
        <f t="shared" si="128"/>
        <v>0</v>
      </c>
      <c r="BM212" s="36">
        <f t="shared" si="129"/>
        <v>0</v>
      </c>
      <c r="BN212" s="37">
        <f t="shared" si="130"/>
        <v>0</v>
      </c>
      <c r="BO212" s="37" t="e">
        <f t="shared" si="131"/>
        <v>#DIV/0!</v>
      </c>
      <c r="BP212" s="38">
        <f t="shared" si="132"/>
        <v>2742</v>
      </c>
      <c r="BQ212" s="39">
        <f>J212+N212+S212+W212+AA212+AE212+AI212+AM212+AQ212+AU212+Table1[[#This Row],[MS-0225]]+Table1[[#This Row],[MS-0325]]</f>
        <v>2436</v>
      </c>
      <c r="BR212" s="37">
        <f t="shared" si="133"/>
        <v>306</v>
      </c>
      <c r="BS212" s="37">
        <f t="shared" si="134"/>
        <v>12.561576354679804</v>
      </c>
      <c r="BT212" s="36">
        <f t="shared" si="135"/>
        <v>0</v>
      </c>
      <c r="BU212" s="36">
        <f t="shared" si="136"/>
        <v>0</v>
      </c>
      <c r="BV212" s="37">
        <f t="shared" si="137"/>
        <v>0</v>
      </c>
      <c r="BW212" s="37" t="e">
        <f t="shared" si="138"/>
        <v>#DIV/0!</v>
      </c>
      <c r="BX212">
        <v>0</v>
      </c>
      <c r="BY212" s="83">
        <f t="shared" si="139"/>
        <v>0</v>
      </c>
      <c r="BZ212">
        <v>0</v>
      </c>
      <c r="CA212" s="83">
        <f t="shared" si="140"/>
        <v>0</v>
      </c>
      <c r="CB212" s="96">
        <f t="shared" si="141"/>
        <v>0.13744354997054781</v>
      </c>
      <c r="CC212" s="96">
        <f t="shared" si="142"/>
        <v>0.10697911360163016</v>
      </c>
      <c r="CD212" s="97">
        <f t="shared" si="143"/>
        <v>3.0464436368917644E-2</v>
      </c>
      <c r="CE212" s="96">
        <f t="shared" si="144"/>
        <v>0</v>
      </c>
      <c r="CF212" s="96">
        <f t="shared" si="145"/>
        <v>0</v>
      </c>
      <c r="CG212" s="96">
        <f t="shared" si="146"/>
        <v>0</v>
      </c>
      <c r="CH212" s="95">
        <f t="shared" si="147"/>
        <v>9.8200376040827292E-2</v>
      </c>
      <c r="CI212" s="95">
        <f t="shared" si="148"/>
        <v>9.3613096581780617E-2</v>
      </c>
      <c r="CJ212" s="98">
        <f t="shared" si="149"/>
        <v>4.5872794590466753E-3</v>
      </c>
      <c r="CK212" s="95">
        <f t="shared" si="150"/>
        <v>0</v>
      </c>
      <c r="CL212" s="95">
        <f t="shared" si="151"/>
        <v>0</v>
      </c>
      <c r="CM212" s="98">
        <f t="shared" si="152"/>
        <v>0</v>
      </c>
      <c r="CN212" s="94">
        <f t="shared" si="153"/>
        <v>0.68740263228579102</v>
      </c>
      <c r="CO212" s="94">
        <f t="shared" si="154"/>
        <v>0</v>
      </c>
    </row>
    <row r="213" spans="1:94" ht="48.5" x14ac:dyDescent="0.35">
      <c r="A213" s="103">
        <v>41056488</v>
      </c>
      <c r="B213" s="9" t="s">
        <v>380</v>
      </c>
      <c r="C213" s="48" t="s">
        <v>509</v>
      </c>
      <c r="D213" s="14" t="s">
        <v>510</v>
      </c>
      <c r="E213" s="10" t="s">
        <v>94</v>
      </c>
      <c r="F213" s="10" t="s">
        <v>511</v>
      </c>
      <c r="G213" s="12" t="s">
        <v>511</v>
      </c>
      <c r="H213" s="51" t="s">
        <v>126</v>
      </c>
      <c r="I213" s="25" t="s">
        <v>83</v>
      </c>
      <c r="J213" s="20">
        <v>308</v>
      </c>
      <c r="K213" s="20">
        <v>297.5</v>
      </c>
      <c r="L213" s="20">
        <v>65</v>
      </c>
      <c r="M213" s="20">
        <v>60.5</v>
      </c>
      <c r="N213" s="18">
        <v>298.5</v>
      </c>
      <c r="O213" s="18">
        <v>363</v>
      </c>
      <c r="P213" s="18">
        <v>69.5</v>
      </c>
      <c r="Q213" s="18">
        <v>68</v>
      </c>
      <c r="R213" s="20">
        <v>318</v>
      </c>
      <c r="S213" s="20">
        <v>308</v>
      </c>
      <c r="T213" s="20">
        <v>63</v>
      </c>
      <c r="U213" s="20">
        <v>65</v>
      </c>
      <c r="V213" s="20">
        <v>330.01</v>
      </c>
      <c r="W213" s="20">
        <v>317</v>
      </c>
      <c r="X213" s="20">
        <v>56</v>
      </c>
      <c r="Y213" s="20">
        <v>69</v>
      </c>
      <c r="Z213" s="20">
        <v>340</v>
      </c>
      <c r="AA213" s="20">
        <v>322</v>
      </c>
      <c r="AB213" s="20">
        <v>66</v>
      </c>
      <c r="AC213" s="20">
        <v>75</v>
      </c>
      <c r="AD213" s="20">
        <v>316</v>
      </c>
      <c r="AE213" s="20">
        <v>304</v>
      </c>
      <c r="AF213" s="20">
        <v>53</v>
      </c>
      <c r="AG213" s="20">
        <v>67</v>
      </c>
      <c r="AH213" s="20">
        <v>345</v>
      </c>
      <c r="AI213" s="20">
        <v>303</v>
      </c>
      <c r="AJ213" s="20">
        <v>57</v>
      </c>
      <c r="AK213" s="20">
        <v>76</v>
      </c>
      <c r="AL213" s="20">
        <v>329</v>
      </c>
      <c r="AM213" s="20">
        <v>311.5</v>
      </c>
      <c r="AN213" s="20">
        <v>51</v>
      </c>
      <c r="AO213" s="20">
        <v>49.5</v>
      </c>
      <c r="AP213" s="20">
        <v>329</v>
      </c>
      <c r="AQ213" s="20">
        <v>292</v>
      </c>
      <c r="AR213" s="20">
        <v>40</v>
      </c>
      <c r="AS213" s="20">
        <v>103</v>
      </c>
      <c r="AT213" s="20">
        <v>321</v>
      </c>
      <c r="AU213" s="20">
        <v>255</v>
      </c>
      <c r="AV213" s="20">
        <v>52</v>
      </c>
      <c r="AW213" s="20">
        <v>93</v>
      </c>
      <c r="AX213" s="20">
        <v>336.5</v>
      </c>
      <c r="AY213" s="20">
        <v>311</v>
      </c>
      <c r="AZ213" s="20">
        <v>54.5</v>
      </c>
      <c r="BA213" s="20">
        <v>102</v>
      </c>
      <c r="BB213" s="20">
        <v>272</v>
      </c>
      <c r="BC213" s="20">
        <v>317</v>
      </c>
      <c r="BD213" s="20">
        <v>47</v>
      </c>
      <c r="BE213" s="20">
        <v>71</v>
      </c>
      <c r="BF213" s="23">
        <v>28.56138</v>
      </c>
      <c r="BG213" s="23">
        <v>77.222769999999997</v>
      </c>
      <c r="BH213" s="31">
        <f t="shared" si="124"/>
        <v>272</v>
      </c>
      <c r="BI213" s="31">
        <f t="shared" si="125"/>
        <v>317</v>
      </c>
      <c r="BJ213" s="37">
        <f t="shared" si="126"/>
        <v>-45</v>
      </c>
      <c r="BK213" s="37">
        <f t="shared" si="127"/>
        <v>-14.195583596214512</v>
      </c>
      <c r="BL213" s="36">
        <f t="shared" si="128"/>
        <v>47</v>
      </c>
      <c r="BM213" s="36">
        <f t="shared" si="129"/>
        <v>71</v>
      </c>
      <c r="BN213" s="37">
        <f t="shared" si="130"/>
        <v>-24</v>
      </c>
      <c r="BO213" s="37">
        <f t="shared" si="131"/>
        <v>-33.802816901408448</v>
      </c>
      <c r="BP213" s="38">
        <f t="shared" si="132"/>
        <v>3897.01</v>
      </c>
      <c r="BQ213" s="39">
        <f>J213+N213+S213+W213+AA213+AE213+AI213+AM213+AQ213+AU213+Table1[[#This Row],[MS-0225]]+Table1[[#This Row],[MS-0325]]</f>
        <v>3647</v>
      </c>
      <c r="BR213" s="37">
        <f t="shared" si="133"/>
        <v>250.01000000000022</v>
      </c>
      <c r="BS213" s="37">
        <f t="shared" si="134"/>
        <v>6.855223471346318</v>
      </c>
      <c r="BT213" s="36">
        <f t="shared" si="135"/>
        <v>668</v>
      </c>
      <c r="BU213" s="36">
        <f t="shared" si="136"/>
        <v>905</v>
      </c>
      <c r="BV213" s="37">
        <f t="shared" si="137"/>
        <v>-237</v>
      </c>
      <c r="BW213" s="37">
        <f t="shared" si="138"/>
        <v>-26.187845303867402</v>
      </c>
      <c r="BX213">
        <v>0</v>
      </c>
      <c r="BY213" s="83">
        <f t="shared" si="139"/>
        <v>0</v>
      </c>
      <c r="BZ213">
        <v>0</v>
      </c>
      <c r="CA213" s="83">
        <f t="shared" si="140"/>
        <v>0</v>
      </c>
      <c r="CB213" s="96">
        <f t="shared" si="141"/>
        <v>0.41622035195103291</v>
      </c>
      <c r="CC213" s="96">
        <f t="shared" si="142"/>
        <v>0.48030303030303029</v>
      </c>
      <c r="CD213" s="97">
        <f t="shared" si="143"/>
        <v>-6.408267835199738E-2</v>
      </c>
      <c r="CE213" s="96">
        <f t="shared" si="144"/>
        <v>0.42152466367713004</v>
      </c>
      <c r="CF213" s="96">
        <f t="shared" si="145"/>
        <v>0.53787878787878785</v>
      </c>
      <c r="CG213" s="96">
        <f t="shared" si="146"/>
        <v>-0.1163541242016578</v>
      </c>
      <c r="CH213" s="95">
        <f t="shared" si="147"/>
        <v>0.47388645481065872</v>
      </c>
      <c r="CI213" s="95">
        <f t="shared" si="148"/>
        <v>0.47118863049095605</v>
      </c>
      <c r="CJ213" s="98">
        <f t="shared" si="149"/>
        <v>2.6978243197026686E-3</v>
      </c>
      <c r="CK213" s="95">
        <f t="shared" si="150"/>
        <v>0.48074847067290394</v>
      </c>
      <c r="CL213" s="95">
        <f t="shared" si="151"/>
        <v>0.53613744075829384</v>
      </c>
      <c r="CM213" s="98">
        <f t="shared" si="152"/>
        <v>-5.5388970085389899E-2</v>
      </c>
      <c r="CN213" s="94">
        <f t="shared" si="153"/>
        <v>0.94777290962131744</v>
      </c>
      <c r="CO213" s="94">
        <f t="shared" si="154"/>
        <v>0.96149694134580788</v>
      </c>
    </row>
    <row r="214" spans="1:94" ht="24.5" x14ac:dyDescent="0.35">
      <c r="A214" s="102">
        <v>112448</v>
      </c>
      <c r="B214" s="3" t="s">
        <v>72</v>
      </c>
      <c r="C214" s="43" t="s">
        <v>301</v>
      </c>
      <c r="D214" s="12" t="s">
        <v>302</v>
      </c>
      <c r="E214" s="4" t="s">
        <v>85</v>
      </c>
      <c r="F214" s="4" t="s">
        <v>303</v>
      </c>
      <c r="G214" s="12" t="s">
        <v>303</v>
      </c>
      <c r="H214" s="51" t="s">
        <v>304</v>
      </c>
      <c r="I214" s="23" t="s">
        <v>86</v>
      </c>
      <c r="J214" s="90">
        <v>225.00000199999999</v>
      </c>
      <c r="K214" s="90">
        <v>224</v>
      </c>
      <c r="L214" s="90">
        <v>81</v>
      </c>
      <c r="M214" s="90">
        <v>88</v>
      </c>
      <c r="N214" s="18">
        <v>256.50000399999999</v>
      </c>
      <c r="O214" s="18">
        <v>229.5</v>
      </c>
      <c r="P214" s="18">
        <v>49.5</v>
      </c>
      <c r="Q214" s="18">
        <v>76.5</v>
      </c>
      <c r="R214" s="90">
        <v>261</v>
      </c>
      <c r="S214" s="90">
        <v>243.00000299999999</v>
      </c>
      <c r="T214" s="90">
        <v>81</v>
      </c>
      <c r="U214" s="90">
        <v>45</v>
      </c>
      <c r="V214" s="90">
        <v>270</v>
      </c>
      <c r="W214" s="90">
        <v>243</v>
      </c>
      <c r="X214" s="90">
        <v>72</v>
      </c>
      <c r="Y214" s="90">
        <v>45</v>
      </c>
      <c r="Z214" s="90">
        <v>283.5</v>
      </c>
      <c r="AA214" s="90">
        <v>261.00000199999999</v>
      </c>
      <c r="AB214" s="90">
        <v>76.5</v>
      </c>
      <c r="AC214" s="90">
        <v>45</v>
      </c>
      <c r="AD214" s="90">
        <v>288</v>
      </c>
      <c r="AE214" s="90">
        <v>229.500001</v>
      </c>
      <c r="AF214" s="90">
        <v>90</v>
      </c>
      <c r="AG214" s="90">
        <v>40.5</v>
      </c>
      <c r="AH214" s="90">
        <v>271.5</v>
      </c>
      <c r="AI214" s="90">
        <v>261</v>
      </c>
      <c r="AJ214" s="90">
        <v>80.5</v>
      </c>
      <c r="AK214" s="90">
        <v>45</v>
      </c>
      <c r="AL214" s="90">
        <v>251</v>
      </c>
      <c r="AM214" s="90">
        <v>229.50000299999999</v>
      </c>
      <c r="AN214" s="90">
        <v>57</v>
      </c>
      <c r="AO214" s="90">
        <v>40.5</v>
      </c>
      <c r="AP214" s="90">
        <v>253</v>
      </c>
      <c r="AQ214" s="90">
        <v>248</v>
      </c>
      <c r="AR214" s="90">
        <v>41</v>
      </c>
      <c r="AS214" s="90">
        <v>36</v>
      </c>
      <c r="AT214" s="90">
        <v>259</v>
      </c>
      <c r="AU214" s="90">
        <v>258</v>
      </c>
      <c r="AV214" s="90">
        <v>49</v>
      </c>
      <c r="AW214" s="90">
        <v>36</v>
      </c>
      <c r="AX214" s="90">
        <v>262</v>
      </c>
      <c r="AY214" s="90">
        <v>211.5</v>
      </c>
      <c r="AZ214" s="90">
        <v>46</v>
      </c>
      <c r="BA214" s="90">
        <v>49.5</v>
      </c>
      <c r="BB214" s="90">
        <v>271</v>
      </c>
      <c r="BC214" s="90">
        <v>242</v>
      </c>
      <c r="BD214" s="90">
        <v>65</v>
      </c>
      <c r="BE214" s="90">
        <v>68</v>
      </c>
      <c r="BF214" s="23">
        <v>28.630700000000001</v>
      </c>
      <c r="BG214" s="23">
        <v>77.111360000000005</v>
      </c>
      <c r="BH214" s="31">
        <f t="shared" si="124"/>
        <v>271</v>
      </c>
      <c r="BI214" s="31">
        <f t="shared" si="125"/>
        <v>242</v>
      </c>
      <c r="BJ214" s="37">
        <f t="shared" si="126"/>
        <v>29</v>
      </c>
      <c r="BK214" s="37">
        <f t="shared" si="127"/>
        <v>11.983471074380166</v>
      </c>
      <c r="BL214" s="36">
        <f t="shared" si="128"/>
        <v>65</v>
      </c>
      <c r="BM214" s="36">
        <f t="shared" si="129"/>
        <v>68</v>
      </c>
      <c r="BN214" s="37">
        <f t="shared" si="130"/>
        <v>-3</v>
      </c>
      <c r="BO214" s="37">
        <f t="shared" si="131"/>
        <v>-4.4117647058823533</v>
      </c>
      <c r="BP214" s="38">
        <f t="shared" si="132"/>
        <v>3123.5</v>
      </c>
      <c r="BQ214" s="39">
        <f>J214+N214+S214+W214+AA214+AE214+AI214+AM214+AQ214+AU214+Table1[[#This Row],[MS-0225]]+Table1[[#This Row],[MS-0325]]</f>
        <v>2908.0000150000001</v>
      </c>
      <c r="BR214" s="37">
        <f t="shared" si="133"/>
        <v>215.49998499999992</v>
      </c>
      <c r="BS214" s="37">
        <f t="shared" si="134"/>
        <v>7.4105909177582969</v>
      </c>
      <c r="BT214" s="36">
        <f t="shared" si="135"/>
        <v>822.5</v>
      </c>
      <c r="BU214" s="36">
        <f t="shared" si="136"/>
        <v>581</v>
      </c>
      <c r="BV214" s="37">
        <f t="shared" si="137"/>
        <v>241.5</v>
      </c>
      <c r="BW214" s="37">
        <f t="shared" si="138"/>
        <v>41.566265060240966</v>
      </c>
      <c r="BX214">
        <v>13</v>
      </c>
      <c r="BY214" s="83">
        <f t="shared" si="139"/>
        <v>4.797047970479705E-2</v>
      </c>
      <c r="BZ214">
        <v>80.5</v>
      </c>
      <c r="CA214" s="83">
        <f t="shared" si="140"/>
        <v>2.5772370737954218E-2</v>
      </c>
      <c r="CB214" s="96">
        <f t="shared" si="141"/>
        <v>0.17388514597369265</v>
      </c>
      <c r="CC214" s="96">
        <f t="shared" si="142"/>
        <v>0.16485013623978201</v>
      </c>
      <c r="CD214" s="97">
        <f t="shared" si="143"/>
        <v>9.0350097339106372E-3</v>
      </c>
      <c r="CE214" s="96">
        <f t="shared" si="144"/>
        <v>0.21996615905245348</v>
      </c>
      <c r="CF214" s="96">
        <f t="shared" si="145"/>
        <v>0.20118343195266272</v>
      </c>
      <c r="CG214" s="96">
        <f t="shared" si="146"/>
        <v>1.8782727099790758E-2</v>
      </c>
      <c r="CH214" s="95">
        <f t="shared" si="147"/>
        <v>0.1699447754291466</v>
      </c>
      <c r="CI214" s="95">
        <f t="shared" si="148"/>
        <v>0.16717928152532763</v>
      </c>
      <c r="CJ214" s="98">
        <f t="shared" si="149"/>
        <v>2.7654939038189719E-3</v>
      </c>
      <c r="CK214" s="95">
        <f t="shared" si="150"/>
        <v>0.222447599729547</v>
      </c>
      <c r="CL214" s="95">
        <f t="shared" si="151"/>
        <v>0.15356151711378355</v>
      </c>
      <c r="CM214" s="98">
        <f t="shared" si="152"/>
        <v>6.8886082615763455E-2</v>
      </c>
      <c r="CN214" s="94">
        <f t="shared" si="153"/>
        <v>0.84972387714573294</v>
      </c>
      <c r="CO214" s="94">
        <f t="shared" si="154"/>
        <v>1.1122379986477351</v>
      </c>
    </row>
    <row r="215" spans="1:94" ht="24.5" x14ac:dyDescent="0.35">
      <c r="A215" s="102">
        <v>112457</v>
      </c>
      <c r="B215" s="3" t="s">
        <v>72</v>
      </c>
      <c r="C215" s="45" t="s">
        <v>106</v>
      </c>
      <c r="D215" s="12" t="s">
        <v>107</v>
      </c>
      <c r="E215" s="4" t="s">
        <v>75</v>
      </c>
      <c r="F215" s="4" t="s">
        <v>108</v>
      </c>
      <c r="G215" s="12" t="s">
        <v>108</v>
      </c>
      <c r="H215" s="51" t="s">
        <v>77</v>
      </c>
      <c r="I215" s="23" t="s">
        <v>78</v>
      </c>
      <c r="J215" s="90">
        <v>226.50000299999999</v>
      </c>
      <c r="K215" s="90">
        <v>270</v>
      </c>
      <c r="L215" s="90">
        <v>37.5</v>
      </c>
      <c r="M215" s="90">
        <v>34</v>
      </c>
      <c r="N215" s="18">
        <v>263.50000199999999</v>
      </c>
      <c r="O215" s="18">
        <v>262</v>
      </c>
      <c r="P215" s="18">
        <v>30.5</v>
      </c>
      <c r="Q215" s="18">
        <v>34</v>
      </c>
      <c r="R215" s="90">
        <v>261.5</v>
      </c>
      <c r="S215" s="90">
        <v>244.00000299999999</v>
      </c>
      <c r="T215" s="90">
        <v>32.5</v>
      </c>
      <c r="U215" s="90">
        <v>38</v>
      </c>
      <c r="V215" s="90">
        <v>277.5</v>
      </c>
      <c r="W215" s="90">
        <v>259.00000199999999</v>
      </c>
      <c r="X215" s="90">
        <v>34.5</v>
      </c>
      <c r="Y215" s="90">
        <v>29</v>
      </c>
      <c r="Z215" s="90">
        <v>269</v>
      </c>
      <c r="AA215" s="90">
        <v>258.5</v>
      </c>
      <c r="AB215" s="90">
        <v>35</v>
      </c>
      <c r="AC215" s="90">
        <v>29.5</v>
      </c>
      <c r="AD215" s="90">
        <v>267.5</v>
      </c>
      <c r="AE215" s="90">
        <v>251.00000199999999</v>
      </c>
      <c r="AF215" s="90">
        <v>30.5</v>
      </c>
      <c r="AG215" s="90">
        <v>25</v>
      </c>
      <c r="AH215" s="90">
        <v>282.5</v>
      </c>
      <c r="AI215" s="90">
        <v>269</v>
      </c>
      <c r="AJ215" s="90">
        <v>33.5</v>
      </c>
      <c r="AK215" s="90">
        <v>43</v>
      </c>
      <c r="AL215" s="90">
        <v>268</v>
      </c>
      <c r="AM215" s="90">
        <v>248.50000399999999</v>
      </c>
      <c r="AN215" s="90">
        <v>34</v>
      </c>
      <c r="AO215" s="90">
        <v>33.5</v>
      </c>
      <c r="AP215" s="90">
        <v>252</v>
      </c>
      <c r="AQ215" s="90">
        <v>237.5</v>
      </c>
      <c r="AR215" s="90">
        <v>24</v>
      </c>
      <c r="AS215" s="90">
        <v>24.5</v>
      </c>
      <c r="AT215" s="90">
        <v>236</v>
      </c>
      <c r="AU215" s="90">
        <v>227</v>
      </c>
      <c r="AV215" s="90">
        <v>28</v>
      </c>
      <c r="AW215" s="90">
        <v>33</v>
      </c>
      <c r="AX215" s="90">
        <v>265</v>
      </c>
      <c r="AY215" s="90">
        <v>238</v>
      </c>
      <c r="AZ215" s="90">
        <v>41</v>
      </c>
      <c r="BA215" s="90">
        <v>30</v>
      </c>
      <c r="BB215" s="90">
        <v>270.5</v>
      </c>
      <c r="BC215" s="90">
        <v>254.5</v>
      </c>
      <c r="BD215" s="90">
        <v>33.5</v>
      </c>
      <c r="BE215" s="90">
        <v>37.5</v>
      </c>
      <c r="BF215" s="23">
        <v>28.606089999999998</v>
      </c>
      <c r="BG215" s="23">
        <v>77.300200000000004</v>
      </c>
      <c r="BH215" s="31">
        <f t="shared" si="124"/>
        <v>270.5</v>
      </c>
      <c r="BI215" s="31">
        <f t="shared" si="125"/>
        <v>254.5</v>
      </c>
      <c r="BJ215" s="37">
        <f t="shared" si="126"/>
        <v>16</v>
      </c>
      <c r="BK215" s="37">
        <f t="shared" si="127"/>
        <v>6.2868369351669937</v>
      </c>
      <c r="BL215" s="36">
        <f t="shared" si="128"/>
        <v>33.5</v>
      </c>
      <c r="BM215" s="36">
        <f t="shared" si="129"/>
        <v>37.5</v>
      </c>
      <c r="BN215" s="37">
        <f t="shared" si="130"/>
        <v>-4</v>
      </c>
      <c r="BO215" s="37">
        <f t="shared" si="131"/>
        <v>-10.666666666666668</v>
      </c>
      <c r="BP215" s="38">
        <f t="shared" si="132"/>
        <v>3181.5</v>
      </c>
      <c r="BQ215" s="39">
        <f>J215+N215+S215+W215+AA215+AE215+AI215+AM215+AQ215+AU215+Table1[[#This Row],[MS-0225]]+Table1[[#This Row],[MS-0325]]</f>
        <v>2977.000016</v>
      </c>
      <c r="BR215" s="37">
        <f t="shared" si="133"/>
        <v>204.49998400000004</v>
      </c>
      <c r="BS215" s="37">
        <f t="shared" si="134"/>
        <v>6.8693309674473317</v>
      </c>
      <c r="BT215" s="36">
        <f t="shared" si="135"/>
        <v>394.5</v>
      </c>
      <c r="BU215" s="36">
        <f t="shared" si="136"/>
        <v>391</v>
      </c>
      <c r="BV215" s="37">
        <f t="shared" si="137"/>
        <v>3.5</v>
      </c>
      <c r="BW215" s="37">
        <f t="shared" si="138"/>
        <v>0.8951406649616368</v>
      </c>
      <c r="BX215">
        <v>40</v>
      </c>
      <c r="BY215" s="83">
        <f t="shared" si="139"/>
        <v>0.1478743068391867</v>
      </c>
      <c r="BZ215">
        <v>250.5</v>
      </c>
      <c r="CA215" s="83">
        <f t="shared" si="140"/>
        <v>7.873644507307874E-2</v>
      </c>
      <c r="CB215" s="96">
        <f t="shared" si="141"/>
        <v>0.34283903675538657</v>
      </c>
      <c r="CC215" s="96">
        <f t="shared" si="142"/>
        <v>0.32607303010890454</v>
      </c>
      <c r="CD215" s="97">
        <f t="shared" si="143"/>
        <v>1.6766006646482035E-2</v>
      </c>
      <c r="CE215" s="96">
        <f t="shared" si="144"/>
        <v>0.44666666666666666</v>
      </c>
      <c r="CF215" s="96">
        <f t="shared" si="145"/>
        <v>0.42857142857142855</v>
      </c>
      <c r="CG215" s="96">
        <f t="shared" si="146"/>
        <v>1.8095238095238109E-2</v>
      </c>
      <c r="CH215" s="95">
        <f t="shared" si="147"/>
        <v>0.33815167136100333</v>
      </c>
      <c r="CI215" s="95">
        <f t="shared" si="148"/>
        <v>0.33970445718773651</v>
      </c>
      <c r="CJ215" s="98">
        <f t="shared" si="149"/>
        <v>-1.5527858267331829E-3</v>
      </c>
      <c r="CK215" s="95">
        <f t="shared" si="150"/>
        <v>0.37375651350071054</v>
      </c>
      <c r="CL215" s="95">
        <f t="shared" si="151"/>
        <v>0.39080459770114945</v>
      </c>
      <c r="CM215" s="98">
        <f t="shared" si="152"/>
        <v>-1.7048084200438907E-2</v>
      </c>
      <c r="CN215" s="94">
        <f t="shared" si="153"/>
        <v>1.01445501408301</v>
      </c>
      <c r="CO215" s="94">
        <f t="shared" si="154"/>
        <v>1.1212695405021316</v>
      </c>
    </row>
    <row r="216" spans="1:94" ht="24.5" x14ac:dyDescent="0.35">
      <c r="A216" s="103">
        <v>41056984</v>
      </c>
      <c r="B216" s="9" t="s">
        <v>380</v>
      </c>
      <c r="C216" s="47" t="s">
        <v>396</v>
      </c>
      <c r="D216" s="14" t="s">
        <v>397</v>
      </c>
      <c r="E216" s="10" t="s">
        <v>85</v>
      </c>
      <c r="F216" s="10" t="s">
        <v>192</v>
      </c>
      <c r="G216" s="12" t="s">
        <v>192</v>
      </c>
      <c r="H216" s="51" t="s">
        <v>178</v>
      </c>
      <c r="I216" s="25" t="s">
        <v>86</v>
      </c>
      <c r="J216" s="20">
        <v>354</v>
      </c>
      <c r="K216" s="20">
        <v>357</v>
      </c>
      <c r="L216" s="20">
        <v>31</v>
      </c>
      <c r="M216" s="20">
        <v>26</v>
      </c>
      <c r="N216" s="18">
        <v>357</v>
      </c>
      <c r="O216" s="18">
        <v>389</v>
      </c>
      <c r="P216" s="18">
        <v>27</v>
      </c>
      <c r="Q216" s="18">
        <v>41</v>
      </c>
      <c r="R216" s="20">
        <v>367</v>
      </c>
      <c r="S216" s="20">
        <v>350</v>
      </c>
      <c r="T216" s="20">
        <v>35</v>
      </c>
      <c r="U216" s="20">
        <v>33</v>
      </c>
      <c r="V216" s="20">
        <v>403</v>
      </c>
      <c r="W216" s="20">
        <v>358</v>
      </c>
      <c r="X216" s="20">
        <v>29</v>
      </c>
      <c r="Y216" s="20">
        <v>26</v>
      </c>
      <c r="Z216" s="20">
        <v>407</v>
      </c>
      <c r="AA216" s="20">
        <v>366</v>
      </c>
      <c r="AB216" s="20">
        <v>37</v>
      </c>
      <c r="AC216" s="20">
        <v>40</v>
      </c>
      <c r="AD216" s="20">
        <v>395.5</v>
      </c>
      <c r="AE216" s="20">
        <v>352</v>
      </c>
      <c r="AF216" s="20">
        <v>34.5</v>
      </c>
      <c r="AG216" s="20">
        <v>30</v>
      </c>
      <c r="AH216" s="20">
        <v>429</v>
      </c>
      <c r="AI216" s="20">
        <v>337</v>
      </c>
      <c r="AJ216" s="20">
        <v>30</v>
      </c>
      <c r="AK216" s="20">
        <v>29</v>
      </c>
      <c r="AL216" s="20">
        <v>400</v>
      </c>
      <c r="AM216" s="20">
        <v>345</v>
      </c>
      <c r="AN216" s="20">
        <v>22</v>
      </c>
      <c r="AO216" s="20">
        <v>23</v>
      </c>
      <c r="AP216" s="20">
        <v>412</v>
      </c>
      <c r="AQ216" s="20">
        <v>332</v>
      </c>
      <c r="AR216" s="20">
        <v>27</v>
      </c>
      <c r="AS216" s="20">
        <v>28</v>
      </c>
      <c r="AT216" s="20">
        <v>398.5</v>
      </c>
      <c r="AU216" s="20">
        <v>332.5</v>
      </c>
      <c r="AV216" s="20">
        <v>44.5</v>
      </c>
      <c r="AW216" s="20">
        <v>20.5</v>
      </c>
      <c r="AX216" s="20">
        <v>378</v>
      </c>
      <c r="AY216" s="20">
        <v>328</v>
      </c>
      <c r="AZ216" s="20">
        <v>30</v>
      </c>
      <c r="BA216" s="20">
        <v>31</v>
      </c>
      <c r="BB216" s="20">
        <v>402</v>
      </c>
      <c r="BC216" s="20">
        <v>353</v>
      </c>
      <c r="BD216" s="20">
        <v>30</v>
      </c>
      <c r="BE216" s="20">
        <v>30</v>
      </c>
      <c r="BF216" s="140">
        <v>28.682449999999999</v>
      </c>
      <c r="BG216" s="140">
        <v>77.070419999999999</v>
      </c>
      <c r="BH216" s="31">
        <f t="shared" si="124"/>
        <v>402</v>
      </c>
      <c r="BI216" s="31">
        <f t="shared" si="125"/>
        <v>353</v>
      </c>
      <c r="BJ216" s="37">
        <f t="shared" si="126"/>
        <v>49</v>
      </c>
      <c r="BK216" s="37">
        <f t="shared" si="127"/>
        <v>13.881019830028329</v>
      </c>
      <c r="BL216" s="36">
        <f t="shared" si="128"/>
        <v>30</v>
      </c>
      <c r="BM216" s="36">
        <f t="shared" si="129"/>
        <v>30</v>
      </c>
      <c r="BN216" s="37">
        <f t="shared" si="130"/>
        <v>0</v>
      </c>
      <c r="BO216" s="37">
        <f t="shared" si="131"/>
        <v>0</v>
      </c>
      <c r="BP216" s="38">
        <f t="shared" si="132"/>
        <v>4738</v>
      </c>
      <c r="BQ216" s="39">
        <f>J216+N216+S216+W216+AA216+AE216+AI216+AM216+AQ216+AU216+Table1[[#This Row],[MS-0225]]+Table1[[#This Row],[MS-0325]]</f>
        <v>4164.5</v>
      </c>
      <c r="BR216" s="37">
        <f t="shared" si="133"/>
        <v>573.5</v>
      </c>
      <c r="BS216" s="37">
        <f t="shared" si="134"/>
        <v>13.771161003721936</v>
      </c>
      <c r="BT216" s="36">
        <f t="shared" si="135"/>
        <v>386</v>
      </c>
      <c r="BU216" s="36">
        <f t="shared" si="136"/>
        <v>348.5</v>
      </c>
      <c r="BV216" s="37">
        <f t="shared" si="137"/>
        <v>37.5</v>
      </c>
      <c r="BW216" s="37">
        <f t="shared" si="138"/>
        <v>10.760401721664275</v>
      </c>
      <c r="BX216">
        <v>0</v>
      </c>
      <c r="BY216" s="83">
        <f t="shared" si="139"/>
        <v>0</v>
      </c>
      <c r="BZ216">
        <v>0</v>
      </c>
      <c r="CA216" s="83">
        <f t="shared" si="140"/>
        <v>0</v>
      </c>
      <c r="CB216" s="96">
        <f t="shared" si="141"/>
        <v>0.32829726418946509</v>
      </c>
      <c r="CC216" s="96">
        <f t="shared" si="142"/>
        <v>0.28970045137464095</v>
      </c>
      <c r="CD216" s="97">
        <f t="shared" si="143"/>
        <v>3.8596812814824133E-2</v>
      </c>
      <c r="CE216" s="96">
        <f t="shared" si="144"/>
        <v>2.582866982350409E-2</v>
      </c>
      <c r="CF216" s="96">
        <f t="shared" si="145"/>
        <v>3.0785017957927142E-2</v>
      </c>
      <c r="CG216" s="96">
        <f t="shared" si="146"/>
        <v>-4.9563481344230519E-3</v>
      </c>
      <c r="CH216" s="95">
        <f t="shared" si="147"/>
        <v>0.32255429232759208</v>
      </c>
      <c r="CI216" s="95">
        <f t="shared" si="148"/>
        <v>0.2992705975351227</v>
      </c>
      <c r="CJ216" s="98">
        <f t="shared" si="149"/>
        <v>2.3283694792469389E-2</v>
      </c>
      <c r="CK216" s="95">
        <f t="shared" si="150"/>
        <v>3.2753500212134072E-2</v>
      </c>
      <c r="CL216" s="95">
        <f t="shared" si="151"/>
        <v>2.6336671075004724E-2</v>
      </c>
      <c r="CM216" s="98">
        <f t="shared" si="152"/>
        <v>6.4168291371293484E-3</v>
      </c>
      <c r="CN216" s="94">
        <f t="shared" si="153"/>
        <v>3.225542923275921</v>
      </c>
      <c r="CO216" s="94">
        <f t="shared" si="154"/>
        <v>0.32753500212134073</v>
      </c>
      <c r="CP216" s="141">
        <f>BD216-AZ216</f>
        <v>0</v>
      </c>
    </row>
    <row r="217" spans="1:94" ht="24.5" x14ac:dyDescent="0.35">
      <c r="A217" s="104">
        <v>179954</v>
      </c>
      <c r="B217" s="5" t="s">
        <v>581</v>
      </c>
      <c r="C217" s="46" t="s">
        <v>840</v>
      </c>
      <c r="D217" s="13" t="s">
        <v>841</v>
      </c>
      <c r="E217" s="6" t="s">
        <v>81</v>
      </c>
      <c r="F217" s="6" t="s">
        <v>140</v>
      </c>
      <c r="G217" s="12" t="s">
        <v>140</v>
      </c>
      <c r="H217" s="51" t="s">
        <v>141</v>
      </c>
      <c r="I217" s="24" t="s">
        <v>83</v>
      </c>
      <c r="J217" s="19">
        <v>247.5</v>
      </c>
      <c r="K217" s="19">
        <v>275</v>
      </c>
      <c r="L217" s="19">
        <v>166.5</v>
      </c>
      <c r="M217" s="19">
        <v>165</v>
      </c>
      <c r="N217" s="18">
        <v>261</v>
      </c>
      <c r="O217" s="18">
        <v>290</v>
      </c>
      <c r="P217" s="18">
        <v>207</v>
      </c>
      <c r="Q217" s="18">
        <v>150</v>
      </c>
      <c r="R217" s="19">
        <v>260</v>
      </c>
      <c r="S217" s="19">
        <v>256.5</v>
      </c>
      <c r="T217" s="19">
        <v>160</v>
      </c>
      <c r="U217" s="19">
        <v>193.5</v>
      </c>
      <c r="V217" s="19">
        <v>280</v>
      </c>
      <c r="W217" s="19">
        <v>279</v>
      </c>
      <c r="X217" s="19">
        <v>140</v>
      </c>
      <c r="Y217" s="19">
        <v>225</v>
      </c>
      <c r="Z217" s="19">
        <v>295</v>
      </c>
      <c r="AA217" s="19">
        <v>270</v>
      </c>
      <c r="AB217" s="19">
        <v>125</v>
      </c>
      <c r="AC217" s="19">
        <v>198</v>
      </c>
      <c r="AD217" s="19">
        <v>280</v>
      </c>
      <c r="AE217" s="19">
        <v>252</v>
      </c>
      <c r="AF217" s="19">
        <v>120</v>
      </c>
      <c r="AG217" s="19">
        <v>216</v>
      </c>
      <c r="AH217" s="19">
        <v>270</v>
      </c>
      <c r="AI217" s="19">
        <v>283.5</v>
      </c>
      <c r="AJ217" s="19">
        <v>130</v>
      </c>
      <c r="AK217" s="19">
        <v>238.5</v>
      </c>
      <c r="AL217" s="19">
        <v>265</v>
      </c>
      <c r="AM217" s="19">
        <v>243</v>
      </c>
      <c r="AN217" s="19">
        <v>175</v>
      </c>
      <c r="AO217" s="19">
        <v>207</v>
      </c>
      <c r="AP217" s="19">
        <v>255</v>
      </c>
      <c r="AQ217" s="19">
        <v>274</v>
      </c>
      <c r="AR217" s="19">
        <v>165</v>
      </c>
      <c r="AS217" s="19">
        <v>124</v>
      </c>
      <c r="AT217" s="19">
        <v>250</v>
      </c>
      <c r="AU217" s="19">
        <v>255</v>
      </c>
      <c r="AV217" s="19">
        <v>170</v>
      </c>
      <c r="AW217" s="19">
        <v>125</v>
      </c>
      <c r="AX217" s="19">
        <v>255</v>
      </c>
      <c r="AY217" s="19">
        <v>230</v>
      </c>
      <c r="AZ217" s="19">
        <v>205</v>
      </c>
      <c r="BA217" s="19">
        <v>130</v>
      </c>
      <c r="BB217" s="19">
        <v>270</v>
      </c>
      <c r="BC217" s="19">
        <v>275</v>
      </c>
      <c r="BD217" s="19">
        <v>210</v>
      </c>
      <c r="BE217" s="19">
        <v>145</v>
      </c>
      <c r="BF217" s="23">
        <v>28.531600000000001</v>
      </c>
      <c r="BG217" s="23">
        <v>77.063000000000002</v>
      </c>
      <c r="BH217" s="31">
        <f t="shared" si="124"/>
        <v>270</v>
      </c>
      <c r="BI217" s="31">
        <f t="shared" si="125"/>
        <v>275</v>
      </c>
      <c r="BJ217" s="37">
        <f t="shared" si="126"/>
        <v>-5</v>
      </c>
      <c r="BK217" s="37">
        <f t="shared" si="127"/>
        <v>-1.8181818181818181</v>
      </c>
      <c r="BL217" s="36">
        <f t="shared" si="128"/>
        <v>210</v>
      </c>
      <c r="BM217" s="36">
        <f t="shared" si="129"/>
        <v>145</v>
      </c>
      <c r="BN217" s="37">
        <f t="shared" si="130"/>
        <v>65</v>
      </c>
      <c r="BO217" s="37">
        <f t="shared" si="131"/>
        <v>44.827586206896555</v>
      </c>
      <c r="BP217" s="38">
        <f t="shared" si="132"/>
        <v>3245</v>
      </c>
      <c r="BQ217" s="39">
        <f>J217+N217+S217+W217+AA217+AE217+AI217+AM217+AQ217+AU217+Table1[[#This Row],[MS-0225]]+Table1[[#This Row],[MS-0325]]</f>
        <v>3126.5</v>
      </c>
      <c r="BR217" s="37">
        <f t="shared" si="133"/>
        <v>118.5</v>
      </c>
      <c r="BS217" s="37">
        <f t="shared" si="134"/>
        <v>3.7901807132576364</v>
      </c>
      <c r="BT217" s="36">
        <f t="shared" si="135"/>
        <v>1915</v>
      </c>
      <c r="BU217" s="36">
        <f t="shared" si="136"/>
        <v>2175.5</v>
      </c>
      <c r="BV217" s="37">
        <f t="shared" si="137"/>
        <v>-260.5</v>
      </c>
      <c r="BW217" s="37">
        <f t="shared" si="138"/>
        <v>-11.974258791082509</v>
      </c>
      <c r="BX217">
        <v>0</v>
      </c>
      <c r="BY217" s="83">
        <f t="shared" si="139"/>
        <v>0</v>
      </c>
      <c r="BZ217">
        <v>0</v>
      </c>
      <c r="CA217" s="83">
        <f t="shared" si="140"/>
        <v>0</v>
      </c>
      <c r="CB217" s="96">
        <f t="shared" si="141"/>
        <v>0.31304347826086959</v>
      </c>
      <c r="CC217" s="96">
        <f t="shared" si="142"/>
        <v>0.34920634920634919</v>
      </c>
      <c r="CD217" s="97">
        <f t="shared" si="143"/>
        <v>-3.6162870945479597E-2</v>
      </c>
      <c r="CE217" s="96">
        <f t="shared" si="144"/>
        <v>0.19690576652601968</v>
      </c>
      <c r="CF217" s="96">
        <f t="shared" si="145"/>
        <v>0.16792125072379849</v>
      </c>
      <c r="CG217" s="96">
        <f t="shared" si="146"/>
        <v>2.8984515802221195E-2</v>
      </c>
      <c r="CH217" s="95">
        <f t="shared" si="147"/>
        <v>0.33766909469302808</v>
      </c>
      <c r="CI217" s="95">
        <f t="shared" si="148"/>
        <v>0.34338275668935936</v>
      </c>
      <c r="CJ217" s="98">
        <f t="shared" si="149"/>
        <v>-5.7136619963312762E-3</v>
      </c>
      <c r="CK217" s="95">
        <f t="shared" si="150"/>
        <v>0.18748776189543764</v>
      </c>
      <c r="CL217" s="95">
        <f t="shared" si="151"/>
        <v>0.17727346805736635</v>
      </c>
      <c r="CM217" s="98">
        <f t="shared" si="152"/>
        <v>1.0214293838071292E-2</v>
      </c>
      <c r="CN217" s="94">
        <f t="shared" si="153"/>
        <v>2.0260145681581685</v>
      </c>
      <c r="CO217" s="94">
        <f t="shared" si="154"/>
        <v>1.124926571372626</v>
      </c>
    </row>
    <row r="218" spans="1:94" ht="24.5" x14ac:dyDescent="0.35">
      <c r="A218" s="104">
        <v>102075</v>
      </c>
      <c r="B218" s="5" t="s">
        <v>581</v>
      </c>
      <c r="C218" s="46" t="s">
        <v>739</v>
      </c>
      <c r="D218" s="13" t="s">
        <v>740</v>
      </c>
      <c r="E218" s="6" t="s">
        <v>169</v>
      </c>
      <c r="F218" s="6" t="s">
        <v>170</v>
      </c>
      <c r="G218" s="12" t="s">
        <v>170</v>
      </c>
      <c r="H218" s="51" t="s">
        <v>172</v>
      </c>
      <c r="I218" s="24" t="s">
        <v>78</v>
      </c>
      <c r="J218" s="19">
        <v>274.5</v>
      </c>
      <c r="K218" s="19">
        <v>315</v>
      </c>
      <c r="L218" s="19">
        <v>229.5</v>
      </c>
      <c r="M218" s="19">
        <v>85</v>
      </c>
      <c r="N218" s="18">
        <v>328.5</v>
      </c>
      <c r="O218" s="18">
        <v>285</v>
      </c>
      <c r="P218" s="18">
        <v>193.5</v>
      </c>
      <c r="Q218" s="18">
        <v>75</v>
      </c>
      <c r="R218" s="19">
        <v>305</v>
      </c>
      <c r="S218" s="19">
        <v>297</v>
      </c>
      <c r="T218" s="19">
        <v>75</v>
      </c>
      <c r="U218" s="19">
        <v>225</v>
      </c>
      <c r="V218" s="19">
        <v>320</v>
      </c>
      <c r="W218" s="19">
        <v>308</v>
      </c>
      <c r="X218" s="19">
        <v>60</v>
      </c>
      <c r="Y218" s="19">
        <v>324</v>
      </c>
      <c r="Z218" s="19">
        <v>275</v>
      </c>
      <c r="AA218" s="19">
        <v>306</v>
      </c>
      <c r="AB218" s="19">
        <v>65</v>
      </c>
      <c r="AC218" s="19">
        <v>198</v>
      </c>
      <c r="AD218" s="19">
        <v>290</v>
      </c>
      <c r="AE218" s="19">
        <v>303</v>
      </c>
      <c r="AF218" s="19">
        <v>70</v>
      </c>
      <c r="AG218" s="19">
        <v>221</v>
      </c>
      <c r="AH218" s="19">
        <v>300</v>
      </c>
      <c r="AI218" s="19">
        <v>298.5</v>
      </c>
      <c r="AJ218" s="19">
        <v>60</v>
      </c>
      <c r="AK218" s="19">
        <v>167.5</v>
      </c>
      <c r="AL218" s="19">
        <v>310</v>
      </c>
      <c r="AM218" s="19">
        <v>328.5</v>
      </c>
      <c r="AN218" s="19">
        <v>90</v>
      </c>
      <c r="AO218" s="19">
        <v>67.5</v>
      </c>
      <c r="AP218" s="19">
        <v>290</v>
      </c>
      <c r="AQ218" s="19">
        <v>283.5</v>
      </c>
      <c r="AR218" s="19">
        <v>90</v>
      </c>
      <c r="AS218" s="19">
        <v>76.5</v>
      </c>
      <c r="AT218" s="19">
        <v>254</v>
      </c>
      <c r="AU218" s="19">
        <v>288</v>
      </c>
      <c r="AV218" s="19">
        <v>84</v>
      </c>
      <c r="AW218" s="19">
        <v>72</v>
      </c>
      <c r="AX218" s="19">
        <v>270</v>
      </c>
      <c r="AY218" s="19">
        <v>265.5</v>
      </c>
      <c r="AZ218" s="19">
        <v>70</v>
      </c>
      <c r="BA218" s="19">
        <v>76.5</v>
      </c>
      <c r="BB218" s="19">
        <v>270</v>
      </c>
      <c r="BC218" s="19">
        <v>293</v>
      </c>
      <c r="BD218" s="19">
        <v>70</v>
      </c>
      <c r="BE218" s="19">
        <v>79</v>
      </c>
      <c r="BF218" s="23">
        <v>28.676400000000001</v>
      </c>
      <c r="BG218" s="23">
        <v>77.3142</v>
      </c>
      <c r="BH218" s="31">
        <f t="shared" si="124"/>
        <v>270</v>
      </c>
      <c r="BI218" s="31">
        <f t="shared" si="125"/>
        <v>293</v>
      </c>
      <c r="BJ218" s="37">
        <f t="shared" si="126"/>
        <v>-23</v>
      </c>
      <c r="BK218" s="37">
        <f t="shared" si="127"/>
        <v>-7.8498293515358366</v>
      </c>
      <c r="BL218" s="36">
        <f t="shared" si="128"/>
        <v>70</v>
      </c>
      <c r="BM218" s="36">
        <f t="shared" si="129"/>
        <v>79</v>
      </c>
      <c r="BN218" s="37">
        <f t="shared" si="130"/>
        <v>-9</v>
      </c>
      <c r="BO218" s="37">
        <f t="shared" si="131"/>
        <v>-11.39240506329114</v>
      </c>
      <c r="BP218" s="38">
        <f t="shared" si="132"/>
        <v>3484</v>
      </c>
      <c r="BQ218" s="39">
        <f>J218+N218+S218+W218+AA218+AE218+AI218+AM218+AQ218+AU218+Table1[[#This Row],[MS-0225]]+Table1[[#This Row],[MS-0325]]</f>
        <v>3574</v>
      </c>
      <c r="BR218" s="37">
        <f t="shared" si="133"/>
        <v>-90</v>
      </c>
      <c r="BS218" s="37">
        <f t="shared" si="134"/>
        <v>-2.5181869054280921</v>
      </c>
      <c r="BT218" s="36">
        <f t="shared" si="135"/>
        <v>894</v>
      </c>
      <c r="BU218" s="36">
        <f t="shared" si="136"/>
        <v>1930</v>
      </c>
      <c r="BV218" s="37">
        <f t="shared" si="137"/>
        <v>-1036</v>
      </c>
      <c r="BW218" s="37">
        <f t="shared" si="138"/>
        <v>-53.678756476683944</v>
      </c>
      <c r="BX218">
        <v>0</v>
      </c>
      <c r="BY218" s="83">
        <f t="shared" si="139"/>
        <v>0</v>
      </c>
      <c r="BZ218">
        <v>0</v>
      </c>
      <c r="CA218" s="83">
        <f t="shared" si="140"/>
        <v>0</v>
      </c>
      <c r="CB218" s="96">
        <f t="shared" si="141"/>
        <v>0.18730489073881373</v>
      </c>
      <c r="CC218" s="96">
        <f t="shared" si="142"/>
        <v>0.20575842696629212</v>
      </c>
      <c r="CD218" s="97">
        <f t="shared" si="143"/>
        <v>-1.845353622747839E-2</v>
      </c>
      <c r="CE218" s="96">
        <f t="shared" si="144"/>
        <v>0.1003584229390681</v>
      </c>
      <c r="CF218" s="96">
        <f t="shared" si="145"/>
        <v>8.2377476538060476E-2</v>
      </c>
      <c r="CG218" s="96">
        <f t="shared" si="146"/>
        <v>1.7980946401007628E-2</v>
      </c>
      <c r="CH218" s="95">
        <f t="shared" si="147"/>
        <v>0.19972483375372621</v>
      </c>
      <c r="CI218" s="95">
        <f t="shared" si="148"/>
        <v>0.20984646096938026</v>
      </c>
      <c r="CJ218" s="98">
        <f t="shared" si="149"/>
        <v>-1.0121627215654044E-2</v>
      </c>
      <c r="CK218" s="95">
        <f t="shared" si="150"/>
        <v>8.852361619962372E-2</v>
      </c>
      <c r="CL218" s="95">
        <f t="shared" si="151"/>
        <v>0.15479007097886674</v>
      </c>
      <c r="CM218" s="98">
        <f t="shared" si="152"/>
        <v>-6.626645477924302E-2</v>
      </c>
      <c r="CN218" s="94">
        <f t="shared" si="153"/>
        <v>0.99862416876863103</v>
      </c>
      <c r="CO218" s="94">
        <f t="shared" si="154"/>
        <v>0.44261808099811861</v>
      </c>
    </row>
    <row r="219" spans="1:94" ht="24.5" x14ac:dyDescent="0.35">
      <c r="A219" s="103">
        <v>41056833</v>
      </c>
      <c r="B219" s="9" t="s">
        <v>380</v>
      </c>
      <c r="C219" s="48" t="s">
        <v>574</v>
      </c>
      <c r="D219" s="14" t="s">
        <v>575</v>
      </c>
      <c r="E219" s="10" t="s">
        <v>187</v>
      </c>
      <c r="F219" s="10" t="s">
        <v>315</v>
      </c>
      <c r="G219" s="12" t="s">
        <v>560</v>
      </c>
      <c r="H219" s="51" t="s">
        <v>178</v>
      </c>
      <c r="I219" s="25" t="s">
        <v>86</v>
      </c>
      <c r="J219" s="20">
        <v>180</v>
      </c>
      <c r="K219" s="20">
        <v>297</v>
      </c>
      <c r="L219" s="20">
        <v>0</v>
      </c>
      <c r="M219" s="20">
        <v>35</v>
      </c>
      <c r="N219" s="18">
        <v>198</v>
      </c>
      <c r="O219" s="18">
        <v>320</v>
      </c>
      <c r="P219" s="18">
        <v>0</v>
      </c>
      <c r="Q219" s="18">
        <v>54</v>
      </c>
      <c r="R219" s="20">
        <v>328.5</v>
      </c>
      <c r="S219" s="20">
        <v>180</v>
      </c>
      <c r="T219" s="20">
        <v>48.5</v>
      </c>
      <c r="U219" s="20">
        <v>0</v>
      </c>
      <c r="V219" s="20">
        <v>334</v>
      </c>
      <c r="W219" s="20">
        <v>189</v>
      </c>
      <c r="X219" s="20">
        <v>38</v>
      </c>
      <c r="Y219" s="20">
        <v>9</v>
      </c>
      <c r="Z219" s="20">
        <v>321</v>
      </c>
      <c r="AA219" s="20">
        <v>270</v>
      </c>
      <c r="AB219" s="20">
        <v>49</v>
      </c>
      <c r="AC219" s="20">
        <v>36</v>
      </c>
      <c r="AD219" s="20">
        <v>289</v>
      </c>
      <c r="AE219" s="20">
        <v>284.5</v>
      </c>
      <c r="AF219" s="20">
        <v>41</v>
      </c>
      <c r="AG219" s="20">
        <v>41.5</v>
      </c>
      <c r="AH219" s="20">
        <v>277</v>
      </c>
      <c r="AI219" s="20">
        <v>249</v>
      </c>
      <c r="AJ219" s="20">
        <v>49</v>
      </c>
      <c r="AK219" s="20">
        <v>28</v>
      </c>
      <c r="AL219" s="20">
        <v>268</v>
      </c>
      <c r="AM219" s="20">
        <v>294.5</v>
      </c>
      <c r="AN219" s="20">
        <v>40</v>
      </c>
      <c r="AO219" s="20">
        <v>54.5</v>
      </c>
      <c r="AP219" s="20">
        <v>272</v>
      </c>
      <c r="AQ219" s="20">
        <v>294.5</v>
      </c>
      <c r="AR219" s="20">
        <v>36</v>
      </c>
      <c r="AS219" s="20">
        <v>36.5</v>
      </c>
      <c r="AT219" s="20">
        <v>261</v>
      </c>
      <c r="AU219" s="20">
        <v>309.5</v>
      </c>
      <c r="AV219" s="20">
        <v>47</v>
      </c>
      <c r="AW219" s="20">
        <v>54.5</v>
      </c>
      <c r="AX219" s="20">
        <v>267.5</v>
      </c>
      <c r="AY219" s="20">
        <v>264</v>
      </c>
      <c r="AZ219" s="20">
        <v>36.5</v>
      </c>
      <c r="BA219" s="20">
        <v>48</v>
      </c>
      <c r="BB219" s="20">
        <v>264</v>
      </c>
      <c r="BC219" s="20">
        <v>312.5</v>
      </c>
      <c r="BD219" s="20">
        <v>36</v>
      </c>
      <c r="BE219" s="20">
        <v>42.5</v>
      </c>
      <c r="BF219" s="23">
        <v>28.65136</v>
      </c>
      <c r="BG219" s="23">
        <v>77.204679999999996</v>
      </c>
      <c r="BH219" s="31">
        <f t="shared" si="124"/>
        <v>264</v>
      </c>
      <c r="BI219" s="31">
        <f t="shared" si="125"/>
        <v>312.5</v>
      </c>
      <c r="BJ219" s="37">
        <f t="shared" si="126"/>
        <v>-48.5</v>
      </c>
      <c r="BK219" s="37">
        <f t="shared" si="127"/>
        <v>-15.52</v>
      </c>
      <c r="BL219" s="36">
        <f t="shared" si="128"/>
        <v>36</v>
      </c>
      <c r="BM219" s="36">
        <f t="shared" si="129"/>
        <v>42.5</v>
      </c>
      <c r="BN219" s="37">
        <f t="shared" si="130"/>
        <v>-6.5</v>
      </c>
      <c r="BO219" s="37">
        <f t="shared" si="131"/>
        <v>-15.294117647058824</v>
      </c>
      <c r="BP219" s="38">
        <f t="shared" si="132"/>
        <v>3499</v>
      </c>
      <c r="BQ219" s="39">
        <f>J219+N219+S219+W219+AA219+AE219+AI219+AM219+AQ219+AU219+Table1[[#This Row],[MS-0225]]+Table1[[#This Row],[MS-0325]]</f>
        <v>3025.5</v>
      </c>
      <c r="BR219" s="37">
        <f t="shared" si="133"/>
        <v>473.5</v>
      </c>
      <c r="BS219" s="37">
        <f t="shared" si="134"/>
        <v>15.650305734589324</v>
      </c>
      <c r="BT219" s="36">
        <f t="shared" si="135"/>
        <v>510</v>
      </c>
      <c r="BU219" s="36">
        <f t="shared" si="136"/>
        <v>350.5</v>
      </c>
      <c r="BV219" s="37">
        <f t="shared" si="137"/>
        <v>159.5</v>
      </c>
      <c r="BW219" s="37">
        <f t="shared" si="138"/>
        <v>45.506419400855918</v>
      </c>
      <c r="BX219">
        <v>0</v>
      </c>
      <c r="BY219" s="83">
        <f t="shared" si="139"/>
        <v>0</v>
      </c>
      <c r="BZ219">
        <v>0</v>
      </c>
      <c r="CA219" s="83">
        <f t="shared" si="140"/>
        <v>0</v>
      </c>
      <c r="CB219" s="96">
        <f t="shared" si="141"/>
        <v>1</v>
      </c>
      <c r="CC219" s="96">
        <f t="shared" si="142"/>
        <v>1</v>
      </c>
      <c r="CD219" s="97">
        <f t="shared" si="143"/>
        <v>0</v>
      </c>
      <c r="CE219" s="96">
        <f t="shared" si="144"/>
        <v>1</v>
      </c>
      <c r="CF219" s="96">
        <f t="shared" si="145"/>
        <v>1</v>
      </c>
      <c r="CG219" s="96">
        <f t="shared" si="146"/>
        <v>0</v>
      </c>
      <c r="CH219" s="95">
        <f t="shared" si="147"/>
        <v>1</v>
      </c>
      <c r="CI219" s="95">
        <f t="shared" si="148"/>
        <v>1</v>
      </c>
      <c r="CJ219" s="98">
        <f t="shared" si="149"/>
        <v>0</v>
      </c>
      <c r="CK219" s="95">
        <f t="shared" si="150"/>
        <v>1</v>
      </c>
      <c r="CL219" s="95">
        <f t="shared" si="151"/>
        <v>1</v>
      </c>
      <c r="CM219" s="98">
        <f t="shared" si="152"/>
        <v>0</v>
      </c>
      <c r="CN219" s="94">
        <f t="shared" si="153"/>
        <v>1</v>
      </c>
      <c r="CO219" s="94">
        <f t="shared" si="154"/>
        <v>1</v>
      </c>
      <c r="CP219" s="141">
        <f>BD219-AZ219</f>
        <v>-0.5</v>
      </c>
    </row>
    <row r="220" spans="1:94" ht="24.5" x14ac:dyDescent="0.35">
      <c r="A220" s="104">
        <v>106303</v>
      </c>
      <c r="B220" s="5" t="s">
        <v>581</v>
      </c>
      <c r="C220" s="46" t="s">
        <v>828</v>
      </c>
      <c r="D220" s="13" t="s">
        <v>829</v>
      </c>
      <c r="E220" s="6" t="s">
        <v>103</v>
      </c>
      <c r="F220" s="6" t="s">
        <v>119</v>
      </c>
      <c r="G220" s="12" t="s">
        <v>119</v>
      </c>
      <c r="H220" s="51" t="s">
        <v>96</v>
      </c>
      <c r="I220" s="24" t="s">
        <v>83</v>
      </c>
      <c r="J220" s="19">
        <v>273.5</v>
      </c>
      <c r="K220" s="19">
        <v>296</v>
      </c>
      <c r="L220" s="19">
        <v>80.5</v>
      </c>
      <c r="M220" s="19">
        <v>76</v>
      </c>
      <c r="N220" s="18">
        <v>294</v>
      </c>
      <c r="O220" s="18">
        <v>312</v>
      </c>
      <c r="P220" s="18">
        <v>86</v>
      </c>
      <c r="Q220" s="18">
        <v>76</v>
      </c>
      <c r="R220" s="19">
        <v>273</v>
      </c>
      <c r="S220" s="19">
        <v>253</v>
      </c>
      <c r="T220" s="19">
        <v>63</v>
      </c>
      <c r="U220" s="19">
        <v>71</v>
      </c>
      <c r="V220" s="19">
        <v>292</v>
      </c>
      <c r="W220" s="19">
        <v>323</v>
      </c>
      <c r="X220" s="19">
        <v>72</v>
      </c>
      <c r="Y220" s="19">
        <v>85</v>
      </c>
      <c r="Z220" s="19">
        <v>315</v>
      </c>
      <c r="AA220" s="19">
        <v>294</v>
      </c>
      <c r="AB220" s="19">
        <v>67</v>
      </c>
      <c r="AC220" s="19">
        <v>82</v>
      </c>
      <c r="AD220" s="19">
        <v>333.5</v>
      </c>
      <c r="AE220" s="19">
        <v>283.5</v>
      </c>
      <c r="AF220" s="19">
        <v>76.5</v>
      </c>
      <c r="AG220" s="19">
        <v>76.5</v>
      </c>
      <c r="AH220" s="19">
        <v>276</v>
      </c>
      <c r="AI220" s="19">
        <v>305</v>
      </c>
      <c r="AJ220" s="19">
        <v>70</v>
      </c>
      <c r="AK220" s="19">
        <v>91</v>
      </c>
      <c r="AL220" s="19">
        <v>286</v>
      </c>
      <c r="AM220" s="19">
        <v>264.5</v>
      </c>
      <c r="AN220" s="19">
        <v>50</v>
      </c>
      <c r="AO220" s="19">
        <v>53.5</v>
      </c>
      <c r="AP220" s="19">
        <v>266</v>
      </c>
      <c r="AQ220" s="19">
        <v>269</v>
      </c>
      <c r="AR220" s="19">
        <v>54</v>
      </c>
      <c r="AS220" s="19">
        <v>63</v>
      </c>
      <c r="AT220" s="19">
        <v>254</v>
      </c>
      <c r="AU220" s="19">
        <v>265.5</v>
      </c>
      <c r="AV220" s="19">
        <v>50</v>
      </c>
      <c r="AW220" s="19">
        <v>60.5</v>
      </c>
      <c r="AX220" s="19">
        <v>232</v>
      </c>
      <c r="AY220" s="19">
        <v>240.5</v>
      </c>
      <c r="AZ220" s="19">
        <v>54</v>
      </c>
      <c r="BA220" s="19">
        <v>65.5</v>
      </c>
      <c r="BB220" s="19">
        <v>267.5</v>
      </c>
      <c r="BC220" s="19">
        <v>273</v>
      </c>
      <c r="BD220" s="19">
        <v>54.5</v>
      </c>
      <c r="BE220" s="19">
        <v>71</v>
      </c>
      <c r="BF220" s="23">
        <v>28.557600000000001</v>
      </c>
      <c r="BG220" s="23">
        <v>77.163399999999996</v>
      </c>
      <c r="BH220" s="31">
        <f t="shared" si="124"/>
        <v>267.5</v>
      </c>
      <c r="BI220" s="31">
        <f t="shared" si="125"/>
        <v>273</v>
      </c>
      <c r="BJ220" s="37">
        <f t="shared" si="126"/>
        <v>-5.5</v>
      </c>
      <c r="BK220" s="37">
        <f t="shared" si="127"/>
        <v>-2.0146520146520146</v>
      </c>
      <c r="BL220" s="36">
        <f t="shared" si="128"/>
        <v>54.5</v>
      </c>
      <c r="BM220" s="36">
        <f t="shared" si="129"/>
        <v>71</v>
      </c>
      <c r="BN220" s="37">
        <f t="shared" si="130"/>
        <v>-16.5</v>
      </c>
      <c r="BO220" s="37">
        <f t="shared" si="131"/>
        <v>-23.239436619718308</v>
      </c>
      <c r="BP220" s="38">
        <f t="shared" si="132"/>
        <v>3403</v>
      </c>
      <c r="BQ220" s="39">
        <f>J220+N220+S220+W220+AA220+AE220+AI220+AM220+AQ220+AU220+Table1[[#This Row],[MS-0225]]+Table1[[#This Row],[MS-0325]]</f>
        <v>3338.5</v>
      </c>
      <c r="BR220" s="37">
        <f t="shared" si="133"/>
        <v>64.5</v>
      </c>
      <c r="BS220" s="37">
        <f t="shared" si="134"/>
        <v>1.9320053916429534</v>
      </c>
      <c r="BT220" s="36">
        <f t="shared" si="135"/>
        <v>763</v>
      </c>
      <c r="BU220" s="36">
        <f t="shared" si="136"/>
        <v>885.5</v>
      </c>
      <c r="BV220" s="37">
        <f t="shared" si="137"/>
        <v>-122.5</v>
      </c>
      <c r="BW220" s="37">
        <f t="shared" si="138"/>
        <v>-13.83399209486166</v>
      </c>
      <c r="BX220">
        <v>0</v>
      </c>
      <c r="BY220" s="83">
        <f t="shared" si="139"/>
        <v>0</v>
      </c>
      <c r="BZ220">
        <v>0</v>
      </c>
      <c r="CA220" s="83">
        <f t="shared" si="140"/>
        <v>0</v>
      </c>
      <c r="CB220" s="96">
        <f t="shared" si="141"/>
        <v>0.22830465656151849</v>
      </c>
      <c r="CC220" s="96">
        <f t="shared" si="142"/>
        <v>0.24498828453459856</v>
      </c>
      <c r="CD220" s="97">
        <f t="shared" si="143"/>
        <v>-1.6683627973080067E-2</v>
      </c>
      <c r="CE220" s="96">
        <f t="shared" si="144"/>
        <v>0.1616884426881223</v>
      </c>
      <c r="CF220" s="96">
        <f t="shared" si="145"/>
        <v>0.20391282870173585</v>
      </c>
      <c r="CG220" s="96">
        <f t="shared" si="146"/>
        <v>-4.2224386013613557E-2</v>
      </c>
      <c r="CH220" s="95">
        <f t="shared" si="147"/>
        <v>0.24286594663300942</v>
      </c>
      <c r="CI220" s="95">
        <f t="shared" si="148"/>
        <v>0.25017201433545216</v>
      </c>
      <c r="CJ220" s="98">
        <f t="shared" si="149"/>
        <v>-7.3060677024427423E-3</v>
      </c>
      <c r="CK220" s="95">
        <f t="shared" si="150"/>
        <v>0.19801476572491569</v>
      </c>
      <c r="CL220" s="95">
        <f t="shared" si="151"/>
        <v>0.21362912825323027</v>
      </c>
      <c r="CM220" s="98">
        <f t="shared" si="152"/>
        <v>-1.5614362528314579E-2</v>
      </c>
      <c r="CN220" s="94">
        <f t="shared" si="153"/>
        <v>0.97146378653203769</v>
      </c>
      <c r="CO220" s="94">
        <f t="shared" si="154"/>
        <v>0.79205906289966277</v>
      </c>
    </row>
    <row r="221" spans="1:94" ht="24.5" x14ac:dyDescent="0.35">
      <c r="A221" s="102">
        <v>112462</v>
      </c>
      <c r="B221" s="3" t="s">
        <v>72</v>
      </c>
      <c r="C221" s="43" t="s">
        <v>218</v>
      </c>
      <c r="D221" s="12" t="s">
        <v>219</v>
      </c>
      <c r="E221" s="4" t="s">
        <v>75</v>
      </c>
      <c r="F221" s="4" t="s">
        <v>220</v>
      </c>
      <c r="G221" s="12" t="s">
        <v>220</v>
      </c>
      <c r="H221" s="51" t="s">
        <v>77</v>
      </c>
      <c r="I221" s="23" t="s">
        <v>78</v>
      </c>
      <c r="J221" s="90">
        <v>225.00000199999999</v>
      </c>
      <c r="K221" s="90">
        <v>249</v>
      </c>
      <c r="L221" s="90">
        <v>27</v>
      </c>
      <c r="M221" s="90">
        <v>31</v>
      </c>
      <c r="N221" s="18">
        <v>252.00000499999999</v>
      </c>
      <c r="O221" s="18">
        <v>289</v>
      </c>
      <c r="P221" s="18">
        <v>36</v>
      </c>
      <c r="Q221" s="18">
        <v>33</v>
      </c>
      <c r="R221" s="90">
        <v>242</v>
      </c>
      <c r="S221" s="90">
        <v>234.00000399999999</v>
      </c>
      <c r="T221" s="90">
        <v>24</v>
      </c>
      <c r="U221" s="90">
        <v>36</v>
      </c>
      <c r="V221" s="90">
        <v>288</v>
      </c>
      <c r="W221" s="90">
        <v>256.500001</v>
      </c>
      <c r="X221" s="90">
        <v>34</v>
      </c>
      <c r="Y221" s="90">
        <v>49.5</v>
      </c>
      <c r="Z221" s="90">
        <v>273</v>
      </c>
      <c r="AA221" s="90">
        <v>270.00000199999999</v>
      </c>
      <c r="AB221" s="90">
        <v>33</v>
      </c>
      <c r="AC221" s="90">
        <v>36</v>
      </c>
      <c r="AD221" s="90">
        <v>280</v>
      </c>
      <c r="AE221" s="90">
        <v>265.50000299999999</v>
      </c>
      <c r="AF221" s="90">
        <v>28</v>
      </c>
      <c r="AG221" s="90">
        <v>22.5</v>
      </c>
      <c r="AH221" s="90">
        <v>298</v>
      </c>
      <c r="AI221" s="90">
        <v>247.5</v>
      </c>
      <c r="AJ221" s="90">
        <v>38</v>
      </c>
      <c r="AK221" s="90">
        <v>22.5</v>
      </c>
      <c r="AL221" s="90">
        <v>275</v>
      </c>
      <c r="AM221" s="90">
        <v>241</v>
      </c>
      <c r="AN221" s="90">
        <v>33</v>
      </c>
      <c r="AO221" s="90">
        <v>25</v>
      </c>
      <c r="AP221" s="90">
        <v>267</v>
      </c>
      <c r="AQ221" s="90">
        <v>247</v>
      </c>
      <c r="AR221" s="90">
        <v>27</v>
      </c>
      <c r="AS221" s="90">
        <v>45</v>
      </c>
      <c r="AT221" s="90">
        <v>275</v>
      </c>
      <c r="AU221" s="90">
        <v>246</v>
      </c>
      <c r="AV221" s="90">
        <v>33</v>
      </c>
      <c r="AW221" s="90">
        <v>34</v>
      </c>
      <c r="AX221" s="90">
        <v>254</v>
      </c>
      <c r="AY221" s="90">
        <v>244</v>
      </c>
      <c r="AZ221" s="90">
        <v>26</v>
      </c>
      <c r="BA221" s="90">
        <v>22</v>
      </c>
      <c r="BB221" s="90">
        <v>267</v>
      </c>
      <c r="BC221" s="90">
        <v>250</v>
      </c>
      <c r="BD221" s="90">
        <v>41</v>
      </c>
      <c r="BE221" s="90">
        <v>30</v>
      </c>
      <c r="BF221" s="23">
        <v>28.607320000000001</v>
      </c>
      <c r="BG221" s="23">
        <v>77.335319999999996</v>
      </c>
      <c r="BH221" s="31">
        <f t="shared" si="124"/>
        <v>267</v>
      </c>
      <c r="BI221" s="31">
        <f t="shared" si="125"/>
        <v>250</v>
      </c>
      <c r="BJ221" s="37">
        <f t="shared" si="126"/>
        <v>17</v>
      </c>
      <c r="BK221" s="37">
        <f t="shared" si="127"/>
        <v>6.8000000000000007</v>
      </c>
      <c r="BL221" s="36">
        <f t="shared" si="128"/>
        <v>41</v>
      </c>
      <c r="BM221" s="36">
        <f t="shared" si="129"/>
        <v>30</v>
      </c>
      <c r="BN221" s="37">
        <f t="shared" si="130"/>
        <v>11</v>
      </c>
      <c r="BO221" s="37">
        <f t="shared" si="131"/>
        <v>36.666666666666664</v>
      </c>
      <c r="BP221" s="38">
        <f t="shared" si="132"/>
        <v>3257</v>
      </c>
      <c r="BQ221" s="39">
        <f>J221+N221+S221+W221+AA221+AE221+AI221+AM221+AQ221+AU221+Table1[[#This Row],[MS-0225]]+Table1[[#This Row],[MS-0325]]</f>
        <v>2978.5000169999998</v>
      </c>
      <c r="BR221" s="37">
        <f t="shared" si="133"/>
        <v>278.49998300000016</v>
      </c>
      <c r="BS221" s="37">
        <f t="shared" si="134"/>
        <v>9.3503435088279936</v>
      </c>
      <c r="BT221" s="36">
        <f t="shared" si="135"/>
        <v>381</v>
      </c>
      <c r="BU221" s="36">
        <f t="shared" si="136"/>
        <v>385.5</v>
      </c>
      <c r="BV221" s="37">
        <f t="shared" si="137"/>
        <v>-4.5</v>
      </c>
      <c r="BW221" s="37">
        <f t="shared" si="138"/>
        <v>-1.1673151750972763</v>
      </c>
      <c r="BX221">
        <v>13</v>
      </c>
      <c r="BY221" s="83">
        <f t="shared" si="139"/>
        <v>4.8689138576779027E-2</v>
      </c>
      <c r="BZ221">
        <v>93</v>
      </c>
      <c r="CA221" s="83">
        <f t="shared" si="140"/>
        <v>2.8553883942278171E-2</v>
      </c>
      <c r="CB221" s="96">
        <f t="shared" si="141"/>
        <v>0.13276976628543014</v>
      </c>
      <c r="CC221" s="96">
        <f t="shared" si="142"/>
        <v>0.13653741125068269</v>
      </c>
      <c r="CD221" s="97">
        <f t="shared" si="143"/>
        <v>-3.767644965252559E-3</v>
      </c>
      <c r="CE221" s="96">
        <f t="shared" si="144"/>
        <v>6.25E-2</v>
      </c>
      <c r="CF221" s="96">
        <f t="shared" si="145"/>
        <v>4.2857142857142858E-2</v>
      </c>
      <c r="CG221" s="96">
        <f t="shared" si="146"/>
        <v>1.9642857142857142E-2</v>
      </c>
      <c r="CH221" s="95">
        <f t="shared" si="147"/>
        <v>0.14037582966985604</v>
      </c>
      <c r="CI221" s="95">
        <f t="shared" si="148"/>
        <v>0.13549106193700408</v>
      </c>
      <c r="CJ221" s="98">
        <f t="shared" si="149"/>
        <v>4.8847677328519579E-3</v>
      </c>
      <c r="CK221" s="95">
        <f t="shared" si="150"/>
        <v>4.7978843974310542E-2</v>
      </c>
      <c r="CL221" s="95">
        <f t="shared" si="151"/>
        <v>4.5691596539054163E-2</v>
      </c>
      <c r="CM221" s="98">
        <f t="shared" si="152"/>
        <v>2.2872474352563787E-3</v>
      </c>
      <c r="CN221" s="94">
        <f t="shared" si="153"/>
        <v>0.84225497801913618</v>
      </c>
      <c r="CO221" s="94">
        <f t="shared" si="154"/>
        <v>0.28787306384586325</v>
      </c>
    </row>
    <row r="222" spans="1:94" ht="24.5" x14ac:dyDescent="0.35">
      <c r="A222" s="103">
        <v>41066793</v>
      </c>
      <c r="B222" s="9" t="s">
        <v>380</v>
      </c>
      <c r="C222" s="47" t="s">
        <v>564</v>
      </c>
      <c r="D222" s="15" t="s">
        <v>391</v>
      </c>
      <c r="E222" s="10" t="s">
        <v>89</v>
      </c>
      <c r="F222" s="10" t="s">
        <v>310</v>
      </c>
      <c r="G222" s="12" t="s">
        <v>392</v>
      </c>
      <c r="H222" s="51" t="s">
        <v>248</v>
      </c>
      <c r="I222" s="25" t="s">
        <v>86</v>
      </c>
      <c r="J222" s="20">
        <v>481</v>
      </c>
      <c r="K222" s="20">
        <v>511</v>
      </c>
      <c r="L222" s="20">
        <v>170</v>
      </c>
      <c r="M222" s="20">
        <v>148</v>
      </c>
      <c r="N222" s="18">
        <v>561</v>
      </c>
      <c r="O222" s="18">
        <v>574</v>
      </c>
      <c r="P222" s="18">
        <v>177</v>
      </c>
      <c r="Q222" s="18">
        <v>158</v>
      </c>
      <c r="R222" s="20">
        <v>565</v>
      </c>
      <c r="S222" s="20">
        <v>525.01400000000001</v>
      </c>
      <c r="T222" s="20">
        <v>148</v>
      </c>
      <c r="U222" s="20">
        <v>182</v>
      </c>
      <c r="V222" s="20">
        <v>553.5</v>
      </c>
      <c r="W222" s="20">
        <v>545.5</v>
      </c>
      <c r="X222" s="20">
        <v>128.5</v>
      </c>
      <c r="Y222" s="20">
        <v>167.5</v>
      </c>
      <c r="Z222" s="20">
        <v>532</v>
      </c>
      <c r="AA222" s="20">
        <v>540.5</v>
      </c>
      <c r="AB222" s="20">
        <v>127</v>
      </c>
      <c r="AC222" s="20">
        <v>186.5</v>
      </c>
      <c r="AD222" s="20">
        <v>506</v>
      </c>
      <c r="AE222" s="20">
        <v>538</v>
      </c>
      <c r="AF222" s="20">
        <v>124</v>
      </c>
      <c r="AG222" s="20">
        <v>156</v>
      </c>
      <c r="AH222" s="20">
        <v>567</v>
      </c>
      <c r="AI222" s="20">
        <v>552</v>
      </c>
      <c r="AJ222" s="20">
        <v>128</v>
      </c>
      <c r="AK222" s="20">
        <v>174</v>
      </c>
      <c r="AL222" s="20">
        <v>527</v>
      </c>
      <c r="AM222" s="20">
        <v>548</v>
      </c>
      <c r="AN222" s="20">
        <v>110</v>
      </c>
      <c r="AO222" s="20">
        <v>155</v>
      </c>
      <c r="AP222" s="20">
        <v>572</v>
      </c>
      <c r="AQ222" s="20">
        <v>514.5</v>
      </c>
      <c r="AR222" s="20">
        <v>118</v>
      </c>
      <c r="AS222" s="20">
        <v>126.5</v>
      </c>
      <c r="AT222" s="20">
        <v>519</v>
      </c>
      <c r="AU222" s="20">
        <v>521</v>
      </c>
      <c r="AV222" s="20">
        <v>114</v>
      </c>
      <c r="AW222" s="20">
        <v>132</v>
      </c>
      <c r="AX222" s="20">
        <v>523</v>
      </c>
      <c r="AY222" s="20">
        <v>478.5</v>
      </c>
      <c r="AZ222" s="20">
        <v>108</v>
      </c>
      <c r="BA222" s="20">
        <v>134.5</v>
      </c>
      <c r="BB222" s="20">
        <v>562</v>
      </c>
      <c r="BC222" s="20">
        <v>580.5</v>
      </c>
      <c r="BD222" s="20">
        <v>107</v>
      </c>
      <c r="BE222" s="20">
        <v>156.5</v>
      </c>
      <c r="BF222" s="23">
        <v>28.696256000000002</v>
      </c>
      <c r="BG222" s="23">
        <v>77.155124999999998</v>
      </c>
      <c r="BH222" s="31">
        <f t="shared" si="124"/>
        <v>562</v>
      </c>
      <c r="BI222" s="31">
        <f t="shared" si="125"/>
        <v>580.5</v>
      </c>
      <c r="BJ222" s="37">
        <f t="shared" si="126"/>
        <v>-18.5</v>
      </c>
      <c r="BK222" s="37">
        <f t="shared" si="127"/>
        <v>-3.1869078380706286</v>
      </c>
      <c r="BL222" s="36">
        <f t="shared" si="128"/>
        <v>107</v>
      </c>
      <c r="BM222" s="36">
        <f t="shared" si="129"/>
        <v>156.5</v>
      </c>
      <c r="BN222" s="37">
        <f t="shared" si="130"/>
        <v>-49.5</v>
      </c>
      <c r="BO222" s="37">
        <f t="shared" si="131"/>
        <v>-31.629392971246006</v>
      </c>
      <c r="BP222" s="38">
        <f t="shared" si="132"/>
        <v>6511.5</v>
      </c>
      <c r="BQ222" s="39">
        <f>J222+N222+S222+W222+AA222+AE222+AI222+AM222+AQ222+AU222+Table1[[#This Row],[MS-0225]]+Table1[[#This Row],[MS-0325]]</f>
        <v>6385.5140000000001</v>
      </c>
      <c r="BR222" s="37">
        <f t="shared" si="133"/>
        <v>125.98599999999988</v>
      </c>
      <c r="BS222" s="37">
        <f t="shared" si="134"/>
        <v>1.9729970054094295</v>
      </c>
      <c r="BT222" s="36">
        <f t="shared" si="135"/>
        <v>1518.5</v>
      </c>
      <c r="BU222" s="36">
        <f t="shared" si="136"/>
        <v>1917.5</v>
      </c>
      <c r="BV222" s="37">
        <f t="shared" si="137"/>
        <v>-399</v>
      </c>
      <c r="BW222" s="37">
        <f t="shared" si="138"/>
        <v>-20.808344198174705</v>
      </c>
      <c r="BX222">
        <v>0</v>
      </c>
      <c r="BY222" s="83">
        <f t="shared" si="139"/>
        <v>0</v>
      </c>
      <c r="BZ222">
        <v>0</v>
      </c>
      <c r="CA222" s="83">
        <f t="shared" si="140"/>
        <v>0</v>
      </c>
      <c r="CB222" s="96">
        <f t="shared" si="141"/>
        <v>0.37169312169312169</v>
      </c>
      <c r="CC222" s="96">
        <f t="shared" si="142"/>
        <v>0.36647727272727271</v>
      </c>
      <c r="CD222" s="97">
        <f t="shared" si="143"/>
        <v>5.2158489658489793E-3</v>
      </c>
      <c r="CE222" s="96">
        <f t="shared" si="144"/>
        <v>0.23160173160173161</v>
      </c>
      <c r="CF222" s="96">
        <f t="shared" si="145"/>
        <v>0.25282714054927302</v>
      </c>
      <c r="CG222" s="96">
        <f t="shared" si="146"/>
        <v>-2.1225408947541408E-2</v>
      </c>
      <c r="CH222" s="95">
        <f t="shared" si="147"/>
        <v>0.34991133322585843</v>
      </c>
      <c r="CI222" s="95">
        <f t="shared" si="148"/>
        <v>0.34923072059776927</v>
      </c>
      <c r="CJ222" s="98">
        <f t="shared" si="149"/>
        <v>6.8061262808916112E-4</v>
      </c>
      <c r="CK222" s="95">
        <f t="shared" si="150"/>
        <v>0.26149474771827103</v>
      </c>
      <c r="CL222" s="95">
        <f t="shared" si="151"/>
        <v>0.25311860603260511</v>
      </c>
      <c r="CM222" s="98">
        <f t="shared" si="152"/>
        <v>8.3761416856659165E-3</v>
      </c>
      <c r="CN222" s="94">
        <f t="shared" si="153"/>
        <v>1.7495566661292923</v>
      </c>
      <c r="CO222" s="94">
        <f t="shared" si="154"/>
        <v>1.3074737385913551</v>
      </c>
      <c r="CP222" s="141">
        <f>BD222-AZ222</f>
        <v>-1</v>
      </c>
    </row>
    <row r="223" spans="1:94" ht="24.5" x14ac:dyDescent="0.35">
      <c r="A223" s="103">
        <v>41028903</v>
      </c>
      <c r="B223" s="9" t="s">
        <v>380</v>
      </c>
      <c r="C223" s="47" t="s">
        <v>393</v>
      </c>
      <c r="D223" s="14" t="s">
        <v>394</v>
      </c>
      <c r="E223" s="10" t="s">
        <v>89</v>
      </c>
      <c r="F223" s="10" t="s">
        <v>307</v>
      </c>
      <c r="G223" s="12" t="s">
        <v>395</v>
      </c>
      <c r="H223" s="51" t="s">
        <v>248</v>
      </c>
      <c r="I223" s="25" t="s">
        <v>86</v>
      </c>
      <c r="J223" s="20">
        <v>475</v>
      </c>
      <c r="K223" s="20">
        <v>559</v>
      </c>
      <c r="L223" s="20">
        <v>190</v>
      </c>
      <c r="M223" s="20">
        <v>211</v>
      </c>
      <c r="N223" s="18">
        <v>500</v>
      </c>
      <c r="O223" s="18">
        <v>561</v>
      </c>
      <c r="P223" s="18">
        <v>180</v>
      </c>
      <c r="Q223" s="18">
        <v>187</v>
      </c>
      <c r="R223" s="20">
        <v>533</v>
      </c>
      <c r="S223" s="20">
        <v>510</v>
      </c>
      <c r="T223" s="20">
        <v>171</v>
      </c>
      <c r="U223" s="20">
        <v>190</v>
      </c>
      <c r="V223" s="20">
        <v>572</v>
      </c>
      <c r="W223" s="20">
        <v>514</v>
      </c>
      <c r="X223" s="20">
        <v>176</v>
      </c>
      <c r="Y223" s="20">
        <v>175</v>
      </c>
      <c r="Z223" s="20">
        <v>577</v>
      </c>
      <c r="AA223" s="20">
        <v>514</v>
      </c>
      <c r="AB223" s="20">
        <v>174</v>
      </c>
      <c r="AC223" s="20">
        <v>190</v>
      </c>
      <c r="AD223" s="20">
        <v>530</v>
      </c>
      <c r="AE223" s="20">
        <v>491</v>
      </c>
      <c r="AF223" s="20">
        <v>152</v>
      </c>
      <c r="AG223" s="20">
        <v>187</v>
      </c>
      <c r="AH223" s="20">
        <v>554</v>
      </c>
      <c r="AI223" s="20">
        <v>491</v>
      </c>
      <c r="AJ223" s="20">
        <v>150</v>
      </c>
      <c r="AK223" s="20">
        <v>169</v>
      </c>
      <c r="AL223" s="20">
        <v>568</v>
      </c>
      <c r="AM223" s="20">
        <v>488</v>
      </c>
      <c r="AN223" s="20">
        <v>144</v>
      </c>
      <c r="AO223" s="20">
        <v>150</v>
      </c>
      <c r="AP223" s="20">
        <v>541</v>
      </c>
      <c r="AQ223" s="20">
        <v>512</v>
      </c>
      <c r="AR223" s="20">
        <v>126</v>
      </c>
      <c r="AS223" s="20">
        <v>151</v>
      </c>
      <c r="AT223" s="20">
        <v>532</v>
      </c>
      <c r="AU223" s="20">
        <v>510</v>
      </c>
      <c r="AV223" s="20">
        <v>135</v>
      </c>
      <c r="AW223" s="20">
        <v>172</v>
      </c>
      <c r="AX223" s="20">
        <v>500</v>
      </c>
      <c r="AY223" s="20">
        <v>474</v>
      </c>
      <c r="AZ223" s="20">
        <v>138</v>
      </c>
      <c r="BA223" s="20">
        <v>164</v>
      </c>
      <c r="BB223" s="20">
        <v>502</v>
      </c>
      <c r="BC223" s="20">
        <v>525</v>
      </c>
      <c r="BD223" s="20">
        <v>136</v>
      </c>
      <c r="BE223" s="20">
        <v>188</v>
      </c>
      <c r="BF223" s="23">
        <v>28.690380000000001</v>
      </c>
      <c r="BG223" s="23">
        <v>77.153720000000007</v>
      </c>
      <c r="BH223" s="31">
        <f t="shared" si="124"/>
        <v>502</v>
      </c>
      <c r="BI223" s="31">
        <f t="shared" si="125"/>
        <v>525</v>
      </c>
      <c r="BJ223" s="37">
        <f t="shared" si="126"/>
        <v>-23</v>
      </c>
      <c r="BK223" s="37">
        <f t="shared" si="127"/>
        <v>-4.3809523809523814</v>
      </c>
      <c r="BL223" s="36">
        <f t="shared" si="128"/>
        <v>136</v>
      </c>
      <c r="BM223" s="36">
        <f t="shared" si="129"/>
        <v>188</v>
      </c>
      <c r="BN223" s="37">
        <f t="shared" si="130"/>
        <v>-52</v>
      </c>
      <c r="BO223" s="37">
        <f t="shared" si="131"/>
        <v>-27.659574468085108</v>
      </c>
      <c r="BP223" s="38">
        <f t="shared" si="132"/>
        <v>6529</v>
      </c>
      <c r="BQ223" s="39">
        <f>J223+N223+S223+W223+AA223+AE223+AI223+AM223+AQ223+AU223+Table1[[#This Row],[MS-0225]]+Table1[[#This Row],[MS-0325]]</f>
        <v>6004</v>
      </c>
      <c r="BR223" s="37">
        <f t="shared" si="133"/>
        <v>525</v>
      </c>
      <c r="BS223" s="37">
        <f t="shared" si="134"/>
        <v>8.7441705529646896</v>
      </c>
      <c r="BT223" s="36">
        <f t="shared" si="135"/>
        <v>1900</v>
      </c>
      <c r="BU223" s="36">
        <f t="shared" si="136"/>
        <v>2106</v>
      </c>
      <c r="BV223" s="37">
        <f t="shared" si="137"/>
        <v>-206</v>
      </c>
      <c r="BW223" s="37">
        <f t="shared" si="138"/>
        <v>-9.7815764482431149</v>
      </c>
      <c r="BX223">
        <v>0</v>
      </c>
      <c r="BY223" s="83">
        <f t="shared" si="139"/>
        <v>0</v>
      </c>
      <c r="BZ223">
        <v>0</v>
      </c>
      <c r="CA223" s="83">
        <f t="shared" si="140"/>
        <v>0</v>
      </c>
      <c r="CB223" s="96">
        <f t="shared" si="141"/>
        <v>0.20718118035493191</v>
      </c>
      <c r="CC223" s="96">
        <f t="shared" si="142"/>
        <v>0.21716649431230611</v>
      </c>
      <c r="CD223" s="97">
        <f t="shared" si="143"/>
        <v>-9.9853139573742034E-3</v>
      </c>
      <c r="CE223" s="96">
        <f t="shared" si="144"/>
        <v>0.14035087719298245</v>
      </c>
      <c r="CF223" s="96">
        <f t="shared" si="145"/>
        <v>0.17879220161673801</v>
      </c>
      <c r="CG223" s="96">
        <f t="shared" si="146"/>
        <v>-3.8441324423755557E-2</v>
      </c>
      <c r="CH223" s="95">
        <f t="shared" si="147"/>
        <v>0.2171267043565015</v>
      </c>
      <c r="CI223" s="95">
        <f t="shared" si="148"/>
        <v>0.21146801916032684</v>
      </c>
      <c r="CJ223" s="98">
        <f t="shared" si="149"/>
        <v>5.6586851961746565E-3</v>
      </c>
      <c r="CK223" s="95">
        <f t="shared" si="150"/>
        <v>0.15152723502671664</v>
      </c>
      <c r="CL223" s="95">
        <f t="shared" si="151"/>
        <v>0.16629816803537587</v>
      </c>
      <c r="CM223" s="98">
        <f t="shared" si="152"/>
        <v>-1.4770933008659226E-2</v>
      </c>
      <c r="CN223" s="94">
        <f t="shared" si="153"/>
        <v>1.302760226139009</v>
      </c>
      <c r="CO223" s="94">
        <f t="shared" si="154"/>
        <v>0.90916341016029989</v>
      </c>
      <c r="CP223" s="141">
        <f>BD223-AZ223</f>
        <v>-2</v>
      </c>
    </row>
    <row r="224" spans="1:94" ht="24.5" x14ac:dyDescent="0.35">
      <c r="A224" s="104">
        <v>102108</v>
      </c>
      <c r="B224" s="5" t="s">
        <v>581</v>
      </c>
      <c r="C224" s="46" t="s">
        <v>815</v>
      </c>
      <c r="D224" s="13" t="s">
        <v>816</v>
      </c>
      <c r="E224" s="6" t="s">
        <v>75</v>
      </c>
      <c r="F224" s="6" t="s">
        <v>108</v>
      </c>
      <c r="G224" s="12" t="s">
        <v>108</v>
      </c>
      <c r="H224" s="51" t="s">
        <v>77</v>
      </c>
      <c r="I224" s="24" t="s">
        <v>78</v>
      </c>
      <c r="J224" s="19">
        <v>219.5</v>
      </c>
      <c r="K224" s="19">
        <v>251.5</v>
      </c>
      <c r="L224" s="19">
        <v>26.5</v>
      </c>
      <c r="M224" s="19">
        <v>22.5</v>
      </c>
      <c r="N224" s="18">
        <v>229.5</v>
      </c>
      <c r="O224" s="18">
        <v>247.5</v>
      </c>
      <c r="P224" s="18">
        <v>22.5</v>
      </c>
      <c r="Q224" s="18">
        <v>22.5</v>
      </c>
      <c r="R224" s="19">
        <v>229.5</v>
      </c>
      <c r="S224" s="19">
        <v>234.5</v>
      </c>
      <c r="T224" s="19">
        <v>22.5</v>
      </c>
      <c r="U224" s="19">
        <v>13.5</v>
      </c>
      <c r="V224" s="19">
        <v>261</v>
      </c>
      <c r="W224" s="19">
        <v>229.5</v>
      </c>
      <c r="X224" s="19">
        <v>27</v>
      </c>
      <c r="Y224" s="19">
        <v>22.5</v>
      </c>
      <c r="Z224" s="19">
        <v>247.5</v>
      </c>
      <c r="AA224" s="19">
        <v>244</v>
      </c>
      <c r="AB224" s="19">
        <v>22.5</v>
      </c>
      <c r="AC224" s="19">
        <v>14</v>
      </c>
      <c r="AD224" s="19">
        <v>243</v>
      </c>
      <c r="AE224" s="19">
        <v>234</v>
      </c>
      <c r="AF224" s="19">
        <v>27</v>
      </c>
      <c r="AG224" s="19">
        <v>18</v>
      </c>
      <c r="AH224" s="19">
        <v>259.5</v>
      </c>
      <c r="AI224" s="19">
        <v>248</v>
      </c>
      <c r="AJ224" s="19">
        <v>32.5</v>
      </c>
      <c r="AK224" s="19">
        <v>36</v>
      </c>
      <c r="AL224" s="19">
        <v>243</v>
      </c>
      <c r="AM224" s="19">
        <v>246</v>
      </c>
      <c r="AN224" s="19">
        <v>27</v>
      </c>
      <c r="AO224" s="19">
        <v>28</v>
      </c>
      <c r="AP224" s="19">
        <v>254</v>
      </c>
      <c r="AQ224" s="19">
        <v>231</v>
      </c>
      <c r="AR224" s="19">
        <v>18</v>
      </c>
      <c r="AS224" s="19">
        <v>27</v>
      </c>
      <c r="AT224" s="19">
        <v>225</v>
      </c>
      <c r="AU224" s="19">
        <v>218</v>
      </c>
      <c r="AV224" s="19">
        <v>27</v>
      </c>
      <c r="AW224" s="19">
        <v>18</v>
      </c>
      <c r="AX224" s="19">
        <v>243</v>
      </c>
      <c r="AY224" s="19">
        <v>222</v>
      </c>
      <c r="AZ224" s="19">
        <v>27</v>
      </c>
      <c r="BA224" s="19">
        <v>18</v>
      </c>
      <c r="BB224" s="19">
        <v>265.5</v>
      </c>
      <c r="BC224" s="19">
        <v>225</v>
      </c>
      <c r="BD224" s="19">
        <v>22.5</v>
      </c>
      <c r="BE224" s="19">
        <v>27</v>
      </c>
      <c r="BF224" s="23">
        <v>28.6129</v>
      </c>
      <c r="BG224" s="23">
        <v>77.3095</v>
      </c>
      <c r="BH224" s="31">
        <f t="shared" si="124"/>
        <v>265.5</v>
      </c>
      <c r="BI224" s="31">
        <f t="shared" si="125"/>
        <v>225</v>
      </c>
      <c r="BJ224" s="37">
        <f t="shared" si="126"/>
        <v>40.5</v>
      </c>
      <c r="BK224" s="37">
        <f t="shared" si="127"/>
        <v>18</v>
      </c>
      <c r="BL224" s="36">
        <f t="shared" si="128"/>
        <v>22.5</v>
      </c>
      <c r="BM224" s="36">
        <f t="shared" si="129"/>
        <v>27</v>
      </c>
      <c r="BN224" s="37">
        <f t="shared" si="130"/>
        <v>-4.5</v>
      </c>
      <c r="BO224" s="37">
        <f t="shared" si="131"/>
        <v>-16.666666666666664</v>
      </c>
      <c r="BP224" s="38">
        <f t="shared" si="132"/>
        <v>2970</v>
      </c>
      <c r="BQ224" s="39">
        <f>J224+N224+S224+W224+AA224+AE224+AI224+AM224+AQ224+AU224+Table1[[#This Row],[MS-0225]]+Table1[[#This Row],[MS-0325]]</f>
        <v>2781</v>
      </c>
      <c r="BR224" s="37">
        <f t="shared" si="133"/>
        <v>189</v>
      </c>
      <c r="BS224" s="37">
        <f t="shared" si="134"/>
        <v>6.7961165048543686</v>
      </c>
      <c r="BT224" s="36">
        <f t="shared" si="135"/>
        <v>298</v>
      </c>
      <c r="BU224" s="36">
        <f t="shared" si="136"/>
        <v>271</v>
      </c>
      <c r="BV224" s="37">
        <f t="shared" si="137"/>
        <v>27</v>
      </c>
      <c r="BW224" s="37">
        <f t="shared" si="138"/>
        <v>9.9630996309963091</v>
      </c>
      <c r="BX224">
        <v>0</v>
      </c>
      <c r="BY224" s="83">
        <f t="shared" si="139"/>
        <v>0</v>
      </c>
      <c r="BZ224">
        <v>0</v>
      </c>
      <c r="CA224" s="83">
        <f t="shared" si="140"/>
        <v>0</v>
      </c>
      <c r="CB224" s="96">
        <f t="shared" si="141"/>
        <v>0.3365019011406844</v>
      </c>
      <c r="CC224" s="96">
        <f t="shared" si="142"/>
        <v>0.28827674567584882</v>
      </c>
      <c r="CD224" s="97">
        <f t="shared" si="143"/>
        <v>4.8225155464835578E-2</v>
      </c>
      <c r="CE224" s="96">
        <f t="shared" si="144"/>
        <v>0.3</v>
      </c>
      <c r="CF224" s="96">
        <f t="shared" si="145"/>
        <v>0.30857142857142855</v>
      </c>
      <c r="CG224" s="96">
        <f t="shared" si="146"/>
        <v>-8.5714285714285632E-3</v>
      </c>
      <c r="CH224" s="95">
        <f t="shared" si="147"/>
        <v>0.31567199872455759</v>
      </c>
      <c r="CI224" s="95">
        <f t="shared" si="148"/>
        <v>0.31733896216381313</v>
      </c>
      <c r="CJ224" s="98">
        <f t="shared" si="149"/>
        <v>-1.6669634392555421E-3</v>
      </c>
      <c r="CK224" s="95">
        <f t="shared" si="150"/>
        <v>0.28233064898152532</v>
      </c>
      <c r="CL224" s="95">
        <f t="shared" si="151"/>
        <v>0.27086456771614192</v>
      </c>
      <c r="CM224" s="98">
        <f t="shared" si="152"/>
        <v>1.1466081265383399E-2</v>
      </c>
      <c r="CN224" s="94">
        <f t="shared" si="153"/>
        <v>0.94701599617367282</v>
      </c>
      <c r="CO224" s="94">
        <f t="shared" si="154"/>
        <v>0.84699194694457591</v>
      </c>
    </row>
    <row r="225" spans="1:94" ht="24.5" x14ac:dyDescent="0.35">
      <c r="A225" s="103">
        <v>41056527</v>
      </c>
      <c r="B225" s="9" t="s">
        <v>380</v>
      </c>
      <c r="C225" s="47" t="s">
        <v>403</v>
      </c>
      <c r="D225" s="14" t="s">
        <v>404</v>
      </c>
      <c r="E225" s="10" t="s">
        <v>187</v>
      </c>
      <c r="F225" s="10" t="s">
        <v>188</v>
      </c>
      <c r="G225" s="12" t="s">
        <v>188</v>
      </c>
      <c r="H225" s="51" t="s">
        <v>189</v>
      </c>
      <c r="I225" s="25" t="s">
        <v>86</v>
      </c>
      <c r="J225" s="20">
        <v>228</v>
      </c>
      <c r="K225" s="20">
        <v>273</v>
      </c>
      <c r="L225" s="20">
        <v>89</v>
      </c>
      <c r="M225" s="20">
        <v>125</v>
      </c>
      <c r="N225" s="18">
        <v>253</v>
      </c>
      <c r="O225" s="18">
        <v>286.5</v>
      </c>
      <c r="P225" s="18">
        <v>137</v>
      </c>
      <c r="Q225" s="18">
        <v>154.5</v>
      </c>
      <c r="R225" s="20">
        <v>252.5</v>
      </c>
      <c r="S225" s="20">
        <v>242.5</v>
      </c>
      <c r="T225" s="20">
        <v>135.5</v>
      </c>
      <c r="U225" s="20">
        <v>112.5</v>
      </c>
      <c r="V225" s="20">
        <v>292.5</v>
      </c>
      <c r="W225" s="20">
        <v>252.5</v>
      </c>
      <c r="X225" s="20">
        <v>122.5</v>
      </c>
      <c r="Y225" s="20">
        <v>82.5</v>
      </c>
      <c r="Z225" s="20">
        <v>282</v>
      </c>
      <c r="AA225" s="20">
        <v>281</v>
      </c>
      <c r="AB225" s="20">
        <v>113</v>
      </c>
      <c r="AC225" s="20">
        <v>92</v>
      </c>
      <c r="AD225" s="20">
        <v>308.5</v>
      </c>
      <c r="AE225" s="20">
        <v>253</v>
      </c>
      <c r="AF225" s="20">
        <v>102.5</v>
      </c>
      <c r="AG225" s="20">
        <v>109</v>
      </c>
      <c r="AH225" s="20">
        <v>278.5</v>
      </c>
      <c r="AI225" s="20">
        <v>290.5</v>
      </c>
      <c r="AJ225" s="20">
        <v>114.5</v>
      </c>
      <c r="AK225" s="20">
        <v>122.5</v>
      </c>
      <c r="AL225" s="20">
        <v>314</v>
      </c>
      <c r="AM225" s="20">
        <v>279</v>
      </c>
      <c r="AN225" s="20">
        <v>118</v>
      </c>
      <c r="AO225" s="20">
        <v>124</v>
      </c>
      <c r="AP225" s="20">
        <v>275</v>
      </c>
      <c r="AQ225" s="20">
        <v>226</v>
      </c>
      <c r="AR225" s="20">
        <v>114</v>
      </c>
      <c r="AS225" s="20">
        <v>119</v>
      </c>
      <c r="AT225" s="20">
        <v>246.5</v>
      </c>
      <c r="AU225" s="20">
        <v>270</v>
      </c>
      <c r="AV225" s="20">
        <v>84.5</v>
      </c>
      <c r="AW225" s="20">
        <v>113</v>
      </c>
      <c r="AX225" s="20">
        <v>281.5</v>
      </c>
      <c r="AY225" s="20">
        <v>229.5</v>
      </c>
      <c r="AZ225" s="20">
        <v>96.5</v>
      </c>
      <c r="BA225" s="20">
        <v>112.5</v>
      </c>
      <c r="BB225" s="20">
        <v>256</v>
      </c>
      <c r="BC225" s="20">
        <v>238.5</v>
      </c>
      <c r="BD225" s="20">
        <v>92</v>
      </c>
      <c r="BE225" s="20">
        <v>123.5</v>
      </c>
      <c r="BF225" s="23">
        <v>28.668119999999998</v>
      </c>
      <c r="BG225" s="23">
        <v>77.212280000000007</v>
      </c>
      <c r="BH225" s="31">
        <f t="shared" si="124"/>
        <v>256</v>
      </c>
      <c r="BI225" s="31">
        <f t="shared" si="125"/>
        <v>238.5</v>
      </c>
      <c r="BJ225" s="37">
        <f t="shared" si="126"/>
        <v>17.5</v>
      </c>
      <c r="BK225" s="37">
        <f t="shared" si="127"/>
        <v>7.3375262054507342</v>
      </c>
      <c r="BL225" s="36">
        <f t="shared" si="128"/>
        <v>92</v>
      </c>
      <c r="BM225" s="36">
        <f t="shared" si="129"/>
        <v>123.5</v>
      </c>
      <c r="BN225" s="37">
        <f t="shared" si="130"/>
        <v>-31.5</v>
      </c>
      <c r="BO225" s="37">
        <f t="shared" si="131"/>
        <v>-25.506072874493928</v>
      </c>
      <c r="BP225" s="38">
        <f t="shared" si="132"/>
        <v>3346.5</v>
      </c>
      <c r="BQ225" s="39">
        <f>J225+N225+S225+W225+AA225+AE225+AI225+AM225+AQ225+AU225+Table1[[#This Row],[MS-0225]]+Table1[[#This Row],[MS-0325]]</f>
        <v>3043.5</v>
      </c>
      <c r="BR225" s="37">
        <f t="shared" si="133"/>
        <v>303</v>
      </c>
      <c r="BS225" s="37">
        <f t="shared" si="134"/>
        <v>9.9556431739773288</v>
      </c>
      <c r="BT225" s="36">
        <f t="shared" si="135"/>
        <v>1372.5</v>
      </c>
      <c r="BU225" s="36">
        <f t="shared" si="136"/>
        <v>1336.5</v>
      </c>
      <c r="BV225" s="37">
        <f t="shared" si="137"/>
        <v>36</v>
      </c>
      <c r="BW225" s="37">
        <f t="shared" si="138"/>
        <v>2.6936026936026933</v>
      </c>
      <c r="BX225">
        <v>0</v>
      </c>
      <c r="BY225" s="83">
        <f t="shared" si="139"/>
        <v>0</v>
      </c>
      <c r="BZ225">
        <v>0</v>
      </c>
      <c r="CA225" s="83">
        <f t="shared" si="140"/>
        <v>0</v>
      </c>
      <c r="CB225" s="96">
        <f t="shared" si="141"/>
        <v>0.5383806519453207</v>
      </c>
      <c r="CC225" s="96">
        <f t="shared" si="142"/>
        <v>0.63011889035667112</v>
      </c>
      <c r="CD225" s="97">
        <f t="shared" si="143"/>
        <v>-9.1738238411350426E-2</v>
      </c>
      <c r="CE225" s="96">
        <f t="shared" si="144"/>
        <v>0.23958333333333334</v>
      </c>
      <c r="CF225" s="96">
        <f t="shared" si="145"/>
        <v>0.27846674182638104</v>
      </c>
      <c r="CG225" s="96">
        <f t="shared" si="146"/>
        <v>-3.8883408493047694E-2</v>
      </c>
      <c r="CH225" s="95">
        <f t="shared" si="147"/>
        <v>0.58104002083514195</v>
      </c>
      <c r="CI225" s="95">
        <f t="shared" si="148"/>
        <v>0.5773499004078535</v>
      </c>
      <c r="CJ225" s="98">
        <f t="shared" si="149"/>
        <v>3.6901204272884458E-3</v>
      </c>
      <c r="CK225" s="95">
        <f t="shared" si="150"/>
        <v>0.27414361330270648</v>
      </c>
      <c r="CL225" s="95">
        <f t="shared" si="151"/>
        <v>0.26663341645885286</v>
      </c>
      <c r="CM225" s="98">
        <f t="shared" si="152"/>
        <v>7.5101968438536226E-3</v>
      </c>
      <c r="CN225" s="94">
        <f t="shared" si="153"/>
        <v>1.7431200625054259</v>
      </c>
      <c r="CO225" s="94">
        <f t="shared" si="154"/>
        <v>0.82243083990811949</v>
      </c>
      <c r="CP225" s="141">
        <f>BD225-AZ225</f>
        <v>-4.5</v>
      </c>
    </row>
    <row r="226" spans="1:94" ht="24.5" x14ac:dyDescent="0.35">
      <c r="A226" s="103">
        <v>41056522</v>
      </c>
      <c r="B226" s="9" t="s">
        <v>380</v>
      </c>
      <c r="C226" s="48" t="s">
        <v>576</v>
      </c>
      <c r="D226" s="14" t="s">
        <v>577</v>
      </c>
      <c r="E226" s="10" t="s">
        <v>187</v>
      </c>
      <c r="F226" s="10" t="s">
        <v>321</v>
      </c>
      <c r="G226" s="12" t="s">
        <v>321</v>
      </c>
      <c r="H226" s="51" t="s">
        <v>189</v>
      </c>
      <c r="I226" s="25" t="s">
        <v>86</v>
      </c>
      <c r="J226" s="20">
        <v>198</v>
      </c>
      <c r="K226" s="20">
        <v>196</v>
      </c>
      <c r="L226" s="20">
        <v>36</v>
      </c>
      <c r="M226" s="20">
        <v>24</v>
      </c>
      <c r="N226" s="18">
        <v>231.5</v>
      </c>
      <c r="O226" s="18">
        <v>232</v>
      </c>
      <c r="P226" s="18">
        <v>45.5</v>
      </c>
      <c r="Q226" s="18">
        <v>32</v>
      </c>
      <c r="R226" s="20">
        <v>231.5</v>
      </c>
      <c r="S226" s="20">
        <v>225</v>
      </c>
      <c r="T226" s="20">
        <v>34.5</v>
      </c>
      <c r="U226" s="20">
        <v>45</v>
      </c>
      <c r="V226" s="20">
        <v>221.5</v>
      </c>
      <c r="W226" s="20">
        <v>216</v>
      </c>
      <c r="X226" s="20">
        <v>35.5</v>
      </c>
      <c r="Y226" s="20">
        <v>36</v>
      </c>
      <c r="Z226" s="20">
        <v>248.52</v>
      </c>
      <c r="AA226" s="20">
        <v>225</v>
      </c>
      <c r="AB226" s="20">
        <v>37.524999999999999</v>
      </c>
      <c r="AC226" s="20">
        <v>45</v>
      </c>
      <c r="AD226" s="20">
        <v>227</v>
      </c>
      <c r="AE226" s="20">
        <v>225</v>
      </c>
      <c r="AF226" s="20">
        <v>31</v>
      </c>
      <c r="AG226" s="20">
        <v>45</v>
      </c>
      <c r="AH226" s="20">
        <v>217.5</v>
      </c>
      <c r="AI226" s="20">
        <v>234</v>
      </c>
      <c r="AJ226" s="20">
        <v>36.5</v>
      </c>
      <c r="AK226" s="20">
        <v>36</v>
      </c>
      <c r="AL226" s="20">
        <v>212</v>
      </c>
      <c r="AM226" s="20">
        <v>238</v>
      </c>
      <c r="AN226" s="20">
        <v>36</v>
      </c>
      <c r="AO226" s="20">
        <v>44</v>
      </c>
      <c r="AP226" s="20">
        <v>214.5</v>
      </c>
      <c r="AQ226" s="20">
        <v>216</v>
      </c>
      <c r="AR226" s="20">
        <v>46.5</v>
      </c>
      <c r="AS226" s="20">
        <v>36</v>
      </c>
      <c r="AT226" s="20">
        <v>184</v>
      </c>
      <c r="AU226" s="20">
        <v>217.5</v>
      </c>
      <c r="AV226" s="20">
        <v>44</v>
      </c>
      <c r="AW226" s="20">
        <v>67.5</v>
      </c>
      <c r="AX226" s="20">
        <v>182</v>
      </c>
      <c r="AY226" s="20">
        <v>203.5</v>
      </c>
      <c r="AZ226" s="20">
        <v>37</v>
      </c>
      <c r="BA226" s="20">
        <v>44.5</v>
      </c>
      <c r="BB226" s="20">
        <v>207.5</v>
      </c>
      <c r="BC226" s="20">
        <v>219.5</v>
      </c>
      <c r="BD226" s="20">
        <v>32.5</v>
      </c>
      <c r="BE226" s="20">
        <v>46.5</v>
      </c>
      <c r="BF226" s="23">
        <v>28.644010000000002</v>
      </c>
      <c r="BG226" s="23">
        <v>77.226420000000005</v>
      </c>
      <c r="BH226" s="31">
        <f t="shared" si="124"/>
        <v>207.5</v>
      </c>
      <c r="BI226" s="31">
        <f t="shared" si="125"/>
        <v>219.5</v>
      </c>
      <c r="BJ226" s="37">
        <f t="shared" si="126"/>
        <v>-12</v>
      </c>
      <c r="BK226" s="37">
        <f t="shared" si="127"/>
        <v>-5.4669703872437356</v>
      </c>
      <c r="BL226" s="36">
        <f t="shared" si="128"/>
        <v>32.5</v>
      </c>
      <c r="BM226" s="36">
        <f t="shared" si="129"/>
        <v>46.5</v>
      </c>
      <c r="BN226" s="37">
        <f t="shared" si="130"/>
        <v>-14</v>
      </c>
      <c r="BO226" s="37">
        <f t="shared" si="131"/>
        <v>-30.107526881720432</v>
      </c>
      <c r="BP226" s="38">
        <f t="shared" si="132"/>
        <v>2574.02</v>
      </c>
      <c r="BQ226" s="39">
        <f>J226+N226+S226+W226+AA226+AE226+AI226+AM226+AQ226+AU226+Table1[[#This Row],[MS-0225]]+Table1[[#This Row],[MS-0325]]</f>
        <v>2649</v>
      </c>
      <c r="BR226" s="37">
        <f t="shared" si="133"/>
        <v>-74.980000000000018</v>
      </c>
      <c r="BS226" s="37">
        <f t="shared" si="134"/>
        <v>-2.8305020762551916</v>
      </c>
      <c r="BT226" s="36">
        <f t="shared" si="135"/>
        <v>427.02499999999998</v>
      </c>
      <c r="BU226" s="36">
        <f t="shared" si="136"/>
        <v>527</v>
      </c>
      <c r="BV226" s="37">
        <f t="shared" si="137"/>
        <v>-99.975000000000023</v>
      </c>
      <c r="BW226" s="37">
        <f t="shared" si="138"/>
        <v>-18.970588235294123</v>
      </c>
      <c r="BX226">
        <v>0</v>
      </c>
      <c r="BY226" s="83">
        <f t="shared" si="139"/>
        <v>0</v>
      </c>
      <c r="BZ226">
        <v>0</v>
      </c>
      <c r="CA226" s="83">
        <f t="shared" si="140"/>
        <v>0</v>
      </c>
      <c r="CB226" s="96">
        <f t="shared" si="141"/>
        <v>0.14442649457060797</v>
      </c>
      <c r="CC226" s="96">
        <f t="shared" si="142"/>
        <v>0.15575616602826745</v>
      </c>
      <c r="CD226" s="97">
        <f t="shared" si="143"/>
        <v>-1.1329671457659479E-2</v>
      </c>
      <c r="CE226" s="96">
        <f t="shared" si="144"/>
        <v>8.4562965584173977E-2</v>
      </c>
      <c r="CF226" s="96">
        <f t="shared" si="145"/>
        <v>0.14150340521097704</v>
      </c>
      <c r="CG226" s="96">
        <f t="shared" si="146"/>
        <v>-5.6940439626803063E-2</v>
      </c>
      <c r="CH226" s="95">
        <f t="shared" si="147"/>
        <v>0.14923417489390486</v>
      </c>
      <c r="CI226" s="95">
        <f t="shared" si="148"/>
        <v>0.1618460592768465</v>
      </c>
      <c r="CJ226" s="98">
        <f t="shared" si="149"/>
        <v>-1.261188438294164E-2</v>
      </c>
      <c r="CK226" s="95">
        <f t="shared" si="150"/>
        <v>0.10503018395685307</v>
      </c>
      <c r="CL226" s="95">
        <f t="shared" si="151"/>
        <v>0.13230893911328406</v>
      </c>
      <c r="CM226" s="98">
        <f t="shared" si="152"/>
        <v>-2.7278755156430995E-2</v>
      </c>
      <c r="CN226" s="94">
        <f t="shared" si="153"/>
        <v>0.89540504936342913</v>
      </c>
      <c r="CO226" s="94">
        <f t="shared" si="154"/>
        <v>0.63018110374111846</v>
      </c>
      <c r="CP226" s="141">
        <f>BD226-AZ226</f>
        <v>-4.5</v>
      </c>
    </row>
    <row r="227" spans="1:94" ht="24.5" x14ac:dyDescent="0.35">
      <c r="A227" s="104">
        <v>106265</v>
      </c>
      <c r="B227" s="5" t="s">
        <v>581</v>
      </c>
      <c r="C227" s="46" t="s">
        <v>759</v>
      </c>
      <c r="D227" s="13" t="s">
        <v>760</v>
      </c>
      <c r="E227" s="6" t="s">
        <v>200</v>
      </c>
      <c r="F227" s="6" t="s">
        <v>670</v>
      </c>
      <c r="G227" s="12" t="s">
        <v>670</v>
      </c>
      <c r="H227" s="51" t="s">
        <v>91</v>
      </c>
      <c r="I227" s="24" t="s">
        <v>83</v>
      </c>
      <c r="J227" s="19">
        <v>225</v>
      </c>
      <c r="K227" s="19">
        <v>234</v>
      </c>
      <c r="L227" s="19">
        <v>69</v>
      </c>
      <c r="M227" s="19">
        <v>50</v>
      </c>
      <c r="N227" s="18">
        <v>248.5</v>
      </c>
      <c r="O227" s="18">
        <v>249.5</v>
      </c>
      <c r="P227" s="18">
        <v>57.5</v>
      </c>
      <c r="Q227" s="18">
        <v>52.5</v>
      </c>
      <c r="R227" s="19">
        <v>241.5</v>
      </c>
      <c r="S227" s="19">
        <v>232</v>
      </c>
      <c r="T227" s="19">
        <v>44.5</v>
      </c>
      <c r="U227" s="19">
        <v>56</v>
      </c>
      <c r="V227" s="19">
        <v>255.5</v>
      </c>
      <c r="W227" s="19">
        <v>240</v>
      </c>
      <c r="X227" s="19">
        <v>56.5</v>
      </c>
      <c r="Y227" s="19">
        <v>66</v>
      </c>
      <c r="Z227" s="19">
        <v>258</v>
      </c>
      <c r="AA227" s="19">
        <v>253.5</v>
      </c>
      <c r="AB227" s="19">
        <v>50</v>
      </c>
      <c r="AC227" s="19">
        <v>40.5</v>
      </c>
      <c r="AD227" s="19">
        <v>265.5</v>
      </c>
      <c r="AE227" s="19">
        <v>247.5</v>
      </c>
      <c r="AF227" s="19">
        <v>54.5</v>
      </c>
      <c r="AG227" s="19">
        <v>58.5</v>
      </c>
      <c r="AH227" s="19">
        <v>269</v>
      </c>
      <c r="AI227" s="19">
        <v>248</v>
      </c>
      <c r="AJ227" s="19">
        <v>59</v>
      </c>
      <c r="AK227" s="19">
        <v>64</v>
      </c>
      <c r="AL227" s="19">
        <v>245.5</v>
      </c>
      <c r="AM227" s="19">
        <v>240</v>
      </c>
      <c r="AN227" s="19">
        <v>52.5</v>
      </c>
      <c r="AO227" s="19">
        <v>48</v>
      </c>
      <c r="AP227" s="19">
        <v>253</v>
      </c>
      <c r="AQ227" s="19">
        <v>220</v>
      </c>
      <c r="AR227" s="19">
        <v>49</v>
      </c>
      <c r="AS227" s="19">
        <v>44</v>
      </c>
      <c r="AT227" s="19">
        <v>224</v>
      </c>
      <c r="AU227" s="19">
        <v>220</v>
      </c>
      <c r="AV227" s="19">
        <v>52</v>
      </c>
      <c r="AW227" s="19">
        <v>44</v>
      </c>
      <c r="AX227" s="19">
        <v>227.5</v>
      </c>
      <c r="AY227" s="19">
        <v>208</v>
      </c>
      <c r="AZ227" s="19">
        <v>48.5</v>
      </c>
      <c r="BA227" s="19">
        <v>44</v>
      </c>
      <c r="BB227" s="19">
        <v>261.5</v>
      </c>
      <c r="BC227" s="19">
        <v>230</v>
      </c>
      <c r="BD227" s="19">
        <v>56.5</v>
      </c>
      <c r="BE227" s="19">
        <v>48</v>
      </c>
      <c r="BF227" s="23">
        <v>28.847300000000001</v>
      </c>
      <c r="BG227" s="23">
        <v>77.099400000000003</v>
      </c>
      <c r="BH227" s="31">
        <f t="shared" si="124"/>
        <v>261.5</v>
      </c>
      <c r="BI227" s="31">
        <f t="shared" si="125"/>
        <v>230</v>
      </c>
      <c r="BJ227" s="37">
        <f t="shared" si="126"/>
        <v>31.5</v>
      </c>
      <c r="BK227" s="37">
        <f t="shared" si="127"/>
        <v>13.695652173913043</v>
      </c>
      <c r="BL227" s="36">
        <f t="shared" si="128"/>
        <v>56.5</v>
      </c>
      <c r="BM227" s="36">
        <f t="shared" si="129"/>
        <v>48</v>
      </c>
      <c r="BN227" s="37">
        <f t="shared" si="130"/>
        <v>8.5</v>
      </c>
      <c r="BO227" s="37">
        <f t="shared" si="131"/>
        <v>17.708333333333336</v>
      </c>
      <c r="BP227" s="38">
        <f t="shared" si="132"/>
        <v>2984.5</v>
      </c>
      <c r="BQ227" s="39">
        <f>J227+N227+S227+W227+AA227+AE227+AI227+AM227+AQ227+AU227+Table1[[#This Row],[MS-0225]]+Table1[[#This Row],[MS-0325]]</f>
        <v>2812.5</v>
      </c>
      <c r="BR227" s="37">
        <f t="shared" si="133"/>
        <v>172</v>
      </c>
      <c r="BS227" s="37">
        <f t="shared" si="134"/>
        <v>6.115555555555555</v>
      </c>
      <c r="BT227" s="36">
        <f t="shared" si="135"/>
        <v>625.5</v>
      </c>
      <c r="BU227" s="36">
        <f t="shared" si="136"/>
        <v>639.5</v>
      </c>
      <c r="BV227" s="37">
        <f t="shared" si="137"/>
        <v>-14</v>
      </c>
      <c r="BW227" s="37">
        <f t="shared" si="138"/>
        <v>-2.1892103205629398</v>
      </c>
      <c r="BX227">
        <v>0</v>
      </c>
      <c r="BY227" s="83">
        <f t="shared" si="139"/>
        <v>0</v>
      </c>
      <c r="BZ227">
        <v>0</v>
      </c>
      <c r="CA227" s="83">
        <f t="shared" si="140"/>
        <v>0</v>
      </c>
      <c r="CB227" s="96">
        <f t="shared" si="141"/>
        <v>0.39591218773656323</v>
      </c>
      <c r="CC227" s="96">
        <f t="shared" si="142"/>
        <v>0.39148936170212767</v>
      </c>
      <c r="CD227" s="97">
        <f t="shared" si="143"/>
        <v>4.4228260344355563E-3</v>
      </c>
      <c r="CE227" s="96">
        <f t="shared" si="144"/>
        <v>0.19652173913043477</v>
      </c>
      <c r="CF227" s="96">
        <f t="shared" si="145"/>
        <v>0.22588235294117648</v>
      </c>
      <c r="CG227" s="96">
        <f t="shared" si="146"/>
        <v>-2.9360613810741704E-2</v>
      </c>
      <c r="CH227" s="95">
        <f t="shared" si="147"/>
        <v>0.39329248204519995</v>
      </c>
      <c r="CI227" s="95">
        <f t="shared" si="148"/>
        <v>0.39393514952027453</v>
      </c>
      <c r="CJ227" s="98">
        <f t="shared" si="149"/>
        <v>-6.4266747507457644E-4</v>
      </c>
      <c r="CK227" s="95">
        <f t="shared" si="150"/>
        <v>0.23153803442531926</v>
      </c>
      <c r="CL227" s="95">
        <f t="shared" si="151"/>
        <v>0.19505871587616289</v>
      </c>
      <c r="CM227" s="98">
        <f t="shared" si="152"/>
        <v>3.647931854915637E-2</v>
      </c>
      <c r="CN227" s="94">
        <f t="shared" si="153"/>
        <v>1.1798774461355999</v>
      </c>
      <c r="CO227" s="94">
        <f t="shared" si="154"/>
        <v>0.69461410327595774</v>
      </c>
    </row>
    <row r="228" spans="1:94" ht="24.5" x14ac:dyDescent="0.35">
      <c r="A228" s="104">
        <v>106231</v>
      </c>
      <c r="B228" s="5" t="s">
        <v>581</v>
      </c>
      <c r="C228" s="46" t="s">
        <v>684</v>
      </c>
      <c r="D228" s="13" t="s">
        <v>685</v>
      </c>
      <c r="E228" s="6" t="s">
        <v>111</v>
      </c>
      <c r="F228" s="6" t="s">
        <v>112</v>
      </c>
      <c r="G228" s="12" t="s">
        <v>112</v>
      </c>
      <c r="H228" s="51" t="s">
        <v>113</v>
      </c>
      <c r="I228" s="24" t="s">
        <v>78</v>
      </c>
      <c r="J228" s="19">
        <v>243</v>
      </c>
      <c r="K228" s="19">
        <v>256.5</v>
      </c>
      <c r="L228" s="19">
        <v>189</v>
      </c>
      <c r="M228" s="19">
        <v>139.5</v>
      </c>
      <c r="N228" s="18">
        <v>279</v>
      </c>
      <c r="O228" s="18">
        <v>283.5</v>
      </c>
      <c r="P228" s="18">
        <v>171</v>
      </c>
      <c r="Q228" s="18">
        <v>166.5</v>
      </c>
      <c r="R228" s="19">
        <v>270</v>
      </c>
      <c r="S228" s="19">
        <v>274.5</v>
      </c>
      <c r="T228" s="19">
        <v>162</v>
      </c>
      <c r="U228" s="19">
        <v>193.5</v>
      </c>
      <c r="V228" s="19">
        <v>283.5</v>
      </c>
      <c r="W228" s="19">
        <v>274.5</v>
      </c>
      <c r="X228" s="19">
        <v>148.5</v>
      </c>
      <c r="Y228" s="19">
        <v>175.5</v>
      </c>
      <c r="Z228" s="19">
        <v>279</v>
      </c>
      <c r="AA228" s="19">
        <v>274.5</v>
      </c>
      <c r="AB228" s="19">
        <v>171</v>
      </c>
      <c r="AC228" s="19">
        <v>157.5</v>
      </c>
      <c r="AD228" s="19">
        <v>262.5</v>
      </c>
      <c r="AE228" s="19">
        <v>261</v>
      </c>
      <c r="AF228" s="19">
        <v>169.5</v>
      </c>
      <c r="AG228" s="19">
        <v>153</v>
      </c>
      <c r="AH228" s="19">
        <v>265</v>
      </c>
      <c r="AI228" s="19">
        <v>252</v>
      </c>
      <c r="AJ228" s="19">
        <v>135</v>
      </c>
      <c r="AK228" s="19">
        <v>198</v>
      </c>
      <c r="AL228" s="19">
        <v>240</v>
      </c>
      <c r="AM228" s="19">
        <v>247.5</v>
      </c>
      <c r="AN228" s="19">
        <v>120</v>
      </c>
      <c r="AO228" s="19">
        <v>130.5</v>
      </c>
      <c r="AP228" s="19">
        <v>250</v>
      </c>
      <c r="AQ228" s="19">
        <v>252</v>
      </c>
      <c r="AR228" s="19">
        <v>130</v>
      </c>
      <c r="AS228" s="19">
        <v>162</v>
      </c>
      <c r="AT228" s="19">
        <v>240</v>
      </c>
      <c r="AU228" s="19">
        <v>243</v>
      </c>
      <c r="AV228" s="19">
        <v>140</v>
      </c>
      <c r="AW228" s="19">
        <v>171</v>
      </c>
      <c r="AX228" s="19">
        <v>240</v>
      </c>
      <c r="AY228" s="19">
        <v>234</v>
      </c>
      <c r="AZ228" s="19">
        <v>160</v>
      </c>
      <c r="BA228" s="19">
        <v>162</v>
      </c>
      <c r="BB228" s="19">
        <v>260</v>
      </c>
      <c r="BC228" s="19">
        <v>247.5</v>
      </c>
      <c r="BD228" s="19">
        <v>140</v>
      </c>
      <c r="BE228" s="19">
        <v>148.5</v>
      </c>
      <c r="BF228" s="23">
        <v>28.537700000000001</v>
      </c>
      <c r="BG228" s="23">
        <v>77.284499999999994</v>
      </c>
      <c r="BH228" s="31">
        <f t="shared" si="124"/>
        <v>260</v>
      </c>
      <c r="BI228" s="31">
        <f t="shared" si="125"/>
        <v>247.5</v>
      </c>
      <c r="BJ228" s="37">
        <f t="shared" si="126"/>
        <v>12.5</v>
      </c>
      <c r="BK228" s="37">
        <f t="shared" si="127"/>
        <v>5.0505050505050502</v>
      </c>
      <c r="BL228" s="36">
        <f t="shared" si="128"/>
        <v>140</v>
      </c>
      <c r="BM228" s="36">
        <f t="shared" si="129"/>
        <v>148.5</v>
      </c>
      <c r="BN228" s="37">
        <f t="shared" si="130"/>
        <v>-8.5</v>
      </c>
      <c r="BO228" s="37">
        <f t="shared" si="131"/>
        <v>-5.7239057239057241</v>
      </c>
      <c r="BP228" s="38">
        <f t="shared" si="132"/>
        <v>3130</v>
      </c>
      <c r="BQ228" s="39">
        <f>J228+N228+S228+W228+AA228+AE228+AI228+AM228+AQ228+AU228+Table1[[#This Row],[MS-0225]]+Table1[[#This Row],[MS-0325]]</f>
        <v>3082.5</v>
      </c>
      <c r="BR228" s="37">
        <f t="shared" si="133"/>
        <v>47.5</v>
      </c>
      <c r="BS228" s="37">
        <f t="shared" si="134"/>
        <v>1.5409570154095702</v>
      </c>
      <c r="BT228" s="36">
        <f t="shared" si="135"/>
        <v>1782</v>
      </c>
      <c r="BU228" s="36">
        <f t="shared" si="136"/>
        <v>2011.5</v>
      </c>
      <c r="BV228" s="37">
        <f t="shared" si="137"/>
        <v>-229.5</v>
      </c>
      <c r="BW228" s="37">
        <f t="shared" si="138"/>
        <v>-11.409395973154362</v>
      </c>
      <c r="BX228">
        <v>0</v>
      </c>
      <c r="BY228" s="83">
        <f t="shared" si="139"/>
        <v>0</v>
      </c>
      <c r="BZ228">
        <v>0</v>
      </c>
      <c r="CA228" s="83">
        <f t="shared" si="140"/>
        <v>0</v>
      </c>
      <c r="CB228" s="96">
        <f t="shared" si="141"/>
        <v>4.7229791099000905E-2</v>
      </c>
      <c r="CC228" s="96">
        <f t="shared" si="142"/>
        <v>4.7404711741045776E-2</v>
      </c>
      <c r="CD228" s="97">
        <f t="shared" si="143"/>
        <v>-1.7492064204487068E-4</v>
      </c>
      <c r="CE228" s="96">
        <f t="shared" si="144"/>
        <v>9.7289784572619872E-2</v>
      </c>
      <c r="CF228" s="96">
        <f t="shared" si="145"/>
        <v>9.54983922829582E-2</v>
      </c>
      <c r="CG228" s="96">
        <f t="shared" si="146"/>
        <v>1.7913922896616724E-3</v>
      </c>
      <c r="CH228" s="95">
        <f t="shared" si="147"/>
        <v>4.8739469627368845E-2</v>
      </c>
      <c r="CI228" s="95">
        <f t="shared" si="148"/>
        <v>4.8328303188416827E-2</v>
      </c>
      <c r="CJ228" s="98">
        <f t="shared" si="149"/>
        <v>4.111664389520181E-4</v>
      </c>
      <c r="CK228" s="95">
        <f t="shared" si="150"/>
        <v>9.9264705882352935E-2</v>
      </c>
      <c r="CL228" s="95">
        <f t="shared" si="151"/>
        <v>9.6244019138755979E-2</v>
      </c>
      <c r="CM228" s="98">
        <f t="shared" si="152"/>
        <v>3.0206867435969564E-3</v>
      </c>
      <c r="CN228" s="94">
        <f t="shared" si="153"/>
        <v>0.53613416590105734</v>
      </c>
      <c r="CO228" s="94">
        <f t="shared" si="154"/>
        <v>1.0919117647058822</v>
      </c>
    </row>
    <row r="229" spans="1:94" ht="24.5" x14ac:dyDescent="0.35">
      <c r="A229" s="104">
        <v>102087</v>
      </c>
      <c r="B229" s="5" t="s">
        <v>581</v>
      </c>
      <c r="C229" s="46" t="s">
        <v>907</v>
      </c>
      <c r="D229" s="13" t="s">
        <v>908</v>
      </c>
      <c r="E229" s="6" t="s">
        <v>103</v>
      </c>
      <c r="F229" s="6" t="s">
        <v>181</v>
      </c>
      <c r="G229" s="12" t="s">
        <v>181</v>
      </c>
      <c r="H229" s="51" t="s">
        <v>105</v>
      </c>
      <c r="I229" s="24" t="s">
        <v>83</v>
      </c>
      <c r="J229" s="19">
        <v>271</v>
      </c>
      <c r="K229" s="19">
        <v>312</v>
      </c>
      <c r="L229" s="19">
        <v>77</v>
      </c>
      <c r="M229" s="19">
        <v>66</v>
      </c>
      <c r="N229" s="18">
        <v>300</v>
      </c>
      <c r="O229" s="18">
        <v>309</v>
      </c>
      <c r="P229" s="18">
        <v>84</v>
      </c>
      <c r="Q229" s="18">
        <v>69</v>
      </c>
      <c r="R229" s="19">
        <v>293</v>
      </c>
      <c r="S229" s="19">
        <v>282</v>
      </c>
      <c r="T229" s="19">
        <v>57</v>
      </c>
      <c r="U229" s="19">
        <v>96</v>
      </c>
      <c r="V229" s="19">
        <v>301</v>
      </c>
      <c r="W229" s="19">
        <v>312.5</v>
      </c>
      <c r="X229" s="19">
        <v>53</v>
      </c>
      <c r="Y229" s="19">
        <v>77.5</v>
      </c>
      <c r="Z229" s="19">
        <v>239</v>
      </c>
      <c r="AA229" s="19">
        <v>296</v>
      </c>
      <c r="AB229" s="19">
        <v>45</v>
      </c>
      <c r="AC229" s="19">
        <v>124</v>
      </c>
      <c r="AD229" s="19">
        <v>264</v>
      </c>
      <c r="AE229" s="19">
        <v>280</v>
      </c>
      <c r="AF229" s="19">
        <v>45</v>
      </c>
      <c r="AG229" s="19">
        <v>128</v>
      </c>
      <c r="AH229" s="19">
        <v>259</v>
      </c>
      <c r="AI229" s="19">
        <v>298</v>
      </c>
      <c r="AJ229" s="19">
        <v>53</v>
      </c>
      <c r="AK229" s="19">
        <v>76</v>
      </c>
      <c r="AL229" s="19">
        <v>244</v>
      </c>
      <c r="AM229" s="19">
        <v>276</v>
      </c>
      <c r="AN229" s="19">
        <v>55</v>
      </c>
      <c r="AO229" s="19">
        <v>72</v>
      </c>
      <c r="AP229" s="19">
        <v>246</v>
      </c>
      <c r="AQ229" s="19">
        <v>276</v>
      </c>
      <c r="AR229" s="19">
        <v>53</v>
      </c>
      <c r="AS229" s="19">
        <v>54</v>
      </c>
      <c r="AT229" s="19">
        <v>240</v>
      </c>
      <c r="AU229" s="19">
        <v>277</v>
      </c>
      <c r="AV229" s="19">
        <v>45</v>
      </c>
      <c r="AW229" s="19">
        <v>60</v>
      </c>
      <c r="AX229" s="19">
        <v>233</v>
      </c>
      <c r="AY229" s="19">
        <v>243</v>
      </c>
      <c r="AZ229" s="19">
        <v>49</v>
      </c>
      <c r="BA229" s="19">
        <v>66</v>
      </c>
      <c r="BB229" s="19">
        <v>260</v>
      </c>
      <c r="BC229" s="19">
        <v>279</v>
      </c>
      <c r="BD229" s="19">
        <v>52</v>
      </c>
      <c r="BE229" s="19">
        <v>75</v>
      </c>
      <c r="BF229" s="23">
        <v>28.631</v>
      </c>
      <c r="BG229" s="23">
        <v>77.205600000000004</v>
      </c>
      <c r="BH229" s="31">
        <f t="shared" si="124"/>
        <v>260</v>
      </c>
      <c r="BI229" s="31">
        <f t="shared" si="125"/>
        <v>279</v>
      </c>
      <c r="BJ229" s="37">
        <f t="shared" si="126"/>
        <v>-19</v>
      </c>
      <c r="BK229" s="37">
        <f t="shared" si="127"/>
        <v>-6.8100358422939076</v>
      </c>
      <c r="BL229" s="36">
        <f t="shared" si="128"/>
        <v>52</v>
      </c>
      <c r="BM229" s="36">
        <f t="shared" si="129"/>
        <v>75</v>
      </c>
      <c r="BN229" s="37">
        <f t="shared" si="130"/>
        <v>-23</v>
      </c>
      <c r="BO229" s="37">
        <f t="shared" si="131"/>
        <v>-30.666666666666664</v>
      </c>
      <c r="BP229" s="38">
        <f t="shared" si="132"/>
        <v>3200</v>
      </c>
      <c r="BQ229" s="39">
        <f>J229+N229+S229+W229+AA229+AE229+AI229+AM229+AQ229+AU229+Table1[[#This Row],[MS-0225]]+Table1[[#This Row],[MS-0325]]</f>
        <v>3390.5</v>
      </c>
      <c r="BR229" s="37">
        <f t="shared" si="133"/>
        <v>-190.5</v>
      </c>
      <c r="BS229" s="37">
        <f t="shared" si="134"/>
        <v>-5.6186403185370892</v>
      </c>
      <c r="BT229" s="36">
        <f t="shared" si="135"/>
        <v>642</v>
      </c>
      <c r="BU229" s="36">
        <f t="shared" si="136"/>
        <v>989.5</v>
      </c>
      <c r="BV229" s="37">
        <f t="shared" si="137"/>
        <v>-347.5</v>
      </c>
      <c r="BW229" s="37">
        <f t="shared" si="138"/>
        <v>-35.118746841839311</v>
      </c>
      <c r="BX229">
        <v>0</v>
      </c>
      <c r="BY229" s="83">
        <f t="shared" si="139"/>
        <v>0</v>
      </c>
      <c r="BZ229">
        <v>0</v>
      </c>
      <c r="CA229" s="83">
        <f t="shared" si="140"/>
        <v>0</v>
      </c>
      <c r="CB229" s="96">
        <f t="shared" si="141"/>
        <v>0.31438935912938332</v>
      </c>
      <c r="CC229" s="96">
        <f t="shared" si="142"/>
        <v>0.34572490706319703</v>
      </c>
      <c r="CD229" s="97">
        <f t="shared" si="143"/>
        <v>-3.1335547933813712E-2</v>
      </c>
      <c r="CE229" s="96">
        <f t="shared" si="144"/>
        <v>0.21052631578947367</v>
      </c>
      <c r="CF229" s="96">
        <f t="shared" si="145"/>
        <v>0.31120331950207469</v>
      </c>
      <c r="CG229" s="96">
        <f t="shared" si="146"/>
        <v>-0.10067700371260102</v>
      </c>
      <c r="CH229" s="95">
        <f t="shared" si="147"/>
        <v>0.33020328139510885</v>
      </c>
      <c r="CI229" s="95">
        <f t="shared" si="148"/>
        <v>0.34322012447808675</v>
      </c>
      <c r="CJ229" s="98">
        <f t="shared" si="149"/>
        <v>-1.3016843082977902E-2</v>
      </c>
      <c r="CK229" s="95">
        <f t="shared" si="150"/>
        <v>0.25731462925851706</v>
      </c>
      <c r="CL229" s="95">
        <f t="shared" si="151"/>
        <v>0.31852567197811044</v>
      </c>
      <c r="CM229" s="98">
        <f t="shared" si="152"/>
        <v>-6.1211042719593378E-2</v>
      </c>
      <c r="CN229" s="94">
        <f t="shared" si="153"/>
        <v>1.3208131255804354</v>
      </c>
      <c r="CO229" s="94">
        <f t="shared" si="154"/>
        <v>1.0292585170340682</v>
      </c>
    </row>
    <row r="230" spans="1:94" ht="24.5" x14ac:dyDescent="0.35">
      <c r="A230" s="104">
        <v>106260</v>
      </c>
      <c r="B230" s="5" t="s">
        <v>581</v>
      </c>
      <c r="C230" s="46" t="s">
        <v>651</v>
      </c>
      <c r="D230" s="13" t="s">
        <v>652</v>
      </c>
      <c r="E230" s="6" t="s">
        <v>89</v>
      </c>
      <c r="F230" s="6" t="s">
        <v>204</v>
      </c>
      <c r="G230" s="12" t="s">
        <v>204</v>
      </c>
      <c r="H230" s="51" t="s">
        <v>205</v>
      </c>
      <c r="I230" s="24" t="s">
        <v>86</v>
      </c>
      <c r="J230" s="19">
        <v>122</v>
      </c>
      <c r="K230" s="19">
        <v>135.5</v>
      </c>
      <c r="L230" s="19">
        <v>22</v>
      </c>
      <c r="M230" s="19">
        <v>20.5</v>
      </c>
      <c r="N230" s="18">
        <v>130.5</v>
      </c>
      <c r="O230" s="18">
        <v>142</v>
      </c>
      <c r="P230" s="18">
        <v>25.5</v>
      </c>
      <c r="Q230" s="18">
        <v>22</v>
      </c>
      <c r="R230" s="19">
        <v>126.5</v>
      </c>
      <c r="S230" s="19">
        <v>126</v>
      </c>
      <c r="T230" s="19">
        <v>17.5</v>
      </c>
      <c r="U230" s="19">
        <v>24</v>
      </c>
      <c r="V230" s="19">
        <v>143</v>
      </c>
      <c r="W230" s="19">
        <v>136</v>
      </c>
      <c r="X230" s="19">
        <v>19</v>
      </c>
      <c r="Y230" s="19">
        <v>20</v>
      </c>
      <c r="Z230" s="19">
        <v>150.5</v>
      </c>
      <c r="AA230" s="19">
        <v>125.5</v>
      </c>
      <c r="AB230" s="19">
        <v>27.5</v>
      </c>
      <c r="AC230" s="19">
        <v>24.5</v>
      </c>
      <c r="AD230" s="19">
        <v>148</v>
      </c>
      <c r="AE230" s="19">
        <v>138</v>
      </c>
      <c r="AF230" s="19">
        <v>18</v>
      </c>
      <c r="AG230" s="19">
        <v>20</v>
      </c>
      <c r="AH230" s="19">
        <v>153.5</v>
      </c>
      <c r="AI230" s="19">
        <v>136</v>
      </c>
      <c r="AJ230" s="19">
        <v>14.5</v>
      </c>
      <c r="AK230" s="19">
        <v>20</v>
      </c>
      <c r="AL230" s="19">
        <v>150</v>
      </c>
      <c r="AM230" s="19">
        <v>144</v>
      </c>
      <c r="AN230" s="19">
        <v>18</v>
      </c>
      <c r="AO230" s="19">
        <v>20</v>
      </c>
      <c r="AP230" s="19">
        <v>148</v>
      </c>
      <c r="AQ230" s="19">
        <v>128</v>
      </c>
      <c r="AR230" s="19">
        <v>18</v>
      </c>
      <c r="AS230" s="19">
        <v>16</v>
      </c>
      <c r="AT230" s="19">
        <v>140.5</v>
      </c>
      <c r="AU230" s="19">
        <v>142.5</v>
      </c>
      <c r="AV230" s="19">
        <v>25.5</v>
      </c>
      <c r="AW230" s="19">
        <v>25.5</v>
      </c>
      <c r="AX230" s="19">
        <v>145</v>
      </c>
      <c r="AY230" s="19">
        <v>127</v>
      </c>
      <c r="AZ230" s="19">
        <v>15</v>
      </c>
      <c r="BA230" s="19">
        <v>17</v>
      </c>
      <c r="BB230" s="19">
        <v>140</v>
      </c>
      <c r="BC230" s="19">
        <v>150</v>
      </c>
      <c r="BD230" s="19">
        <v>22</v>
      </c>
      <c r="BE230" s="19">
        <v>22</v>
      </c>
      <c r="BF230" s="23">
        <v>28.712199999999999</v>
      </c>
      <c r="BG230" s="23">
        <v>77.102500000000006</v>
      </c>
      <c r="BH230" s="31">
        <f t="shared" si="124"/>
        <v>140</v>
      </c>
      <c r="BI230" s="31">
        <f t="shared" si="125"/>
        <v>150</v>
      </c>
      <c r="BJ230" s="37">
        <f t="shared" si="126"/>
        <v>-10</v>
      </c>
      <c r="BK230" s="37">
        <f t="shared" si="127"/>
        <v>-6.666666666666667</v>
      </c>
      <c r="BL230" s="36">
        <f t="shared" si="128"/>
        <v>22</v>
      </c>
      <c r="BM230" s="36">
        <f t="shared" si="129"/>
        <v>22</v>
      </c>
      <c r="BN230" s="37">
        <f t="shared" si="130"/>
        <v>0</v>
      </c>
      <c r="BO230" s="37">
        <f t="shared" si="131"/>
        <v>0</v>
      </c>
      <c r="BP230" s="38">
        <f t="shared" si="132"/>
        <v>1722.5</v>
      </c>
      <c r="BQ230" s="39">
        <f>J230+N230+S230+W230+AA230+AE230+AI230+AM230+AQ230+AU230+Table1[[#This Row],[MS-0225]]+Table1[[#This Row],[MS-0325]]</f>
        <v>1605.5</v>
      </c>
      <c r="BR230" s="37">
        <f t="shared" si="133"/>
        <v>117</v>
      </c>
      <c r="BS230" s="37">
        <f t="shared" si="134"/>
        <v>7.2874493927125501</v>
      </c>
      <c r="BT230" s="36">
        <f t="shared" si="135"/>
        <v>237.5</v>
      </c>
      <c r="BU230" s="36">
        <f t="shared" si="136"/>
        <v>256.5</v>
      </c>
      <c r="BV230" s="37">
        <f t="shared" si="137"/>
        <v>-19</v>
      </c>
      <c r="BW230" s="37">
        <f t="shared" si="138"/>
        <v>-7.4074074074074066</v>
      </c>
      <c r="BX230">
        <v>0</v>
      </c>
      <c r="BY230" s="83">
        <f t="shared" si="139"/>
        <v>0</v>
      </c>
      <c r="BZ230">
        <v>0</v>
      </c>
      <c r="CA230" s="83">
        <f t="shared" si="140"/>
        <v>0</v>
      </c>
      <c r="CB230" s="96">
        <f t="shared" si="141"/>
        <v>4.5669548197683901E-2</v>
      </c>
      <c r="CC230" s="96">
        <f t="shared" si="142"/>
        <v>5.7012542759407071E-2</v>
      </c>
      <c r="CD230" s="97">
        <f t="shared" si="143"/>
        <v>-1.134299456172317E-2</v>
      </c>
      <c r="CE230" s="96">
        <f t="shared" si="144"/>
        <v>2.1082894106372783E-2</v>
      </c>
      <c r="CF230" s="96">
        <f t="shared" si="145"/>
        <v>2.1825396825396824E-2</v>
      </c>
      <c r="CG230" s="96">
        <f t="shared" si="146"/>
        <v>-7.4250271902404075E-4</v>
      </c>
      <c r="CH230" s="95">
        <f t="shared" si="147"/>
        <v>4.917003268486933E-2</v>
      </c>
      <c r="CI230" s="95">
        <f t="shared" si="148"/>
        <v>5.1006306287134241E-2</v>
      </c>
      <c r="CJ230" s="98">
        <f t="shared" si="149"/>
        <v>-1.8362736022649109E-3</v>
      </c>
      <c r="CK230" s="95">
        <f t="shared" si="150"/>
        <v>2.0234291799787009E-2</v>
      </c>
      <c r="CL230" s="95">
        <f t="shared" si="151"/>
        <v>1.9737601477434495E-2</v>
      </c>
      <c r="CM230" s="98">
        <f t="shared" si="152"/>
        <v>4.9669032235251376E-4</v>
      </c>
      <c r="CN230" s="94">
        <f t="shared" si="153"/>
        <v>0.44253029416382395</v>
      </c>
      <c r="CO230" s="94">
        <f t="shared" si="154"/>
        <v>0.18210862619808307</v>
      </c>
    </row>
    <row r="231" spans="1:94" ht="24.5" x14ac:dyDescent="0.35">
      <c r="A231" s="103">
        <v>41030958</v>
      </c>
      <c r="B231" s="9" t="s">
        <v>380</v>
      </c>
      <c r="C231" s="47" t="s">
        <v>578</v>
      </c>
      <c r="D231" s="14" t="s">
        <v>579</v>
      </c>
      <c r="E231" s="10" t="s">
        <v>85</v>
      </c>
      <c r="F231" s="10" t="s">
        <v>303</v>
      </c>
      <c r="G231" s="12" t="s">
        <v>580</v>
      </c>
      <c r="H231" s="51" t="s">
        <v>304</v>
      </c>
      <c r="I231" s="25" t="s">
        <v>86</v>
      </c>
      <c r="J231" s="20">
        <v>115</v>
      </c>
      <c r="K231" s="20">
        <v>133.5</v>
      </c>
      <c r="L231" s="20">
        <v>17</v>
      </c>
      <c r="M231" s="20">
        <v>24.5</v>
      </c>
      <c r="N231" s="18">
        <v>118</v>
      </c>
      <c r="O231" s="18">
        <v>121</v>
      </c>
      <c r="P231" s="18">
        <v>20</v>
      </c>
      <c r="Q231" s="18">
        <v>20</v>
      </c>
      <c r="R231" s="20">
        <v>120</v>
      </c>
      <c r="S231" s="20">
        <v>113</v>
      </c>
      <c r="T231" s="20">
        <v>20</v>
      </c>
      <c r="U231" s="20">
        <v>23</v>
      </c>
      <c r="V231" s="20">
        <v>130</v>
      </c>
      <c r="W231" s="20">
        <v>120</v>
      </c>
      <c r="X231" s="20">
        <v>20</v>
      </c>
      <c r="Y231" s="20">
        <v>20</v>
      </c>
      <c r="Z231" s="20">
        <v>132</v>
      </c>
      <c r="AA231" s="20">
        <v>149</v>
      </c>
      <c r="AB231" s="20">
        <v>20</v>
      </c>
      <c r="AC231" s="20">
        <v>25</v>
      </c>
      <c r="AD231" s="20">
        <v>120</v>
      </c>
      <c r="AE231" s="20">
        <v>120</v>
      </c>
      <c r="AF231" s="20">
        <v>20</v>
      </c>
      <c r="AG231" s="20">
        <v>20</v>
      </c>
      <c r="AH231" s="20">
        <v>120</v>
      </c>
      <c r="AI231" s="20">
        <v>138</v>
      </c>
      <c r="AJ231" s="20">
        <v>20</v>
      </c>
      <c r="AK231" s="20">
        <v>20</v>
      </c>
      <c r="AL231" s="20">
        <v>94</v>
      </c>
      <c r="AM231" s="20">
        <v>130</v>
      </c>
      <c r="AN231" s="20">
        <v>14</v>
      </c>
      <c r="AO231" s="20">
        <v>10</v>
      </c>
      <c r="AP231" s="20">
        <v>96</v>
      </c>
      <c r="AQ231" s="20">
        <v>115</v>
      </c>
      <c r="AR231" s="20">
        <v>0</v>
      </c>
      <c r="AS231" s="20">
        <v>23</v>
      </c>
      <c r="AT231" s="20">
        <v>95</v>
      </c>
      <c r="AU231" s="20">
        <v>128</v>
      </c>
      <c r="AV231" s="20">
        <v>17</v>
      </c>
      <c r="AW231" s="20">
        <v>24</v>
      </c>
      <c r="AX231" s="20">
        <v>98</v>
      </c>
      <c r="AY231" s="20">
        <v>108</v>
      </c>
      <c r="AZ231" s="20">
        <v>14</v>
      </c>
      <c r="BA231" s="20">
        <v>24</v>
      </c>
      <c r="BB231" s="20">
        <v>128.5</v>
      </c>
      <c r="BC231" s="20">
        <v>118.5</v>
      </c>
      <c r="BD231" s="20">
        <v>9.5</v>
      </c>
      <c r="BE231" s="20">
        <v>19.5</v>
      </c>
      <c r="BF231" s="23">
        <v>28.622679999999999</v>
      </c>
      <c r="BG231" s="23">
        <v>77.095609999999994</v>
      </c>
      <c r="BH231" s="31">
        <f t="shared" si="124"/>
        <v>128.5</v>
      </c>
      <c r="BI231" s="31">
        <f t="shared" si="125"/>
        <v>118.5</v>
      </c>
      <c r="BJ231" s="37">
        <f t="shared" si="126"/>
        <v>10</v>
      </c>
      <c r="BK231" s="37">
        <f t="shared" si="127"/>
        <v>8.4388185654008439</v>
      </c>
      <c r="BL231" s="36">
        <f t="shared" si="128"/>
        <v>9.5</v>
      </c>
      <c r="BM231" s="36">
        <f t="shared" si="129"/>
        <v>19.5</v>
      </c>
      <c r="BN231" s="37">
        <f t="shared" si="130"/>
        <v>-10</v>
      </c>
      <c r="BO231" s="37">
        <f t="shared" si="131"/>
        <v>-51.282051282051277</v>
      </c>
      <c r="BP231" s="38">
        <f t="shared" si="132"/>
        <v>1388</v>
      </c>
      <c r="BQ231" s="39">
        <f>J231+N231+S231+W231+AA231+AE231+AI231+AM231+AQ231+AU231+Table1[[#This Row],[MS-0225]]+Table1[[#This Row],[MS-0325]]</f>
        <v>1472.5</v>
      </c>
      <c r="BR231" s="37">
        <f t="shared" si="133"/>
        <v>-84.5</v>
      </c>
      <c r="BS231" s="37">
        <f t="shared" si="134"/>
        <v>-5.7385398981324274</v>
      </c>
      <c r="BT231" s="36">
        <f t="shared" si="135"/>
        <v>199</v>
      </c>
      <c r="BU231" s="36">
        <f t="shared" si="136"/>
        <v>245.5</v>
      </c>
      <c r="BV231" s="37">
        <f t="shared" si="137"/>
        <v>-46.5</v>
      </c>
      <c r="BW231" s="37">
        <f t="shared" si="138"/>
        <v>-18.94093686354379</v>
      </c>
      <c r="BX231">
        <v>0</v>
      </c>
      <c r="BY231" s="83">
        <f t="shared" si="139"/>
        <v>0</v>
      </c>
      <c r="BZ231">
        <v>0</v>
      </c>
      <c r="CA231" s="83">
        <f t="shared" si="140"/>
        <v>0</v>
      </c>
      <c r="CB231" s="96">
        <f t="shared" si="141"/>
        <v>6.4670357322596878E-2</v>
      </c>
      <c r="CC231" s="96">
        <f t="shared" si="142"/>
        <v>6.4736410816716744E-2</v>
      </c>
      <c r="CD231" s="97">
        <f t="shared" si="143"/>
        <v>-6.6053494119866496E-5</v>
      </c>
      <c r="CE231" s="96">
        <f t="shared" si="144"/>
        <v>2.7696793002915453E-2</v>
      </c>
      <c r="CF231" s="96">
        <f t="shared" si="145"/>
        <v>5.0322580645161291E-2</v>
      </c>
      <c r="CG231" s="96">
        <f t="shared" si="146"/>
        <v>-2.2625787642245838E-2</v>
      </c>
      <c r="CH231" s="95">
        <f t="shared" si="147"/>
        <v>6.0175149570796845E-2</v>
      </c>
      <c r="CI231" s="95">
        <f t="shared" si="148"/>
        <v>6.6752799310938846E-2</v>
      </c>
      <c r="CJ231" s="98">
        <f t="shared" si="149"/>
        <v>-6.5776497401420012E-3</v>
      </c>
      <c r="CK231" s="95">
        <f t="shared" si="150"/>
        <v>4.512471655328798E-2</v>
      </c>
      <c r="CL231" s="95">
        <f t="shared" si="151"/>
        <v>5.3802323033092264E-2</v>
      </c>
      <c r="CM231" s="98">
        <f t="shared" si="152"/>
        <v>-8.677606479804284E-3</v>
      </c>
      <c r="CN231" s="94">
        <f t="shared" si="153"/>
        <v>0.30087574785398424</v>
      </c>
      <c r="CO231" s="94">
        <f t="shared" si="154"/>
        <v>0.2256235827664399</v>
      </c>
      <c r="CP231" s="141">
        <f>BD231-AZ231</f>
        <v>-4.5</v>
      </c>
    </row>
    <row r="232" spans="1:94" ht="24.5" x14ac:dyDescent="0.35">
      <c r="A232" s="104">
        <v>524842</v>
      </c>
      <c r="B232" s="5" t="s">
        <v>581</v>
      </c>
      <c r="C232" s="46" t="s">
        <v>902</v>
      </c>
      <c r="D232" s="13" t="s">
        <v>903</v>
      </c>
      <c r="E232" s="6" t="s">
        <v>103</v>
      </c>
      <c r="F232" s="6" t="s">
        <v>211</v>
      </c>
      <c r="G232" s="12" t="s">
        <v>211</v>
      </c>
      <c r="H232" s="51" t="s">
        <v>135</v>
      </c>
      <c r="I232" s="24" t="s">
        <v>83</v>
      </c>
      <c r="J232" s="19">
        <v>276</v>
      </c>
      <c r="K232" s="19">
        <v>331</v>
      </c>
      <c r="L232" s="19">
        <v>156</v>
      </c>
      <c r="M232" s="19">
        <v>159</v>
      </c>
      <c r="N232" s="18">
        <v>305</v>
      </c>
      <c r="O232" s="18">
        <v>323</v>
      </c>
      <c r="P232" s="18">
        <v>205</v>
      </c>
      <c r="Q232" s="18">
        <v>167</v>
      </c>
      <c r="R232" s="19">
        <v>309</v>
      </c>
      <c r="S232" s="19">
        <v>300</v>
      </c>
      <c r="T232" s="19">
        <v>153</v>
      </c>
      <c r="U232" s="19">
        <v>192</v>
      </c>
      <c r="V232" s="19">
        <v>350</v>
      </c>
      <c r="W232" s="19">
        <v>312</v>
      </c>
      <c r="X232" s="19">
        <v>154</v>
      </c>
      <c r="Y232" s="19">
        <v>180</v>
      </c>
      <c r="Z232" s="19">
        <v>372</v>
      </c>
      <c r="AA232" s="19">
        <v>316</v>
      </c>
      <c r="AB232" s="19">
        <v>146</v>
      </c>
      <c r="AC232" s="19">
        <v>188</v>
      </c>
      <c r="AD232" s="19">
        <v>317</v>
      </c>
      <c r="AE232" s="19">
        <v>287</v>
      </c>
      <c r="AF232" s="19">
        <v>159</v>
      </c>
      <c r="AG232" s="19">
        <v>171</v>
      </c>
      <c r="AH232" s="19">
        <v>350</v>
      </c>
      <c r="AI232" s="19">
        <v>323</v>
      </c>
      <c r="AJ232" s="19">
        <v>168</v>
      </c>
      <c r="AK232" s="19">
        <v>153</v>
      </c>
      <c r="AL232" s="19">
        <v>345</v>
      </c>
      <c r="AM232" s="19">
        <v>292</v>
      </c>
      <c r="AN232" s="19">
        <v>187</v>
      </c>
      <c r="AO232" s="19">
        <v>142</v>
      </c>
      <c r="AP232" s="19">
        <v>341</v>
      </c>
      <c r="AQ232" s="19">
        <v>313</v>
      </c>
      <c r="AR232" s="19">
        <v>149</v>
      </c>
      <c r="AS232" s="19">
        <v>135</v>
      </c>
      <c r="AT232" s="19">
        <v>330</v>
      </c>
      <c r="AU232" s="19">
        <v>308</v>
      </c>
      <c r="AV232" s="19">
        <v>146</v>
      </c>
      <c r="AW232" s="19">
        <v>140</v>
      </c>
      <c r="AX232" s="19">
        <v>336</v>
      </c>
      <c r="AY232" s="19">
        <v>296</v>
      </c>
      <c r="AZ232" s="19">
        <v>182</v>
      </c>
      <c r="BA232" s="19">
        <v>142</v>
      </c>
      <c r="BB232" s="19">
        <v>256</v>
      </c>
      <c r="BC232" s="19">
        <v>302</v>
      </c>
      <c r="BD232" s="19">
        <v>182</v>
      </c>
      <c r="BE232" s="19">
        <v>160</v>
      </c>
      <c r="BF232" s="23">
        <v>28.544899999999998</v>
      </c>
      <c r="BG232" s="23">
        <v>77.122200000000007</v>
      </c>
      <c r="BH232" s="31">
        <f t="shared" si="124"/>
        <v>256</v>
      </c>
      <c r="BI232" s="31">
        <f t="shared" si="125"/>
        <v>302</v>
      </c>
      <c r="BJ232" s="37">
        <f t="shared" si="126"/>
        <v>-46</v>
      </c>
      <c r="BK232" s="37">
        <f t="shared" si="127"/>
        <v>-15.231788079470199</v>
      </c>
      <c r="BL232" s="36">
        <f t="shared" si="128"/>
        <v>182</v>
      </c>
      <c r="BM232" s="36">
        <f t="shared" si="129"/>
        <v>160</v>
      </c>
      <c r="BN232" s="37">
        <f t="shared" si="130"/>
        <v>22</v>
      </c>
      <c r="BO232" s="37">
        <f t="shared" si="131"/>
        <v>13.750000000000002</v>
      </c>
      <c r="BP232" s="38">
        <f t="shared" si="132"/>
        <v>3960</v>
      </c>
      <c r="BQ232" s="39">
        <f>J232+N232+S232+W232+AA232+AE232+AI232+AM232+AQ232+AU232+Table1[[#This Row],[MS-0225]]+Table1[[#This Row],[MS-0325]]</f>
        <v>3630</v>
      </c>
      <c r="BR232" s="37">
        <f t="shared" si="133"/>
        <v>330</v>
      </c>
      <c r="BS232" s="37">
        <f t="shared" si="134"/>
        <v>9.0909090909090917</v>
      </c>
      <c r="BT232" s="36">
        <f t="shared" si="135"/>
        <v>1952</v>
      </c>
      <c r="BU232" s="36">
        <f t="shared" si="136"/>
        <v>1964</v>
      </c>
      <c r="BV232" s="37">
        <f t="shared" si="137"/>
        <v>-12</v>
      </c>
      <c r="BW232" s="37">
        <f t="shared" si="138"/>
        <v>-0.61099796334012213</v>
      </c>
      <c r="BX232">
        <v>0</v>
      </c>
      <c r="BY232" s="83">
        <f t="shared" si="139"/>
        <v>0</v>
      </c>
      <c r="BZ232">
        <v>0</v>
      </c>
      <c r="CA232" s="83">
        <f t="shared" si="140"/>
        <v>0</v>
      </c>
      <c r="CB232" s="96">
        <f t="shared" si="141"/>
        <v>0.22545134302069572</v>
      </c>
      <c r="CC232" s="96">
        <f t="shared" si="142"/>
        <v>0.29363150218765194</v>
      </c>
      <c r="CD232" s="97">
        <f t="shared" si="143"/>
        <v>-6.8180159166956217E-2</v>
      </c>
      <c r="CE232" s="96">
        <f t="shared" si="144"/>
        <v>0.24897400820793433</v>
      </c>
      <c r="CF232" s="96">
        <f t="shared" si="145"/>
        <v>0.24260803639120546</v>
      </c>
      <c r="CG232" s="96">
        <f t="shared" si="146"/>
        <v>6.365971816728877E-3</v>
      </c>
      <c r="CH232" s="95">
        <f t="shared" si="147"/>
        <v>0.29016303352262318</v>
      </c>
      <c r="CI232" s="95">
        <f t="shared" si="148"/>
        <v>0.29799285797348551</v>
      </c>
      <c r="CJ232" s="98">
        <f t="shared" si="149"/>
        <v>-7.8298244508623327E-3</v>
      </c>
      <c r="CK232" s="95">
        <f t="shared" si="150"/>
        <v>0.25169234736638513</v>
      </c>
      <c r="CL232" s="95">
        <f t="shared" si="151"/>
        <v>0.24586880320480722</v>
      </c>
      <c r="CM232" s="98">
        <f t="shared" si="152"/>
        <v>5.8235441615779038E-3</v>
      </c>
      <c r="CN232" s="94">
        <f t="shared" si="153"/>
        <v>1.4508151676131158</v>
      </c>
      <c r="CO232" s="94">
        <f t="shared" si="154"/>
        <v>1.2584617368319257</v>
      </c>
    </row>
    <row r="233" spans="1:94" ht="24.5" x14ac:dyDescent="0.35">
      <c r="A233" s="103">
        <v>41057013</v>
      </c>
      <c r="B233" s="9" t="s">
        <v>380</v>
      </c>
      <c r="C233" s="48" t="s">
        <v>553</v>
      </c>
      <c r="D233" s="14" t="s">
        <v>552</v>
      </c>
      <c r="E233" s="10" t="s">
        <v>187</v>
      </c>
      <c r="F233" s="10" t="s">
        <v>366</v>
      </c>
      <c r="G233" s="12" t="s">
        <v>366</v>
      </c>
      <c r="H233" s="51" t="s">
        <v>367</v>
      </c>
      <c r="I233" s="25" t="s">
        <v>86</v>
      </c>
      <c r="J233" s="20">
        <v>237</v>
      </c>
      <c r="K233" s="20">
        <v>272.5</v>
      </c>
      <c r="L233" s="20">
        <v>27</v>
      </c>
      <c r="M233" s="20">
        <v>26.5</v>
      </c>
      <c r="N233" s="18">
        <v>267</v>
      </c>
      <c r="O233" s="18">
        <v>302.5</v>
      </c>
      <c r="P233" s="18">
        <v>26</v>
      </c>
      <c r="Q233" s="18">
        <v>26.5</v>
      </c>
      <c r="R233" s="20">
        <v>268</v>
      </c>
      <c r="S233" s="20">
        <v>255</v>
      </c>
      <c r="T233" s="20">
        <v>22</v>
      </c>
      <c r="U233" s="20">
        <v>31</v>
      </c>
      <c r="V233" s="20">
        <v>285</v>
      </c>
      <c r="W233" s="20">
        <v>282</v>
      </c>
      <c r="X233" s="20">
        <v>24</v>
      </c>
      <c r="Y233" s="20">
        <v>26</v>
      </c>
      <c r="Z233" s="20">
        <v>301</v>
      </c>
      <c r="AA233" s="20">
        <v>278</v>
      </c>
      <c r="AB233" s="20">
        <v>28</v>
      </c>
      <c r="AC233" s="20">
        <v>30</v>
      </c>
      <c r="AD233" s="20">
        <v>297</v>
      </c>
      <c r="AE233" s="20">
        <v>278</v>
      </c>
      <c r="AF233" s="20">
        <v>26</v>
      </c>
      <c r="AG233" s="20">
        <v>29</v>
      </c>
      <c r="AH233" s="20">
        <v>297.5</v>
      </c>
      <c r="AI233" s="20">
        <v>305</v>
      </c>
      <c r="AJ233" s="20">
        <v>26.5</v>
      </c>
      <c r="AK233" s="20">
        <v>36</v>
      </c>
      <c r="AL233" s="20">
        <v>290</v>
      </c>
      <c r="AM233" s="20">
        <v>282</v>
      </c>
      <c r="AN233" s="20">
        <v>19</v>
      </c>
      <c r="AO233" s="20">
        <v>26</v>
      </c>
      <c r="AP233" s="20">
        <v>247.5</v>
      </c>
      <c r="AQ233" s="20">
        <v>245</v>
      </c>
      <c r="AR233" s="20">
        <v>22.5</v>
      </c>
      <c r="AS233" s="20">
        <v>22</v>
      </c>
      <c r="AT233" s="20">
        <v>277</v>
      </c>
      <c r="AU233" s="20">
        <v>256.5</v>
      </c>
      <c r="AV233" s="20">
        <v>18</v>
      </c>
      <c r="AW233" s="20">
        <v>29.5</v>
      </c>
      <c r="AX233" s="20">
        <v>265.5</v>
      </c>
      <c r="AY233" s="20">
        <v>241</v>
      </c>
      <c r="AZ233" s="20">
        <v>22.5</v>
      </c>
      <c r="BA233" s="20">
        <v>23</v>
      </c>
      <c r="BB233" s="20">
        <v>262</v>
      </c>
      <c r="BC233" s="20">
        <v>275</v>
      </c>
      <c r="BD233" s="20">
        <v>18</v>
      </c>
      <c r="BE233" s="20">
        <v>22</v>
      </c>
      <c r="BF233" s="23">
        <v>28.671679999999999</v>
      </c>
      <c r="BG233" s="23">
        <v>77.17201</v>
      </c>
      <c r="BH233" s="31">
        <f t="shared" si="124"/>
        <v>262</v>
      </c>
      <c r="BI233" s="31">
        <f t="shared" si="125"/>
        <v>275</v>
      </c>
      <c r="BJ233" s="37">
        <f t="shared" si="126"/>
        <v>-13</v>
      </c>
      <c r="BK233" s="37">
        <f t="shared" si="127"/>
        <v>-4.7272727272727275</v>
      </c>
      <c r="BL233" s="36">
        <f t="shared" si="128"/>
        <v>18</v>
      </c>
      <c r="BM233" s="36">
        <f t="shared" si="129"/>
        <v>22</v>
      </c>
      <c r="BN233" s="37">
        <f t="shared" si="130"/>
        <v>-4</v>
      </c>
      <c r="BO233" s="37">
        <f t="shared" si="131"/>
        <v>-18.181818181818183</v>
      </c>
      <c r="BP233" s="38">
        <f t="shared" si="132"/>
        <v>3365.5</v>
      </c>
      <c r="BQ233" s="39">
        <f>J233+N233+S233+W233+AA233+AE233+AI233+AM233+AQ233+AU233+Table1[[#This Row],[MS-0225]]+Table1[[#This Row],[MS-0325]]</f>
        <v>3201.5</v>
      </c>
      <c r="BR233" s="37">
        <f t="shared" si="133"/>
        <v>164</v>
      </c>
      <c r="BS233" s="37">
        <f t="shared" si="134"/>
        <v>5.1225987818210212</v>
      </c>
      <c r="BT233" s="36">
        <f t="shared" si="135"/>
        <v>279.5</v>
      </c>
      <c r="BU233" s="36">
        <f t="shared" si="136"/>
        <v>327.5</v>
      </c>
      <c r="BV233" s="37">
        <f t="shared" si="137"/>
        <v>-48</v>
      </c>
      <c r="BW233" s="37">
        <f t="shared" si="138"/>
        <v>-14.656488549618322</v>
      </c>
      <c r="BX233">
        <v>0</v>
      </c>
      <c r="BY233" s="83">
        <f t="shared" si="139"/>
        <v>0</v>
      </c>
      <c r="BZ233">
        <v>0</v>
      </c>
      <c r="CA233" s="83">
        <f t="shared" si="140"/>
        <v>0</v>
      </c>
      <c r="CB233" s="96">
        <f t="shared" si="141"/>
        <v>0.15276967930029153</v>
      </c>
      <c r="CC233" s="96">
        <f t="shared" si="142"/>
        <v>0.15410479125805548</v>
      </c>
      <c r="CD233" s="97">
        <f t="shared" si="143"/>
        <v>-1.3351119577639514E-3</v>
      </c>
      <c r="CE233" s="96">
        <f t="shared" si="144"/>
        <v>1.9292604501607719E-2</v>
      </c>
      <c r="CF233" s="96">
        <f t="shared" si="145"/>
        <v>1.8859837119588514E-2</v>
      </c>
      <c r="CG233" s="96">
        <f t="shared" si="146"/>
        <v>4.3276738201920503E-4</v>
      </c>
      <c r="CH233" s="95">
        <f t="shared" si="147"/>
        <v>0.15699857719310523</v>
      </c>
      <c r="CI233" s="95">
        <f t="shared" si="148"/>
        <v>0.14860975712625232</v>
      </c>
      <c r="CJ233" s="98">
        <f t="shared" si="149"/>
        <v>8.3888200668529034E-3</v>
      </c>
      <c r="CK233" s="95">
        <f t="shared" si="150"/>
        <v>2.2704195605377522E-2</v>
      </c>
      <c r="CL233" s="95">
        <f t="shared" si="151"/>
        <v>2.0866517999362854E-2</v>
      </c>
      <c r="CM233" s="98">
        <f t="shared" si="152"/>
        <v>1.8376776060146684E-3</v>
      </c>
      <c r="CN233" s="94">
        <f t="shared" si="153"/>
        <v>0.94199146315863136</v>
      </c>
      <c r="CO233" s="94">
        <f t="shared" si="154"/>
        <v>0.13622517363226513</v>
      </c>
      <c r="CP233" s="141">
        <f>BD233-AZ233</f>
        <v>-4.5</v>
      </c>
    </row>
    <row r="234" spans="1:94" x14ac:dyDescent="0.35">
      <c r="A234" s="104">
        <v>185484</v>
      </c>
      <c r="B234" s="5" t="s">
        <v>581</v>
      </c>
      <c r="C234" s="46" t="s">
        <v>614</v>
      </c>
      <c r="D234" s="13" t="s">
        <v>615</v>
      </c>
      <c r="E234" s="6" t="s">
        <v>89</v>
      </c>
      <c r="F234" s="6" t="s">
        <v>345</v>
      </c>
      <c r="G234" s="12" t="s">
        <v>345</v>
      </c>
      <c r="H234" s="51" t="s">
        <v>205</v>
      </c>
      <c r="I234" s="24" t="s">
        <v>86</v>
      </c>
      <c r="J234" s="19">
        <v>146.5</v>
      </c>
      <c r="K234" s="19">
        <v>163</v>
      </c>
      <c r="L234" s="19">
        <v>21.5</v>
      </c>
      <c r="M234" s="19">
        <v>21</v>
      </c>
      <c r="N234" s="18">
        <v>154</v>
      </c>
      <c r="O234" s="18">
        <v>152.5</v>
      </c>
      <c r="P234" s="18">
        <v>26</v>
      </c>
      <c r="Q234" s="18">
        <v>17.5</v>
      </c>
      <c r="R234" s="19">
        <v>141.5</v>
      </c>
      <c r="S234" s="19">
        <v>177</v>
      </c>
      <c r="T234" s="19">
        <v>20.5</v>
      </c>
      <c r="U234" s="19">
        <v>21</v>
      </c>
      <c r="V234" s="19">
        <v>172</v>
      </c>
      <c r="W234" s="19">
        <v>155.5</v>
      </c>
      <c r="X234" s="19">
        <v>22</v>
      </c>
      <c r="Y234" s="19">
        <v>18.5</v>
      </c>
      <c r="Z234" s="19">
        <v>190</v>
      </c>
      <c r="AA234" s="19">
        <v>153.5</v>
      </c>
      <c r="AB234" s="19">
        <v>14</v>
      </c>
      <c r="AC234" s="19">
        <v>26.5</v>
      </c>
      <c r="AD234" s="19">
        <v>161.5</v>
      </c>
      <c r="AE234" s="19">
        <v>139</v>
      </c>
      <c r="AF234" s="19">
        <v>22.5</v>
      </c>
      <c r="AG234" s="19">
        <v>21</v>
      </c>
      <c r="AH234" s="19">
        <v>176.5</v>
      </c>
      <c r="AI234" s="19">
        <v>167</v>
      </c>
      <c r="AJ234" s="19">
        <v>21.5</v>
      </c>
      <c r="AK234" s="19">
        <v>23</v>
      </c>
      <c r="AL234" s="19">
        <v>170.5</v>
      </c>
      <c r="AM234" s="19">
        <v>151</v>
      </c>
      <c r="AN234" s="19">
        <v>13.5</v>
      </c>
      <c r="AO234" s="19">
        <v>17</v>
      </c>
      <c r="AP234" s="19">
        <v>153.5</v>
      </c>
      <c r="AQ234" s="19">
        <v>134.5</v>
      </c>
      <c r="AR234" s="19">
        <v>20.5</v>
      </c>
      <c r="AS234" s="19">
        <v>17.5</v>
      </c>
      <c r="AT234" s="19">
        <v>166.5</v>
      </c>
      <c r="AU234" s="19">
        <v>163</v>
      </c>
      <c r="AV234" s="19">
        <v>21.5</v>
      </c>
      <c r="AW234" s="19">
        <v>17</v>
      </c>
      <c r="AX234" s="19">
        <v>162</v>
      </c>
      <c r="AY234" s="19">
        <v>131</v>
      </c>
      <c r="AZ234" s="19">
        <v>8</v>
      </c>
      <c r="BA234" s="19">
        <v>19</v>
      </c>
      <c r="BB234" s="19">
        <v>157</v>
      </c>
      <c r="BC234" s="19">
        <v>146</v>
      </c>
      <c r="BD234" s="19">
        <v>17</v>
      </c>
      <c r="BE234" s="19">
        <v>18</v>
      </c>
      <c r="BF234" s="23">
        <v>28.7087</v>
      </c>
      <c r="BG234" s="23">
        <v>77.118399999999994</v>
      </c>
      <c r="BH234" s="31">
        <f t="shared" si="124"/>
        <v>157</v>
      </c>
      <c r="BI234" s="31">
        <f t="shared" si="125"/>
        <v>146</v>
      </c>
      <c r="BJ234" s="37">
        <f t="shared" si="126"/>
        <v>11</v>
      </c>
      <c r="BK234" s="37">
        <f t="shared" si="127"/>
        <v>7.5342465753424657</v>
      </c>
      <c r="BL234" s="36">
        <f t="shared" si="128"/>
        <v>17</v>
      </c>
      <c r="BM234" s="36">
        <f t="shared" si="129"/>
        <v>18</v>
      </c>
      <c r="BN234" s="37">
        <f t="shared" si="130"/>
        <v>-1</v>
      </c>
      <c r="BO234" s="37">
        <f t="shared" si="131"/>
        <v>-5.5555555555555554</v>
      </c>
      <c r="BP234" s="38">
        <f t="shared" si="132"/>
        <v>1966.5</v>
      </c>
      <c r="BQ234" s="39">
        <f>J234+N234+S234+W234+AA234+AE234+AI234+AM234+AQ234+AU234+Table1[[#This Row],[MS-0225]]+Table1[[#This Row],[MS-0325]]</f>
        <v>1818</v>
      </c>
      <c r="BR234" s="37">
        <f t="shared" si="133"/>
        <v>148.5</v>
      </c>
      <c r="BS234" s="37">
        <f t="shared" si="134"/>
        <v>8.1683168316831694</v>
      </c>
      <c r="BT234" s="36">
        <f t="shared" si="135"/>
        <v>219.5</v>
      </c>
      <c r="BU234" s="36">
        <f t="shared" si="136"/>
        <v>246</v>
      </c>
      <c r="BV234" s="37">
        <f t="shared" si="137"/>
        <v>-26.5</v>
      </c>
      <c r="BW234" s="37">
        <f t="shared" si="138"/>
        <v>-10.772357723577237</v>
      </c>
      <c r="BX234">
        <v>0</v>
      </c>
      <c r="BY234" s="83">
        <f t="shared" si="139"/>
        <v>0</v>
      </c>
      <c r="BZ234">
        <v>0</v>
      </c>
      <c r="CA234" s="83">
        <f t="shared" si="140"/>
        <v>0</v>
      </c>
      <c r="CB234" s="96">
        <f t="shared" si="141"/>
        <v>6.165324955821716E-2</v>
      </c>
      <c r="CC234" s="96">
        <f t="shared" si="142"/>
        <v>7.4375955170657163E-2</v>
      </c>
      <c r="CD234" s="97">
        <f t="shared" si="143"/>
        <v>-1.2722705612440002E-2</v>
      </c>
      <c r="CE234" s="96">
        <f t="shared" si="144"/>
        <v>4.4098573281452662E-2</v>
      </c>
      <c r="CF234" s="96">
        <f t="shared" si="145"/>
        <v>5.9800664451827246E-2</v>
      </c>
      <c r="CG234" s="96">
        <f t="shared" si="146"/>
        <v>-1.5702091170374584E-2</v>
      </c>
      <c r="CH234" s="95">
        <f t="shared" si="147"/>
        <v>7.0427074939564863E-2</v>
      </c>
      <c r="CI234" s="95">
        <f t="shared" si="148"/>
        <v>6.9863961242067799E-2</v>
      </c>
      <c r="CJ234" s="98">
        <f t="shared" si="149"/>
        <v>5.6311369749706408E-4</v>
      </c>
      <c r="CK234" s="95">
        <f t="shared" si="150"/>
        <v>5.4150733933637597E-2</v>
      </c>
      <c r="CL234" s="95">
        <f t="shared" si="151"/>
        <v>5.6100342075256555E-2</v>
      </c>
      <c r="CM234" s="98">
        <f t="shared" si="152"/>
        <v>-1.9496081416189581E-3</v>
      </c>
      <c r="CN234" s="94">
        <f t="shared" si="153"/>
        <v>0.49298952457695405</v>
      </c>
      <c r="CO234" s="94">
        <f t="shared" si="154"/>
        <v>0.37905513753546316</v>
      </c>
    </row>
    <row r="235" spans="1:94" x14ac:dyDescent="0.35">
      <c r="A235" s="103">
        <v>41056817</v>
      </c>
      <c r="B235" s="9" t="s">
        <v>380</v>
      </c>
      <c r="C235" s="47" t="s">
        <v>571</v>
      </c>
      <c r="D235" s="14" t="s">
        <v>572</v>
      </c>
      <c r="E235" s="10" t="s">
        <v>85</v>
      </c>
      <c r="F235" s="10" t="s">
        <v>361</v>
      </c>
      <c r="G235" s="12" t="s">
        <v>361</v>
      </c>
      <c r="H235" s="51" t="s">
        <v>304</v>
      </c>
      <c r="I235" s="25" t="s">
        <v>86</v>
      </c>
      <c r="J235" s="20">
        <v>280</v>
      </c>
      <c r="K235" s="20">
        <v>285</v>
      </c>
      <c r="L235" s="20">
        <v>80</v>
      </c>
      <c r="M235" s="20">
        <v>75</v>
      </c>
      <c r="N235" s="18">
        <v>330</v>
      </c>
      <c r="O235" s="18">
        <v>330</v>
      </c>
      <c r="P235" s="18">
        <v>110</v>
      </c>
      <c r="Q235" s="18">
        <v>90</v>
      </c>
      <c r="R235" s="20">
        <v>295</v>
      </c>
      <c r="S235" s="20">
        <v>325</v>
      </c>
      <c r="T235" s="20">
        <v>65</v>
      </c>
      <c r="U235" s="20">
        <v>95</v>
      </c>
      <c r="V235" s="20">
        <v>325</v>
      </c>
      <c r="W235" s="20">
        <v>310</v>
      </c>
      <c r="X235" s="20">
        <v>75</v>
      </c>
      <c r="Y235" s="20">
        <v>90</v>
      </c>
      <c r="Z235" s="20">
        <v>310</v>
      </c>
      <c r="AA235" s="20">
        <v>305</v>
      </c>
      <c r="AB235" s="20">
        <v>70</v>
      </c>
      <c r="AC235" s="20">
        <v>95</v>
      </c>
      <c r="AD235" s="20">
        <v>290</v>
      </c>
      <c r="AE235" s="20">
        <v>305</v>
      </c>
      <c r="AF235" s="20">
        <v>70</v>
      </c>
      <c r="AG235" s="20">
        <v>95</v>
      </c>
      <c r="AH235" s="20">
        <v>329</v>
      </c>
      <c r="AI235" s="20">
        <v>330</v>
      </c>
      <c r="AJ235" s="20">
        <v>80</v>
      </c>
      <c r="AK235" s="20">
        <v>90</v>
      </c>
      <c r="AL235" s="20">
        <v>274</v>
      </c>
      <c r="AM235" s="20">
        <v>290</v>
      </c>
      <c r="AN235" s="20">
        <v>58</v>
      </c>
      <c r="AO235" s="20">
        <v>70</v>
      </c>
      <c r="AP235" s="20">
        <v>282.5</v>
      </c>
      <c r="AQ235" s="20">
        <v>278</v>
      </c>
      <c r="AR235" s="20">
        <v>64.5</v>
      </c>
      <c r="AS235" s="20">
        <v>65</v>
      </c>
      <c r="AT235" s="20">
        <v>289</v>
      </c>
      <c r="AU235" s="20">
        <v>290</v>
      </c>
      <c r="AV235" s="20">
        <v>60</v>
      </c>
      <c r="AW235" s="20">
        <v>70</v>
      </c>
      <c r="AX235" s="20">
        <v>275</v>
      </c>
      <c r="AY235" s="20">
        <v>258</v>
      </c>
      <c r="AZ235" s="20">
        <v>65</v>
      </c>
      <c r="BA235" s="20">
        <v>74</v>
      </c>
      <c r="BB235" s="20">
        <v>309</v>
      </c>
      <c r="BC235" s="20">
        <v>283</v>
      </c>
      <c r="BD235" s="20">
        <v>60</v>
      </c>
      <c r="BE235" s="20">
        <v>74</v>
      </c>
      <c r="BF235" s="23">
        <v>28.653662000000001</v>
      </c>
      <c r="BG235" s="23">
        <v>77.147395000000003</v>
      </c>
      <c r="BH235" s="31">
        <f t="shared" si="124"/>
        <v>309</v>
      </c>
      <c r="BI235" s="31">
        <f t="shared" si="125"/>
        <v>283</v>
      </c>
      <c r="BJ235" s="37">
        <f t="shared" si="126"/>
        <v>26</v>
      </c>
      <c r="BK235" s="37">
        <f t="shared" si="127"/>
        <v>9.1872791519434625</v>
      </c>
      <c r="BL235" s="36">
        <f t="shared" si="128"/>
        <v>60</v>
      </c>
      <c r="BM235" s="36">
        <f t="shared" si="129"/>
        <v>74</v>
      </c>
      <c r="BN235" s="37">
        <f t="shared" si="130"/>
        <v>-14</v>
      </c>
      <c r="BO235" s="37">
        <f t="shared" si="131"/>
        <v>-18.918918918918919</v>
      </c>
      <c r="BP235" s="38">
        <f t="shared" si="132"/>
        <v>3593.5</v>
      </c>
      <c r="BQ235" s="39">
        <f>J235+N235+S235+W235+AA235+AE235+AI235+AM235+AQ235+AU235+Table1[[#This Row],[MS-0225]]+Table1[[#This Row],[MS-0325]]</f>
        <v>3584</v>
      </c>
      <c r="BR235" s="37">
        <f t="shared" si="133"/>
        <v>9.5</v>
      </c>
      <c r="BS235" s="37">
        <f t="shared" si="134"/>
        <v>0.2650669642857143</v>
      </c>
      <c r="BT235" s="36">
        <f t="shared" si="135"/>
        <v>832.5</v>
      </c>
      <c r="BU235" s="36">
        <f t="shared" si="136"/>
        <v>1008</v>
      </c>
      <c r="BV235" s="37">
        <f t="shared" si="137"/>
        <v>-175.5</v>
      </c>
      <c r="BW235" s="37">
        <f t="shared" si="138"/>
        <v>-17.410714285714285</v>
      </c>
      <c r="BX235">
        <v>0</v>
      </c>
      <c r="BY235" s="83">
        <f t="shared" si="139"/>
        <v>0</v>
      </c>
      <c r="BZ235">
        <v>0</v>
      </c>
      <c r="CA235" s="83">
        <f t="shared" si="140"/>
        <v>0</v>
      </c>
      <c r="CB235" s="96">
        <f t="shared" si="141"/>
        <v>0.46889226100151743</v>
      </c>
      <c r="CC235" s="96">
        <f t="shared" si="142"/>
        <v>0.44357366771159873</v>
      </c>
      <c r="CD235" s="97">
        <f t="shared" si="143"/>
        <v>2.5318593289918701E-2</v>
      </c>
      <c r="CE235" s="96">
        <f t="shared" si="144"/>
        <v>0.31578947368421051</v>
      </c>
      <c r="CF235" s="96">
        <f t="shared" si="145"/>
        <v>0.2971887550200803</v>
      </c>
      <c r="CG235" s="96">
        <f t="shared" si="146"/>
        <v>1.8600718664130211E-2</v>
      </c>
      <c r="CH235" s="95">
        <f t="shared" si="147"/>
        <v>0.45278145278145276</v>
      </c>
      <c r="CI235" s="95">
        <f t="shared" si="148"/>
        <v>0.45315463310186882</v>
      </c>
      <c r="CJ235" s="98">
        <f t="shared" si="149"/>
        <v>-3.7318032041605553E-4</v>
      </c>
      <c r="CK235" s="95">
        <f t="shared" si="150"/>
        <v>0.30544854155200879</v>
      </c>
      <c r="CL235" s="95">
        <f t="shared" si="151"/>
        <v>0.328125</v>
      </c>
      <c r="CM235" s="98">
        <f t="shared" si="152"/>
        <v>-2.267645844799121E-2</v>
      </c>
      <c r="CN235" s="94">
        <f t="shared" si="153"/>
        <v>0.90556290556290553</v>
      </c>
      <c r="CO235" s="94">
        <f t="shared" si="154"/>
        <v>0.61089708310401758</v>
      </c>
      <c r="CP235" s="141">
        <f>BD235-AZ235</f>
        <v>-5</v>
      </c>
    </row>
    <row r="236" spans="1:94" ht="24.5" x14ac:dyDescent="0.35">
      <c r="A236" s="103">
        <v>41056400</v>
      </c>
      <c r="B236" s="9" t="s">
        <v>380</v>
      </c>
      <c r="C236" s="47" t="s">
        <v>502</v>
      </c>
      <c r="D236" s="14" t="s">
        <v>503</v>
      </c>
      <c r="E236" s="10" t="s">
        <v>75</v>
      </c>
      <c r="F236" s="10" t="s">
        <v>108</v>
      </c>
      <c r="G236" s="12" t="s">
        <v>108</v>
      </c>
      <c r="H236" s="51" t="s">
        <v>77</v>
      </c>
      <c r="I236" s="25" t="s">
        <v>78</v>
      </c>
      <c r="J236" s="20">
        <v>238</v>
      </c>
      <c r="K236" s="20">
        <v>231.5</v>
      </c>
      <c r="L236" s="20">
        <v>28</v>
      </c>
      <c r="M236" s="20">
        <v>29.5</v>
      </c>
      <c r="N236" s="18">
        <v>260.5</v>
      </c>
      <c r="O236" s="18">
        <v>303</v>
      </c>
      <c r="P236" s="18">
        <v>35.5</v>
      </c>
      <c r="Q236" s="18">
        <v>40</v>
      </c>
      <c r="R236" s="20">
        <v>280.5</v>
      </c>
      <c r="S236" s="20">
        <v>245</v>
      </c>
      <c r="T236" s="20">
        <v>34.5</v>
      </c>
      <c r="U236" s="20">
        <v>32</v>
      </c>
      <c r="V236" s="20">
        <v>293</v>
      </c>
      <c r="W236" s="20">
        <v>238.5</v>
      </c>
      <c r="X236" s="20">
        <v>29</v>
      </c>
      <c r="Y236" s="20">
        <v>31.5</v>
      </c>
      <c r="Z236" s="20">
        <v>267</v>
      </c>
      <c r="AA236" s="20">
        <v>261</v>
      </c>
      <c r="AB236" s="20">
        <v>29</v>
      </c>
      <c r="AC236" s="20">
        <v>27</v>
      </c>
      <c r="AD236" s="20">
        <v>273</v>
      </c>
      <c r="AE236" s="20">
        <v>232</v>
      </c>
      <c r="AF236" s="20">
        <v>30</v>
      </c>
      <c r="AG236" s="20">
        <v>27</v>
      </c>
      <c r="AH236" s="20">
        <v>288</v>
      </c>
      <c r="AI236" s="20">
        <v>283.5</v>
      </c>
      <c r="AJ236" s="20">
        <v>25</v>
      </c>
      <c r="AK236" s="20">
        <v>33.5</v>
      </c>
      <c r="AL236" s="20">
        <v>265</v>
      </c>
      <c r="AM236" s="20">
        <v>241.5</v>
      </c>
      <c r="AN236" s="20">
        <v>33</v>
      </c>
      <c r="AO236" s="20">
        <v>22.5</v>
      </c>
      <c r="AP236" s="20">
        <v>275</v>
      </c>
      <c r="AQ236" s="20">
        <v>236.5</v>
      </c>
      <c r="AR236" s="20">
        <v>25</v>
      </c>
      <c r="AS236" s="20">
        <v>22.5</v>
      </c>
      <c r="AT236" s="20">
        <v>265</v>
      </c>
      <c r="AU236" s="20">
        <v>257</v>
      </c>
      <c r="AV236" s="20">
        <v>34</v>
      </c>
      <c r="AW236" s="20">
        <v>27</v>
      </c>
      <c r="AX236" s="20">
        <v>263</v>
      </c>
      <c r="AY236" s="20">
        <v>211</v>
      </c>
      <c r="AZ236" s="20">
        <v>35</v>
      </c>
      <c r="BA236" s="20">
        <v>29</v>
      </c>
      <c r="BB236" s="20">
        <v>253</v>
      </c>
      <c r="BC236" s="20">
        <v>301</v>
      </c>
      <c r="BD236" s="20">
        <v>19</v>
      </c>
      <c r="BE236" s="20">
        <v>23</v>
      </c>
      <c r="BF236" s="23">
        <v>28.613990000000001</v>
      </c>
      <c r="BG236" s="23">
        <v>77.291929999999994</v>
      </c>
      <c r="BH236" s="31">
        <f t="shared" si="124"/>
        <v>253</v>
      </c>
      <c r="BI236" s="31">
        <f t="shared" si="125"/>
        <v>301</v>
      </c>
      <c r="BJ236" s="37">
        <f t="shared" si="126"/>
        <v>-48</v>
      </c>
      <c r="BK236" s="37">
        <f t="shared" si="127"/>
        <v>-15.946843853820598</v>
      </c>
      <c r="BL236" s="36">
        <f t="shared" si="128"/>
        <v>19</v>
      </c>
      <c r="BM236" s="36">
        <f t="shared" si="129"/>
        <v>23</v>
      </c>
      <c r="BN236" s="37">
        <f t="shared" si="130"/>
        <v>-4</v>
      </c>
      <c r="BO236" s="37">
        <f t="shared" si="131"/>
        <v>-17.391304347826086</v>
      </c>
      <c r="BP236" s="38">
        <f t="shared" si="132"/>
        <v>3257</v>
      </c>
      <c r="BQ236" s="39">
        <f>J236+N236+S236+W236+AA236+AE236+AI236+AM236+AQ236+AU236+Table1[[#This Row],[MS-0225]]+Table1[[#This Row],[MS-0325]]</f>
        <v>3005.5</v>
      </c>
      <c r="BR236" s="37">
        <f t="shared" si="133"/>
        <v>251.5</v>
      </c>
      <c r="BS236" s="37">
        <f t="shared" si="134"/>
        <v>8.3679920146398281</v>
      </c>
      <c r="BT236" s="36">
        <f t="shared" si="135"/>
        <v>363</v>
      </c>
      <c r="BU236" s="36">
        <f t="shared" si="136"/>
        <v>338.5</v>
      </c>
      <c r="BV236" s="37">
        <f t="shared" si="137"/>
        <v>24.5</v>
      </c>
      <c r="BW236" s="37">
        <f t="shared" si="138"/>
        <v>7.2378138847858198</v>
      </c>
      <c r="BX236">
        <v>0</v>
      </c>
      <c r="BY236" s="83">
        <f t="shared" si="139"/>
        <v>0</v>
      </c>
      <c r="BZ236">
        <v>0</v>
      </c>
      <c r="CA236" s="83">
        <f t="shared" si="140"/>
        <v>0</v>
      </c>
      <c r="CB236" s="96">
        <f t="shared" si="141"/>
        <v>0.32065906210392903</v>
      </c>
      <c r="CC236" s="96">
        <f t="shared" si="142"/>
        <v>0.38565022421524664</v>
      </c>
      <c r="CD236" s="97">
        <f t="shared" si="143"/>
        <v>-6.4991162111317613E-2</v>
      </c>
      <c r="CE236" s="96">
        <f t="shared" si="144"/>
        <v>0.25333333333333335</v>
      </c>
      <c r="CF236" s="96">
        <f t="shared" si="145"/>
        <v>0.26285714285714284</v>
      </c>
      <c r="CG236" s="96">
        <f t="shared" si="146"/>
        <v>-9.52380952380949E-3</v>
      </c>
      <c r="CH236" s="95">
        <f t="shared" si="147"/>
        <v>0.34617632991443908</v>
      </c>
      <c r="CI236" s="95">
        <f t="shared" si="148"/>
        <v>0.34295658064845036</v>
      </c>
      <c r="CJ236" s="98">
        <f t="shared" si="149"/>
        <v>3.219749265988725E-3</v>
      </c>
      <c r="CK236" s="95">
        <f t="shared" si="150"/>
        <v>0.34391283751776408</v>
      </c>
      <c r="CL236" s="95">
        <f t="shared" si="151"/>
        <v>0.33833083458270863</v>
      </c>
      <c r="CM236" s="98">
        <f t="shared" si="152"/>
        <v>5.5820029350554523E-3</v>
      </c>
      <c r="CN236" s="94">
        <f t="shared" si="153"/>
        <v>1.0385289897433172</v>
      </c>
      <c r="CO236" s="94">
        <f t="shared" si="154"/>
        <v>1.0317385125532923</v>
      </c>
    </row>
    <row r="237" spans="1:94" ht="24.5" x14ac:dyDescent="0.35">
      <c r="A237" s="102">
        <v>112446</v>
      </c>
      <c r="B237" s="3" t="s">
        <v>72</v>
      </c>
      <c r="C237" s="43" t="s">
        <v>362</v>
      </c>
      <c r="D237" s="12" t="s">
        <v>363</v>
      </c>
      <c r="E237" s="4" t="s">
        <v>89</v>
      </c>
      <c r="F237" s="4" t="s">
        <v>345</v>
      </c>
      <c r="G237" s="12" t="s">
        <v>345</v>
      </c>
      <c r="H237" s="51" t="s">
        <v>205</v>
      </c>
      <c r="I237" s="23" t="s">
        <v>86</v>
      </c>
      <c r="J237" s="90">
        <v>254</v>
      </c>
      <c r="K237" s="90">
        <v>248</v>
      </c>
      <c r="L237" s="90">
        <v>46</v>
      </c>
      <c r="M237" s="90">
        <v>40</v>
      </c>
      <c r="N237" s="18">
        <v>267.5</v>
      </c>
      <c r="O237" s="18">
        <v>262</v>
      </c>
      <c r="P237" s="18">
        <v>50.5</v>
      </c>
      <c r="Q237" s="18">
        <v>40</v>
      </c>
      <c r="R237" s="90">
        <v>236</v>
      </c>
      <c r="S237" s="90">
        <v>247.5</v>
      </c>
      <c r="T237" s="90">
        <v>40</v>
      </c>
      <c r="U237" s="90">
        <v>46.5</v>
      </c>
      <c r="V237" s="90">
        <v>284</v>
      </c>
      <c r="W237" s="90">
        <v>271.5</v>
      </c>
      <c r="X237" s="90">
        <v>40</v>
      </c>
      <c r="Y237" s="90">
        <v>54.5</v>
      </c>
      <c r="Z237" s="90">
        <v>256</v>
      </c>
      <c r="AA237" s="90">
        <v>266</v>
      </c>
      <c r="AB237" s="90">
        <v>32</v>
      </c>
      <c r="AC237" s="90">
        <v>48</v>
      </c>
      <c r="AD237" s="90">
        <v>264</v>
      </c>
      <c r="AE237" s="90">
        <v>255.5</v>
      </c>
      <c r="AF237" s="90">
        <v>36</v>
      </c>
      <c r="AG237" s="90">
        <v>42.5</v>
      </c>
      <c r="AH237" s="90">
        <v>252</v>
      </c>
      <c r="AI237" s="90">
        <v>273.5</v>
      </c>
      <c r="AJ237" s="90">
        <v>36</v>
      </c>
      <c r="AK237" s="90">
        <v>44.5</v>
      </c>
      <c r="AL237" s="90">
        <v>228</v>
      </c>
      <c r="AM237" s="90">
        <v>236</v>
      </c>
      <c r="AN237" s="90">
        <v>24</v>
      </c>
      <c r="AO237" s="90">
        <v>28</v>
      </c>
      <c r="AP237" s="90">
        <v>236</v>
      </c>
      <c r="AQ237" s="90">
        <v>241</v>
      </c>
      <c r="AR237" s="90">
        <v>28</v>
      </c>
      <c r="AS237" s="90">
        <v>32</v>
      </c>
      <c r="AT237" s="90">
        <v>228</v>
      </c>
      <c r="AU237" s="90">
        <v>242</v>
      </c>
      <c r="AV237" s="90">
        <v>28</v>
      </c>
      <c r="AW237" s="90">
        <v>36</v>
      </c>
      <c r="AX237" s="90">
        <v>218</v>
      </c>
      <c r="AY237" s="90">
        <v>220</v>
      </c>
      <c r="AZ237" s="90">
        <v>24</v>
      </c>
      <c r="BA237" s="90">
        <v>32</v>
      </c>
      <c r="BB237" s="90">
        <v>252</v>
      </c>
      <c r="BC237" s="90">
        <v>248</v>
      </c>
      <c r="BD237" s="90">
        <v>28</v>
      </c>
      <c r="BE237" s="90">
        <v>40</v>
      </c>
      <c r="BF237" s="23">
        <v>28.702500000000001</v>
      </c>
      <c r="BG237" s="23">
        <v>77.122110000000006</v>
      </c>
      <c r="BH237" s="31">
        <f t="shared" si="124"/>
        <v>252</v>
      </c>
      <c r="BI237" s="31">
        <f t="shared" si="125"/>
        <v>248</v>
      </c>
      <c r="BJ237" s="37">
        <f t="shared" si="126"/>
        <v>4</v>
      </c>
      <c r="BK237" s="37">
        <f t="shared" si="127"/>
        <v>1.6129032258064515</v>
      </c>
      <c r="BL237" s="36">
        <f t="shared" si="128"/>
        <v>28</v>
      </c>
      <c r="BM237" s="36">
        <f t="shared" si="129"/>
        <v>40</v>
      </c>
      <c r="BN237" s="37">
        <f t="shared" si="130"/>
        <v>-12</v>
      </c>
      <c r="BO237" s="37">
        <f t="shared" si="131"/>
        <v>-30</v>
      </c>
      <c r="BP237" s="38">
        <f t="shared" si="132"/>
        <v>2964</v>
      </c>
      <c r="BQ237" s="39">
        <f>J237+N237+S237+W237+AA237+AE237+AI237+AM237+AQ237+AU237+Table1[[#This Row],[MS-0225]]+Table1[[#This Row],[MS-0325]]</f>
        <v>3022.5</v>
      </c>
      <c r="BR237" s="37">
        <f t="shared" si="133"/>
        <v>-58.5</v>
      </c>
      <c r="BS237" s="37">
        <f t="shared" si="134"/>
        <v>-1.935483870967742</v>
      </c>
      <c r="BT237" s="36">
        <f t="shared" si="135"/>
        <v>396</v>
      </c>
      <c r="BU237" s="36">
        <f t="shared" si="136"/>
        <v>500.5</v>
      </c>
      <c r="BV237" s="37">
        <f t="shared" si="137"/>
        <v>-104.5</v>
      </c>
      <c r="BW237" s="37">
        <f t="shared" si="138"/>
        <v>-20.87912087912088</v>
      </c>
      <c r="BX237">
        <v>0</v>
      </c>
      <c r="BY237" s="83">
        <f t="shared" si="139"/>
        <v>0</v>
      </c>
      <c r="BZ237">
        <v>0</v>
      </c>
      <c r="CA237" s="83">
        <f t="shared" si="140"/>
        <v>0</v>
      </c>
      <c r="CB237" s="96">
        <f t="shared" si="141"/>
        <v>9.8959355978794419E-2</v>
      </c>
      <c r="CC237" s="96">
        <f t="shared" si="142"/>
        <v>0.12633723892002038</v>
      </c>
      <c r="CD237" s="97">
        <f t="shared" si="143"/>
        <v>-2.7377882941225964E-2</v>
      </c>
      <c r="CE237" s="96">
        <f t="shared" si="144"/>
        <v>7.2632944228274973E-2</v>
      </c>
      <c r="CF237" s="96">
        <f t="shared" si="145"/>
        <v>0.13289036544850499</v>
      </c>
      <c r="CG237" s="96">
        <f t="shared" si="146"/>
        <v>-6.025742122023002E-2</v>
      </c>
      <c r="CH237" s="95">
        <f t="shared" si="147"/>
        <v>0.10615095353209777</v>
      </c>
      <c r="CI237" s="95">
        <f t="shared" si="148"/>
        <v>0.11615171774155662</v>
      </c>
      <c r="CJ237" s="98">
        <f t="shared" si="149"/>
        <v>-1.0000764209458848E-2</v>
      </c>
      <c r="CK237" s="95">
        <f t="shared" si="150"/>
        <v>9.7693351424694708E-2</v>
      </c>
      <c r="CL237" s="95">
        <f t="shared" si="151"/>
        <v>0.11413911060433295</v>
      </c>
      <c r="CM237" s="98">
        <f t="shared" si="152"/>
        <v>-1.6445759179638239E-2</v>
      </c>
      <c r="CN237" s="94">
        <f t="shared" si="153"/>
        <v>0.7430566747246844</v>
      </c>
      <c r="CO237" s="94">
        <f t="shared" si="154"/>
        <v>0.68385345997286295</v>
      </c>
    </row>
    <row r="238" spans="1:94" ht="36.5" x14ac:dyDescent="0.35">
      <c r="A238" s="102">
        <v>112428</v>
      </c>
      <c r="B238" s="3" t="s">
        <v>72</v>
      </c>
      <c r="C238" s="44" t="s">
        <v>252</v>
      </c>
      <c r="D238" s="12" t="s">
        <v>253</v>
      </c>
      <c r="E238" s="4" t="s">
        <v>103</v>
      </c>
      <c r="F238" s="4" t="s">
        <v>208</v>
      </c>
      <c r="G238" s="12" t="s">
        <v>208</v>
      </c>
      <c r="H238" s="51" t="s">
        <v>105</v>
      </c>
      <c r="I238" s="23" t="s">
        <v>83</v>
      </c>
      <c r="J238" s="90">
        <v>248</v>
      </c>
      <c r="K238" s="90">
        <v>272</v>
      </c>
      <c r="L238" s="90">
        <v>64</v>
      </c>
      <c r="M238" s="90">
        <v>50</v>
      </c>
      <c r="N238" s="18">
        <v>284</v>
      </c>
      <c r="O238" s="18">
        <v>280</v>
      </c>
      <c r="P238" s="18">
        <v>76</v>
      </c>
      <c r="Q238" s="18">
        <v>56</v>
      </c>
      <c r="R238" s="90">
        <v>242</v>
      </c>
      <c r="S238" s="90">
        <v>276</v>
      </c>
      <c r="T238" s="90">
        <v>52</v>
      </c>
      <c r="U238" s="90">
        <v>72</v>
      </c>
      <c r="V238" s="90">
        <v>291</v>
      </c>
      <c r="W238" s="90">
        <v>284</v>
      </c>
      <c r="X238" s="90">
        <v>57</v>
      </c>
      <c r="Y238" s="90">
        <v>76</v>
      </c>
      <c r="Z238" s="90">
        <v>286</v>
      </c>
      <c r="AA238" s="90">
        <v>287</v>
      </c>
      <c r="AB238" s="90">
        <v>64</v>
      </c>
      <c r="AC238" s="90">
        <v>77</v>
      </c>
      <c r="AD238" s="90">
        <v>290</v>
      </c>
      <c r="AE238" s="90">
        <v>271</v>
      </c>
      <c r="AF238" s="90">
        <v>60</v>
      </c>
      <c r="AG238" s="90">
        <v>65</v>
      </c>
      <c r="AH238" s="90">
        <v>278</v>
      </c>
      <c r="AI238" s="90">
        <v>279.5</v>
      </c>
      <c r="AJ238" s="90">
        <v>56</v>
      </c>
      <c r="AK238" s="90">
        <v>60.5</v>
      </c>
      <c r="AL238" s="90">
        <v>270</v>
      </c>
      <c r="AM238" s="90">
        <v>246</v>
      </c>
      <c r="AN238" s="90">
        <v>52</v>
      </c>
      <c r="AO238" s="90">
        <v>48</v>
      </c>
      <c r="AP238" s="90">
        <v>246</v>
      </c>
      <c r="AQ238" s="90">
        <v>244</v>
      </c>
      <c r="AR238" s="90">
        <v>48</v>
      </c>
      <c r="AS238" s="90">
        <v>48</v>
      </c>
      <c r="AT238" s="90">
        <v>246</v>
      </c>
      <c r="AU238" s="90">
        <v>247</v>
      </c>
      <c r="AV238" s="90">
        <v>48</v>
      </c>
      <c r="AW238" s="90">
        <v>56</v>
      </c>
      <c r="AX238" s="90">
        <v>244</v>
      </c>
      <c r="AY238" s="90">
        <v>218</v>
      </c>
      <c r="AZ238" s="90">
        <v>48</v>
      </c>
      <c r="BA238" s="90">
        <v>48</v>
      </c>
      <c r="BB238" s="90">
        <v>252</v>
      </c>
      <c r="BC238" s="90">
        <v>252</v>
      </c>
      <c r="BD238" s="90">
        <v>56</v>
      </c>
      <c r="BE238" s="90">
        <v>56</v>
      </c>
      <c r="BF238" s="23">
        <v>28.63486</v>
      </c>
      <c r="BG238" s="23">
        <v>77.217789999999994</v>
      </c>
      <c r="BH238" s="31">
        <f t="shared" si="124"/>
        <v>252</v>
      </c>
      <c r="BI238" s="31">
        <f t="shared" si="125"/>
        <v>252</v>
      </c>
      <c r="BJ238" s="37">
        <f t="shared" si="126"/>
        <v>0</v>
      </c>
      <c r="BK238" s="37">
        <f t="shared" si="127"/>
        <v>0</v>
      </c>
      <c r="BL238" s="36">
        <f t="shared" si="128"/>
        <v>56</v>
      </c>
      <c r="BM238" s="36">
        <f t="shared" si="129"/>
        <v>56</v>
      </c>
      <c r="BN238" s="37">
        <f t="shared" si="130"/>
        <v>0</v>
      </c>
      <c r="BO238" s="37">
        <f t="shared" si="131"/>
        <v>0</v>
      </c>
      <c r="BP238" s="38">
        <f t="shared" si="132"/>
        <v>3197</v>
      </c>
      <c r="BQ238" s="39">
        <f>J238+N238+S238+W238+AA238+AE238+AI238+AM238+AQ238+AU238+Table1[[#This Row],[MS-0225]]+Table1[[#This Row],[MS-0325]]</f>
        <v>3136.5</v>
      </c>
      <c r="BR238" s="37">
        <f t="shared" si="133"/>
        <v>60.5</v>
      </c>
      <c r="BS238" s="37">
        <f t="shared" si="134"/>
        <v>1.9289016419575959</v>
      </c>
      <c r="BT238" s="36">
        <f t="shared" si="135"/>
        <v>647</v>
      </c>
      <c r="BU238" s="36">
        <f t="shared" si="136"/>
        <v>746.5</v>
      </c>
      <c r="BV238" s="37">
        <f t="shared" si="137"/>
        <v>-99.5</v>
      </c>
      <c r="BW238" s="37">
        <f t="shared" si="138"/>
        <v>-13.328868050904219</v>
      </c>
      <c r="BX238">
        <v>0</v>
      </c>
      <c r="BY238" s="83">
        <f t="shared" si="139"/>
        <v>0</v>
      </c>
      <c r="BZ238">
        <v>0</v>
      </c>
      <c r="CA238" s="83">
        <f t="shared" si="140"/>
        <v>0</v>
      </c>
      <c r="CB238" s="96">
        <f t="shared" si="141"/>
        <v>0.21437686091025096</v>
      </c>
      <c r="CC238" s="96">
        <f t="shared" si="142"/>
        <v>0.2251004912907548</v>
      </c>
      <c r="CD238" s="97">
        <f t="shared" si="143"/>
        <v>-1.0723630380503835E-2</v>
      </c>
      <c r="CE238" s="96">
        <f t="shared" si="144"/>
        <v>0.19410745233968804</v>
      </c>
      <c r="CF238" s="96">
        <f t="shared" si="145"/>
        <v>0.17862838915470494</v>
      </c>
      <c r="CG238" s="96">
        <f t="shared" si="146"/>
        <v>1.54790631849831E-2</v>
      </c>
      <c r="CH238" s="95">
        <f t="shared" si="147"/>
        <v>0.22641643059490085</v>
      </c>
      <c r="CI238" s="95">
        <f t="shared" si="148"/>
        <v>0.23649387327609026</v>
      </c>
      <c r="CJ238" s="98">
        <f t="shared" si="149"/>
        <v>-1.0077442681189402E-2</v>
      </c>
      <c r="CK238" s="95">
        <f t="shared" si="150"/>
        <v>0.18884997081144192</v>
      </c>
      <c r="CL238" s="95">
        <f t="shared" si="151"/>
        <v>0.1882011849237363</v>
      </c>
      <c r="CM238" s="98">
        <f t="shared" si="152"/>
        <v>6.4878588770561629E-4</v>
      </c>
      <c r="CN238" s="94">
        <f t="shared" si="153"/>
        <v>2.2641643059490084</v>
      </c>
      <c r="CO238" s="94">
        <f t="shared" si="154"/>
        <v>1.8884997081144193</v>
      </c>
    </row>
    <row r="239" spans="1:94" ht="36.5" x14ac:dyDescent="0.35">
      <c r="A239" s="104">
        <v>102116</v>
      </c>
      <c r="B239" s="5" t="s">
        <v>581</v>
      </c>
      <c r="C239" s="46" t="s">
        <v>695</v>
      </c>
      <c r="D239" s="13" t="s">
        <v>669</v>
      </c>
      <c r="E239" s="6" t="s">
        <v>200</v>
      </c>
      <c r="F239" s="6" t="s">
        <v>670</v>
      </c>
      <c r="G239" s="12" t="s">
        <v>670</v>
      </c>
      <c r="H239" s="51" t="s">
        <v>91</v>
      </c>
      <c r="I239" s="24" t="s">
        <v>83</v>
      </c>
      <c r="J239" s="19">
        <v>220.5</v>
      </c>
      <c r="K239" s="19">
        <v>228</v>
      </c>
      <c r="L239" s="19">
        <v>103.5</v>
      </c>
      <c r="M239" s="19">
        <v>96</v>
      </c>
      <c r="N239" s="18">
        <v>261</v>
      </c>
      <c r="O239" s="18">
        <v>244</v>
      </c>
      <c r="P239" s="18">
        <v>117</v>
      </c>
      <c r="Q239" s="18">
        <v>92</v>
      </c>
      <c r="R239" s="19">
        <v>224</v>
      </c>
      <c r="S239" s="19">
        <v>247.5</v>
      </c>
      <c r="T239" s="19">
        <v>76</v>
      </c>
      <c r="U239" s="19">
        <v>112.5</v>
      </c>
      <c r="V239" s="19">
        <v>256</v>
      </c>
      <c r="W239" s="19">
        <v>256</v>
      </c>
      <c r="X239" s="19">
        <v>92</v>
      </c>
      <c r="Y239" s="19">
        <v>116</v>
      </c>
      <c r="Z239" s="19">
        <v>260</v>
      </c>
      <c r="AA239" s="19">
        <v>252</v>
      </c>
      <c r="AB239" s="19">
        <v>100</v>
      </c>
      <c r="AC239" s="19">
        <v>108</v>
      </c>
      <c r="AD239" s="19">
        <v>240</v>
      </c>
      <c r="AE239" s="19">
        <v>240</v>
      </c>
      <c r="AF239" s="19">
        <v>108</v>
      </c>
      <c r="AG239" s="19">
        <v>120</v>
      </c>
      <c r="AH239" s="19">
        <v>264</v>
      </c>
      <c r="AI239" s="19">
        <v>244</v>
      </c>
      <c r="AJ239" s="19">
        <v>120</v>
      </c>
      <c r="AK239" s="19">
        <v>116</v>
      </c>
      <c r="AL239" s="19">
        <v>232</v>
      </c>
      <c r="AM239" s="19">
        <v>237</v>
      </c>
      <c r="AN239" s="19">
        <v>104</v>
      </c>
      <c r="AO239" s="19">
        <v>105</v>
      </c>
      <c r="AP239" s="19">
        <v>224</v>
      </c>
      <c r="AQ239" s="19">
        <v>212</v>
      </c>
      <c r="AR239" s="19">
        <v>88</v>
      </c>
      <c r="AS239" s="19">
        <v>88</v>
      </c>
      <c r="AT239" s="19">
        <v>228</v>
      </c>
      <c r="AU239" s="19">
        <v>216</v>
      </c>
      <c r="AV239" s="19">
        <v>96</v>
      </c>
      <c r="AW239" s="19">
        <v>84</v>
      </c>
      <c r="AX239" s="19">
        <v>216</v>
      </c>
      <c r="AY239" s="19">
        <v>196</v>
      </c>
      <c r="AZ239" s="19">
        <v>84</v>
      </c>
      <c r="BA239" s="19">
        <v>92</v>
      </c>
      <c r="BB239" s="19">
        <v>252</v>
      </c>
      <c r="BC239" s="19">
        <v>232</v>
      </c>
      <c r="BD239" s="19">
        <v>108</v>
      </c>
      <c r="BE239" s="19">
        <v>104</v>
      </c>
      <c r="BF239" s="23">
        <v>28.8367</v>
      </c>
      <c r="BG239" s="23">
        <v>77.096999999999994</v>
      </c>
      <c r="BH239" s="31">
        <f t="shared" si="124"/>
        <v>252</v>
      </c>
      <c r="BI239" s="31">
        <f t="shared" si="125"/>
        <v>232</v>
      </c>
      <c r="BJ239" s="37">
        <f t="shared" si="126"/>
        <v>20</v>
      </c>
      <c r="BK239" s="37">
        <f t="shared" si="127"/>
        <v>8.6206896551724146</v>
      </c>
      <c r="BL239" s="36">
        <f t="shared" si="128"/>
        <v>108</v>
      </c>
      <c r="BM239" s="36">
        <f t="shared" si="129"/>
        <v>104</v>
      </c>
      <c r="BN239" s="37">
        <f t="shared" si="130"/>
        <v>4</v>
      </c>
      <c r="BO239" s="37">
        <f t="shared" si="131"/>
        <v>3.8461538461538463</v>
      </c>
      <c r="BP239" s="38">
        <f t="shared" si="132"/>
        <v>2868</v>
      </c>
      <c r="BQ239" s="39">
        <f>J239+N239+S239+W239+AA239+AE239+AI239+AM239+AQ239+AU239+Table1[[#This Row],[MS-0225]]+Table1[[#This Row],[MS-0325]]</f>
        <v>2814</v>
      </c>
      <c r="BR239" s="37">
        <f t="shared" si="133"/>
        <v>54</v>
      </c>
      <c r="BS239" s="37">
        <f t="shared" si="134"/>
        <v>1.9189765458422177</v>
      </c>
      <c r="BT239" s="36">
        <f t="shared" si="135"/>
        <v>1164</v>
      </c>
      <c r="BU239" s="36">
        <f t="shared" si="136"/>
        <v>1266</v>
      </c>
      <c r="BV239" s="37">
        <f t="shared" si="137"/>
        <v>-102</v>
      </c>
      <c r="BW239" s="37">
        <f t="shared" si="138"/>
        <v>-8.0568720379146921</v>
      </c>
      <c r="BX239">
        <v>0</v>
      </c>
      <c r="BY239" s="83">
        <f t="shared" si="139"/>
        <v>0</v>
      </c>
      <c r="BZ239">
        <v>0</v>
      </c>
      <c r="CA239" s="83">
        <f t="shared" si="140"/>
        <v>0</v>
      </c>
      <c r="CB239" s="96">
        <f t="shared" si="141"/>
        <v>0.38152914458743376</v>
      </c>
      <c r="CC239" s="96">
        <f t="shared" si="142"/>
        <v>0.39489361702127662</v>
      </c>
      <c r="CD239" s="97">
        <f t="shared" si="143"/>
        <v>-1.3364472433842867E-2</v>
      </c>
      <c r="CE239" s="96">
        <f t="shared" si="144"/>
        <v>0.37565217391304345</v>
      </c>
      <c r="CF239" s="96">
        <f t="shared" si="145"/>
        <v>0.48941176470588238</v>
      </c>
      <c r="CG239" s="96">
        <f t="shared" si="146"/>
        <v>-0.11375959079283893</v>
      </c>
      <c r="CH239" s="95">
        <f t="shared" si="147"/>
        <v>0.37794030440798576</v>
      </c>
      <c r="CI239" s="95">
        <f t="shared" si="148"/>
        <v>0.39414524826668534</v>
      </c>
      <c r="CJ239" s="98">
        <f t="shared" si="149"/>
        <v>-1.6204943858699583E-2</v>
      </c>
      <c r="CK239" s="95">
        <f t="shared" si="150"/>
        <v>0.43087173792337591</v>
      </c>
      <c r="CL239" s="95">
        <f t="shared" si="151"/>
        <v>0.38615220375171572</v>
      </c>
      <c r="CM239" s="98">
        <f t="shared" si="152"/>
        <v>4.4719534171660191E-2</v>
      </c>
      <c r="CN239" s="94">
        <f t="shared" si="153"/>
        <v>1.1338209132239574</v>
      </c>
      <c r="CO239" s="94">
        <f t="shared" si="154"/>
        <v>1.2926152137701277</v>
      </c>
    </row>
    <row r="240" spans="1:94" ht="36.5" x14ac:dyDescent="0.35">
      <c r="A240" s="104">
        <v>102110</v>
      </c>
      <c r="B240" s="5" t="s">
        <v>581</v>
      </c>
      <c r="C240" s="46" t="s">
        <v>601</v>
      </c>
      <c r="D240" s="13" t="s">
        <v>602</v>
      </c>
      <c r="E240" s="6" t="s">
        <v>89</v>
      </c>
      <c r="F240" s="6" t="s">
        <v>603</v>
      </c>
      <c r="G240" s="12" t="s">
        <v>603</v>
      </c>
      <c r="H240" s="51" t="s">
        <v>120</v>
      </c>
      <c r="I240" s="24" t="s">
        <v>86</v>
      </c>
      <c r="J240" s="19">
        <v>204</v>
      </c>
      <c r="K240" s="19">
        <v>236</v>
      </c>
      <c r="L240" s="19">
        <v>372</v>
      </c>
      <c r="M240" s="19">
        <v>376</v>
      </c>
      <c r="N240" s="18">
        <v>240</v>
      </c>
      <c r="O240" s="18">
        <v>264</v>
      </c>
      <c r="P240" s="18">
        <v>324</v>
      </c>
      <c r="Q240" s="18">
        <v>360</v>
      </c>
      <c r="R240" s="19">
        <v>284</v>
      </c>
      <c r="S240" s="19">
        <v>236</v>
      </c>
      <c r="T240" s="19">
        <v>388</v>
      </c>
      <c r="U240" s="19">
        <v>316</v>
      </c>
      <c r="V240" s="19">
        <v>300</v>
      </c>
      <c r="W240" s="19">
        <v>228</v>
      </c>
      <c r="X240" s="19">
        <v>312</v>
      </c>
      <c r="Y240" s="19">
        <v>432</v>
      </c>
      <c r="Z240" s="19">
        <v>296</v>
      </c>
      <c r="AA240" s="19">
        <v>216</v>
      </c>
      <c r="AB240" s="19">
        <v>352</v>
      </c>
      <c r="AC240" s="19">
        <v>396</v>
      </c>
      <c r="AD240" s="19">
        <v>276</v>
      </c>
      <c r="AE240" s="19">
        <v>207</v>
      </c>
      <c r="AF240" s="19">
        <v>360</v>
      </c>
      <c r="AG240" s="19">
        <v>349</v>
      </c>
      <c r="AH240" s="19">
        <v>296</v>
      </c>
      <c r="AI240" s="19">
        <v>240</v>
      </c>
      <c r="AJ240" s="19">
        <v>340</v>
      </c>
      <c r="AK240" s="19">
        <v>408</v>
      </c>
      <c r="AL240" s="19">
        <v>272</v>
      </c>
      <c r="AM240" s="19">
        <v>224</v>
      </c>
      <c r="AN240" s="19">
        <v>412</v>
      </c>
      <c r="AO240" s="19">
        <v>304</v>
      </c>
      <c r="AP240" s="19">
        <v>254</v>
      </c>
      <c r="AQ240" s="19">
        <v>228</v>
      </c>
      <c r="AR240" s="19">
        <v>402</v>
      </c>
      <c r="AS240" s="19">
        <v>312</v>
      </c>
      <c r="AT240" s="19">
        <v>248</v>
      </c>
      <c r="AU240" s="19">
        <v>224</v>
      </c>
      <c r="AV240" s="19">
        <v>328</v>
      </c>
      <c r="AW240" s="19">
        <v>388</v>
      </c>
      <c r="AX240" s="19">
        <v>232</v>
      </c>
      <c r="AY240" s="19">
        <v>200</v>
      </c>
      <c r="AZ240" s="19">
        <v>424</v>
      </c>
      <c r="BA240" s="19">
        <v>322</v>
      </c>
      <c r="BB240" s="19">
        <v>272</v>
      </c>
      <c r="BC240" s="19">
        <v>240.5</v>
      </c>
      <c r="BD240" s="19">
        <v>364</v>
      </c>
      <c r="BE240" s="19">
        <v>365.5</v>
      </c>
      <c r="BF240" s="23">
        <v>28.725899999999999</v>
      </c>
      <c r="BG240" s="23">
        <v>77.143500000000003</v>
      </c>
      <c r="BH240" s="31">
        <f t="shared" si="124"/>
        <v>272</v>
      </c>
      <c r="BI240" s="31">
        <f t="shared" si="125"/>
        <v>240.5</v>
      </c>
      <c r="BJ240" s="37">
        <f t="shared" si="126"/>
        <v>31.5</v>
      </c>
      <c r="BK240" s="37">
        <f t="shared" si="127"/>
        <v>13.097713097713099</v>
      </c>
      <c r="BL240" s="36">
        <f t="shared" si="128"/>
        <v>364</v>
      </c>
      <c r="BM240" s="36">
        <f t="shared" si="129"/>
        <v>365.5</v>
      </c>
      <c r="BN240" s="37">
        <f t="shared" si="130"/>
        <v>-1.5</v>
      </c>
      <c r="BO240" s="37">
        <f t="shared" si="131"/>
        <v>-0.41039671682626538</v>
      </c>
      <c r="BP240" s="38">
        <f t="shared" si="132"/>
        <v>3230</v>
      </c>
      <c r="BQ240" s="39">
        <f>J240+N240+S240+W240+AA240+AE240+AI240+AM240+AQ240+AU240+Table1[[#This Row],[MS-0225]]+Table1[[#This Row],[MS-0325]]</f>
        <v>2687.5</v>
      </c>
      <c r="BR240" s="37">
        <f t="shared" si="133"/>
        <v>542.5</v>
      </c>
      <c r="BS240" s="37">
        <f t="shared" si="134"/>
        <v>20.186046511627907</v>
      </c>
      <c r="BT240" s="36">
        <f t="shared" si="135"/>
        <v>4418</v>
      </c>
      <c r="BU240" s="36">
        <f t="shared" si="136"/>
        <v>4288.5</v>
      </c>
      <c r="BV240" s="37">
        <f t="shared" si="137"/>
        <v>129.5</v>
      </c>
      <c r="BW240" s="37">
        <f t="shared" si="138"/>
        <v>3.0197038591582142</v>
      </c>
      <c r="BX240">
        <v>0</v>
      </c>
      <c r="BY240" s="83">
        <f t="shared" si="139"/>
        <v>0</v>
      </c>
      <c r="BZ240">
        <v>0</v>
      </c>
      <c r="CA240" s="83">
        <f t="shared" si="140"/>
        <v>0</v>
      </c>
      <c r="CB240" s="96">
        <f t="shared" si="141"/>
        <v>0.2059825823551685</v>
      </c>
      <c r="CC240" s="96">
        <f t="shared" si="142"/>
        <v>0.18268135206988226</v>
      </c>
      <c r="CD240" s="97">
        <f t="shared" si="143"/>
        <v>2.3301230285286245E-2</v>
      </c>
      <c r="CE240" s="96">
        <f t="shared" si="144"/>
        <v>0.47180816591056385</v>
      </c>
      <c r="CF240" s="96">
        <f t="shared" si="145"/>
        <v>0.47871643745907005</v>
      </c>
      <c r="CG240" s="96">
        <f t="shared" si="146"/>
        <v>-6.9082715485062063E-3</v>
      </c>
      <c r="CH240" s="95">
        <f t="shared" si="147"/>
        <v>0.19123741859088217</v>
      </c>
      <c r="CI240" s="95">
        <f t="shared" si="148"/>
        <v>0.17449599065026133</v>
      </c>
      <c r="CJ240" s="98">
        <f t="shared" si="149"/>
        <v>1.6741427940620834E-2</v>
      </c>
      <c r="CK240" s="95">
        <f t="shared" si="150"/>
        <v>0.45294238261226166</v>
      </c>
      <c r="CL240" s="95">
        <f t="shared" si="151"/>
        <v>0.44978761340395407</v>
      </c>
      <c r="CM240" s="98">
        <f t="shared" si="152"/>
        <v>3.1547692083075951E-3</v>
      </c>
      <c r="CN240" s="94">
        <f t="shared" si="153"/>
        <v>0.76494967436352868</v>
      </c>
      <c r="CO240" s="94">
        <f t="shared" si="154"/>
        <v>1.8117695304490467</v>
      </c>
    </row>
    <row r="241" spans="1:94" ht="36.5" x14ac:dyDescent="0.35">
      <c r="A241" s="104">
        <v>106284</v>
      </c>
      <c r="B241" s="5" t="s">
        <v>581</v>
      </c>
      <c r="C241" s="46" t="s">
        <v>791</v>
      </c>
      <c r="D241" s="13" t="s">
        <v>792</v>
      </c>
      <c r="E241" s="6" t="s">
        <v>75</v>
      </c>
      <c r="F241" s="6" t="s">
        <v>667</v>
      </c>
      <c r="G241" s="12" t="s">
        <v>667</v>
      </c>
      <c r="H241" s="51" t="s">
        <v>77</v>
      </c>
      <c r="I241" s="24" t="s">
        <v>78</v>
      </c>
      <c r="J241" s="19">
        <v>234</v>
      </c>
      <c r="K241" s="19">
        <v>256</v>
      </c>
      <c r="L241" s="19">
        <v>18</v>
      </c>
      <c r="M241" s="19">
        <v>18</v>
      </c>
      <c r="N241" s="18">
        <v>243</v>
      </c>
      <c r="O241" s="18">
        <v>257.5</v>
      </c>
      <c r="P241" s="18">
        <v>27</v>
      </c>
      <c r="Q241" s="18">
        <v>22.5</v>
      </c>
      <c r="R241" s="19">
        <v>225.5</v>
      </c>
      <c r="S241" s="19">
        <v>247.5</v>
      </c>
      <c r="T241" s="19">
        <v>16.5</v>
      </c>
      <c r="U241" s="19">
        <v>22.5</v>
      </c>
      <c r="V241" s="19">
        <v>288</v>
      </c>
      <c r="W241" s="19">
        <v>267.5</v>
      </c>
      <c r="X241" s="19">
        <v>22</v>
      </c>
      <c r="Y241" s="19">
        <v>22.5</v>
      </c>
      <c r="Z241" s="19">
        <v>271</v>
      </c>
      <c r="AA241" s="19">
        <v>265.5</v>
      </c>
      <c r="AB241" s="19">
        <v>21</v>
      </c>
      <c r="AC241" s="19">
        <v>22.5</v>
      </c>
      <c r="AD241" s="19">
        <v>270</v>
      </c>
      <c r="AE241" s="19">
        <v>247.5</v>
      </c>
      <c r="AF241" s="19">
        <v>18</v>
      </c>
      <c r="AG241" s="19">
        <v>22.5</v>
      </c>
      <c r="AH241" s="19">
        <v>273.5</v>
      </c>
      <c r="AI241" s="19">
        <v>279</v>
      </c>
      <c r="AJ241" s="19">
        <v>22.5</v>
      </c>
      <c r="AK241" s="19">
        <v>27</v>
      </c>
      <c r="AL241" s="19">
        <v>260</v>
      </c>
      <c r="AM241" s="19">
        <v>236</v>
      </c>
      <c r="AN241" s="19">
        <v>18</v>
      </c>
      <c r="AO241" s="19">
        <v>18</v>
      </c>
      <c r="AP241" s="19">
        <v>244.5</v>
      </c>
      <c r="AQ241" s="19">
        <v>226</v>
      </c>
      <c r="AR241" s="19">
        <v>17.5</v>
      </c>
      <c r="AS241" s="19">
        <v>22</v>
      </c>
      <c r="AT241" s="19">
        <v>247.5</v>
      </c>
      <c r="AU241" s="19">
        <v>211.5</v>
      </c>
      <c r="AV241" s="19">
        <v>22.5</v>
      </c>
      <c r="AW241" s="19">
        <v>22.5</v>
      </c>
      <c r="AX241" s="19">
        <v>224</v>
      </c>
      <c r="AY241" s="19">
        <v>229.5</v>
      </c>
      <c r="AZ241" s="19">
        <v>22</v>
      </c>
      <c r="BA241" s="19">
        <v>22.5</v>
      </c>
      <c r="BB241" s="19">
        <v>249.5</v>
      </c>
      <c r="BC241" s="19">
        <v>229.5</v>
      </c>
      <c r="BD241" s="19">
        <v>22.5</v>
      </c>
      <c r="BE241" s="19">
        <v>22.5</v>
      </c>
      <c r="BF241" s="23">
        <v>28.625</v>
      </c>
      <c r="BG241" s="23">
        <v>77.305400000000006</v>
      </c>
      <c r="BH241" s="31">
        <f t="shared" si="124"/>
        <v>249.5</v>
      </c>
      <c r="BI241" s="31">
        <f t="shared" si="125"/>
        <v>229.5</v>
      </c>
      <c r="BJ241" s="37">
        <f t="shared" si="126"/>
        <v>20</v>
      </c>
      <c r="BK241" s="37">
        <f t="shared" si="127"/>
        <v>8.7145969498910674</v>
      </c>
      <c r="BL241" s="36">
        <f t="shared" si="128"/>
        <v>22.5</v>
      </c>
      <c r="BM241" s="36">
        <f t="shared" si="129"/>
        <v>22.5</v>
      </c>
      <c r="BN241" s="37">
        <f t="shared" si="130"/>
        <v>0</v>
      </c>
      <c r="BO241" s="37">
        <f t="shared" si="131"/>
        <v>0</v>
      </c>
      <c r="BP241" s="38">
        <f t="shared" si="132"/>
        <v>3067</v>
      </c>
      <c r="BQ241" s="39">
        <f>J241+N241+S241+W241+AA241+AE241+AI241+AM241+AQ241+AU241+Table1[[#This Row],[MS-0225]]+Table1[[#This Row],[MS-0325]]</f>
        <v>2916.5</v>
      </c>
      <c r="BR241" s="37">
        <f t="shared" si="133"/>
        <v>150.5</v>
      </c>
      <c r="BS241" s="37">
        <f t="shared" si="134"/>
        <v>5.1602948739927994</v>
      </c>
      <c r="BT241" s="36">
        <f t="shared" si="135"/>
        <v>243</v>
      </c>
      <c r="BU241" s="36">
        <f t="shared" si="136"/>
        <v>269.5</v>
      </c>
      <c r="BV241" s="37">
        <f t="shared" si="137"/>
        <v>-26.5</v>
      </c>
      <c r="BW241" s="37">
        <f t="shared" si="138"/>
        <v>-9.833024118738404</v>
      </c>
      <c r="BX241">
        <v>0</v>
      </c>
      <c r="BY241" s="83">
        <f t="shared" si="139"/>
        <v>0</v>
      </c>
      <c r="BZ241">
        <v>0</v>
      </c>
      <c r="CA241" s="83">
        <f t="shared" si="140"/>
        <v>0</v>
      </c>
      <c r="CB241" s="96">
        <f t="shared" si="141"/>
        <v>0.13630155695165255</v>
      </c>
      <c r="CC241" s="96">
        <f t="shared" si="142"/>
        <v>0.1374251497005988</v>
      </c>
      <c r="CD241" s="97">
        <f t="shared" si="143"/>
        <v>-1.1235927489462449E-3</v>
      </c>
      <c r="CE241" s="96">
        <f t="shared" si="144"/>
        <v>5.8365758754863814E-2</v>
      </c>
      <c r="CF241" s="96">
        <f t="shared" si="145"/>
        <v>5.4878048780487805E-2</v>
      </c>
      <c r="CG241" s="96">
        <f t="shared" si="146"/>
        <v>3.487709974376009E-3</v>
      </c>
      <c r="CH241" s="95">
        <f t="shared" si="147"/>
        <v>0.14622866406026508</v>
      </c>
      <c r="CI241" s="95">
        <f t="shared" si="148"/>
        <v>0.14670892125053447</v>
      </c>
      <c r="CJ241" s="98">
        <f t="shared" si="149"/>
        <v>-4.8025719026939528E-4</v>
      </c>
      <c r="CK241" s="95">
        <f t="shared" si="150"/>
        <v>5.1856594110115235E-2</v>
      </c>
      <c r="CL241" s="95">
        <f t="shared" si="151"/>
        <v>5.300422853771266E-2</v>
      </c>
      <c r="CM241" s="98">
        <f t="shared" si="152"/>
        <v>-1.1476344275974243E-3</v>
      </c>
      <c r="CN241" s="94">
        <f t="shared" si="153"/>
        <v>0.73114332030132534</v>
      </c>
      <c r="CO241" s="94">
        <f t="shared" si="154"/>
        <v>0.2592829705505762</v>
      </c>
    </row>
    <row r="242" spans="1:94" ht="24.5" x14ac:dyDescent="0.35">
      <c r="A242" s="104">
        <v>205875</v>
      </c>
      <c r="B242" s="5" t="s">
        <v>581</v>
      </c>
      <c r="C242" s="46" t="s">
        <v>805</v>
      </c>
      <c r="D242" s="13" t="s">
        <v>806</v>
      </c>
      <c r="E242" s="6" t="s">
        <v>81</v>
      </c>
      <c r="F242" s="6" t="s">
        <v>195</v>
      </c>
      <c r="G242" s="12" t="s">
        <v>195</v>
      </c>
      <c r="H242" s="51" t="s">
        <v>135</v>
      </c>
      <c r="I242" s="24" t="s">
        <v>83</v>
      </c>
      <c r="J242" s="19">
        <v>186</v>
      </c>
      <c r="K242" s="19">
        <v>216</v>
      </c>
      <c r="L242" s="19">
        <v>36</v>
      </c>
      <c r="M242" s="19">
        <v>40</v>
      </c>
      <c r="N242" s="18">
        <v>180</v>
      </c>
      <c r="O242" s="18">
        <v>238</v>
      </c>
      <c r="P242" s="18">
        <v>36</v>
      </c>
      <c r="Q242" s="18">
        <v>32</v>
      </c>
      <c r="R242" s="19">
        <v>196</v>
      </c>
      <c r="S242" s="19">
        <v>190</v>
      </c>
      <c r="T242" s="19">
        <v>32</v>
      </c>
      <c r="U242" s="19">
        <v>32</v>
      </c>
      <c r="V242" s="19">
        <v>241.5</v>
      </c>
      <c r="W242" s="19">
        <v>195</v>
      </c>
      <c r="X242" s="19">
        <v>40.5</v>
      </c>
      <c r="Y242" s="19">
        <v>41</v>
      </c>
      <c r="Z242" s="19">
        <v>238</v>
      </c>
      <c r="AA242" s="19">
        <v>216</v>
      </c>
      <c r="AB242" s="19">
        <v>32</v>
      </c>
      <c r="AC242" s="19">
        <v>36</v>
      </c>
      <c r="AD242" s="19">
        <v>226</v>
      </c>
      <c r="AE242" s="19">
        <v>214</v>
      </c>
      <c r="AF242" s="19">
        <v>32</v>
      </c>
      <c r="AG242" s="19">
        <v>40</v>
      </c>
      <c r="AH242" s="19">
        <v>222.5</v>
      </c>
      <c r="AI242" s="19">
        <v>188</v>
      </c>
      <c r="AJ242" s="19">
        <v>37.5</v>
      </c>
      <c r="AK242" s="19">
        <v>28</v>
      </c>
      <c r="AL242" s="19">
        <v>217</v>
      </c>
      <c r="AM242" s="19">
        <v>190</v>
      </c>
      <c r="AN242" s="19">
        <v>25</v>
      </c>
      <c r="AO242" s="19">
        <v>28</v>
      </c>
      <c r="AP242" s="19">
        <v>207.5</v>
      </c>
      <c r="AQ242" s="19">
        <v>200</v>
      </c>
      <c r="AR242" s="19">
        <v>28.5</v>
      </c>
      <c r="AS242" s="19">
        <v>32</v>
      </c>
      <c r="AT242" s="19">
        <v>211.5</v>
      </c>
      <c r="AU242" s="19">
        <v>196</v>
      </c>
      <c r="AV242" s="19">
        <v>28.5</v>
      </c>
      <c r="AW242" s="19">
        <v>32</v>
      </c>
      <c r="AX242" s="19">
        <v>207.5</v>
      </c>
      <c r="AY242" s="19">
        <v>181.5</v>
      </c>
      <c r="AZ242" s="19">
        <v>32.5</v>
      </c>
      <c r="BA242" s="19">
        <v>28.5</v>
      </c>
      <c r="BB242" s="19">
        <v>248</v>
      </c>
      <c r="BC242" s="19">
        <v>191</v>
      </c>
      <c r="BD242" s="19">
        <v>36</v>
      </c>
      <c r="BE242" s="19">
        <v>29</v>
      </c>
      <c r="BF242" s="23">
        <v>28.584099999999999</v>
      </c>
      <c r="BG242" s="23">
        <v>77.0608</v>
      </c>
      <c r="BH242" s="31">
        <f t="shared" si="124"/>
        <v>248</v>
      </c>
      <c r="BI242" s="31">
        <f t="shared" si="125"/>
        <v>191</v>
      </c>
      <c r="BJ242" s="37">
        <f t="shared" si="126"/>
        <v>57</v>
      </c>
      <c r="BK242" s="37">
        <f t="shared" si="127"/>
        <v>29.842931937172771</v>
      </c>
      <c r="BL242" s="36">
        <f t="shared" si="128"/>
        <v>36</v>
      </c>
      <c r="BM242" s="36">
        <f t="shared" si="129"/>
        <v>29</v>
      </c>
      <c r="BN242" s="37">
        <f t="shared" si="130"/>
        <v>7</v>
      </c>
      <c r="BO242" s="37">
        <f t="shared" si="131"/>
        <v>24.137931034482758</v>
      </c>
      <c r="BP242" s="38">
        <f t="shared" si="132"/>
        <v>2669.5</v>
      </c>
      <c r="BQ242" s="39">
        <f>J242+N242+S242+W242+AA242+AE242+AI242+AM242+AQ242+AU242+Table1[[#This Row],[MS-0225]]+Table1[[#This Row],[MS-0325]]</f>
        <v>2327.5</v>
      </c>
      <c r="BR242" s="37">
        <f t="shared" si="133"/>
        <v>342</v>
      </c>
      <c r="BS242" s="37">
        <f t="shared" si="134"/>
        <v>14.69387755102041</v>
      </c>
      <c r="BT242" s="36">
        <f t="shared" si="135"/>
        <v>396.5</v>
      </c>
      <c r="BU242" s="36">
        <f t="shared" si="136"/>
        <v>398.5</v>
      </c>
      <c r="BV242" s="37">
        <f t="shared" si="137"/>
        <v>-2</v>
      </c>
      <c r="BW242" s="37">
        <f t="shared" si="138"/>
        <v>-0.50188205771643657</v>
      </c>
      <c r="BX242">
        <v>0</v>
      </c>
      <c r="BY242" s="83">
        <f t="shared" si="139"/>
        <v>0</v>
      </c>
      <c r="BZ242">
        <v>0</v>
      </c>
      <c r="CA242" s="83">
        <f t="shared" si="140"/>
        <v>0</v>
      </c>
      <c r="CB242" s="96">
        <f t="shared" si="141"/>
        <v>6.4938465566902331E-2</v>
      </c>
      <c r="CC242" s="96">
        <f t="shared" si="142"/>
        <v>5.2733296521258972E-2</v>
      </c>
      <c r="CD242" s="97">
        <f t="shared" si="143"/>
        <v>1.2205169045643359E-2</v>
      </c>
      <c r="CE242" s="96">
        <f t="shared" si="144"/>
        <v>6.7039106145251395E-2</v>
      </c>
      <c r="CF242" s="96">
        <f t="shared" si="145"/>
        <v>5.0877192982456139E-2</v>
      </c>
      <c r="CG242" s="96">
        <f t="shared" si="146"/>
        <v>1.6161913162795256E-2</v>
      </c>
      <c r="CH242" s="95">
        <f t="shared" si="147"/>
        <v>5.9087186524712808E-2</v>
      </c>
      <c r="CI242" s="95">
        <f t="shared" si="148"/>
        <v>5.328525637609919E-2</v>
      </c>
      <c r="CJ242" s="98">
        <f t="shared" si="149"/>
        <v>5.8019301486136182E-3</v>
      </c>
      <c r="CK242" s="95">
        <f t="shared" si="150"/>
        <v>6.1846825768210885E-2</v>
      </c>
      <c r="CL242" s="95">
        <f t="shared" si="151"/>
        <v>5.638087153367289E-2</v>
      </c>
      <c r="CM242" s="98">
        <f t="shared" si="152"/>
        <v>5.4659542345379952E-3</v>
      </c>
      <c r="CN242" s="94">
        <f t="shared" si="153"/>
        <v>0.41361030567298968</v>
      </c>
      <c r="CO242" s="94">
        <f t="shared" si="154"/>
        <v>0.4329277803774762</v>
      </c>
    </row>
    <row r="243" spans="1:94" ht="24.5" x14ac:dyDescent="0.35">
      <c r="A243" s="104">
        <v>106366</v>
      </c>
      <c r="B243" s="5" t="s">
        <v>581</v>
      </c>
      <c r="C243" s="46" t="s">
        <v>721</v>
      </c>
      <c r="D243" s="13" t="s">
        <v>722</v>
      </c>
      <c r="E243" s="6" t="s">
        <v>85</v>
      </c>
      <c r="F243" s="6" t="s">
        <v>337</v>
      </c>
      <c r="G243" s="12" t="s">
        <v>337</v>
      </c>
      <c r="H243" s="51" t="s">
        <v>248</v>
      </c>
      <c r="I243" s="24" t="s">
        <v>86</v>
      </c>
      <c r="J243" s="19">
        <v>513</v>
      </c>
      <c r="K243" s="19">
        <v>573.5</v>
      </c>
      <c r="L243" s="19">
        <v>117</v>
      </c>
      <c r="M243" s="19">
        <v>100.5</v>
      </c>
      <c r="N243" s="18">
        <v>544.5</v>
      </c>
      <c r="O243" s="18">
        <v>589.5</v>
      </c>
      <c r="P243" s="18">
        <v>121.5</v>
      </c>
      <c r="Q243" s="18">
        <v>94.5</v>
      </c>
      <c r="R243" s="19">
        <v>576</v>
      </c>
      <c r="S243" s="19">
        <v>537.5</v>
      </c>
      <c r="T243" s="19">
        <v>90</v>
      </c>
      <c r="U243" s="19">
        <v>130.5</v>
      </c>
      <c r="V243" s="19">
        <v>607.5</v>
      </c>
      <c r="W243" s="19">
        <v>567</v>
      </c>
      <c r="X243" s="19">
        <v>94.5</v>
      </c>
      <c r="Y243" s="19">
        <v>117</v>
      </c>
      <c r="Z243" s="19">
        <v>607.5</v>
      </c>
      <c r="AA243" s="19">
        <v>570</v>
      </c>
      <c r="AB243" s="19">
        <v>94.5</v>
      </c>
      <c r="AC243" s="19">
        <v>118</v>
      </c>
      <c r="AD243" s="19">
        <v>562.5</v>
      </c>
      <c r="AE243" s="19">
        <v>522</v>
      </c>
      <c r="AF243" s="19">
        <v>85.5</v>
      </c>
      <c r="AG243" s="19">
        <v>108</v>
      </c>
      <c r="AH243" s="19">
        <v>603</v>
      </c>
      <c r="AI243" s="19">
        <v>576</v>
      </c>
      <c r="AJ243" s="19">
        <v>81</v>
      </c>
      <c r="AK243" s="19">
        <v>118</v>
      </c>
      <c r="AL243" s="19">
        <v>540</v>
      </c>
      <c r="AM243" s="19">
        <v>531.5</v>
      </c>
      <c r="AN243" s="19">
        <v>90</v>
      </c>
      <c r="AO243" s="19">
        <v>94.5</v>
      </c>
      <c r="AP243" s="19">
        <v>571.5</v>
      </c>
      <c r="AQ243" s="19">
        <v>526.5</v>
      </c>
      <c r="AR243" s="19">
        <v>76.5</v>
      </c>
      <c r="AS243" s="19">
        <v>85.5</v>
      </c>
      <c r="AT243" s="19">
        <v>544.5</v>
      </c>
      <c r="AU243" s="19">
        <v>514</v>
      </c>
      <c r="AV243" s="19">
        <v>85.5</v>
      </c>
      <c r="AW243" s="19">
        <v>82</v>
      </c>
      <c r="AX243" s="19">
        <v>517.5</v>
      </c>
      <c r="AY243" s="19">
        <v>472.5</v>
      </c>
      <c r="AZ243" s="19">
        <v>76.5</v>
      </c>
      <c r="BA243" s="19">
        <v>85.5</v>
      </c>
      <c r="BB243" s="19">
        <v>594</v>
      </c>
      <c r="BC243" s="19">
        <v>539.5</v>
      </c>
      <c r="BD243" s="19">
        <v>90</v>
      </c>
      <c r="BE243" s="19">
        <v>92.5</v>
      </c>
      <c r="BF243" s="23">
        <v>28.653099999999998</v>
      </c>
      <c r="BG243" s="23">
        <v>77.123699999999999</v>
      </c>
      <c r="BH243" s="31">
        <f t="shared" si="124"/>
        <v>594</v>
      </c>
      <c r="BI243" s="31">
        <f t="shared" si="125"/>
        <v>539.5</v>
      </c>
      <c r="BJ243" s="37">
        <f t="shared" si="126"/>
        <v>54.5</v>
      </c>
      <c r="BK243" s="37">
        <f t="shared" si="127"/>
        <v>10.101946246524559</v>
      </c>
      <c r="BL243" s="36">
        <f t="shared" si="128"/>
        <v>90</v>
      </c>
      <c r="BM243" s="36">
        <f t="shared" si="129"/>
        <v>92.5</v>
      </c>
      <c r="BN243" s="37">
        <f t="shared" si="130"/>
        <v>-2.5</v>
      </c>
      <c r="BO243" s="37">
        <f t="shared" si="131"/>
        <v>-2.7027027027027026</v>
      </c>
      <c r="BP243" s="38">
        <f t="shared" si="132"/>
        <v>6887</v>
      </c>
      <c r="BQ243" s="39">
        <f>J243+N243+S243+W243+AA243+AE243+AI243+AM243+AQ243+AU243+Table1[[#This Row],[MS-0225]]+Table1[[#This Row],[MS-0325]]</f>
        <v>6414</v>
      </c>
      <c r="BR243" s="37">
        <f t="shared" si="133"/>
        <v>473</v>
      </c>
      <c r="BS243" s="37">
        <f t="shared" si="134"/>
        <v>7.374493295915185</v>
      </c>
      <c r="BT243" s="36">
        <f t="shared" si="135"/>
        <v>1059</v>
      </c>
      <c r="BU243" s="36">
        <f t="shared" si="136"/>
        <v>1270</v>
      </c>
      <c r="BV243" s="37">
        <f t="shared" si="137"/>
        <v>-211</v>
      </c>
      <c r="BW243" s="37">
        <f t="shared" si="138"/>
        <v>-16.614173228346456</v>
      </c>
      <c r="BX243">
        <v>0</v>
      </c>
      <c r="BY243" s="83">
        <f t="shared" si="139"/>
        <v>0</v>
      </c>
      <c r="BZ243">
        <v>0</v>
      </c>
      <c r="CA243" s="83">
        <f t="shared" si="140"/>
        <v>0</v>
      </c>
      <c r="CB243" s="96">
        <f t="shared" si="141"/>
        <v>0.20585687055969504</v>
      </c>
      <c r="CC243" s="96">
        <f t="shared" si="142"/>
        <v>0.19823626676465184</v>
      </c>
      <c r="CD243" s="97">
        <f t="shared" si="143"/>
        <v>7.6206037950432015E-3</v>
      </c>
      <c r="CE243" s="96">
        <f t="shared" si="144"/>
        <v>0.23529411764705882</v>
      </c>
      <c r="CF243" s="96">
        <f t="shared" si="145"/>
        <v>0.22755227552275523</v>
      </c>
      <c r="CG243" s="96">
        <f t="shared" si="146"/>
        <v>7.741842124303594E-3</v>
      </c>
      <c r="CH243" s="95">
        <f t="shared" si="147"/>
        <v>0.20021221855604168</v>
      </c>
      <c r="CI243" s="95">
        <f t="shared" si="148"/>
        <v>0.19618878650638844</v>
      </c>
      <c r="CJ243" s="98">
        <f t="shared" si="149"/>
        <v>4.0234320496532472E-3</v>
      </c>
      <c r="CK243" s="95">
        <f t="shared" si="150"/>
        <v>0.23084468664850136</v>
      </c>
      <c r="CL243" s="95">
        <f t="shared" si="151"/>
        <v>0.23881158330199323</v>
      </c>
      <c r="CM243" s="98">
        <f t="shared" si="152"/>
        <v>-7.9668966534918728E-3</v>
      </c>
      <c r="CN243" s="94">
        <f t="shared" si="153"/>
        <v>1.0010610927802084</v>
      </c>
      <c r="CO243" s="94">
        <f t="shared" si="154"/>
        <v>1.1542234332425068</v>
      </c>
    </row>
    <row r="244" spans="1:94" ht="36.5" x14ac:dyDescent="0.35">
      <c r="A244" s="104">
        <v>106274</v>
      </c>
      <c r="B244" s="5" t="s">
        <v>581</v>
      </c>
      <c r="C244" s="46" t="s">
        <v>781</v>
      </c>
      <c r="D244" s="13" t="s">
        <v>782</v>
      </c>
      <c r="E244" s="6" t="s">
        <v>111</v>
      </c>
      <c r="F244" s="6" t="s">
        <v>274</v>
      </c>
      <c r="G244" s="12" t="s">
        <v>274</v>
      </c>
      <c r="H244" s="51" t="s">
        <v>275</v>
      </c>
      <c r="I244" s="24" t="s">
        <v>78</v>
      </c>
      <c r="J244" s="19">
        <v>220.5</v>
      </c>
      <c r="K244" s="19">
        <v>243</v>
      </c>
      <c r="L244" s="19">
        <v>85.5</v>
      </c>
      <c r="M244" s="19">
        <v>179</v>
      </c>
      <c r="N244" s="18">
        <v>261</v>
      </c>
      <c r="O244" s="18">
        <v>263.5</v>
      </c>
      <c r="P244" s="18">
        <v>99</v>
      </c>
      <c r="Q244" s="18">
        <v>210.5</v>
      </c>
      <c r="R244" s="19">
        <v>218.5</v>
      </c>
      <c r="S244" s="19">
        <v>262.5</v>
      </c>
      <c r="T244" s="19">
        <v>219.5</v>
      </c>
      <c r="U244" s="19">
        <v>81.5</v>
      </c>
      <c r="V244" s="19">
        <v>287</v>
      </c>
      <c r="W244" s="19">
        <v>279</v>
      </c>
      <c r="X244" s="19">
        <v>135</v>
      </c>
      <c r="Y244" s="19">
        <v>99</v>
      </c>
      <c r="Z244" s="19">
        <v>244.5</v>
      </c>
      <c r="AA244" s="19">
        <v>288</v>
      </c>
      <c r="AB244" s="19">
        <v>189.5</v>
      </c>
      <c r="AC244" s="19">
        <v>90</v>
      </c>
      <c r="AD244" s="19">
        <v>242.5</v>
      </c>
      <c r="AE244" s="19">
        <v>257.5</v>
      </c>
      <c r="AF244" s="19">
        <v>217.5</v>
      </c>
      <c r="AG244" s="19">
        <v>98.5</v>
      </c>
      <c r="AH244" s="19">
        <v>241</v>
      </c>
      <c r="AI244" s="19">
        <v>274.5</v>
      </c>
      <c r="AJ244" s="19">
        <v>239</v>
      </c>
      <c r="AK244" s="19">
        <v>85.5</v>
      </c>
      <c r="AL244" s="19">
        <v>231</v>
      </c>
      <c r="AM244" s="19">
        <v>243</v>
      </c>
      <c r="AN244" s="19">
        <v>243</v>
      </c>
      <c r="AO244" s="19">
        <v>81</v>
      </c>
      <c r="AP244" s="19">
        <v>238.5</v>
      </c>
      <c r="AQ244" s="19">
        <v>243</v>
      </c>
      <c r="AR244" s="19">
        <v>257.5</v>
      </c>
      <c r="AS244" s="19">
        <v>63</v>
      </c>
      <c r="AT244" s="19">
        <v>235</v>
      </c>
      <c r="AU244" s="19">
        <v>225</v>
      </c>
      <c r="AV244" s="19">
        <v>245</v>
      </c>
      <c r="AW244" s="19">
        <v>81</v>
      </c>
      <c r="AX244" s="19">
        <v>220</v>
      </c>
      <c r="AY244" s="19">
        <v>239.5</v>
      </c>
      <c r="AZ244" s="19">
        <v>220</v>
      </c>
      <c r="BA244" s="19">
        <v>86.5</v>
      </c>
      <c r="BB244" s="19">
        <v>245</v>
      </c>
      <c r="BC244" s="19">
        <v>241</v>
      </c>
      <c r="BD244" s="19">
        <v>229</v>
      </c>
      <c r="BE244" s="19">
        <v>123</v>
      </c>
      <c r="BF244" s="23">
        <v>28.527699999999999</v>
      </c>
      <c r="BG244" s="23">
        <v>77.2727</v>
      </c>
      <c r="BH244" s="31">
        <f t="shared" si="124"/>
        <v>245</v>
      </c>
      <c r="BI244" s="31">
        <f t="shared" si="125"/>
        <v>241</v>
      </c>
      <c r="BJ244" s="37">
        <f t="shared" si="126"/>
        <v>4</v>
      </c>
      <c r="BK244" s="37">
        <f t="shared" si="127"/>
        <v>1.6597510373443984</v>
      </c>
      <c r="BL244" s="36">
        <f t="shared" si="128"/>
        <v>229</v>
      </c>
      <c r="BM244" s="36">
        <f t="shared" si="129"/>
        <v>123</v>
      </c>
      <c r="BN244" s="37">
        <f t="shared" si="130"/>
        <v>106</v>
      </c>
      <c r="BO244" s="37">
        <f t="shared" si="131"/>
        <v>86.178861788617894</v>
      </c>
      <c r="BP244" s="38">
        <f t="shared" si="132"/>
        <v>2909.5</v>
      </c>
      <c r="BQ244" s="39">
        <f>J244+N244+S244+W244+AA244+AE244+AI244+AM244+AQ244+AU244+Table1[[#This Row],[MS-0225]]+Table1[[#This Row],[MS-0325]]</f>
        <v>3034.5</v>
      </c>
      <c r="BR244" s="37">
        <f t="shared" si="133"/>
        <v>-125</v>
      </c>
      <c r="BS244" s="37">
        <f t="shared" si="134"/>
        <v>-4.1192947767342236</v>
      </c>
      <c r="BT244" s="36">
        <f t="shared" si="135"/>
        <v>2584.5</v>
      </c>
      <c r="BU244" s="36">
        <f t="shared" si="136"/>
        <v>1073.5</v>
      </c>
      <c r="BV244" s="37">
        <f t="shared" si="137"/>
        <v>1511</v>
      </c>
      <c r="BW244" s="37">
        <f t="shared" si="138"/>
        <v>140.75454122030743</v>
      </c>
      <c r="BX244">
        <v>0</v>
      </c>
      <c r="BY244" s="83">
        <f t="shared" si="139"/>
        <v>0</v>
      </c>
      <c r="BZ244">
        <v>0</v>
      </c>
      <c r="CA244" s="83">
        <f t="shared" si="140"/>
        <v>0</v>
      </c>
      <c r="CB244" s="96">
        <f t="shared" si="141"/>
        <v>0.68055555555555558</v>
      </c>
      <c r="CC244" s="96">
        <f t="shared" si="142"/>
        <v>0.68955650929899859</v>
      </c>
      <c r="CD244" s="97">
        <f t="shared" si="143"/>
        <v>-9.0009537434430076E-3</v>
      </c>
      <c r="CE244" s="96">
        <f t="shared" si="144"/>
        <v>0.61559139784946237</v>
      </c>
      <c r="CF244" s="96">
        <f t="shared" si="145"/>
        <v>0.51572327044025157</v>
      </c>
      <c r="CG244" s="96">
        <f t="shared" si="146"/>
        <v>9.9868127409210805E-2</v>
      </c>
      <c r="CH244" s="95">
        <f t="shared" si="147"/>
        <v>0.66004990925589835</v>
      </c>
      <c r="CI244" s="95">
        <f t="shared" si="148"/>
        <v>0.68045745038681471</v>
      </c>
      <c r="CJ244" s="98">
        <f t="shared" si="149"/>
        <v>-2.0407541130916362E-2</v>
      </c>
      <c r="CK244" s="95">
        <f t="shared" si="150"/>
        <v>0.60470285446888161</v>
      </c>
      <c r="CL244" s="95">
        <f t="shared" si="151"/>
        <v>0.44757139879091101</v>
      </c>
      <c r="CM244" s="98">
        <f t="shared" si="152"/>
        <v>0.1571314556779706</v>
      </c>
      <c r="CN244" s="94">
        <f t="shared" si="153"/>
        <v>1.3200998185117967</v>
      </c>
      <c r="CO244" s="94">
        <f t="shared" si="154"/>
        <v>1.2094057089377632</v>
      </c>
    </row>
    <row r="245" spans="1:94" ht="36.5" x14ac:dyDescent="0.35">
      <c r="A245" s="104">
        <v>206614</v>
      </c>
      <c r="B245" s="5" t="s">
        <v>581</v>
      </c>
      <c r="C245" s="46" t="s">
        <v>931</v>
      </c>
      <c r="D245" s="13" t="s">
        <v>932</v>
      </c>
      <c r="E245" s="6" t="s">
        <v>81</v>
      </c>
      <c r="F245" s="6" t="s">
        <v>933</v>
      </c>
      <c r="G245" s="12" t="s">
        <v>933</v>
      </c>
      <c r="H245" s="51" t="s">
        <v>141</v>
      </c>
      <c r="I245" s="24" t="s">
        <v>83</v>
      </c>
      <c r="J245" s="19">
        <v>193.5</v>
      </c>
      <c r="K245" s="19">
        <v>203</v>
      </c>
      <c r="L245" s="19">
        <v>76.5</v>
      </c>
      <c r="M245" s="19">
        <v>79</v>
      </c>
      <c r="N245" s="18">
        <v>191</v>
      </c>
      <c r="O245" s="18">
        <v>188</v>
      </c>
      <c r="P245" s="18">
        <v>85</v>
      </c>
      <c r="Q245" s="18">
        <v>68</v>
      </c>
      <c r="R245" s="19">
        <v>209</v>
      </c>
      <c r="S245" s="19">
        <v>176.5</v>
      </c>
      <c r="T245" s="19">
        <v>73</v>
      </c>
      <c r="U245" s="19">
        <v>77.5</v>
      </c>
      <c r="V245" s="19">
        <v>224</v>
      </c>
      <c r="W245" s="19">
        <v>200.5</v>
      </c>
      <c r="X245" s="19">
        <v>70</v>
      </c>
      <c r="Y245" s="19">
        <v>71.5</v>
      </c>
      <c r="Z245" s="19">
        <v>235.5</v>
      </c>
      <c r="AA245" s="19">
        <v>193.5</v>
      </c>
      <c r="AB245" s="19">
        <v>80.5</v>
      </c>
      <c r="AC245" s="19">
        <v>72.5</v>
      </c>
      <c r="AD245" s="19">
        <v>238.5</v>
      </c>
      <c r="AE245" s="19">
        <v>189</v>
      </c>
      <c r="AF245" s="19">
        <v>93.5</v>
      </c>
      <c r="AG245" s="19">
        <v>73</v>
      </c>
      <c r="AH245" s="19">
        <v>258.5</v>
      </c>
      <c r="AI245" s="19">
        <v>199.5</v>
      </c>
      <c r="AJ245" s="19">
        <v>79.5</v>
      </c>
      <c r="AK245" s="19">
        <v>82.5</v>
      </c>
      <c r="AL245" s="19">
        <v>233</v>
      </c>
      <c r="AM245" s="19">
        <v>198.5</v>
      </c>
      <c r="AN245" s="19">
        <v>79</v>
      </c>
      <c r="AO245" s="19">
        <v>61.5</v>
      </c>
      <c r="AP245" s="19">
        <v>231</v>
      </c>
      <c r="AQ245" s="19">
        <v>183.5</v>
      </c>
      <c r="AR245" s="19">
        <v>75</v>
      </c>
      <c r="AS245" s="19">
        <v>52.5</v>
      </c>
      <c r="AT245" s="19">
        <v>208</v>
      </c>
      <c r="AU245" s="19">
        <v>167.5</v>
      </c>
      <c r="AV245" s="19">
        <v>74</v>
      </c>
      <c r="AW245" s="19">
        <v>80.5</v>
      </c>
      <c r="AX245" s="19">
        <v>221</v>
      </c>
      <c r="AY245" s="19">
        <v>186.5</v>
      </c>
      <c r="AZ245" s="19">
        <v>81</v>
      </c>
      <c r="BA245" s="19">
        <v>69.5</v>
      </c>
      <c r="BB245" s="19">
        <v>244</v>
      </c>
      <c r="BC245" s="19">
        <v>191</v>
      </c>
      <c r="BD245" s="19">
        <v>98</v>
      </c>
      <c r="BE245" s="19">
        <v>67</v>
      </c>
      <c r="BF245" s="23">
        <v>28.6250477</v>
      </c>
      <c r="BG245" s="23">
        <v>76.990281800000005</v>
      </c>
      <c r="BH245" s="31">
        <f t="shared" si="124"/>
        <v>244</v>
      </c>
      <c r="BI245" s="31">
        <f t="shared" si="125"/>
        <v>191</v>
      </c>
      <c r="BJ245" s="37">
        <f t="shared" si="126"/>
        <v>53</v>
      </c>
      <c r="BK245" s="37">
        <f t="shared" si="127"/>
        <v>27.748691099476442</v>
      </c>
      <c r="BL245" s="36">
        <f t="shared" si="128"/>
        <v>98</v>
      </c>
      <c r="BM245" s="36">
        <f t="shared" si="129"/>
        <v>67</v>
      </c>
      <c r="BN245" s="37">
        <f t="shared" si="130"/>
        <v>31</v>
      </c>
      <c r="BO245" s="37">
        <f t="shared" si="131"/>
        <v>46.268656716417908</v>
      </c>
      <c r="BP245" s="38">
        <f t="shared" si="132"/>
        <v>2693.5</v>
      </c>
      <c r="BQ245" s="39">
        <f>J245+N245+S245+W245+AA245+AE245+AI245+AM245+AQ245+AU245+Table1[[#This Row],[MS-0225]]+Table1[[#This Row],[MS-0325]]</f>
        <v>2270.5</v>
      </c>
      <c r="BR245" s="37">
        <f t="shared" si="133"/>
        <v>423</v>
      </c>
      <c r="BS245" s="37">
        <f t="shared" si="134"/>
        <v>18.630257652499449</v>
      </c>
      <c r="BT245" s="36">
        <f t="shared" si="135"/>
        <v>950.5</v>
      </c>
      <c r="BU245" s="36">
        <f t="shared" si="136"/>
        <v>869.5</v>
      </c>
      <c r="BV245" s="37">
        <f t="shared" si="137"/>
        <v>81</v>
      </c>
      <c r="BW245" s="37">
        <f t="shared" si="138"/>
        <v>9.315698677400805</v>
      </c>
      <c r="BX245">
        <v>0</v>
      </c>
      <c r="BY245" s="83">
        <f t="shared" si="139"/>
        <v>0</v>
      </c>
      <c r="BZ245">
        <v>0</v>
      </c>
      <c r="CA245" s="83">
        <f t="shared" si="140"/>
        <v>0</v>
      </c>
      <c r="CB245" s="96">
        <f t="shared" si="141"/>
        <v>1</v>
      </c>
      <c r="CC245" s="96">
        <f t="shared" si="142"/>
        <v>1</v>
      </c>
      <c r="CD245" s="97">
        <f t="shared" si="143"/>
        <v>0</v>
      </c>
      <c r="CE245" s="96">
        <f t="shared" si="144"/>
        <v>1</v>
      </c>
      <c r="CF245" s="96">
        <f t="shared" si="145"/>
        <v>1</v>
      </c>
      <c r="CG245" s="96">
        <f t="shared" si="146"/>
        <v>0</v>
      </c>
      <c r="CH245" s="95">
        <f t="shared" si="147"/>
        <v>1</v>
      </c>
      <c r="CI245" s="95">
        <f t="shared" si="148"/>
        <v>1</v>
      </c>
      <c r="CJ245" s="98">
        <f t="shared" si="149"/>
        <v>0</v>
      </c>
      <c r="CK245" s="95">
        <f t="shared" si="150"/>
        <v>1</v>
      </c>
      <c r="CL245" s="95">
        <f t="shared" si="151"/>
        <v>1</v>
      </c>
      <c r="CM245" s="98">
        <f t="shared" si="152"/>
        <v>0</v>
      </c>
      <c r="CN245" s="94">
        <f t="shared" si="153"/>
        <v>1</v>
      </c>
      <c r="CO245" s="94">
        <f t="shared" si="154"/>
        <v>1</v>
      </c>
    </row>
    <row r="246" spans="1:94" x14ac:dyDescent="0.35">
      <c r="A246" s="104">
        <v>107630</v>
      </c>
      <c r="B246" s="5" t="s">
        <v>581</v>
      </c>
      <c r="C246" s="46" t="s">
        <v>925</v>
      </c>
      <c r="D246" s="13" t="s">
        <v>550</v>
      </c>
      <c r="E246" s="6" t="s">
        <v>85</v>
      </c>
      <c r="F246" s="6" t="s">
        <v>303</v>
      </c>
      <c r="G246" s="12" t="s">
        <v>303</v>
      </c>
      <c r="H246" s="51" t="s">
        <v>304</v>
      </c>
      <c r="I246" s="24" t="s">
        <v>86</v>
      </c>
      <c r="J246" s="19">
        <v>189.5</v>
      </c>
      <c r="K246" s="19">
        <v>204.5</v>
      </c>
      <c r="L246" s="19">
        <v>62.5</v>
      </c>
      <c r="M246" s="19">
        <v>49.5</v>
      </c>
      <c r="N246" s="18">
        <v>209</v>
      </c>
      <c r="O246" s="18">
        <v>201</v>
      </c>
      <c r="P246" s="18">
        <v>79</v>
      </c>
      <c r="Q246" s="18">
        <v>49</v>
      </c>
      <c r="R246" s="19">
        <v>200</v>
      </c>
      <c r="S246" s="19">
        <v>189.5</v>
      </c>
      <c r="T246" s="19">
        <v>58</v>
      </c>
      <c r="U246" s="19">
        <v>56.5</v>
      </c>
      <c r="V246" s="19">
        <v>211</v>
      </c>
      <c r="W246" s="19">
        <v>217</v>
      </c>
      <c r="X246" s="19">
        <v>45</v>
      </c>
      <c r="Y246" s="19">
        <v>67</v>
      </c>
      <c r="Z246" s="19">
        <v>220.5</v>
      </c>
      <c r="AA246" s="19">
        <v>208.5</v>
      </c>
      <c r="AB246" s="19">
        <v>53.5</v>
      </c>
      <c r="AC246" s="19">
        <v>67.5</v>
      </c>
      <c r="AD246" s="19">
        <v>210</v>
      </c>
      <c r="AE246" s="19">
        <v>186</v>
      </c>
      <c r="AF246" s="19">
        <v>44</v>
      </c>
      <c r="AG246" s="19">
        <v>64</v>
      </c>
      <c r="AH246" s="19">
        <v>215</v>
      </c>
      <c r="AI246" s="19">
        <v>211.5</v>
      </c>
      <c r="AJ246" s="19">
        <v>45</v>
      </c>
      <c r="AK246" s="19">
        <v>80.5</v>
      </c>
      <c r="AL246" s="19">
        <v>180.5</v>
      </c>
      <c r="AM246" s="19">
        <v>212</v>
      </c>
      <c r="AN246" s="19">
        <v>35.5</v>
      </c>
      <c r="AO246" s="19">
        <v>66</v>
      </c>
      <c r="AP246" s="19">
        <v>211.5</v>
      </c>
      <c r="AQ246" s="19">
        <v>216</v>
      </c>
      <c r="AR246" s="19">
        <v>40.5</v>
      </c>
      <c r="AS246" s="19">
        <v>66</v>
      </c>
      <c r="AT246" s="19">
        <v>203.5</v>
      </c>
      <c r="AU246" s="19">
        <v>201</v>
      </c>
      <c r="AV246" s="19">
        <v>26.5</v>
      </c>
      <c r="AW246" s="19">
        <v>61</v>
      </c>
      <c r="AX246" s="19">
        <v>173</v>
      </c>
      <c r="AY246" s="19">
        <v>175.5</v>
      </c>
      <c r="AZ246" s="19">
        <v>31</v>
      </c>
      <c r="BA246" s="19">
        <v>58.5</v>
      </c>
      <c r="BB246" s="19">
        <v>214.5</v>
      </c>
      <c r="BC246" s="19">
        <v>200.5</v>
      </c>
      <c r="BD246" s="19">
        <v>49.5</v>
      </c>
      <c r="BE246" s="19">
        <v>53.5</v>
      </c>
      <c r="BF246" s="23">
        <v>28.622499999999999</v>
      </c>
      <c r="BG246" s="23">
        <v>77.110600000000005</v>
      </c>
      <c r="BH246" s="31">
        <f t="shared" si="124"/>
        <v>214.5</v>
      </c>
      <c r="BI246" s="31">
        <f t="shared" si="125"/>
        <v>200.5</v>
      </c>
      <c r="BJ246" s="37">
        <f t="shared" si="126"/>
        <v>14</v>
      </c>
      <c r="BK246" s="37">
        <f t="shared" si="127"/>
        <v>6.982543640897755</v>
      </c>
      <c r="BL246" s="36">
        <f t="shared" si="128"/>
        <v>49.5</v>
      </c>
      <c r="BM246" s="36">
        <f t="shared" si="129"/>
        <v>53.5</v>
      </c>
      <c r="BN246" s="37">
        <f t="shared" si="130"/>
        <v>-4</v>
      </c>
      <c r="BO246" s="37">
        <f t="shared" si="131"/>
        <v>-7.4766355140186906</v>
      </c>
      <c r="BP246" s="38">
        <f t="shared" si="132"/>
        <v>2445</v>
      </c>
      <c r="BQ246" s="39">
        <f>J246+N246+S246+W246+AA246+AE246+AI246+AM246+AQ246+AU246+Table1[[#This Row],[MS-0225]]+Table1[[#This Row],[MS-0325]]</f>
        <v>2416</v>
      </c>
      <c r="BR246" s="37">
        <f t="shared" si="133"/>
        <v>29</v>
      </c>
      <c r="BS246" s="37">
        <f t="shared" si="134"/>
        <v>1.2003311258278146</v>
      </c>
      <c r="BT246" s="36">
        <f t="shared" si="135"/>
        <v>527</v>
      </c>
      <c r="BU246" s="36">
        <f t="shared" si="136"/>
        <v>782</v>
      </c>
      <c r="BV246" s="37">
        <f t="shared" si="137"/>
        <v>-255</v>
      </c>
      <c r="BW246" s="37">
        <f t="shared" si="138"/>
        <v>-32.608695652173914</v>
      </c>
      <c r="BX246">
        <v>0</v>
      </c>
      <c r="BY246" s="83">
        <f t="shared" si="139"/>
        <v>0</v>
      </c>
      <c r="BZ246">
        <v>0</v>
      </c>
      <c r="CA246" s="83">
        <f t="shared" si="140"/>
        <v>0</v>
      </c>
      <c r="CB246" s="96">
        <f t="shared" si="141"/>
        <v>0.13763233878729547</v>
      </c>
      <c r="CC246" s="96">
        <f t="shared" si="142"/>
        <v>0.13658038147138965</v>
      </c>
      <c r="CD246" s="97">
        <f t="shared" si="143"/>
        <v>1.0519573159058215E-3</v>
      </c>
      <c r="CE246" s="96">
        <f t="shared" si="144"/>
        <v>0.16751269035532995</v>
      </c>
      <c r="CF246" s="96">
        <f t="shared" si="145"/>
        <v>0.15828402366863906</v>
      </c>
      <c r="CG246" s="96">
        <f t="shared" si="146"/>
        <v>9.2286666866908951E-3</v>
      </c>
      <c r="CH246" s="95">
        <f t="shared" si="147"/>
        <v>0.13302864604586631</v>
      </c>
      <c r="CI246" s="95">
        <f t="shared" si="148"/>
        <v>0.13889447801986737</v>
      </c>
      <c r="CJ246" s="98">
        <f t="shared" si="149"/>
        <v>-5.8658319740010623E-3</v>
      </c>
      <c r="CK246" s="95">
        <f t="shared" si="150"/>
        <v>0.14252873563218391</v>
      </c>
      <c r="CL246" s="95">
        <f t="shared" si="151"/>
        <v>0.20668693009118541</v>
      </c>
      <c r="CM246" s="98">
        <f t="shared" si="152"/>
        <v>-6.4158194459001505E-2</v>
      </c>
      <c r="CN246" s="94">
        <f t="shared" si="153"/>
        <v>0.66514323022933153</v>
      </c>
      <c r="CO246" s="94">
        <f t="shared" si="154"/>
        <v>0.71264367816091956</v>
      </c>
    </row>
    <row r="247" spans="1:94" ht="24.5" x14ac:dyDescent="0.35">
      <c r="A247" s="102">
        <v>148414</v>
      </c>
      <c r="B247" s="3" t="s">
        <v>72</v>
      </c>
      <c r="C247" s="41" t="s">
        <v>262</v>
      </c>
      <c r="D247" s="12" t="s">
        <v>263</v>
      </c>
      <c r="E247" s="4" t="s">
        <v>200</v>
      </c>
      <c r="F247" s="4" t="s">
        <v>260</v>
      </c>
      <c r="G247" s="12" t="s">
        <v>260</v>
      </c>
      <c r="H247" s="51" t="s">
        <v>261</v>
      </c>
      <c r="I247" s="23" t="s">
        <v>83</v>
      </c>
      <c r="J247" s="90">
        <v>187</v>
      </c>
      <c r="K247" s="90">
        <v>187</v>
      </c>
      <c r="L247" s="90">
        <v>299</v>
      </c>
      <c r="M247" s="90">
        <v>341</v>
      </c>
      <c r="N247" s="18">
        <v>199</v>
      </c>
      <c r="O247" s="18">
        <v>202</v>
      </c>
      <c r="P247" s="18">
        <v>305</v>
      </c>
      <c r="Q247" s="18">
        <v>326</v>
      </c>
      <c r="R247" s="90">
        <v>182</v>
      </c>
      <c r="S247" s="90">
        <v>216</v>
      </c>
      <c r="T247" s="90">
        <v>274</v>
      </c>
      <c r="U247" s="90">
        <v>336</v>
      </c>
      <c r="V247" s="90">
        <v>198</v>
      </c>
      <c r="W247" s="90">
        <v>210</v>
      </c>
      <c r="X247" s="90">
        <v>282</v>
      </c>
      <c r="Y247" s="90">
        <v>342</v>
      </c>
      <c r="Z247" s="90">
        <v>215</v>
      </c>
      <c r="AA247" s="90">
        <v>200</v>
      </c>
      <c r="AB247" s="90">
        <v>361</v>
      </c>
      <c r="AC247" s="90">
        <v>328</v>
      </c>
      <c r="AD247" s="90">
        <v>233</v>
      </c>
      <c r="AE247" s="90">
        <v>191</v>
      </c>
      <c r="AF247" s="90">
        <v>415</v>
      </c>
      <c r="AG247" s="90">
        <v>361</v>
      </c>
      <c r="AH247" s="90">
        <v>227</v>
      </c>
      <c r="AI247" s="90">
        <v>182</v>
      </c>
      <c r="AJ247" s="90">
        <v>421</v>
      </c>
      <c r="AK247" s="90">
        <v>370</v>
      </c>
      <c r="AL247" s="90">
        <v>252</v>
      </c>
      <c r="AM247" s="90">
        <v>202</v>
      </c>
      <c r="AN247" s="90">
        <v>396</v>
      </c>
      <c r="AO247" s="90">
        <v>278</v>
      </c>
      <c r="AP247" s="90">
        <v>235</v>
      </c>
      <c r="AQ247" s="90">
        <v>177</v>
      </c>
      <c r="AR247" s="90">
        <v>361</v>
      </c>
      <c r="AS247" s="90">
        <v>303</v>
      </c>
      <c r="AT247" s="90">
        <v>219</v>
      </c>
      <c r="AU247" s="90">
        <v>177</v>
      </c>
      <c r="AV247" s="90">
        <v>357</v>
      </c>
      <c r="AW247" s="90">
        <v>303</v>
      </c>
      <c r="AX247" s="90">
        <v>239</v>
      </c>
      <c r="AY247" s="90">
        <v>173</v>
      </c>
      <c r="AZ247" s="90">
        <v>385</v>
      </c>
      <c r="BA247" s="90">
        <v>307</v>
      </c>
      <c r="BB247" s="90">
        <v>243</v>
      </c>
      <c r="BC247" s="90">
        <v>198</v>
      </c>
      <c r="BD247" s="90">
        <v>357</v>
      </c>
      <c r="BE247" s="90">
        <v>354</v>
      </c>
      <c r="BF247" s="23">
        <v>28.798310000000001</v>
      </c>
      <c r="BG247" s="23">
        <v>77.144279999999995</v>
      </c>
      <c r="BH247" s="31">
        <f t="shared" si="124"/>
        <v>243</v>
      </c>
      <c r="BI247" s="31">
        <f t="shared" si="125"/>
        <v>198</v>
      </c>
      <c r="BJ247" s="37">
        <f t="shared" si="126"/>
        <v>45</v>
      </c>
      <c r="BK247" s="37">
        <f t="shared" si="127"/>
        <v>22.727272727272727</v>
      </c>
      <c r="BL247" s="36">
        <f t="shared" si="128"/>
        <v>357</v>
      </c>
      <c r="BM247" s="36">
        <f t="shared" si="129"/>
        <v>354</v>
      </c>
      <c r="BN247" s="37">
        <f t="shared" si="130"/>
        <v>3</v>
      </c>
      <c r="BO247" s="37">
        <f t="shared" si="131"/>
        <v>0.84745762711864403</v>
      </c>
      <c r="BP247" s="38">
        <f t="shared" si="132"/>
        <v>2632</v>
      </c>
      <c r="BQ247" s="39">
        <f>J247+N247+S247+W247+AA247+AE247+AI247+AM247+AQ247+AU247+Table1[[#This Row],[MS-0225]]+Table1[[#This Row],[MS-0325]]</f>
        <v>2312</v>
      </c>
      <c r="BR247" s="37">
        <f t="shared" si="133"/>
        <v>320</v>
      </c>
      <c r="BS247" s="37">
        <f t="shared" si="134"/>
        <v>13.84083044982699</v>
      </c>
      <c r="BT247" s="36">
        <f t="shared" si="135"/>
        <v>4276</v>
      </c>
      <c r="BU247" s="36">
        <f t="shared" si="136"/>
        <v>3886</v>
      </c>
      <c r="BV247" s="37">
        <f t="shared" si="137"/>
        <v>390</v>
      </c>
      <c r="BW247" s="37">
        <f t="shared" si="138"/>
        <v>10.036026762738034</v>
      </c>
      <c r="BX247">
        <v>0</v>
      </c>
      <c r="BY247" s="83">
        <f t="shared" si="139"/>
        <v>0</v>
      </c>
      <c r="BZ247">
        <v>0</v>
      </c>
      <c r="CA247" s="83">
        <f t="shared" si="140"/>
        <v>0</v>
      </c>
      <c r="CB247" s="96">
        <f t="shared" si="141"/>
        <v>0.44751381215469616</v>
      </c>
      <c r="CC247" s="96">
        <f t="shared" si="142"/>
        <v>0.38747553816046965</v>
      </c>
      <c r="CD247" s="97">
        <f t="shared" si="143"/>
        <v>6.003827399422651E-2</v>
      </c>
      <c r="CE247" s="96">
        <f t="shared" si="144"/>
        <v>0.47919463087248321</v>
      </c>
      <c r="CF247" s="96">
        <f t="shared" si="145"/>
        <v>0.51156069364161849</v>
      </c>
      <c r="CG247" s="96">
        <f t="shared" si="146"/>
        <v>-3.2366062769135284E-2</v>
      </c>
      <c r="CH247" s="95">
        <f t="shared" si="147"/>
        <v>0.40636096958468426</v>
      </c>
      <c r="CI247" s="95">
        <f t="shared" si="148"/>
        <v>0.38434045382761201</v>
      </c>
      <c r="CJ247" s="98">
        <f t="shared" si="149"/>
        <v>2.2020515757072257E-2</v>
      </c>
      <c r="CK247" s="95">
        <f t="shared" si="150"/>
        <v>0.53310061089639693</v>
      </c>
      <c r="CL247" s="95">
        <f t="shared" si="151"/>
        <v>0.50061191626409018</v>
      </c>
      <c r="CM247" s="98">
        <f t="shared" si="152"/>
        <v>3.2488694632306747E-2</v>
      </c>
      <c r="CN247" s="94">
        <f t="shared" si="153"/>
        <v>1.2190829087540527</v>
      </c>
      <c r="CO247" s="94">
        <f t="shared" si="154"/>
        <v>1.5993018326891908</v>
      </c>
    </row>
    <row r="248" spans="1:94" x14ac:dyDescent="0.35">
      <c r="A248" s="103">
        <v>41019288</v>
      </c>
      <c r="B248" s="9" t="s">
        <v>380</v>
      </c>
      <c r="C248" s="47" t="s">
        <v>405</v>
      </c>
      <c r="D248" s="15" t="s">
        <v>389</v>
      </c>
      <c r="E248" s="10" t="s">
        <v>89</v>
      </c>
      <c r="F248" s="10" t="s">
        <v>345</v>
      </c>
      <c r="G248" s="12" t="s">
        <v>345</v>
      </c>
      <c r="H248" s="51" t="s">
        <v>205</v>
      </c>
      <c r="I248" s="25" t="s">
        <v>86</v>
      </c>
      <c r="J248" s="20">
        <v>211.5</v>
      </c>
      <c r="K248" s="20">
        <v>246</v>
      </c>
      <c r="L248" s="20">
        <v>22.5</v>
      </c>
      <c r="M248" s="20">
        <v>18</v>
      </c>
      <c r="N248" s="18">
        <v>252</v>
      </c>
      <c r="O248" s="18">
        <v>266</v>
      </c>
      <c r="P248" s="18">
        <v>36</v>
      </c>
      <c r="Q248" s="18">
        <v>30</v>
      </c>
      <c r="R248" s="20">
        <v>257</v>
      </c>
      <c r="S248" s="20">
        <v>238.5</v>
      </c>
      <c r="T248" s="20">
        <v>29</v>
      </c>
      <c r="U248" s="20">
        <v>31.5</v>
      </c>
      <c r="V248" s="20">
        <v>262</v>
      </c>
      <c r="W248" s="20">
        <v>243</v>
      </c>
      <c r="X248" s="20">
        <v>20</v>
      </c>
      <c r="Y248" s="20">
        <v>27</v>
      </c>
      <c r="Z248" s="20">
        <v>284</v>
      </c>
      <c r="AA248" s="20">
        <v>243</v>
      </c>
      <c r="AB248" s="20">
        <v>24</v>
      </c>
      <c r="AC248" s="20">
        <v>27</v>
      </c>
      <c r="AD248" s="20">
        <v>266</v>
      </c>
      <c r="AE248" s="20">
        <v>274.5</v>
      </c>
      <c r="AF248" s="20">
        <v>20</v>
      </c>
      <c r="AG248" s="20">
        <v>31.5</v>
      </c>
      <c r="AH248" s="20">
        <v>278</v>
      </c>
      <c r="AI248" s="20">
        <v>261</v>
      </c>
      <c r="AJ248" s="20">
        <v>30</v>
      </c>
      <c r="AK248" s="20">
        <v>27</v>
      </c>
      <c r="AL248" s="20">
        <v>265</v>
      </c>
      <c r="AM248" s="20">
        <v>239</v>
      </c>
      <c r="AN248" s="20">
        <v>21</v>
      </c>
      <c r="AO248" s="20">
        <v>18</v>
      </c>
      <c r="AP248" s="20">
        <v>241.5</v>
      </c>
      <c r="AQ248" s="20">
        <v>234</v>
      </c>
      <c r="AR248" s="20">
        <v>18.5</v>
      </c>
      <c r="AS248" s="20">
        <v>18</v>
      </c>
      <c r="AT248" s="20">
        <v>241</v>
      </c>
      <c r="AU248" s="20">
        <v>229.5</v>
      </c>
      <c r="AV248" s="20">
        <v>23</v>
      </c>
      <c r="AW248" s="20">
        <v>22.5</v>
      </c>
      <c r="AX248" s="20">
        <v>217</v>
      </c>
      <c r="AY248" s="20">
        <v>210</v>
      </c>
      <c r="AZ248" s="20">
        <v>25</v>
      </c>
      <c r="BA248" s="20">
        <v>24</v>
      </c>
      <c r="BB248" s="20">
        <v>266</v>
      </c>
      <c r="BC248" s="20">
        <v>243</v>
      </c>
      <c r="BD248" s="20">
        <v>20</v>
      </c>
      <c r="BE248" s="20">
        <v>21</v>
      </c>
      <c r="BF248" s="23">
        <v>28.704003</v>
      </c>
      <c r="BG248" s="23">
        <v>77.107906999999997</v>
      </c>
      <c r="BH248" s="31">
        <f t="shared" si="124"/>
        <v>266</v>
      </c>
      <c r="BI248" s="31">
        <f t="shared" si="125"/>
        <v>243</v>
      </c>
      <c r="BJ248" s="37">
        <f t="shared" si="126"/>
        <v>23</v>
      </c>
      <c r="BK248" s="37">
        <f t="shared" si="127"/>
        <v>9.4650205761316872</v>
      </c>
      <c r="BL248" s="36">
        <f t="shared" si="128"/>
        <v>20</v>
      </c>
      <c r="BM248" s="36">
        <f t="shared" si="129"/>
        <v>21</v>
      </c>
      <c r="BN248" s="37">
        <f t="shared" si="130"/>
        <v>-1</v>
      </c>
      <c r="BO248" s="37">
        <f t="shared" si="131"/>
        <v>-4.7619047619047619</v>
      </c>
      <c r="BP248" s="38">
        <f t="shared" si="132"/>
        <v>3089.5</v>
      </c>
      <c r="BQ248" s="39">
        <f>J248+N248+S248+W248+AA248+AE248+AI248+AM248+AQ248+AU248+Table1[[#This Row],[MS-0225]]+Table1[[#This Row],[MS-0325]]</f>
        <v>2879</v>
      </c>
      <c r="BR248" s="37">
        <f t="shared" si="133"/>
        <v>210.5</v>
      </c>
      <c r="BS248" s="37">
        <f t="shared" si="134"/>
        <v>7.3115665161514407</v>
      </c>
      <c r="BT248" s="36">
        <f t="shared" si="135"/>
        <v>278.5</v>
      </c>
      <c r="BU248" s="36">
        <f t="shared" si="136"/>
        <v>306</v>
      </c>
      <c r="BV248" s="37">
        <f t="shared" si="137"/>
        <v>-27.5</v>
      </c>
      <c r="BW248" s="37">
        <f t="shared" si="138"/>
        <v>-8.9869281045751634</v>
      </c>
      <c r="BX248">
        <v>0</v>
      </c>
      <c r="BY248" s="83">
        <f t="shared" si="139"/>
        <v>0</v>
      </c>
      <c r="BZ248">
        <v>0</v>
      </c>
      <c r="CA248" s="83">
        <f t="shared" si="140"/>
        <v>0</v>
      </c>
      <c r="CB248" s="96">
        <f t="shared" si="141"/>
        <v>0.10445709797761633</v>
      </c>
      <c r="CC248" s="96">
        <f t="shared" si="142"/>
        <v>0.12379011716760061</v>
      </c>
      <c r="CD248" s="97">
        <f t="shared" si="143"/>
        <v>-1.9333019189984271E-2</v>
      </c>
      <c r="CE248" s="96">
        <f t="shared" si="144"/>
        <v>5.1880674448767837E-2</v>
      </c>
      <c r="CF248" s="96">
        <f t="shared" si="145"/>
        <v>6.9767441860465115E-2</v>
      </c>
      <c r="CG248" s="96">
        <f t="shared" si="146"/>
        <v>-1.7886767411697278E-2</v>
      </c>
      <c r="CH248" s="95">
        <f t="shared" si="147"/>
        <v>0.11064553675351418</v>
      </c>
      <c r="CI248" s="95">
        <f t="shared" si="148"/>
        <v>0.11063715314406666</v>
      </c>
      <c r="CJ248" s="98">
        <f t="shared" si="149"/>
        <v>8.3836094475209233E-6</v>
      </c>
      <c r="CK248" s="95">
        <f t="shared" si="150"/>
        <v>6.870605649438756E-2</v>
      </c>
      <c r="CL248" s="95">
        <f t="shared" si="151"/>
        <v>6.9783352337514259E-2</v>
      </c>
      <c r="CM248" s="98">
        <f t="shared" si="152"/>
        <v>-1.0772958431266993E-3</v>
      </c>
      <c r="CN248" s="94">
        <f t="shared" si="153"/>
        <v>0.77451875727459929</v>
      </c>
      <c r="CO248" s="94">
        <f t="shared" si="154"/>
        <v>0.48094239546071293</v>
      </c>
      <c r="CP248" s="141">
        <f>BD248-AZ248</f>
        <v>-5</v>
      </c>
    </row>
    <row r="249" spans="1:94" ht="24.5" x14ac:dyDescent="0.35">
      <c r="A249" s="103">
        <v>41056401</v>
      </c>
      <c r="B249" s="9" t="s">
        <v>380</v>
      </c>
      <c r="C249" s="47" t="s">
        <v>537</v>
      </c>
      <c r="D249" s="14" t="s">
        <v>389</v>
      </c>
      <c r="E249" s="10" t="s">
        <v>89</v>
      </c>
      <c r="F249" s="10" t="s">
        <v>538</v>
      </c>
      <c r="G249" s="12" t="s">
        <v>204</v>
      </c>
      <c r="H249" s="51" t="s">
        <v>205</v>
      </c>
      <c r="I249" s="25" t="s">
        <v>86</v>
      </c>
      <c r="J249" s="20">
        <v>364.5</v>
      </c>
      <c r="K249" s="20">
        <v>364.5</v>
      </c>
      <c r="L249" s="20">
        <v>85.5</v>
      </c>
      <c r="M249" s="20">
        <v>67.5</v>
      </c>
      <c r="N249" s="18">
        <v>400.5</v>
      </c>
      <c r="O249" s="18">
        <v>400.5</v>
      </c>
      <c r="P249" s="18">
        <v>85.5</v>
      </c>
      <c r="Q249" s="18">
        <v>67.5</v>
      </c>
      <c r="R249" s="20">
        <v>353</v>
      </c>
      <c r="S249" s="20">
        <v>369</v>
      </c>
      <c r="T249" s="20">
        <v>68</v>
      </c>
      <c r="U249" s="20">
        <v>81</v>
      </c>
      <c r="V249" s="20">
        <v>382.5</v>
      </c>
      <c r="W249" s="20">
        <v>382.5</v>
      </c>
      <c r="X249" s="20">
        <v>67.5</v>
      </c>
      <c r="Y249" s="20">
        <v>85.5</v>
      </c>
      <c r="Z249" s="20">
        <v>400</v>
      </c>
      <c r="AA249" s="20">
        <v>409.5</v>
      </c>
      <c r="AB249" s="20">
        <v>65</v>
      </c>
      <c r="AC249" s="20">
        <v>76.5</v>
      </c>
      <c r="AD249" s="20">
        <v>360</v>
      </c>
      <c r="AE249" s="20">
        <v>350.5</v>
      </c>
      <c r="AF249" s="20">
        <v>72</v>
      </c>
      <c r="AG249" s="20">
        <v>77.5</v>
      </c>
      <c r="AH249" s="20">
        <v>373.5</v>
      </c>
      <c r="AI249" s="20">
        <v>398</v>
      </c>
      <c r="AJ249" s="20">
        <v>58.5</v>
      </c>
      <c r="AK249" s="20">
        <v>77</v>
      </c>
      <c r="AL249" s="20">
        <v>354.5</v>
      </c>
      <c r="AM249" s="20">
        <v>342</v>
      </c>
      <c r="AN249" s="20">
        <v>53.5</v>
      </c>
      <c r="AO249" s="20">
        <v>54</v>
      </c>
      <c r="AP249" s="20">
        <v>357.5</v>
      </c>
      <c r="AQ249" s="20">
        <v>348.5</v>
      </c>
      <c r="AR249" s="20">
        <v>49.5</v>
      </c>
      <c r="AS249" s="20">
        <v>54.5</v>
      </c>
      <c r="AT249" s="20">
        <v>306</v>
      </c>
      <c r="AU249" s="20">
        <v>328.5</v>
      </c>
      <c r="AV249" s="20">
        <v>54</v>
      </c>
      <c r="AW249" s="20">
        <v>67.5</v>
      </c>
      <c r="AX249" s="20">
        <v>327.5</v>
      </c>
      <c r="AY249" s="20">
        <v>327.5</v>
      </c>
      <c r="AZ249" s="20">
        <v>59.5</v>
      </c>
      <c r="BA249" s="20">
        <v>62.5</v>
      </c>
      <c r="BB249" s="20">
        <v>342</v>
      </c>
      <c r="BC249" s="20">
        <v>363.5</v>
      </c>
      <c r="BD249" s="20">
        <v>54</v>
      </c>
      <c r="BE249" s="20">
        <v>62.5</v>
      </c>
      <c r="BF249" s="23">
        <v>28.7182</v>
      </c>
      <c r="BG249" s="23">
        <v>77.126840000000001</v>
      </c>
      <c r="BH249" s="31">
        <f t="shared" si="124"/>
        <v>342</v>
      </c>
      <c r="BI249" s="31">
        <f t="shared" si="125"/>
        <v>363.5</v>
      </c>
      <c r="BJ249" s="37">
        <f t="shared" si="126"/>
        <v>-21.5</v>
      </c>
      <c r="BK249" s="37">
        <f t="shared" si="127"/>
        <v>-5.9147180192572213</v>
      </c>
      <c r="BL249" s="36">
        <f t="shared" si="128"/>
        <v>54</v>
      </c>
      <c r="BM249" s="36">
        <f t="shared" si="129"/>
        <v>62.5</v>
      </c>
      <c r="BN249" s="37">
        <f t="shared" si="130"/>
        <v>-8.5</v>
      </c>
      <c r="BO249" s="37">
        <f t="shared" si="131"/>
        <v>-13.600000000000001</v>
      </c>
      <c r="BP249" s="38">
        <f t="shared" si="132"/>
        <v>4321.5</v>
      </c>
      <c r="BQ249" s="39">
        <f>J249+N249+S249+W249+AA249+AE249+AI249+AM249+AQ249+AU249+Table1[[#This Row],[MS-0225]]+Table1[[#This Row],[MS-0325]]</f>
        <v>4384.5</v>
      </c>
      <c r="BR249" s="37">
        <f t="shared" si="133"/>
        <v>-63</v>
      </c>
      <c r="BS249" s="37">
        <f t="shared" si="134"/>
        <v>-1.4368799178925762</v>
      </c>
      <c r="BT249" s="36">
        <f t="shared" si="135"/>
        <v>736.5</v>
      </c>
      <c r="BU249" s="36">
        <f t="shared" si="136"/>
        <v>869.5</v>
      </c>
      <c r="BV249" s="37">
        <f t="shared" si="137"/>
        <v>-133</v>
      </c>
      <c r="BW249" s="37">
        <f t="shared" si="138"/>
        <v>-15.296147211040829</v>
      </c>
      <c r="BX249">
        <v>0</v>
      </c>
      <c r="BY249" s="83">
        <f t="shared" si="139"/>
        <v>0</v>
      </c>
      <c r="BZ249">
        <v>0</v>
      </c>
      <c r="CA249" s="83">
        <f t="shared" si="140"/>
        <v>0</v>
      </c>
      <c r="CB249" s="96">
        <f t="shared" si="141"/>
        <v>0.11156418202577068</v>
      </c>
      <c r="CC249" s="96">
        <f t="shared" si="142"/>
        <v>0.13816039528696314</v>
      </c>
      <c r="CD249" s="97">
        <f t="shared" si="143"/>
        <v>-2.6596213261192464E-2</v>
      </c>
      <c r="CE249" s="96">
        <f t="shared" si="144"/>
        <v>5.174892189746047E-2</v>
      </c>
      <c r="CF249" s="96">
        <f t="shared" si="145"/>
        <v>6.2003968253968256E-2</v>
      </c>
      <c r="CG249" s="96">
        <f t="shared" si="146"/>
        <v>-1.0255046356507785E-2</v>
      </c>
      <c r="CH249" s="95">
        <f t="shared" si="147"/>
        <v>0.12336040420764169</v>
      </c>
      <c r="CI249" s="95">
        <f t="shared" si="148"/>
        <v>0.13929439421734044</v>
      </c>
      <c r="CJ249" s="98">
        <f t="shared" si="149"/>
        <v>-1.5933990009698751E-2</v>
      </c>
      <c r="CK249" s="95">
        <f t="shared" si="150"/>
        <v>6.2747603833865809E-2</v>
      </c>
      <c r="CL249" s="95">
        <f t="shared" si="151"/>
        <v>6.6907775768535266E-2</v>
      </c>
      <c r="CM249" s="98">
        <f t="shared" si="152"/>
        <v>-4.1601719346694571E-3</v>
      </c>
      <c r="CN249" s="94">
        <f t="shared" si="153"/>
        <v>1.1102436378687752</v>
      </c>
      <c r="CO249" s="94">
        <f t="shared" si="154"/>
        <v>0.56472843450479226</v>
      </c>
      <c r="CP249" s="141">
        <f>BD249-AZ249</f>
        <v>-5.5</v>
      </c>
    </row>
    <row r="250" spans="1:94" x14ac:dyDescent="0.35">
      <c r="A250" s="102">
        <v>244458</v>
      </c>
      <c r="B250" s="3" t="s">
        <v>72</v>
      </c>
      <c r="C250" s="43" t="s">
        <v>214</v>
      </c>
      <c r="D250" s="12" t="s">
        <v>215</v>
      </c>
      <c r="E250" s="4" t="s">
        <v>200</v>
      </c>
      <c r="F250" s="4" t="s">
        <v>216</v>
      </c>
      <c r="G250" s="12" t="s">
        <v>216</v>
      </c>
      <c r="H250" s="51" t="s">
        <v>217</v>
      </c>
      <c r="I250" s="23" t="s">
        <v>86</v>
      </c>
      <c r="J250" s="90">
        <v>188.5</v>
      </c>
      <c r="K250" s="90">
        <v>199.5</v>
      </c>
      <c r="L250" s="90">
        <v>69.5</v>
      </c>
      <c r="M250" s="90">
        <v>84.5</v>
      </c>
      <c r="N250" s="18">
        <v>207</v>
      </c>
      <c r="O250" s="18">
        <v>230</v>
      </c>
      <c r="P250" s="18">
        <v>69</v>
      </c>
      <c r="Q250" s="18">
        <v>70</v>
      </c>
      <c r="R250" s="90">
        <v>220</v>
      </c>
      <c r="S250" s="90">
        <v>207</v>
      </c>
      <c r="T250" s="90">
        <v>60</v>
      </c>
      <c r="U250" s="90">
        <v>65</v>
      </c>
      <c r="V250" s="90">
        <v>240</v>
      </c>
      <c r="W250" s="90">
        <v>204</v>
      </c>
      <c r="X250" s="90">
        <v>60</v>
      </c>
      <c r="Y250" s="90">
        <v>64</v>
      </c>
      <c r="Z250" s="90">
        <v>239</v>
      </c>
      <c r="AA250" s="90">
        <v>218.5</v>
      </c>
      <c r="AB250" s="90">
        <v>53</v>
      </c>
      <c r="AC250" s="90">
        <v>67.5</v>
      </c>
      <c r="AD250" s="90">
        <v>234.5</v>
      </c>
      <c r="AE250" s="90">
        <v>209.5</v>
      </c>
      <c r="AF250" s="90">
        <v>71.5</v>
      </c>
      <c r="AG250" s="90">
        <v>72.5</v>
      </c>
      <c r="AH250" s="90">
        <v>239</v>
      </c>
      <c r="AI250" s="90">
        <v>225.5</v>
      </c>
      <c r="AJ250" s="90">
        <v>59</v>
      </c>
      <c r="AK250" s="90">
        <v>88.5</v>
      </c>
      <c r="AL250" s="90">
        <v>239</v>
      </c>
      <c r="AM250" s="90">
        <v>204</v>
      </c>
      <c r="AN250" s="90">
        <v>65</v>
      </c>
      <c r="AO250" s="90">
        <v>68</v>
      </c>
      <c r="AP250" s="90">
        <v>224</v>
      </c>
      <c r="AQ250" s="90">
        <v>216</v>
      </c>
      <c r="AR250" s="90">
        <v>68</v>
      </c>
      <c r="AS250" s="90">
        <v>56</v>
      </c>
      <c r="AT250" s="90">
        <v>214</v>
      </c>
      <c r="AU250" s="90">
        <v>188</v>
      </c>
      <c r="AV250" s="90">
        <v>50</v>
      </c>
      <c r="AW250" s="90">
        <v>62</v>
      </c>
      <c r="AX250" s="90">
        <v>225</v>
      </c>
      <c r="AY250" s="90">
        <v>199</v>
      </c>
      <c r="AZ250" s="90">
        <v>59</v>
      </c>
      <c r="BA250" s="90">
        <v>69</v>
      </c>
      <c r="BB250" s="90">
        <v>241.5</v>
      </c>
      <c r="BC250" s="90">
        <v>217</v>
      </c>
      <c r="BD250" s="90">
        <v>68.5</v>
      </c>
      <c r="BE250" s="90">
        <v>75</v>
      </c>
      <c r="BF250" s="23">
        <v>28.77084</v>
      </c>
      <c r="BG250" s="23">
        <v>77.179320000000004</v>
      </c>
      <c r="BH250" s="31">
        <f t="shared" si="124"/>
        <v>241.5</v>
      </c>
      <c r="BI250" s="31">
        <f t="shared" si="125"/>
        <v>217</v>
      </c>
      <c r="BJ250" s="37">
        <f t="shared" si="126"/>
        <v>24.5</v>
      </c>
      <c r="BK250" s="37">
        <f t="shared" si="127"/>
        <v>11.29032258064516</v>
      </c>
      <c r="BL250" s="36">
        <f t="shared" si="128"/>
        <v>68.5</v>
      </c>
      <c r="BM250" s="36">
        <f t="shared" si="129"/>
        <v>75</v>
      </c>
      <c r="BN250" s="37">
        <f t="shared" si="130"/>
        <v>-6.5</v>
      </c>
      <c r="BO250" s="37">
        <f t="shared" si="131"/>
        <v>-8.6666666666666679</v>
      </c>
      <c r="BP250" s="38">
        <f t="shared" si="132"/>
        <v>2745.5</v>
      </c>
      <c r="BQ250" s="39">
        <f>J250+N250+S250+W250+AA250+AE250+AI250+AM250+AQ250+AU250+Table1[[#This Row],[MS-0225]]+Table1[[#This Row],[MS-0325]]</f>
        <v>2484</v>
      </c>
      <c r="BR250" s="37">
        <f t="shared" si="133"/>
        <v>261.5</v>
      </c>
      <c r="BS250" s="37">
        <f t="shared" si="134"/>
        <v>10.527375201288244</v>
      </c>
      <c r="BT250" s="36">
        <f t="shared" si="135"/>
        <v>768.5</v>
      </c>
      <c r="BU250" s="36">
        <f t="shared" si="136"/>
        <v>826</v>
      </c>
      <c r="BV250" s="37">
        <f t="shared" si="137"/>
        <v>-57.5</v>
      </c>
      <c r="BW250" s="37">
        <f t="shared" si="138"/>
        <v>-6.9612590799031482</v>
      </c>
      <c r="BX250">
        <v>0</v>
      </c>
      <c r="BY250" s="83">
        <f t="shared" si="139"/>
        <v>0</v>
      </c>
      <c r="BZ250">
        <v>0</v>
      </c>
      <c r="CA250" s="83">
        <f t="shared" si="140"/>
        <v>0</v>
      </c>
      <c r="CB250" s="96">
        <f t="shared" si="141"/>
        <v>0.14561350618028338</v>
      </c>
      <c r="CC250" s="96">
        <f t="shared" si="142"/>
        <v>0.1487829962290024</v>
      </c>
      <c r="CD250" s="97">
        <f t="shared" si="143"/>
        <v>-3.1694900487190258E-3</v>
      </c>
      <c r="CE250" s="96">
        <f t="shared" si="144"/>
        <v>0.11502938706968933</v>
      </c>
      <c r="CF250" s="96">
        <f t="shared" si="145"/>
        <v>0.12510425354462051</v>
      </c>
      <c r="CG250" s="96">
        <f t="shared" si="146"/>
        <v>-1.0074866474931179E-2</v>
      </c>
      <c r="CH250" s="95">
        <f t="shared" si="147"/>
        <v>0.14803332165098537</v>
      </c>
      <c r="CI250" s="95">
        <f t="shared" si="148"/>
        <v>0.15313010495638002</v>
      </c>
      <c r="CJ250" s="98">
        <f t="shared" si="149"/>
        <v>-5.0967833053946476E-3</v>
      </c>
      <c r="CK250" s="95">
        <f t="shared" si="150"/>
        <v>0.11441971264795653</v>
      </c>
      <c r="CL250" s="95">
        <f t="shared" si="151"/>
        <v>0.11449164876290803</v>
      </c>
      <c r="CM250" s="98">
        <f t="shared" si="152"/>
        <v>-7.1936114951501318E-5</v>
      </c>
      <c r="CN250" s="94">
        <f t="shared" si="153"/>
        <v>0.74016660825492686</v>
      </c>
      <c r="CO250" s="94">
        <f t="shared" si="154"/>
        <v>0.57209856323978259</v>
      </c>
    </row>
    <row r="251" spans="1:94" x14ac:dyDescent="0.35">
      <c r="A251" s="104">
        <v>312687</v>
      </c>
      <c r="B251" s="5" t="s">
        <v>581</v>
      </c>
      <c r="C251" s="46" t="s">
        <v>720</v>
      </c>
      <c r="D251" s="13" t="s">
        <v>485</v>
      </c>
      <c r="E251" s="6" t="s">
        <v>103</v>
      </c>
      <c r="F251" s="6" t="s">
        <v>104</v>
      </c>
      <c r="G251" s="12" t="s">
        <v>104</v>
      </c>
      <c r="H251" s="51" t="s">
        <v>105</v>
      </c>
      <c r="I251" s="24" t="s">
        <v>78</v>
      </c>
      <c r="J251" s="19">
        <v>226.36999999999998</v>
      </c>
      <c r="K251" s="19">
        <v>246.74499999999989</v>
      </c>
      <c r="L251" s="19">
        <v>116.3479999999999</v>
      </c>
      <c r="M251" s="19">
        <v>121.952</v>
      </c>
      <c r="N251" s="18">
        <v>246.3950000000001</v>
      </c>
      <c r="O251" s="18">
        <v>254.19500000000002</v>
      </c>
      <c r="P251" s="18">
        <v>138.16</v>
      </c>
      <c r="Q251" s="18">
        <v>116.21799999999989</v>
      </c>
      <c r="R251" s="19">
        <v>233.5</v>
      </c>
      <c r="S251" s="19">
        <v>234.11099999999999</v>
      </c>
      <c r="T251" s="19">
        <v>103.5</v>
      </c>
      <c r="U251" s="19">
        <v>124.126</v>
      </c>
      <c r="V251" s="19">
        <v>255.32299999999989</v>
      </c>
      <c r="W251" s="19">
        <v>254.0259999999999</v>
      </c>
      <c r="X251" s="19">
        <v>101.7789999999999</v>
      </c>
      <c r="Y251" s="19">
        <v>143.126</v>
      </c>
      <c r="Z251" s="19">
        <v>293.6049999999999</v>
      </c>
      <c r="AA251" s="19">
        <v>249.1209999999999</v>
      </c>
      <c r="AB251" s="19">
        <v>130.62200000000001</v>
      </c>
      <c r="AC251" s="19">
        <v>129.1</v>
      </c>
      <c r="AD251" s="19">
        <v>285.767</v>
      </c>
      <c r="AE251" s="19">
        <v>238.40899999999996</v>
      </c>
      <c r="AF251" s="19">
        <v>114.279</v>
      </c>
      <c r="AG251" s="19">
        <v>147.35199999999992</v>
      </c>
      <c r="AH251" s="19">
        <v>239.22100000000012</v>
      </c>
      <c r="AI251" s="19">
        <v>257</v>
      </c>
      <c r="AJ251" s="19">
        <v>87.193000000000097</v>
      </c>
      <c r="AK251" s="19">
        <v>147</v>
      </c>
      <c r="AL251" s="19">
        <v>229.85499999999999</v>
      </c>
      <c r="AM251" s="19">
        <v>220.36300000000008</v>
      </c>
      <c r="AN251" s="19">
        <v>84.448000000000008</v>
      </c>
      <c r="AO251" s="19">
        <v>113.9079999999999</v>
      </c>
      <c r="AP251" s="19">
        <v>232.13199999999998</v>
      </c>
      <c r="AQ251" s="19">
        <v>228.48899999999992</v>
      </c>
      <c r="AR251" s="19">
        <v>78.421999999999997</v>
      </c>
      <c r="AS251" s="19">
        <v>107.072</v>
      </c>
      <c r="AT251" s="19">
        <v>223.9069999999999</v>
      </c>
      <c r="AU251" s="19">
        <v>223.41200000000009</v>
      </c>
      <c r="AV251" s="19">
        <v>73.282999999999902</v>
      </c>
      <c r="AW251" s="19">
        <v>118.218</v>
      </c>
      <c r="AX251" s="19">
        <v>208.261</v>
      </c>
      <c r="AY251" s="19">
        <v>210.36600000000001</v>
      </c>
      <c r="AZ251" s="19">
        <v>82.659000000000006</v>
      </c>
      <c r="BA251" s="19">
        <v>121.01100000000008</v>
      </c>
      <c r="BB251" s="19">
        <v>241.197</v>
      </c>
      <c r="BC251" s="19">
        <v>233.14800000000002</v>
      </c>
      <c r="BD251" s="19">
        <v>90.855999999999895</v>
      </c>
      <c r="BE251" s="19">
        <v>124.47800000000001</v>
      </c>
      <c r="BF251" s="23">
        <v>28.355899999999998</v>
      </c>
      <c r="BG251" s="23">
        <v>77.114500000000007</v>
      </c>
      <c r="BH251" s="31">
        <f t="shared" si="124"/>
        <v>241.197</v>
      </c>
      <c r="BI251" s="31">
        <f t="shared" si="125"/>
        <v>233.14800000000002</v>
      </c>
      <c r="BJ251" s="37">
        <f t="shared" si="126"/>
        <v>8.0489999999999782</v>
      </c>
      <c r="BK251" s="37">
        <f t="shared" si="127"/>
        <v>3.4523135519069332</v>
      </c>
      <c r="BL251" s="36">
        <f t="shared" si="128"/>
        <v>90.855999999999895</v>
      </c>
      <c r="BM251" s="36">
        <f t="shared" si="129"/>
        <v>124.47800000000001</v>
      </c>
      <c r="BN251" s="37">
        <f t="shared" si="130"/>
        <v>-33.622000000000114</v>
      </c>
      <c r="BO251" s="37">
        <f t="shared" si="131"/>
        <v>-27.010395411237415</v>
      </c>
      <c r="BP251" s="38">
        <f t="shared" si="132"/>
        <v>2943.7079999999996</v>
      </c>
      <c r="BQ251" s="39">
        <f>J251+N251+S251+W251+AA251+AE251+AI251+AM251+AQ251+AU251+Table1[[#This Row],[MS-0225]]+Table1[[#This Row],[MS-0325]]</f>
        <v>2821.21</v>
      </c>
      <c r="BR251" s="37">
        <f t="shared" si="133"/>
        <v>122.49799999999959</v>
      </c>
      <c r="BS251" s="37">
        <f t="shared" si="134"/>
        <v>4.3420376363333322</v>
      </c>
      <c r="BT251" s="36">
        <f t="shared" si="135"/>
        <v>1185.2109999999998</v>
      </c>
      <c r="BU251" s="36">
        <f t="shared" si="136"/>
        <v>1529.8989999999999</v>
      </c>
      <c r="BV251" s="37">
        <f t="shared" si="137"/>
        <v>-344.6880000000001</v>
      </c>
      <c r="BW251" s="37">
        <f t="shared" si="138"/>
        <v>-22.530114733064085</v>
      </c>
      <c r="BX251">
        <v>0</v>
      </c>
      <c r="BY251" s="83">
        <f t="shared" si="139"/>
        <v>0</v>
      </c>
      <c r="BZ251">
        <v>0</v>
      </c>
      <c r="CA251" s="83">
        <f t="shared" si="140"/>
        <v>0</v>
      </c>
      <c r="CB251" s="96">
        <f t="shared" si="141"/>
        <v>0.17726970088210192</v>
      </c>
      <c r="CC251" s="96">
        <f t="shared" si="142"/>
        <v>0.17462412237799424</v>
      </c>
      <c r="CD251" s="97">
        <f t="shared" si="143"/>
        <v>2.6455785041076818E-3</v>
      </c>
      <c r="CE251" s="96">
        <f t="shared" si="144"/>
        <v>0.19786748436329407</v>
      </c>
      <c r="CF251" s="96">
        <f t="shared" si="145"/>
        <v>0.24784713193173744</v>
      </c>
      <c r="CG251" s="96">
        <f t="shared" si="146"/>
        <v>-4.9979647568443364E-2</v>
      </c>
      <c r="CH251" s="95">
        <f t="shared" si="147"/>
        <v>0.17528418886393496</v>
      </c>
      <c r="CI251" s="95">
        <f t="shared" si="148"/>
        <v>0.17361350726233624</v>
      </c>
      <c r="CJ251" s="98">
        <f t="shared" si="149"/>
        <v>1.6706816015987225E-3</v>
      </c>
      <c r="CK251" s="95">
        <f t="shared" si="150"/>
        <v>0.21099239226031261</v>
      </c>
      <c r="CL251" s="95">
        <f t="shared" si="151"/>
        <v>0.24866880992588627</v>
      </c>
      <c r="CM251" s="98">
        <f t="shared" si="152"/>
        <v>-3.7676417665573669E-2</v>
      </c>
      <c r="CN251" s="94">
        <f t="shared" si="153"/>
        <v>1.0517051331836098</v>
      </c>
      <c r="CO251" s="94">
        <f t="shared" si="154"/>
        <v>1.2659543535618756</v>
      </c>
    </row>
    <row r="252" spans="1:94" ht="48.5" x14ac:dyDescent="0.35">
      <c r="A252" s="104">
        <v>106249</v>
      </c>
      <c r="B252" s="5" t="s">
        <v>581</v>
      </c>
      <c r="C252" s="46" t="s">
        <v>730</v>
      </c>
      <c r="D252" s="13" t="s">
        <v>731</v>
      </c>
      <c r="E252" s="6" t="s">
        <v>103</v>
      </c>
      <c r="F252" s="6" t="s">
        <v>483</v>
      </c>
      <c r="G252" s="12" t="s">
        <v>483</v>
      </c>
      <c r="H252" s="51" t="s">
        <v>105</v>
      </c>
      <c r="I252" s="24" t="s">
        <v>78</v>
      </c>
      <c r="J252" s="19">
        <v>223</v>
      </c>
      <c r="K252" s="19">
        <v>242.5</v>
      </c>
      <c r="L252" s="19">
        <v>101</v>
      </c>
      <c r="M252" s="19">
        <v>87.5</v>
      </c>
      <c r="N252" s="18">
        <v>229</v>
      </c>
      <c r="O252" s="18">
        <v>244.5</v>
      </c>
      <c r="P252" s="18">
        <v>119</v>
      </c>
      <c r="Q252" s="18">
        <v>81.5</v>
      </c>
      <c r="R252" s="19">
        <v>220.5</v>
      </c>
      <c r="S252" s="19">
        <v>222.5</v>
      </c>
      <c r="T252" s="19">
        <v>75.5</v>
      </c>
      <c r="U252" s="19">
        <v>89.5</v>
      </c>
      <c r="V252" s="19">
        <v>255</v>
      </c>
      <c r="W252" s="19">
        <v>241.5</v>
      </c>
      <c r="X252" s="19">
        <v>89</v>
      </c>
      <c r="Y252" s="19">
        <v>104.5</v>
      </c>
      <c r="Z252" s="19">
        <v>275.5</v>
      </c>
      <c r="AA252" s="19">
        <v>243</v>
      </c>
      <c r="AB252" s="19">
        <v>82.5</v>
      </c>
      <c r="AC252" s="19">
        <v>105</v>
      </c>
      <c r="AD252" s="19">
        <v>251</v>
      </c>
      <c r="AE252" s="19">
        <v>231</v>
      </c>
      <c r="AF252" s="19">
        <v>95</v>
      </c>
      <c r="AG252" s="19">
        <v>93</v>
      </c>
      <c r="AH252" s="19">
        <v>251.5</v>
      </c>
      <c r="AI252" s="19">
        <v>255</v>
      </c>
      <c r="AJ252" s="19">
        <v>84.5</v>
      </c>
      <c r="AK252" s="19">
        <v>109</v>
      </c>
      <c r="AL252" s="19">
        <v>255</v>
      </c>
      <c r="AM252" s="19">
        <v>229.5</v>
      </c>
      <c r="AN252" s="19">
        <v>81</v>
      </c>
      <c r="AO252" s="19">
        <v>84.5</v>
      </c>
      <c r="AP252" s="19">
        <v>246</v>
      </c>
      <c r="AQ252" s="19">
        <v>222</v>
      </c>
      <c r="AR252" s="19">
        <v>72</v>
      </c>
      <c r="AS252" s="19">
        <v>80</v>
      </c>
      <c r="AT252" s="19">
        <v>234</v>
      </c>
      <c r="AU252" s="19">
        <v>227.5</v>
      </c>
      <c r="AV252" s="19">
        <v>72</v>
      </c>
      <c r="AW252" s="19">
        <v>74.5</v>
      </c>
      <c r="AX252" s="19">
        <v>234</v>
      </c>
      <c r="AY252" s="19">
        <v>198.5</v>
      </c>
      <c r="AZ252" s="19">
        <v>72</v>
      </c>
      <c r="BA252" s="19">
        <v>69.5</v>
      </c>
      <c r="BB252" s="19">
        <v>238</v>
      </c>
      <c r="BC252" s="19">
        <v>225.5</v>
      </c>
      <c r="BD252" s="19">
        <v>80</v>
      </c>
      <c r="BE252" s="19">
        <v>76.5</v>
      </c>
      <c r="BF252" s="23">
        <v>28.580100000000002</v>
      </c>
      <c r="BG252" s="23">
        <v>77.2029</v>
      </c>
      <c r="BH252" s="31">
        <f t="shared" si="124"/>
        <v>238</v>
      </c>
      <c r="BI252" s="31">
        <f t="shared" si="125"/>
        <v>225.5</v>
      </c>
      <c r="BJ252" s="37">
        <f t="shared" si="126"/>
        <v>12.5</v>
      </c>
      <c r="BK252" s="37">
        <f t="shared" si="127"/>
        <v>5.5432372505543244</v>
      </c>
      <c r="BL252" s="36">
        <f t="shared" si="128"/>
        <v>80</v>
      </c>
      <c r="BM252" s="36">
        <f t="shared" si="129"/>
        <v>76.5</v>
      </c>
      <c r="BN252" s="37">
        <f t="shared" si="130"/>
        <v>3.5</v>
      </c>
      <c r="BO252" s="37">
        <f t="shared" si="131"/>
        <v>4.5751633986928102</v>
      </c>
      <c r="BP252" s="38">
        <f t="shared" si="132"/>
        <v>2947.5</v>
      </c>
      <c r="BQ252" s="39">
        <f>J252+N252+S252+W252+AA252+AE252+AI252+AM252+AQ252+AU252+Table1[[#This Row],[MS-0225]]+Table1[[#This Row],[MS-0325]]</f>
        <v>2748</v>
      </c>
      <c r="BR252" s="37">
        <f t="shared" si="133"/>
        <v>199.5</v>
      </c>
      <c r="BS252" s="37">
        <f t="shared" si="134"/>
        <v>7.2598253275109172</v>
      </c>
      <c r="BT252" s="36">
        <f t="shared" si="135"/>
        <v>972.5</v>
      </c>
      <c r="BU252" s="36">
        <f t="shared" si="136"/>
        <v>1106</v>
      </c>
      <c r="BV252" s="37">
        <f t="shared" si="137"/>
        <v>-133.5</v>
      </c>
      <c r="BW252" s="37">
        <f t="shared" si="138"/>
        <v>-12.070524412296564</v>
      </c>
      <c r="BX252">
        <v>0</v>
      </c>
      <c r="BY252" s="83">
        <f t="shared" si="139"/>
        <v>0</v>
      </c>
      <c r="BZ252">
        <v>0</v>
      </c>
      <c r="CA252" s="83">
        <f t="shared" si="140"/>
        <v>0</v>
      </c>
      <c r="CB252" s="96">
        <f t="shared" si="141"/>
        <v>0.29400864731315629</v>
      </c>
      <c r="CC252" s="96">
        <f t="shared" si="142"/>
        <v>0.30827067669172931</v>
      </c>
      <c r="CD252" s="97">
        <f t="shared" si="143"/>
        <v>-1.4262029378573016E-2</v>
      </c>
      <c r="CE252" s="96">
        <f t="shared" si="144"/>
        <v>0.38004750593824227</v>
      </c>
      <c r="CF252" s="96">
        <f t="shared" si="145"/>
        <v>0.41239892183288412</v>
      </c>
      <c r="CG252" s="96">
        <f t="shared" si="146"/>
        <v>-3.2351415894641855E-2</v>
      </c>
      <c r="CH252" s="95">
        <f t="shared" si="147"/>
        <v>0.30427376896872099</v>
      </c>
      <c r="CI252" s="95">
        <f t="shared" si="148"/>
        <v>0.30838289754236337</v>
      </c>
      <c r="CJ252" s="98">
        <f t="shared" si="149"/>
        <v>-4.1091285736423733E-3</v>
      </c>
      <c r="CK252" s="95">
        <f t="shared" si="150"/>
        <v>0.33191126279863481</v>
      </c>
      <c r="CL252" s="95">
        <f t="shared" si="151"/>
        <v>0.41532106646639128</v>
      </c>
      <c r="CM252" s="98">
        <f t="shared" si="152"/>
        <v>-8.3409803667756466E-2</v>
      </c>
      <c r="CN252" s="94">
        <f t="shared" si="153"/>
        <v>0.91282130690616303</v>
      </c>
      <c r="CO252" s="94">
        <f t="shared" si="154"/>
        <v>0.99573378839590443</v>
      </c>
    </row>
    <row r="253" spans="1:94" ht="24.5" x14ac:dyDescent="0.35">
      <c r="A253" s="104">
        <v>106337</v>
      </c>
      <c r="B253" s="5" t="s">
        <v>581</v>
      </c>
      <c r="C253" s="46" t="s">
        <v>882</v>
      </c>
      <c r="D253" s="13" t="s">
        <v>883</v>
      </c>
      <c r="E253" s="6" t="s">
        <v>103</v>
      </c>
      <c r="F253" s="6" t="s">
        <v>884</v>
      </c>
      <c r="G253" s="12" t="s">
        <v>884</v>
      </c>
      <c r="H253" s="51" t="s">
        <v>96</v>
      </c>
      <c r="I253" s="24" t="s">
        <v>83</v>
      </c>
      <c r="J253" s="19">
        <v>210</v>
      </c>
      <c r="K253" s="19">
        <v>227.5</v>
      </c>
      <c r="L253" s="19">
        <v>62</v>
      </c>
      <c r="M253" s="19">
        <v>56.5</v>
      </c>
      <c r="N253" s="18">
        <v>206</v>
      </c>
      <c r="O253" s="18">
        <v>245</v>
      </c>
      <c r="P253" s="18">
        <v>62</v>
      </c>
      <c r="Q253" s="18">
        <v>45</v>
      </c>
      <c r="R253" s="19">
        <v>218</v>
      </c>
      <c r="S253" s="19">
        <v>218.5</v>
      </c>
      <c r="T253" s="19">
        <v>56</v>
      </c>
      <c r="U253" s="19">
        <v>53.5</v>
      </c>
      <c r="V253" s="19">
        <v>249.5</v>
      </c>
      <c r="W253" s="19">
        <v>216.5</v>
      </c>
      <c r="X253" s="19">
        <v>48.5</v>
      </c>
      <c r="Y253" s="19">
        <v>73.5</v>
      </c>
      <c r="Z253" s="19">
        <v>256</v>
      </c>
      <c r="AA253" s="19">
        <v>228</v>
      </c>
      <c r="AB253" s="19">
        <v>56</v>
      </c>
      <c r="AC253" s="19">
        <v>66</v>
      </c>
      <c r="AD253" s="19">
        <v>225.5</v>
      </c>
      <c r="AE253" s="19">
        <v>227</v>
      </c>
      <c r="AF253" s="19">
        <v>52.5</v>
      </c>
      <c r="AG253" s="19">
        <v>73</v>
      </c>
      <c r="AH253" s="19">
        <v>241.5</v>
      </c>
      <c r="AI253" s="19">
        <v>223</v>
      </c>
      <c r="AJ253" s="19">
        <v>52.5</v>
      </c>
      <c r="AK253" s="19">
        <v>61</v>
      </c>
      <c r="AL253" s="19">
        <v>229.5</v>
      </c>
      <c r="AM253" s="19">
        <v>205</v>
      </c>
      <c r="AN253" s="19">
        <v>52.5</v>
      </c>
      <c r="AO253" s="19">
        <v>47</v>
      </c>
      <c r="AP253" s="19">
        <v>228.5</v>
      </c>
      <c r="AQ253" s="19">
        <v>205.5</v>
      </c>
      <c r="AR253" s="19">
        <v>53.5</v>
      </c>
      <c r="AS253" s="19">
        <v>50.5</v>
      </c>
      <c r="AT253" s="19">
        <v>219</v>
      </c>
      <c r="AU253" s="19">
        <v>196</v>
      </c>
      <c r="AV253" s="19">
        <v>45</v>
      </c>
      <c r="AW253" s="19">
        <v>62</v>
      </c>
      <c r="AX253" s="19">
        <v>222</v>
      </c>
      <c r="AY253" s="19">
        <v>200</v>
      </c>
      <c r="AZ253" s="19">
        <v>50</v>
      </c>
      <c r="BA253" s="19">
        <v>54</v>
      </c>
      <c r="BB253" s="19">
        <v>237.5</v>
      </c>
      <c r="BC253" s="19">
        <v>225.5</v>
      </c>
      <c r="BD253" s="19">
        <v>48.5</v>
      </c>
      <c r="BE253" s="19">
        <v>60.5</v>
      </c>
      <c r="BF253" s="23">
        <v>28.564900000000002</v>
      </c>
      <c r="BG253" s="23">
        <v>77.177599999999998</v>
      </c>
      <c r="BH253" s="31">
        <f t="shared" si="124"/>
        <v>237.5</v>
      </c>
      <c r="BI253" s="31">
        <f t="shared" si="125"/>
        <v>225.5</v>
      </c>
      <c r="BJ253" s="37">
        <f t="shared" si="126"/>
        <v>12</v>
      </c>
      <c r="BK253" s="37">
        <f t="shared" si="127"/>
        <v>5.3215077605321506</v>
      </c>
      <c r="BL253" s="36">
        <f t="shared" si="128"/>
        <v>48.5</v>
      </c>
      <c r="BM253" s="36">
        <f t="shared" si="129"/>
        <v>60.5</v>
      </c>
      <c r="BN253" s="37">
        <f t="shared" si="130"/>
        <v>-12</v>
      </c>
      <c r="BO253" s="37">
        <f t="shared" si="131"/>
        <v>-19.834710743801654</v>
      </c>
      <c r="BP253" s="38">
        <f t="shared" si="132"/>
        <v>2799.5</v>
      </c>
      <c r="BQ253" s="39">
        <f>J253+N253+S253+W253+AA253+AE253+AI253+AM253+AQ253+AU253+Table1[[#This Row],[MS-0225]]+Table1[[#This Row],[MS-0325]]</f>
        <v>2561</v>
      </c>
      <c r="BR253" s="37">
        <f t="shared" si="133"/>
        <v>238.5</v>
      </c>
      <c r="BS253" s="37">
        <f t="shared" si="134"/>
        <v>9.3127684498242882</v>
      </c>
      <c r="BT253" s="36">
        <f t="shared" si="135"/>
        <v>616.5</v>
      </c>
      <c r="BU253" s="36">
        <f t="shared" si="136"/>
        <v>725</v>
      </c>
      <c r="BV253" s="37">
        <f t="shared" si="137"/>
        <v>-108.5</v>
      </c>
      <c r="BW253" s="37">
        <f t="shared" si="138"/>
        <v>-14.965517241379311</v>
      </c>
      <c r="BX253">
        <v>0</v>
      </c>
      <c r="BY253" s="83">
        <f t="shared" si="139"/>
        <v>0</v>
      </c>
      <c r="BZ253">
        <v>0</v>
      </c>
      <c r="CA253" s="83">
        <f t="shared" si="140"/>
        <v>0</v>
      </c>
      <c r="CB253" s="96">
        <f t="shared" si="141"/>
        <v>1</v>
      </c>
      <c r="CC253" s="96">
        <f t="shared" si="142"/>
        <v>1</v>
      </c>
      <c r="CD253" s="97">
        <f t="shared" si="143"/>
        <v>0</v>
      </c>
      <c r="CE253" s="96">
        <f t="shared" si="144"/>
        <v>1</v>
      </c>
      <c r="CF253" s="96">
        <f t="shared" si="145"/>
        <v>1</v>
      </c>
      <c r="CG253" s="96">
        <f t="shared" si="146"/>
        <v>0</v>
      </c>
      <c r="CH253" s="95">
        <f t="shared" si="147"/>
        <v>1</v>
      </c>
      <c r="CI253" s="95">
        <f t="shared" si="148"/>
        <v>1</v>
      </c>
      <c r="CJ253" s="98">
        <f t="shared" si="149"/>
        <v>0</v>
      </c>
      <c r="CK253" s="95">
        <f t="shared" si="150"/>
        <v>1</v>
      </c>
      <c r="CL253" s="95">
        <f t="shared" si="151"/>
        <v>1</v>
      </c>
      <c r="CM253" s="98">
        <f t="shared" si="152"/>
        <v>0</v>
      </c>
      <c r="CN253" s="94">
        <f t="shared" si="153"/>
        <v>1</v>
      </c>
      <c r="CO253" s="94">
        <f t="shared" si="154"/>
        <v>1</v>
      </c>
    </row>
    <row r="254" spans="1:94" x14ac:dyDescent="0.35">
      <c r="A254" s="104">
        <v>186838</v>
      </c>
      <c r="B254" s="5" t="s">
        <v>581</v>
      </c>
      <c r="C254" s="46" t="s">
        <v>671</v>
      </c>
      <c r="D254" s="13" t="s">
        <v>672</v>
      </c>
      <c r="E254" s="6" t="s">
        <v>200</v>
      </c>
      <c r="F254" s="6" t="s">
        <v>265</v>
      </c>
      <c r="G254" s="12" t="s">
        <v>265</v>
      </c>
      <c r="H254" s="51" t="s">
        <v>172</v>
      </c>
      <c r="I254" s="24" t="s">
        <v>83</v>
      </c>
      <c r="J254" s="19">
        <v>198</v>
      </c>
      <c r="K254" s="19">
        <v>220.5</v>
      </c>
      <c r="L254" s="19">
        <v>270</v>
      </c>
      <c r="M254" s="19">
        <v>301.5</v>
      </c>
      <c r="N254" s="18">
        <v>229.5</v>
      </c>
      <c r="O254" s="18">
        <v>225</v>
      </c>
      <c r="P254" s="18">
        <v>256.5</v>
      </c>
      <c r="Q254" s="18">
        <v>297</v>
      </c>
      <c r="R254" s="19">
        <v>238.5</v>
      </c>
      <c r="S254" s="19">
        <v>229.5</v>
      </c>
      <c r="T254" s="19">
        <v>283.5</v>
      </c>
      <c r="U254" s="19">
        <v>238.5</v>
      </c>
      <c r="V254" s="19">
        <v>234</v>
      </c>
      <c r="W254" s="19">
        <v>234</v>
      </c>
      <c r="X254" s="19">
        <v>270</v>
      </c>
      <c r="Y254" s="19">
        <v>270</v>
      </c>
      <c r="Z254" s="19">
        <v>240</v>
      </c>
      <c r="AA254" s="19">
        <v>234</v>
      </c>
      <c r="AB254" s="19">
        <v>248</v>
      </c>
      <c r="AC254" s="19">
        <v>216</v>
      </c>
      <c r="AD254" s="19">
        <v>225</v>
      </c>
      <c r="AE254" s="19">
        <v>234</v>
      </c>
      <c r="AF254" s="19">
        <v>279</v>
      </c>
      <c r="AG254" s="19">
        <v>234</v>
      </c>
      <c r="AH254" s="19">
        <v>251.5</v>
      </c>
      <c r="AI254" s="19">
        <v>225</v>
      </c>
      <c r="AJ254" s="19">
        <v>242.5</v>
      </c>
      <c r="AK254" s="19">
        <v>207</v>
      </c>
      <c r="AL254" s="19">
        <v>240</v>
      </c>
      <c r="AM254" s="19">
        <v>229.5</v>
      </c>
      <c r="AN254" s="19">
        <v>240</v>
      </c>
      <c r="AO254" s="19">
        <v>184.5</v>
      </c>
      <c r="AP254" s="19">
        <v>235</v>
      </c>
      <c r="AQ254" s="19">
        <v>211.5</v>
      </c>
      <c r="AR254" s="19">
        <v>205</v>
      </c>
      <c r="AS254" s="19">
        <v>220.5</v>
      </c>
      <c r="AT254" s="19">
        <v>225</v>
      </c>
      <c r="AU254" s="19">
        <v>212</v>
      </c>
      <c r="AV254" s="19">
        <v>255</v>
      </c>
      <c r="AW254" s="19">
        <v>234</v>
      </c>
      <c r="AX254" s="19">
        <v>235</v>
      </c>
      <c r="AY254" s="19">
        <v>202.5</v>
      </c>
      <c r="AZ254" s="19">
        <v>205</v>
      </c>
      <c r="BA254" s="19">
        <v>247.5</v>
      </c>
      <c r="BB254" s="19">
        <v>235</v>
      </c>
      <c r="BC254" s="19">
        <v>229.5</v>
      </c>
      <c r="BD254" s="19">
        <v>285</v>
      </c>
      <c r="BE254" s="19">
        <v>292.5</v>
      </c>
      <c r="BF254" s="23">
        <v>28.756399999999999</v>
      </c>
      <c r="BG254" s="23">
        <v>77.147900000000007</v>
      </c>
      <c r="BH254" s="31">
        <f t="shared" si="124"/>
        <v>235</v>
      </c>
      <c r="BI254" s="31">
        <f t="shared" si="125"/>
        <v>229.5</v>
      </c>
      <c r="BJ254" s="37">
        <f t="shared" si="126"/>
        <v>5.5</v>
      </c>
      <c r="BK254" s="37">
        <f t="shared" si="127"/>
        <v>2.3965141612200433</v>
      </c>
      <c r="BL254" s="36">
        <f t="shared" si="128"/>
        <v>285</v>
      </c>
      <c r="BM254" s="36">
        <f t="shared" si="129"/>
        <v>292.5</v>
      </c>
      <c r="BN254" s="37">
        <f t="shared" si="130"/>
        <v>-7.5</v>
      </c>
      <c r="BO254" s="37">
        <f t="shared" si="131"/>
        <v>-2.5641025641025639</v>
      </c>
      <c r="BP254" s="38">
        <f t="shared" si="132"/>
        <v>2804.5</v>
      </c>
      <c r="BQ254" s="39">
        <f>J254+N254+S254+W254+AA254+AE254+AI254+AM254+AQ254+AU254+Table1[[#This Row],[MS-0225]]+Table1[[#This Row],[MS-0325]]</f>
        <v>2669</v>
      </c>
      <c r="BR254" s="37">
        <f t="shared" si="133"/>
        <v>135.5</v>
      </c>
      <c r="BS254" s="37">
        <f t="shared" si="134"/>
        <v>5.0768077931809668</v>
      </c>
      <c r="BT254" s="36">
        <f t="shared" si="135"/>
        <v>3111.5</v>
      </c>
      <c r="BU254" s="36">
        <f t="shared" si="136"/>
        <v>2871</v>
      </c>
      <c r="BV254" s="37">
        <f t="shared" si="137"/>
        <v>240.5</v>
      </c>
      <c r="BW254" s="37">
        <f t="shared" si="138"/>
        <v>8.3768721699756181</v>
      </c>
      <c r="BX254">
        <v>0</v>
      </c>
      <c r="BY254" s="83">
        <f t="shared" si="139"/>
        <v>0</v>
      </c>
      <c r="BZ254">
        <v>0</v>
      </c>
      <c r="CA254" s="83">
        <f t="shared" si="140"/>
        <v>0</v>
      </c>
      <c r="CB254" s="96">
        <f t="shared" si="141"/>
        <v>0.55952380952380953</v>
      </c>
      <c r="CC254" s="96">
        <f t="shared" si="142"/>
        <v>0.58921694480102693</v>
      </c>
      <c r="CD254" s="97">
        <f t="shared" si="143"/>
        <v>-2.9693135277217397E-2</v>
      </c>
      <c r="CE254" s="96">
        <f t="shared" si="144"/>
        <v>0.52777777777777779</v>
      </c>
      <c r="CF254" s="96">
        <f t="shared" si="145"/>
        <v>0.54929577464788737</v>
      </c>
      <c r="CG254" s="96">
        <f t="shared" si="146"/>
        <v>-2.1517996870109579E-2</v>
      </c>
      <c r="CH254" s="95">
        <f t="shared" si="147"/>
        <v>0.58010135484538217</v>
      </c>
      <c r="CI254" s="95">
        <f t="shared" si="148"/>
        <v>0.59709172259507826</v>
      </c>
      <c r="CJ254" s="98">
        <f t="shared" si="149"/>
        <v>-1.6990367749696089E-2</v>
      </c>
      <c r="CK254" s="95">
        <f t="shared" si="150"/>
        <v>0.53083681651454406</v>
      </c>
      <c r="CL254" s="95">
        <f t="shared" si="151"/>
        <v>0.48138832997987929</v>
      </c>
      <c r="CM254" s="98">
        <f t="shared" si="152"/>
        <v>4.9448486534664771E-2</v>
      </c>
      <c r="CN254" s="94">
        <f t="shared" si="153"/>
        <v>1.1602027096907643</v>
      </c>
      <c r="CO254" s="94">
        <f t="shared" si="154"/>
        <v>1.0616736330290881</v>
      </c>
    </row>
    <row r="255" spans="1:94" ht="24.5" x14ac:dyDescent="0.35">
      <c r="A255" s="102">
        <v>112442</v>
      </c>
      <c r="B255" s="3" t="s">
        <v>72</v>
      </c>
      <c r="C255" s="43" t="s">
        <v>374</v>
      </c>
      <c r="D255" s="12" t="s">
        <v>375</v>
      </c>
      <c r="E255" s="4" t="s">
        <v>187</v>
      </c>
      <c r="F255" s="4" t="s">
        <v>356</v>
      </c>
      <c r="G255" s="12" t="s">
        <v>356</v>
      </c>
      <c r="H255" s="51" t="s">
        <v>189</v>
      </c>
      <c r="I255" s="23" t="s">
        <v>86</v>
      </c>
      <c r="J255" s="90">
        <v>270</v>
      </c>
      <c r="K255" s="90">
        <v>255.5</v>
      </c>
      <c r="L255" s="90">
        <v>750</v>
      </c>
      <c r="M255" s="90">
        <v>946.5</v>
      </c>
      <c r="N255" s="18">
        <v>315</v>
      </c>
      <c r="O255" s="18">
        <v>270</v>
      </c>
      <c r="P255" s="18">
        <v>878</v>
      </c>
      <c r="Q255" s="18">
        <v>900</v>
      </c>
      <c r="R255" s="90">
        <v>251.5</v>
      </c>
      <c r="S255" s="90">
        <v>282</v>
      </c>
      <c r="T255" s="90">
        <v>894.5</v>
      </c>
      <c r="U255" s="90">
        <v>882</v>
      </c>
      <c r="V255" s="90">
        <v>296</v>
      </c>
      <c r="W255" s="90">
        <v>297</v>
      </c>
      <c r="X255" s="90">
        <v>678</v>
      </c>
      <c r="Y255" s="90">
        <v>837</v>
      </c>
      <c r="Z255" s="90">
        <v>280.5</v>
      </c>
      <c r="AA255" s="90">
        <v>301.5</v>
      </c>
      <c r="AB255" s="90">
        <v>665.5</v>
      </c>
      <c r="AC255" s="90">
        <v>702.5</v>
      </c>
      <c r="AD255" s="90">
        <v>267.5</v>
      </c>
      <c r="AE255" s="90">
        <v>319.5</v>
      </c>
      <c r="AF255" s="90">
        <v>546.5</v>
      </c>
      <c r="AG255" s="90">
        <v>612.5</v>
      </c>
      <c r="AH255" s="90">
        <v>259</v>
      </c>
      <c r="AI255" s="90">
        <v>333</v>
      </c>
      <c r="AJ255" s="90">
        <v>671</v>
      </c>
      <c r="AK255" s="90">
        <v>797</v>
      </c>
      <c r="AL255" s="90">
        <v>260</v>
      </c>
      <c r="AM255" s="90">
        <v>313</v>
      </c>
      <c r="AN255" s="90">
        <v>742</v>
      </c>
      <c r="AO255" s="90">
        <v>789</v>
      </c>
      <c r="AP255" s="90">
        <v>268</v>
      </c>
      <c r="AQ255" s="90">
        <v>254</v>
      </c>
      <c r="AR255" s="90">
        <v>804</v>
      </c>
      <c r="AS255" s="90">
        <v>856</v>
      </c>
      <c r="AT255" s="90">
        <v>251.5</v>
      </c>
      <c r="AU255" s="90">
        <v>256.5</v>
      </c>
      <c r="AV255" s="90">
        <v>748.5</v>
      </c>
      <c r="AW255" s="90">
        <v>777.5</v>
      </c>
      <c r="AX255" s="90">
        <v>244</v>
      </c>
      <c r="AY255" s="90">
        <v>232.5</v>
      </c>
      <c r="AZ255" s="90">
        <v>654</v>
      </c>
      <c r="BA255" s="90">
        <v>813.5</v>
      </c>
      <c r="BB255" s="90">
        <v>234.5</v>
      </c>
      <c r="BC255" s="90">
        <v>252</v>
      </c>
      <c r="BD255" s="90">
        <v>1003.5</v>
      </c>
      <c r="BE255" s="90">
        <v>874</v>
      </c>
      <c r="BF255" s="23">
        <v>28.670950000000001</v>
      </c>
      <c r="BG255" s="23">
        <v>77.226070000000007</v>
      </c>
      <c r="BH255" s="31">
        <f t="shared" si="124"/>
        <v>234.5</v>
      </c>
      <c r="BI255" s="31">
        <f t="shared" si="125"/>
        <v>252</v>
      </c>
      <c r="BJ255" s="37">
        <f t="shared" si="126"/>
        <v>-17.5</v>
      </c>
      <c r="BK255" s="37">
        <f t="shared" si="127"/>
        <v>-6.9444444444444446</v>
      </c>
      <c r="BL255" s="36">
        <f t="shared" si="128"/>
        <v>1003.5</v>
      </c>
      <c r="BM255" s="36">
        <f t="shared" si="129"/>
        <v>874</v>
      </c>
      <c r="BN255" s="37">
        <f t="shared" si="130"/>
        <v>129.5</v>
      </c>
      <c r="BO255" s="37">
        <f t="shared" si="131"/>
        <v>14.816933638443935</v>
      </c>
      <c r="BP255" s="38">
        <f t="shared" si="132"/>
        <v>3138</v>
      </c>
      <c r="BQ255" s="39">
        <f>J255+N255+S255+W255+AA255+AE255+AI255+AM255+AQ255+AU255+Table1[[#This Row],[MS-0225]]+Table1[[#This Row],[MS-0325]]</f>
        <v>3426</v>
      </c>
      <c r="BR255" s="37">
        <f t="shared" si="133"/>
        <v>-288</v>
      </c>
      <c r="BS255" s="37">
        <f t="shared" si="134"/>
        <v>-8.4063047285464094</v>
      </c>
      <c r="BT255" s="36">
        <f t="shared" si="135"/>
        <v>9254</v>
      </c>
      <c r="BU255" s="36">
        <f t="shared" si="136"/>
        <v>9569</v>
      </c>
      <c r="BV255" s="37">
        <f t="shared" si="137"/>
        <v>-315</v>
      </c>
      <c r="BW255" s="37">
        <f t="shared" si="138"/>
        <v>-3.2918800292611556</v>
      </c>
      <c r="BX255">
        <v>0</v>
      </c>
      <c r="BY255" s="83">
        <f t="shared" si="139"/>
        <v>0</v>
      </c>
      <c r="BZ255">
        <v>0</v>
      </c>
      <c r="CA255" s="83">
        <f t="shared" si="140"/>
        <v>0</v>
      </c>
      <c r="CB255" s="96">
        <f t="shared" si="141"/>
        <v>0.32889200561009818</v>
      </c>
      <c r="CC255" s="96">
        <f t="shared" si="142"/>
        <v>0.35269419174247724</v>
      </c>
      <c r="CD255" s="97">
        <f t="shared" si="143"/>
        <v>-2.3802186132379055E-2</v>
      </c>
      <c r="CE255" s="96">
        <f t="shared" si="144"/>
        <v>0.60379061371841158</v>
      </c>
      <c r="CF255" s="96">
        <f t="shared" si="145"/>
        <v>0.55580286168521464</v>
      </c>
      <c r="CG255" s="96">
        <f t="shared" si="146"/>
        <v>4.798775203319694E-2</v>
      </c>
      <c r="CH255" s="95">
        <f t="shared" si="147"/>
        <v>0.3473159933591588</v>
      </c>
      <c r="CI255" s="95">
        <f t="shared" si="148"/>
        <v>0.39176672348380409</v>
      </c>
      <c r="CJ255" s="98">
        <f t="shared" si="149"/>
        <v>-4.4450730124645288E-2</v>
      </c>
      <c r="CK255" s="95">
        <f t="shared" si="150"/>
        <v>0.55986448060983729</v>
      </c>
      <c r="CL255" s="95">
        <f t="shared" si="151"/>
        <v>0.55395391918490211</v>
      </c>
      <c r="CM255" s="98">
        <f t="shared" si="152"/>
        <v>5.910561424935179E-3</v>
      </c>
      <c r="CN255" s="94">
        <f t="shared" si="153"/>
        <v>1.0419479800774765</v>
      </c>
      <c r="CO255" s="94">
        <f t="shared" si="154"/>
        <v>1.6795934418295118</v>
      </c>
    </row>
    <row r="256" spans="1:94" ht="24.5" x14ac:dyDescent="0.35">
      <c r="A256" s="104">
        <v>102090</v>
      </c>
      <c r="B256" s="5" t="s">
        <v>581</v>
      </c>
      <c r="C256" s="46" t="s">
        <v>778</v>
      </c>
      <c r="D256" s="13" t="s">
        <v>779</v>
      </c>
      <c r="E256" s="6" t="s">
        <v>103</v>
      </c>
      <c r="F256" s="6" t="s">
        <v>181</v>
      </c>
      <c r="G256" s="12" t="s">
        <v>181</v>
      </c>
      <c r="H256" s="51" t="s">
        <v>105</v>
      </c>
      <c r="I256" s="24" t="s">
        <v>83</v>
      </c>
      <c r="J256" s="19">
        <v>216</v>
      </c>
      <c r="K256" s="19">
        <v>226</v>
      </c>
      <c r="L256" s="19">
        <v>72</v>
      </c>
      <c r="M256" s="19">
        <v>64</v>
      </c>
      <c r="N256" s="18">
        <v>243</v>
      </c>
      <c r="O256" s="18">
        <v>225</v>
      </c>
      <c r="P256" s="18">
        <v>81</v>
      </c>
      <c r="Q256" s="18">
        <v>63</v>
      </c>
      <c r="R256" s="19">
        <v>225</v>
      </c>
      <c r="S256" s="19">
        <v>234</v>
      </c>
      <c r="T256" s="19">
        <v>63</v>
      </c>
      <c r="U256" s="19">
        <v>72</v>
      </c>
      <c r="V256" s="19">
        <v>243</v>
      </c>
      <c r="W256" s="19">
        <v>225</v>
      </c>
      <c r="X256" s="19">
        <v>63</v>
      </c>
      <c r="Y256" s="19">
        <v>81</v>
      </c>
      <c r="Z256" s="19">
        <v>238.5</v>
      </c>
      <c r="AA256" s="19">
        <v>225</v>
      </c>
      <c r="AB256" s="19">
        <v>67.5</v>
      </c>
      <c r="AC256" s="19">
        <v>81</v>
      </c>
      <c r="AD256" s="19">
        <v>204</v>
      </c>
      <c r="AE256" s="19">
        <v>211.5</v>
      </c>
      <c r="AF256" s="19">
        <v>68</v>
      </c>
      <c r="AG256" s="19">
        <v>58.5</v>
      </c>
      <c r="AH256" s="19">
        <v>229.5</v>
      </c>
      <c r="AI256" s="19">
        <v>220.5</v>
      </c>
      <c r="AJ256" s="19">
        <v>58.5</v>
      </c>
      <c r="AK256" s="19">
        <v>67.5</v>
      </c>
      <c r="AL256" s="19">
        <v>207</v>
      </c>
      <c r="AM256" s="19">
        <v>220.5</v>
      </c>
      <c r="AN256" s="19">
        <v>45</v>
      </c>
      <c r="AO256" s="19">
        <v>49.5</v>
      </c>
      <c r="AP256" s="19">
        <v>202.5</v>
      </c>
      <c r="AQ256" s="19">
        <v>175.5</v>
      </c>
      <c r="AR256" s="19">
        <v>49.5</v>
      </c>
      <c r="AS256" s="19">
        <v>40.5</v>
      </c>
      <c r="AT256" s="19">
        <v>198</v>
      </c>
      <c r="AU256" s="19">
        <v>206.5</v>
      </c>
      <c r="AV256" s="19">
        <v>54</v>
      </c>
      <c r="AW256" s="19">
        <v>51.5</v>
      </c>
      <c r="AX256" s="19">
        <v>184.5</v>
      </c>
      <c r="AY256" s="19">
        <v>169.5</v>
      </c>
      <c r="AZ256" s="19">
        <v>49.5</v>
      </c>
      <c r="BA256" s="19">
        <v>50.5</v>
      </c>
      <c r="BB256" s="19">
        <v>234</v>
      </c>
      <c r="BC256" s="19">
        <v>197</v>
      </c>
      <c r="BD256" s="19">
        <v>90</v>
      </c>
      <c r="BE256" s="19">
        <v>59</v>
      </c>
      <c r="BF256" s="23">
        <v>28.628699999999998</v>
      </c>
      <c r="BG256" s="23">
        <v>77.212900000000005</v>
      </c>
      <c r="BH256" s="31">
        <f t="shared" si="124"/>
        <v>234</v>
      </c>
      <c r="BI256" s="31">
        <f t="shared" si="125"/>
        <v>197</v>
      </c>
      <c r="BJ256" s="37">
        <f t="shared" si="126"/>
        <v>37</v>
      </c>
      <c r="BK256" s="37">
        <f t="shared" si="127"/>
        <v>18.781725888324875</v>
      </c>
      <c r="BL256" s="36">
        <f t="shared" si="128"/>
        <v>90</v>
      </c>
      <c r="BM256" s="36">
        <f t="shared" si="129"/>
        <v>59</v>
      </c>
      <c r="BN256" s="37">
        <f t="shared" si="130"/>
        <v>31</v>
      </c>
      <c r="BO256" s="37">
        <f t="shared" si="131"/>
        <v>52.542372881355938</v>
      </c>
      <c r="BP256" s="38">
        <f t="shared" si="132"/>
        <v>2617</v>
      </c>
      <c r="BQ256" s="39">
        <f>J256+N256+S256+W256+AA256+AE256+AI256+AM256+AQ256+AU256+Table1[[#This Row],[MS-0225]]+Table1[[#This Row],[MS-0325]]</f>
        <v>2544</v>
      </c>
      <c r="BR256" s="37">
        <f t="shared" si="133"/>
        <v>73</v>
      </c>
      <c r="BS256" s="37">
        <f t="shared" si="134"/>
        <v>2.8694968553459121</v>
      </c>
      <c r="BT256" s="36">
        <f t="shared" si="135"/>
        <v>735</v>
      </c>
      <c r="BU256" s="36">
        <f t="shared" si="136"/>
        <v>764</v>
      </c>
      <c r="BV256" s="37">
        <f t="shared" si="137"/>
        <v>-29</v>
      </c>
      <c r="BW256" s="37">
        <f t="shared" si="138"/>
        <v>-3.7958115183246073</v>
      </c>
      <c r="BX256">
        <v>0</v>
      </c>
      <c r="BY256" s="83">
        <f t="shared" si="139"/>
        <v>0</v>
      </c>
      <c r="BZ256">
        <v>0</v>
      </c>
      <c r="CA256" s="83">
        <f t="shared" si="140"/>
        <v>0</v>
      </c>
      <c r="CB256" s="96">
        <f t="shared" si="141"/>
        <v>0.28295042321644498</v>
      </c>
      <c r="CC256" s="96">
        <f t="shared" si="142"/>
        <v>0.24411400247831475</v>
      </c>
      <c r="CD256" s="97">
        <f t="shared" si="143"/>
        <v>3.8836420738130234E-2</v>
      </c>
      <c r="CE256" s="96">
        <f t="shared" si="144"/>
        <v>0.36437246963562753</v>
      </c>
      <c r="CF256" s="96">
        <f t="shared" si="145"/>
        <v>0.24481327800829875</v>
      </c>
      <c r="CG256" s="96">
        <f t="shared" si="146"/>
        <v>0.11955919162732878</v>
      </c>
      <c r="CH256" s="95">
        <f t="shared" si="147"/>
        <v>0.27004437106593748</v>
      </c>
      <c r="CI256" s="95">
        <f t="shared" si="148"/>
        <v>0.25752897704534805</v>
      </c>
      <c r="CJ256" s="98">
        <f t="shared" si="149"/>
        <v>1.2515394020589432E-2</v>
      </c>
      <c r="CK256" s="95">
        <f t="shared" si="150"/>
        <v>0.29458917835671344</v>
      </c>
      <c r="CL256" s="95">
        <f t="shared" si="151"/>
        <v>0.24593594076935457</v>
      </c>
      <c r="CM256" s="98">
        <f t="shared" si="152"/>
        <v>4.8653237587358872E-2</v>
      </c>
      <c r="CN256" s="94">
        <f t="shared" si="153"/>
        <v>1.0801774842637499</v>
      </c>
      <c r="CO256" s="94">
        <f t="shared" si="154"/>
        <v>1.1783567134268538</v>
      </c>
    </row>
    <row r="257" spans="1:93" ht="24.5" x14ac:dyDescent="0.35">
      <c r="A257" s="102">
        <v>112384</v>
      </c>
      <c r="B257" s="3" t="s">
        <v>72</v>
      </c>
      <c r="C257" s="40" t="s">
        <v>179</v>
      </c>
      <c r="D257" s="12" t="s">
        <v>180</v>
      </c>
      <c r="E257" s="4" t="s">
        <v>103</v>
      </c>
      <c r="F257" s="4" t="s">
        <v>181</v>
      </c>
      <c r="G257" s="12" t="s">
        <v>181</v>
      </c>
      <c r="H257" s="51" t="s">
        <v>105</v>
      </c>
      <c r="I257" s="23" t="s">
        <v>83</v>
      </c>
      <c r="J257" s="90">
        <v>225</v>
      </c>
      <c r="K257" s="90">
        <v>232</v>
      </c>
      <c r="L257" s="90">
        <v>55</v>
      </c>
      <c r="M257" s="90">
        <v>62</v>
      </c>
      <c r="N257" s="18">
        <v>253</v>
      </c>
      <c r="O257" s="18">
        <v>242</v>
      </c>
      <c r="P257" s="18">
        <v>85</v>
      </c>
      <c r="Q257" s="18">
        <v>52</v>
      </c>
      <c r="R257" s="90">
        <v>228</v>
      </c>
      <c r="S257" s="90">
        <v>243</v>
      </c>
      <c r="T257" s="90">
        <v>38</v>
      </c>
      <c r="U257" s="90">
        <v>80</v>
      </c>
      <c r="V257" s="90">
        <v>253</v>
      </c>
      <c r="W257" s="90">
        <v>265</v>
      </c>
      <c r="X257" s="90">
        <v>55</v>
      </c>
      <c r="Y257" s="90">
        <v>75</v>
      </c>
      <c r="Z257" s="90">
        <v>242</v>
      </c>
      <c r="AA257" s="90">
        <v>243</v>
      </c>
      <c r="AB257" s="90">
        <v>52</v>
      </c>
      <c r="AC257" s="90">
        <v>75</v>
      </c>
      <c r="AD257" s="90">
        <v>241</v>
      </c>
      <c r="AE257" s="90">
        <v>246.500001</v>
      </c>
      <c r="AF257" s="90">
        <v>67</v>
      </c>
      <c r="AG257" s="90">
        <v>83.5</v>
      </c>
      <c r="AH257" s="90">
        <v>227</v>
      </c>
      <c r="AI257" s="90">
        <v>251.5</v>
      </c>
      <c r="AJ257" s="90">
        <v>53</v>
      </c>
      <c r="AK257" s="90">
        <v>74.5</v>
      </c>
      <c r="AL257" s="90">
        <v>157</v>
      </c>
      <c r="AM257" s="90">
        <v>235</v>
      </c>
      <c r="AN257" s="90">
        <v>39</v>
      </c>
      <c r="AO257" s="90">
        <v>59</v>
      </c>
      <c r="AP257" s="90">
        <v>228</v>
      </c>
      <c r="AQ257" s="90">
        <v>227</v>
      </c>
      <c r="AR257" s="90">
        <v>52</v>
      </c>
      <c r="AS257" s="90">
        <v>57</v>
      </c>
      <c r="AT257" s="90">
        <v>196</v>
      </c>
      <c r="AU257" s="90">
        <v>219</v>
      </c>
      <c r="AV257" s="90">
        <v>56</v>
      </c>
      <c r="AW257" s="90">
        <v>61</v>
      </c>
      <c r="AX257" s="90">
        <v>205</v>
      </c>
      <c r="AY257" s="90">
        <v>203</v>
      </c>
      <c r="AZ257" s="90">
        <v>47</v>
      </c>
      <c r="BA257" s="90">
        <v>63</v>
      </c>
      <c r="BB257" s="90">
        <v>234</v>
      </c>
      <c r="BC257" s="90">
        <v>232</v>
      </c>
      <c r="BD257" s="90">
        <v>60</v>
      </c>
      <c r="BE257" s="90">
        <v>62</v>
      </c>
      <c r="BF257" s="23">
        <v>28.628879999999999</v>
      </c>
      <c r="BG257" s="23">
        <v>77.210250000000002</v>
      </c>
      <c r="BH257" s="31">
        <f t="shared" si="124"/>
        <v>234</v>
      </c>
      <c r="BI257" s="31">
        <f t="shared" si="125"/>
        <v>232</v>
      </c>
      <c r="BJ257" s="37">
        <f t="shared" si="126"/>
        <v>2</v>
      </c>
      <c r="BK257" s="37">
        <f t="shared" si="127"/>
        <v>0.86206896551724133</v>
      </c>
      <c r="BL257" s="36">
        <f t="shared" si="128"/>
        <v>60</v>
      </c>
      <c r="BM257" s="36">
        <f t="shared" si="129"/>
        <v>62</v>
      </c>
      <c r="BN257" s="37">
        <f t="shared" si="130"/>
        <v>-2</v>
      </c>
      <c r="BO257" s="37">
        <f t="shared" si="131"/>
        <v>-3.225806451612903</v>
      </c>
      <c r="BP257" s="38">
        <f t="shared" si="132"/>
        <v>2685</v>
      </c>
      <c r="BQ257" s="39">
        <f>J257+N257+S257+W257+AA257+AE257+AI257+AM257+AQ257+AU257+Table1[[#This Row],[MS-0225]]+Table1[[#This Row],[MS-0325]]</f>
        <v>2843.0000009999999</v>
      </c>
      <c r="BR257" s="37">
        <f t="shared" si="133"/>
        <v>-158.00000099999988</v>
      </c>
      <c r="BS257" s="37">
        <f t="shared" si="134"/>
        <v>-5.5575097061000633</v>
      </c>
      <c r="BT257" s="36">
        <f t="shared" si="135"/>
        <v>633</v>
      </c>
      <c r="BU257" s="36">
        <f t="shared" si="136"/>
        <v>830</v>
      </c>
      <c r="BV257" s="37">
        <f t="shared" si="137"/>
        <v>-197</v>
      </c>
      <c r="BW257" s="37">
        <f t="shared" si="138"/>
        <v>-23.734939759036145</v>
      </c>
      <c r="BX257">
        <v>15</v>
      </c>
      <c r="BY257" s="83">
        <f t="shared" si="139"/>
        <v>6.4102564102564097E-2</v>
      </c>
      <c r="BZ257">
        <v>87</v>
      </c>
      <c r="CA257" s="83">
        <f t="shared" si="140"/>
        <v>3.2402234636871509E-2</v>
      </c>
      <c r="CB257" s="96">
        <f t="shared" si="141"/>
        <v>0.28295042321644498</v>
      </c>
      <c r="CC257" s="96">
        <f t="shared" si="142"/>
        <v>0.28748451053283769</v>
      </c>
      <c r="CD257" s="97">
        <f t="shared" si="143"/>
        <v>-4.5340873163927098E-3</v>
      </c>
      <c r="CE257" s="96">
        <f t="shared" si="144"/>
        <v>0.24291497975708501</v>
      </c>
      <c r="CF257" s="96">
        <f t="shared" si="145"/>
        <v>0.25726141078838172</v>
      </c>
      <c r="CG257" s="96">
        <f t="shared" si="146"/>
        <v>-1.4346431031296708E-2</v>
      </c>
      <c r="CH257" s="95">
        <f t="shared" si="147"/>
        <v>0.27706119079558356</v>
      </c>
      <c r="CI257" s="95">
        <f t="shared" si="148"/>
        <v>0.28779673034491099</v>
      </c>
      <c r="CJ257" s="98">
        <f t="shared" si="149"/>
        <v>-1.0735539549327433E-2</v>
      </c>
      <c r="CK257" s="95">
        <f t="shared" si="150"/>
        <v>0.25370741482965931</v>
      </c>
      <c r="CL257" s="95">
        <f t="shared" si="151"/>
        <v>0.26718171575728311</v>
      </c>
      <c r="CM257" s="98">
        <f t="shared" si="152"/>
        <v>-1.3474300927623806E-2</v>
      </c>
      <c r="CN257" s="94">
        <f t="shared" si="153"/>
        <v>1.1082447631823342</v>
      </c>
      <c r="CO257" s="94">
        <f t="shared" si="154"/>
        <v>1.0148296593186372</v>
      </c>
    </row>
    <row r="258" spans="1:93" ht="24.5" x14ac:dyDescent="0.35">
      <c r="A258" s="102">
        <v>112416</v>
      </c>
      <c r="B258" s="3" t="s">
        <v>72</v>
      </c>
      <c r="C258" s="41" t="s">
        <v>254</v>
      </c>
      <c r="D258" s="12" t="s">
        <v>255</v>
      </c>
      <c r="E258" s="4" t="s">
        <v>103</v>
      </c>
      <c r="F258" s="4" t="s">
        <v>256</v>
      </c>
      <c r="G258" s="12" t="s">
        <v>256</v>
      </c>
      <c r="H258" s="51" t="s">
        <v>257</v>
      </c>
      <c r="I258" s="23" t="s">
        <v>83</v>
      </c>
      <c r="J258" s="90">
        <v>235</v>
      </c>
      <c r="K258" s="90">
        <v>250</v>
      </c>
      <c r="L258" s="90">
        <v>25</v>
      </c>
      <c r="M258" s="90">
        <v>30</v>
      </c>
      <c r="N258" s="18">
        <v>271.5</v>
      </c>
      <c r="O258" s="18">
        <v>254</v>
      </c>
      <c r="P258" s="18">
        <v>32.5</v>
      </c>
      <c r="Q258" s="18">
        <v>20</v>
      </c>
      <c r="R258" s="90">
        <v>250</v>
      </c>
      <c r="S258" s="90">
        <v>238</v>
      </c>
      <c r="T258" s="90">
        <v>30</v>
      </c>
      <c r="U258" s="90">
        <v>24</v>
      </c>
      <c r="V258" s="90">
        <v>272</v>
      </c>
      <c r="W258" s="90">
        <v>267</v>
      </c>
      <c r="X258" s="90">
        <v>20</v>
      </c>
      <c r="Y258" s="90">
        <v>29</v>
      </c>
      <c r="Z258" s="90">
        <v>278.5</v>
      </c>
      <c r="AA258" s="90">
        <v>267</v>
      </c>
      <c r="AB258" s="90">
        <v>29.5</v>
      </c>
      <c r="AC258" s="90">
        <v>27</v>
      </c>
      <c r="AD258" s="90">
        <v>267</v>
      </c>
      <c r="AE258" s="90">
        <v>270</v>
      </c>
      <c r="AF258" s="90">
        <v>25</v>
      </c>
      <c r="AG258" s="90">
        <v>28</v>
      </c>
      <c r="AH258" s="90">
        <v>259.5</v>
      </c>
      <c r="AI258" s="90">
        <v>250</v>
      </c>
      <c r="AJ258" s="90">
        <v>24.5</v>
      </c>
      <c r="AK258" s="90">
        <v>20</v>
      </c>
      <c r="AL258" s="90">
        <v>233</v>
      </c>
      <c r="AM258" s="90">
        <v>234</v>
      </c>
      <c r="AN258" s="90">
        <v>19</v>
      </c>
      <c r="AO258" s="90">
        <v>20</v>
      </c>
      <c r="AP258" s="90">
        <v>247</v>
      </c>
      <c r="AQ258" s="90">
        <v>243</v>
      </c>
      <c r="AR258" s="90">
        <v>19</v>
      </c>
      <c r="AS258" s="90">
        <v>20</v>
      </c>
      <c r="AT258" s="90">
        <v>225</v>
      </c>
      <c r="AU258" s="90">
        <v>248</v>
      </c>
      <c r="AV258" s="90">
        <v>19</v>
      </c>
      <c r="AW258" s="90">
        <v>20</v>
      </c>
      <c r="AX258" s="90">
        <v>211</v>
      </c>
      <c r="AY258" s="90">
        <v>208</v>
      </c>
      <c r="AZ258" s="90">
        <v>19</v>
      </c>
      <c r="BA258" s="90">
        <v>20</v>
      </c>
      <c r="BB258" s="90">
        <v>233</v>
      </c>
      <c r="BC258" s="90">
        <v>240</v>
      </c>
      <c r="BD258" s="90">
        <v>19</v>
      </c>
      <c r="BE258" s="90">
        <v>28</v>
      </c>
      <c r="BF258" s="23">
        <v>28.59647</v>
      </c>
      <c r="BG258" s="23">
        <v>77.13288</v>
      </c>
      <c r="BH258" s="31">
        <f t="shared" si="124"/>
        <v>233</v>
      </c>
      <c r="BI258" s="31">
        <f t="shared" si="125"/>
        <v>240</v>
      </c>
      <c r="BJ258" s="37">
        <f t="shared" si="126"/>
        <v>-7</v>
      </c>
      <c r="BK258" s="37">
        <f t="shared" si="127"/>
        <v>-2.9166666666666665</v>
      </c>
      <c r="BL258" s="36">
        <f t="shared" si="128"/>
        <v>19</v>
      </c>
      <c r="BM258" s="36">
        <f t="shared" si="129"/>
        <v>28</v>
      </c>
      <c r="BN258" s="37">
        <f t="shared" si="130"/>
        <v>-9</v>
      </c>
      <c r="BO258" s="37">
        <f t="shared" si="131"/>
        <v>-32.142857142857146</v>
      </c>
      <c r="BP258" s="38">
        <f t="shared" si="132"/>
        <v>2980</v>
      </c>
      <c r="BQ258" s="39">
        <f>J258+N258+S258+W258+AA258+AE258+AI258+AM258+AQ258+AU258+Table1[[#This Row],[MS-0225]]+Table1[[#This Row],[MS-0325]]</f>
        <v>2971.5</v>
      </c>
      <c r="BR258" s="37">
        <f t="shared" si="133"/>
        <v>8.5</v>
      </c>
      <c r="BS258" s="37">
        <f t="shared" si="134"/>
        <v>0.28605081608615174</v>
      </c>
      <c r="BT258" s="36">
        <f t="shared" si="135"/>
        <v>274</v>
      </c>
      <c r="BU258" s="36">
        <f t="shared" si="136"/>
        <v>293.5</v>
      </c>
      <c r="BV258" s="37">
        <f t="shared" si="137"/>
        <v>-19.5</v>
      </c>
      <c r="BW258" s="37">
        <f t="shared" si="138"/>
        <v>-6.6439522998296416</v>
      </c>
      <c r="BX258">
        <v>0</v>
      </c>
      <c r="BY258" s="83">
        <f t="shared" si="139"/>
        <v>0</v>
      </c>
      <c r="BZ258">
        <v>0</v>
      </c>
      <c r="CA258" s="83">
        <f t="shared" si="140"/>
        <v>0</v>
      </c>
      <c r="CB258" s="96">
        <f t="shared" si="141"/>
        <v>0.37459807073954982</v>
      </c>
      <c r="CC258" s="96">
        <f t="shared" si="142"/>
        <v>0.41558441558441561</v>
      </c>
      <c r="CD258" s="97">
        <f t="shared" si="143"/>
        <v>-4.0986344844865796E-2</v>
      </c>
      <c r="CE258" s="96">
        <f t="shared" si="144"/>
        <v>0.10795454545454546</v>
      </c>
      <c r="CF258" s="96">
        <f t="shared" si="145"/>
        <v>0.22857142857142856</v>
      </c>
      <c r="CG258" s="96">
        <f t="shared" si="146"/>
        <v>-0.12061688311688311</v>
      </c>
      <c r="CH258" s="95">
        <f t="shared" si="147"/>
        <v>0.39975853511301901</v>
      </c>
      <c r="CI258" s="95">
        <f t="shared" si="148"/>
        <v>0.42119064493267189</v>
      </c>
      <c r="CJ258" s="98">
        <f t="shared" si="149"/>
        <v>-2.1432109819652878E-2</v>
      </c>
      <c r="CK258" s="95">
        <f t="shared" si="150"/>
        <v>0.17173299905985584</v>
      </c>
      <c r="CL258" s="95">
        <f t="shared" si="151"/>
        <v>0.1930921052631579</v>
      </c>
      <c r="CM258" s="98">
        <f t="shared" si="152"/>
        <v>-2.1359106203302058E-2</v>
      </c>
      <c r="CN258" s="94">
        <f t="shared" si="153"/>
        <v>0.79951707022603802</v>
      </c>
      <c r="CO258" s="94">
        <f t="shared" si="154"/>
        <v>0.34346599811971168</v>
      </c>
    </row>
    <row r="259" spans="1:93" ht="24.5" x14ac:dyDescent="0.35">
      <c r="A259" s="103">
        <v>41019270</v>
      </c>
      <c r="B259" s="9" t="s">
        <v>380</v>
      </c>
      <c r="C259" s="48" t="s">
        <v>542</v>
      </c>
      <c r="D259" s="14" t="s">
        <v>543</v>
      </c>
      <c r="E259" s="10" t="s">
        <v>169</v>
      </c>
      <c r="F259" s="10" t="s">
        <v>488</v>
      </c>
      <c r="G259" s="12" t="s">
        <v>488</v>
      </c>
      <c r="H259" s="51" t="s">
        <v>172</v>
      </c>
      <c r="I259" s="25" t="s">
        <v>78</v>
      </c>
      <c r="J259" s="20">
        <v>202.5</v>
      </c>
      <c r="K259" s="20">
        <v>232.5</v>
      </c>
      <c r="L259" s="20">
        <v>13.5</v>
      </c>
      <c r="M259" s="20">
        <v>22.5</v>
      </c>
      <c r="N259" s="18">
        <v>237</v>
      </c>
      <c r="O259" s="18">
        <v>244.5</v>
      </c>
      <c r="P259" s="18">
        <v>27</v>
      </c>
      <c r="Q259" s="18">
        <v>17.5</v>
      </c>
      <c r="R259" s="20">
        <v>260.5</v>
      </c>
      <c r="S259" s="20">
        <v>188.5</v>
      </c>
      <c r="T259" s="20">
        <v>25.5</v>
      </c>
      <c r="U259" s="20">
        <v>21.5</v>
      </c>
      <c r="V259" s="20">
        <v>246</v>
      </c>
      <c r="W259" s="20">
        <v>243</v>
      </c>
      <c r="X259" s="20">
        <v>23</v>
      </c>
      <c r="Y259" s="20">
        <v>23</v>
      </c>
      <c r="Z259" s="20">
        <v>255</v>
      </c>
      <c r="AA259" s="20">
        <v>249</v>
      </c>
      <c r="AB259" s="20">
        <v>23</v>
      </c>
      <c r="AC259" s="20">
        <v>22</v>
      </c>
      <c r="AD259" s="20">
        <v>217.5</v>
      </c>
      <c r="AE259" s="20">
        <v>224</v>
      </c>
      <c r="AF259" s="20">
        <v>20.5</v>
      </c>
      <c r="AG259" s="20">
        <v>39</v>
      </c>
      <c r="AH259" s="20">
        <v>259.5</v>
      </c>
      <c r="AI259" s="20">
        <v>228</v>
      </c>
      <c r="AJ259" s="20">
        <v>17.5</v>
      </c>
      <c r="AK259" s="20">
        <v>18</v>
      </c>
      <c r="AL259" s="20">
        <v>237.5</v>
      </c>
      <c r="AM259" s="20">
        <v>250</v>
      </c>
      <c r="AN259" s="20">
        <v>30.5</v>
      </c>
      <c r="AO259" s="20">
        <v>39</v>
      </c>
      <c r="AP259" s="20">
        <v>230.5</v>
      </c>
      <c r="AQ259" s="20">
        <v>213</v>
      </c>
      <c r="AR259" s="20">
        <v>26.5</v>
      </c>
      <c r="AS259" s="20">
        <v>9</v>
      </c>
      <c r="AT259" s="20">
        <v>216</v>
      </c>
      <c r="AU259" s="20">
        <v>251.5</v>
      </c>
      <c r="AV259" s="20">
        <v>22</v>
      </c>
      <c r="AW259" s="20">
        <v>22.5</v>
      </c>
      <c r="AX259" s="20">
        <v>237</v>
      </c>
      <c r="AY259" s="20">
        <v>200</v>
      </c>
      <c r="AZ259" s="20">
        <v>19</v>
      </c>
      <c r="BA259" s="20">
        <v>20</v>
      </c>
      <c r="BB259" s="20">
        <v>232</v>
      </c>
      <c r="BC259" s="20">
        <v>236</v>
      </c>
      <c r="BD259" s="20">
        <v>18</v>
      </c>
      <c r="BE259" s="20">
        <v>27</v>
      </c>
      <c r="BF259" s="23">
        <v>28.675346000000001</v>
      </c>
      <c r="BG259" s="23">
        <v>77.291559000000007</v>
      </c>
      <c r="BH259" s="31">
        <f t="shared" si="124"/>
        <v>232</v>
      </c>
      <c r="BI259" s="31">
        <f t="shared" si="125"/>
        <v>236</v>
      </c>
      <c r="BJ259" s="37">
        <f t="shared" si="126"/>
        <v>-4</v>
      </c>
      <c r="BK259" s="37">
        <f t="shared" si="127"/>
        <v>-1.6949152542372881</v>
      </c>
      <c r="BL259" s="36">
        <f t="shared" si="128"/>
        <v>18</v>
      </c>
      <c r="BM259" s="36">
        <f t="shared" si="129"/>
        <v>27</v>
      </c>
      <c r="BN259" s="37">
        <f t="shared" si="130"/>
        <v>-9</v>
      </c>
      <c r="BO259" s="37">
        <f t="shared" si="131"/>
        <v>-33.333333333333329</v>
      </c>
      <c r="BP259" s="38">
        <f t="shared" si="132"/>
        <v>2868.5</v>
      </c>
      <c r="BQ259" s="39">
        <f>J259+N259+S259+W259+AA259+AE259+AI259+AM259+AQ259+AU259+Table1[[#This Row],[MS-0225]]+Table1[[#This Row],[MS-0325]]</f>
        <v>2722.5</v>
      </c>
      <c r="BR259" s="37">
        <f t="shared" si="133"/>
        <v>146</v>
      </c>
      <c r="BS259" s="37">
        <f t="shared" si="134"/>
        <v>5.3627180899908176</v>
      </c>
      <c r="BT259" s="36">
        <f t="shared" si="135"/>
        <v>265.5</v>
      </c>
      <c r="BU259" s="36">
        <f t="shared" si="136"/>
        <v>281.5</v>
      </c>
      <c r="BV259" s="37">
        <f t="shared" si="137"/>
        <v>-16</v>
      </c>
      <c r="BW259" s="37">
        <f t="shared" si="138"/>
        <v>-5.6838365896980463</v>
      </c>
      <c r="BX259">
        <v>0</v>
      </c>
      <c r="BY259" s="83">
        <f t="shared" si="139"/>
        <v>0</v>
      </c>
      <c r="BZ259">
        <v>0</v>
      </c>
      <c r="CA259" s="83">
        <f t="shared" si="140"/>
        <v>0</v>
      </c>
      <c r="CB259" s="96">
        <f t="shared" si="141"/>
        <v>0.10238305383936452</v>
      </c>
      <c r="CC259" s="96">
        <f t="shared" si="142"/>
        <v>0.11043518951801591</v>
      </c>
      <c r="CD259" s="97">
        <f t="shared" si="143"/>
        <v>-8.052135678651387E-3</v>
      </c>
      <c r="CE259" s="96">
        <f t="shared" si="144"/>
        <v>7.8947368421052627E-2</v>
      </c>
      <c r="CF259" s="96">
        <f t="shared" si="145"/>
        <v>0.108</v>
      </c>
      <c r="CG259" s="96">
        <f t="shared" si="146"/>
        <v>-2.9052631578947372E-2</v>
      </c>
      <c r="CH259" s="95">
        <f t="shared" si="147"/>
        <v>0.11030571044029994</v>
      </c>
      <c r="CI259" s="95">
        <f t="shared" si="148"/>
        <v>0.11013795056434322</v>
      </c>
      <c r="CJ259" s="98">
        <f t="shared" si="149"/>
        <v>1.6775987595671338E-4</v>
      </c>
      <c r="CK259" s="95">
        <f t="shared" si="150"/>
        <v>9.2315716272600837E-2</v>
      </c>
      <c r="CL259" s="95">
        <f t="shared" si="151"/>
        <v>9.0631036703155185E-2</v>
      </c>
      <c r="CM259" s="98">
        <f t="shared" si="152"/>
        <v>1.6846795694456518E-3</v>
      </c>
      <c r="CN259" s="94">
        <f t="shared" si="153"/>
        <v>0.55152855220149966</v>
      </c>
      <c r="CO259" s="94">
        <f t="shared" si="154"/>
        <v>0.46157858136300417</v>
      </c>
    </row>
    <row r="260" spans="1:93" ht="24.5" x14ac:dyDescent="0.35">
      <c r="A260" s="104">
        <v>106296</v>
      </c>
      <c r="B260" s="5" t="s">
        <v>581</v>
      </c>
      <c r="C260" s="46" t="s">
        <v>821</v>
      </c>
      <c r="D260" s="13" t="s">
        <v>822</v>
      </c>
      <c r="E260" s="6" t="s">
        <v>169</v>
      </c>
      <c r="F260" s="6" t="s">
        <v>100</v>
      </c>
      <c r="G260" s="12" t="s">
        <v>100</v>
      </c>
      <c r="H260" s="51" t="s">
        <v>77</v>
      </c>
      <c r="I260" s="24" t="s">
        <v>78</v>
      </c>
      <c r="J260" s="19">
        <v>225</v>
      </c>
      <c r="K260" s="19">
        <v>257</v>
      </c>
      <c r="L260" s="19">
        <v>27</v>
      </c>
      <c r="M260" s="19">
        <v>33</v>
      </c>
      <c r="N260" s="18">
        <v>261</v>
      </c>
      <c r="O260" s="18">
        <v>255.5</v>
      </c>
      <c r="P260" s="18">
        <v>27</v>
      </c>
      <c r="Q260" s="18">
        <v>34.5</v>
      </c>
      <c r="R260" s="19">
        <v>244</v>
      </c>
      <c r="S260" s="19">
        <v>225</v>
      </c>
      <c r="T260" s="19">
        <v>32</v>
      </c>
      <c r="U260" s="19">
        <v>27</v>
      </c>
      <c r="V260" s="19">
        <v>238.5</v>
      </c>
      <c r="W260" s="19">
        <v>234</v>
      </c>
      <c r="X260" s="19">
        <v>43.5</v>
      </c>
      <c r="Y260" s="19">
        <v>36</v>
      </c>
      <c r="Z260" s="19">
        <v>266</v>
      </c>
      <c r="AA260" s="19">
        <v>243</v>
      </c>
      <c r="AB260" s="19">
        <v>28</v>
      </c>
      <c r="AC260" s="19">
        <v>27</v>
      </c>
      <c r="AD260" s="19">
        <v>268.5</v>
      </c>
      <c r="AE260" s="19">
        <v>247.5</v>
      </c>
      <c r="AF260" s="19">
        <v>41.5</v>
      </c>
      <c r="AG260" s="19">
        <v>22.5</v>
      </c>
      <c r="AH260" s="19">
        <v>262.5</v>
      </c>
      <c r="AI260" s="19">
        <v>229.5</v>
      </c>
      <c r="AJ260" s="19">
        <v>31.5</v>
      </c>
      <c r="AK260" s="19">
        <v>40.5</v>
      </c>
      <c r="AL260" s="19">
        <v>262</v>
      </c>
      <c r="AM260" s="19">
        <v>238.5</v>
      </c>
      <c r="AN260" s="19">
        <v>24</v>
      </c>
      <c r="AO260" s="19">
        <v>31.5</v>
      </c>
      <c r="AP260" s="19">
        <v>235</v>
      </c>
      <c r="AQ260" s="19">
        <v>217.5</v>
      </c>
      <c r="AR260" s="19">
        <v>19</v>
      </c>
      <c r="AS260" s="19">
        <v>22.5</v>
      </c>
      <c r="AT260" s="19">
        <v>260.5</v>
      </c>
      <c r="AU260" s="19">
        <v>236.5</v>
      </c>
      <c r="AV260" s="19">
        <v>27.5</v>
      </c>
      <c r="AW260" s="19">
        <v>19.5</v>
      </c>
      <c r="AX260" s="19">
        <v>267</v>
      </c>
      <c r="AY260" s="19">
        <v>230</v>
      </c>
      <c r="AZ260" s="19">
        <v>27</v>
      </c>
      <c r="BA260" s="19">
        <v>30</v>
      </c>
      <c r="BB260" s="19">
        <v>229.5</v>
      </c>
      <c r="BC260" s="19">
        <v>245</v>
      </c>
      <c r="BD260" s="19">
        <v>22.5</v>
      </c>
      <c r="BE260" s="19">
        <v>29</v>
      </c>
      <c r="BF260" s="23">
        <v>28.659600000000001</v>
      </c>
      <c r="BG260" s="23">
        <v>77.296800000000005</v>
      </c>
      <c r="BH260" s="31">
        <f t="shared" si="124"/>
        <v>229.5</v>
      </c>
      <c r="BI260" s="31">
        <f t="shared" si="125"/>
        <v>245</v>
      </c>
      <c r="BJ260" s="37">
        <f t="shared" si="126"/>
        <v>-15.5</v>
      </c>
      <c r="BK260" s="37">
        <f t="shared" si="127"/>
        <v>-6.3265306122448974</v>
      </c>
      <c r="BL260" s="36">
        <f t="shared" si="128"/>
        <v>22.5</v>
      </c>
      <c r="BM260" s="36">
        <f t="shared" si="129"/>
        <v>29</v>
      </c>
      <c r="BN260" s="37">
        <f t="shared" si="130"/>
        <v>-6.5</v>
      </c>
      <c r="BO260" s="37">
        <f t="shared" si="131"/>
        <v>-22.413793103448278</v>
      </c>
      <c r="BP260" s="38">
        <f t="shared" si="132"/>
        <v>3046</v>
      </c>
      <c r="BQ260" s="39">
        <f>J260+N260+S260+W260+AA260+AE260+AI260+AM260+AQ260+AU260+Table1[[#This Row],[MS-0225]]+Table1[[#This Row],[MS-0325]]</f>
        <v>2832.5</v>
      </c>
      <c r="BR260" s="37">
        <f t="shared" si="133"/>
        <v>213.5</v>
      </c>
      <c r="BS260" s="37">
        <f t="shared" si="134"/>
        <v>7.5375110326566643</v>
      </c>
      <c r="BT260" s="36">
        <f t="shared" si="135"/>
        <v>364</v>
      </c>
      <c r="BU260" s="36">
        <f t="shared" si="136"/>
        <v>339.5</v>
      </c>
      <c r="BV260" s="37">
        <f t="shared" si="137"/>
        <v>24.5</v>
      </c>
      <c r="BW260" s="37">
        <f t="shared" si="138"/>
        <v>7.216494845360824</v>
      </c>
      <c r="BX260">
        <v>0</v>
      </c>
      <c r="BY260" s="83">
        <f t="shared" si="139"/>
        <v>0</v>
      </c>
      <c r="BZ260">
        <v>0</v>
      </c>
      <c r="CA260" s="83">
        <f t="shared" si="140"/>
        <v>0</v>
      </c>
      <c r="CB260" s="96">
        <f t="shared" si="141"/>
        <v>5.5575735561205958E-2</v>
      </c>
      <c r="CC260" s="96">
        <f t="shared" si="142"/>
        <v>6.4558629776021087E-2</v>
      </c>
      <c r="CD260" s="97">
        <f t="shared" si="143"/>
        <v>-8.9828942148151292E-3</v>
      </c>
      <c r="CE260" s="96">
        <f t="shared" si="144"/>
        <v>3.5294117647058823E-2</v>
      </c>
      <c r="CF260" s="96">
        <f t="shared" si="145"/>
        <v>4.3283582089552242E-2</v>
      </c>
      <c r="CG260" s="96">
        <f t="shared" si="146"/>
        <v>-7.9894644424934186E-3</v>
      </c>
      <c r="CH260" s="95">
        <f t="shared" si="147"/>
        <v>6.2053353544272195E-2</v>
      </c>
      <c r="CI260" s="95">
        <f t="shared" si="148"/>
        <v>6.1888894850033072E-2</v>
      </c>
      <c r="CJ260" s="98">
        <f t="shared" si="149"/>
        <v>1.6445869423912379E-4</v>
      </c>
      <c r="CK260" s="95">
        <f t="shared" si="150"/>
        <v>4.6904509330974335E-2</v>
      </c>
      <c r="CL260" s="95">
        <f t="shared" si="151"/>
        <v>4.014710751620075E-2</v>
      </c>
      <c r="CM260" s="98">
        <f t="shared" si="152"/>
        <v>6.7574018147735851E-3</v>
      </c>
      <c r="CN260" s="94">
        <f t="shared" si="153"/>
        <v>0.49642682835417756</v>
      </c>
      <c r="CO260" s="94">
        <f t="shared" si="154"/>
        <v>0.37523607464779468</v>
      </c>
    </row>
    <row r="261" spans="1:93" ht="24.5" x14ac:dyDescent="0.35">
      <c r="A261" s="104">
        <v>305308</v>
      </c>
      <c r="B261" s="5" t="s">
        <v>581</v>
      </c>
      <c r="C261" s="46" t="s">
        <v>640</v>
      </c>
      <c r="D261" s="13" t="s">
        <v>641</v>
      </c>
      <c r="E261" s="6" t="s">
        <v>89</v>
      </c>
      <c r="F261" s="6" t="s">
        <v>237</v>
      </c>
      <c r="G261" s="12" t="s">
        <v>392</v>
      </c>
      <c r="H261" s="51" t="s">
        <v>1007</v>
      </c>
      <c r="I261" s="24" t="s">
        <v>86</v>
      </c>
      <c r="J261" s="19">
        <v>209.5</v>
      </c>
      <c r="K261" s="19">
        <v>220</v>
      </c>
      <c r="L261" s="19">
        <v>48.5</v>
      </c>
      <c r="M261" s="19">
        <v>44</v>
      </c>
      <c r="N261" s="18">
        <v>214.5</v>
      </c>
      <c r="O261" s="18">
        <v>215.5</v>
      </c>
      <c r="P261" s="18">
        <v>45.5</v>
      </c>
      <c r="Q261" s="18">
        <v>48.5</v>
      </c>
      <c r="R261" s="19">
        <v>228.5</v>
      </c>
      <c r="S261" s="19">
        <v>217</v>
      </c>
      <c r="T261" s="19">
        <v>35.5</v>
      </c>
      <c r="U261" s="19">
        <v>53</v>
      </c>
      <c r="V261" s="19">
        <v>208.5</v>
      </c>
      <c r="W261" s="19">
        <v>207</v>
      </c>
      <c r="X261" s="19">
        <v>43.5</v>
      </c>
      <c r="Y261" s="19">
        <v>41</v>
      </c>
      <c r="Z261" s="19">
        <v>238.5</v>
      </c>
      <c r="AA261" s="19">
        <v>217.5</v>
      </c>
      <c r="AB261" s="19">
        <v>39.5</v>
      </c>
      <c r="AC261" s="19">
        <v>40.5</v>
      </c>
      <c r="AD261" s="19">
        <v>208.5</v>
      </c>
      <c r="AE261" s="19">
        <v>202</v>
      </c>
      <c r="AF261" s="19">
        <v>31.5</v>
      </c>
      <c r="AG261" s="19">
        <v>44</v>
      </c>
      <c r="AH261" s="19">
        <v>251</v>
      </c>
      <c r="AI261" s="19">
        <v>214.5</v>
      </c>
      <c r="AJ261" s="19">
        <v>31</v>
      </c>
      <c r="AK261" s="19">
        <v>31.5</v>
      </c>
      <c r="AL261" s="19">
        <v>216</v>
      </c>
      <c r="AM261" s="19">
        <v>203.5</v>
      </c>
      <c r="AN261" s="19">
        <v>36</v>
      </c>
      <c r="AO261" s="19">
        <v>30.5</v>
      </c>
      <c r="AP261" s="19">
        <v>224.5</v>
      </c>
      <c r="AQ261" s="19">
        <v>201</v>
      </c>
      <c r="AR261" s="19">
        <v>35.5</v>
      </c>
      <c r="AS261" s="19">
        <v>31</v>
      </c>
      <c r="AT261" s="19">
        <v>185.5</v>
      </c>
      <c r="AU261" s="19">
        <v>205.5</v>
      </c>
      <c r="AV261" s="19">
        <v>30.5</v>
      </c>
      <c r="AW261" s="19">
        <v>34.5</v>
      </c>
      <c r="AX261" s="19">
        <v>225</v>
      </c>
      <c r="AY261" s="19">
        <v>177.5</v>
      </c>
      <c r="AZ261" s="19">
        <v>39</v>
      </c>
      <c r="BA261" s="19">
        <v>32.5</v>
      </c>
      <c r="BB261" s="19">
        <v>212</v>
      </c>
      <c r="BC261" s="19">
        <v>226</v>
      </c>
      <c r="BD261" s="19">
        <v>40</v>
      </c>
      <c r="BE261" s="19">
        <v>44</v>
      </c>
      <c r="BF261" s="23">
        <v>28.69</v>
      </c>
      <c r="BG261" s="23">
        <v>77.099999999999994</v>
      </c>
      <c r="BH261" s="31">
        <f t="shared" si="124"/>
        <v>212</v>
      </c>
      <c r="BI261" s="31">
        <f t="shared" si="125"/>
        <v>226</v>
      </c>
      <c r="BJ261" s="37">
        <f t="shared" si="126"/>
        <v>-14</v>
      </c>
      <c r="BK261" s="37">
        <f t="shared" si="127"/>
        <v>-6.1946902654867255</v>
      </c>
      <c r="BL261" s="36">
        <f t="shared" si="128"/>
        <v>40</v>
      </c>
      <c r="BM261" s="36">
        <f t="shared" si="129"/>
        <v>44</v>
      </c>
      <c r="BN261" s="37">
        <f t="shared" si="130"/>
        <v>-4</v>
      </c>
      <c r="BO261" s="37">
        <f t="shared" si="131"/>
        <v>-9.0909090909090917</v>
      </c>
      <c r="BP261" s="38">
        <f t="shared" si="132"/>
        <v>2633.5</v>
      </c>
      <c r="BQ261" s="39">
        <f>J261+N261+S261+W261+AA261+AE261+AI261+AM261+AQ261+AU261+Table1[[#This Row],[MS-0225]]+Table1[[#This Row],[MS-0325]]</f>
        <v>2495.5</v>
      </c>
      <c r="BR261" s="37">
        <f t="shared" si="133"/>
        <v>138</v>
      </c>
      <c r="BS261" s="37">
        <f t="shared" si="134"/>
        <v>5.5299539170506913</v>
      </c>
      <c r="BT261" s="36">
        <f t="shared" si="135"/>
        <v>454.5</v>
      </c>
      <c r="BU261" s="36">
        <f t="shared" si="136"/>
        <v>476.5</v>
      </c>
      <c r="BV261" s="37">
        <f t="shared" si="137"/>
        <v>-22</v>
      </c>
      <c r="BW261" s="37">
        <f t="shared" si="138"/>
        <v>-4.6169989506820563</v>
      </c>
      <c r="BX261">
        <v>0</v>
      </c>
      <c r="BY261" s="83">
        <f t="shared" si="139"/>
        <v>0</v>
      </c>
      <c r="BZ261">
        <v>0</v>
      </c>
      <c r="CA261" s="83">
        <f t="shared" si="140"/>
        <v>0</v>
      </c>
      <c r="CB261" s="96">
        <f t="shared" si="141"/>
        <v>0.1402116402116402</v>
      </c>
      <c r="CC261" s="96">
        <f t="shared" si="142"/>
        <v>0.14267676767676768</v>
      </c>
      <c r="CD261" s="97">
        <f t="shared" si="143"/>
        <v>-2.4651274651274757E-3</v>
      </c>
      <c r="CE261" s="96">
        <f t="shared" si="144"/>
        <v>8.6580086580086577E-2</v>
      </c>
      <c r="CF261" s="96">
        <f t="shared" si="145"/>
        <v>7.1082390953150248E-2</v>
      </c>
      <c r="CG261" s="96">
        <f t="shared" si="146"/>
        <v>1.5497695626936328E-2</v>
      </c>
      <c r="CH261" s="95">
        <f t="shared" si="147"/>
        <v>0.14151754527379226</v>
      </c>
      <c r="CI261" s="95">
        <f t="shared" si="148"/>
        <v>0.13648161498850886</v>
      </c>
      <c r="CJ261" s="98">
        <f t="shared" si="149"/>
        <v>5.035930285283402E-3</v>
      </c>
      <c r="CK261" s="95">
        <f t="shared" si="150"/>
        <v>7.8267608059238852E-2</v>
      </c>
      <c r="CL261" s="95">
        <f t="shared" si="151"/>
        <v>6.2900138604712566E-2</v>
      </c>
      <c r="CM261" s="98">
        <f t="shared" si="152"/>
        <v>1.5367469454526286E-2</v>
      </c>
      <c r="CN261" s="94">
        <f t="shared" si="153"/>
        <v>0.70758772636896128</v>
      </c>
      <c r="CO261" s="94">
        <f t="shared" si="154"/>
        <v>0.39133804029619423</v>
      </c>
    </row>
    <row r="262" spans="1:93" ht="24.5" x14ac:dyDescent="0.35">
      <c r="A262" s="104">
        <v>186852</v>
      </c>
      <c r="B262" s="5" t="s">
        <v>581</v>
      </c>
      <c r="C262" s="46" t="s">
        <v>795</v>
      </c>
      <c r="D262" s="13" t="s">
        <v>796</v>
      </c>
      <c r="E262" s="6" t="s">
        <v>89</v>
      </c>
      <c r="F262" s="6" t="s">
        <v>603</v>
      </c>
      <c r="G262" s="12" t="s">
        <v>603</v>
      </c>
      <c r="H262" s="51" t="s">
        <v>120</v>
      </c>
      <c r="I262" s="24" t="s">
        <v>86</v>
      </c>
      <c r="J262" s="19">
        <v>198</v>
      </c>
      <c r="K262" s="19">
        <v>252</v>
      </c>
      <c r="L262" s="19">
        <v>72</v>
      </c>
      <c r="M262" s="19">
        <v>72</v>
      </c>
      <c r="N262" s="18">
        <v>238.5</v>
      </c>
      <c r="O262" s="18">
        <v>252</v>
      </c>
      <c r="P262" s="18">
        <v>67.5</v>
      </c>
      <c r="Q262" s="18">
        <v>72</v>
      </c>
      <c r="R262" s="19">
        <v>261</v>
      </c>
      <c r="S262" s="19">
        <v>247.5</v>
      </c>
      <c r="T262" s="19">
        <v>81</v>
      </c>
      <c r="U262" s="19">
        <v>76.5</v>
      </c>
      <c r="V262" s="19">
        <v>252</v>
      </c>
      <c r="W262" s="19">
        <v>229.5</v>
      </c>
      <c r="X262" s="19">
        <v>72</v>
      </c>
      <c r="Y262" s="19">
        <v>76.5</v>
      </c>
      <c r="Z262" s="19">
        <v>288</v>
      </c>
      <c r="AA262" s="19">
        <v>243</v>
      </c>
      <c r="AB262" s="19">
        <v>72</v>
      </c>
      <c r="AC262" s="19">
        <v>63</v>
      </c>
      <c r="AD262" s="19">
        <v>234.5</v>
      </c>
      <c r="AE262" s="19">
        <v>228.5</v>
      </c>
      <c r="AF262" s="19">
        <v>73.5</v>
      </c>
      <c r="AG262" s="19">
        <v>63.5</v>
      </c>
      <c r="AH262" s="19">
        <v>290</v>
      </c>
      <c r="AI262" s="19">
        <v>236</v>
      </c>
      <c r="AJ262" s="19">
        <v>90</v>
      </c>
      <c r="AK262" s="19">
        <v>72</v>
      </c>
      <c r="AL262" s="19">
        <v>240.5</v>
      </c>
      <c r="AM262" s="19">
        <v>240.5</v>
      </c>
      <c r="AN262" s="19">
        <v>85.5</v>
      </c>
      <c r="AO262" s="19">
        <v>49.5</v>
      </c>
      <c r="AP262" s="19">
        <v>245</v>
      </c>
      <c r="AQ262" s="19">
        <v>220.5</v>
      </c>
      <c r="AR262" s="19">
        <v>81</v>
      </c>
      <c r="AS262" s="19">
        <v>49.5</v>
      </c>
      <c r="AT262" s="19">
        <v>240.5</v>
      </c>
      <c r="AU262" s="19">
        <v>211.5</v>
      </c>
      <c r="AV262" s="19">
        <v>67.5</v>
      </c>
      <c r="AW262" s="19">
        <v>58.5</v>
      </c>
      <c r="AX262" s="19">
        <v>207</v>
      </c>
      <c r="AY262" s="19">
        <v>220.5</v>
      </c>
      <c r="AZ262" s="19">
        <v>63</v>
      </c>
      <c r="BA262" s="19">
        <v>49.5</v>
      </c>
      <c r="BB262" s="19">
        <v>220.5</v>
      </c>
      <c r="BC262" s="19">
        <v>228</v>
      </c>
      <c r="BD262" s="19">
        <v>67.5</v>
      </c>
      <c r="BE262" s="19">
        <v>72</v>
      </c>
      <c r="BF262" s="23">
        <v>28.7193</v>
      </c>
      <c r="BG262" s="23">
        <v>77.140500000000003</v>
      </c>
      <c r="BH262" s="31">
        <f t="shared" si="124"/>
        <v>220.5</v>
      </c>
      <c r="BI262" s="31">
        <f t="shared" si="125"/>
        <v>228</v>
      </c>
      <c r="BJ262" s="37">
        <f t="shared" si="126"/>
        <v>-7.5</v>
      </c>
      <c r="BK262" s="37">
        <f t="shared" si="127"/>
        <v>-3.2894736842105261</v>
      </c>
      <c r="BL262" s="36">
        <f t="shared" si="128"/>
        <v>67.5</v>
      </c>
      <c r="BM262" s="36">
        <f t="shared" si="129"/>
        <v>72</v>
      </c>
      <c r="BN262" s="37">
        <f t="shared" si="130"/>
        <v>-4.5</v>
      </c>
      <c r="BO262" s="37">
        <f t="shared" si="131"/>
        <v>-6.25</v>
      </c>
      <c r="BP262" s="38">
        <f t="shared" si="132"/>
        <v>2983</v>
      </c>
      <c r="BQ262" s="39">
        <f>J262+N262+S262+W262+AA262+AE262+AI262+AM262+AQ262+AU262+Table1[[#This Row],[MS-0225]]+Table1[[#This Row],[MS-0325]]</f>
        <v>2742</v>
      </c>
      <c r="BR262" s="37">
        <f t="shared" si="133"/>
        <v>241</v>
      </c>
      <c r="BS262" s="37">
        <f t="shared" si="134"/>
        <v>8.7892049598832962</v>
      </c>
      <c r="BT262" s="36">
        <f t="shared" si="135"/>
        <v>897</v>
      </c>
      <c r="BU262" s="36">
        <f t="shared" si="136"/>
        <v>770</v>
      </c>
      <c r="BV262" s="37">
        <f t="shared" si="137"/>
        <v>127</v>
      </c>
      <c r="BW262" s="37">
        <f t="shared" si="138"/>
        <v>16.493506493506494</v>
      </c>
      <c r="BX262">
        <v>0</v>
      </c>
      <c r="BY262" s="83">
        <f t="shared" si="139"/>
        <v>0</v>
      </c>
      <c r="BZ262">
        <v>0</v>
      </c>
      <c r="CA262" s="83">
        <f t="shared" si="140"/>
        <v>0</v>
      </c>
      <c r="CB262" s="96">
        <f t="shared" si="141"/>
        <v>0.16698220371071565</v>
      </c>
      <c r="CC262" s="96">
        <f t="shared" si="142"/>
        <v>0.17318647930117737</v>
      </c>
      <c r="CD262" s="97">
        <f t="shared" si="143"/>
        <v>-6.2042755904617164E-3</v>
      </c>
      <c r="CE262" s="96">
        <f t="shared" si="144"/>
        <v>8.7491898898250167E-2</v>
      </c>
      <c r="CF262" s="96">
        <f t="shared" si="145"/>
        <v>9.4302554027504912E-2</v>
      </c>
      <c r="CG262" s="96">
        <f t="shared" si="146"/>
        <v>-6.8106551292547446E-3</v>
      </c>
      <c r="CH262" s="95">
        <f t="shared" si="147"/>
        <v>0.17661338069863824</v>
      </c>
      <c r="CI262" s="95">
        <f t="shared" si="148"/>
        <v>0.17803460701879686</v>
      </c>
      <c r="CJ262" s="98">
        <f t="shared" si="149"/>
        <v>-1.4212263201586195E-3</v>
      </c>
      <c r="CK262" s="95">
        <f t="shared" si="150"/>
        <v>9.1962271888456015E-2</v>
      </c>
      <c r="CL262" s="95">
        <f t="shared" si="151"/>
        <v>8.0759347632282763E-2</v>
      </c>
      <c r="CM262" s="98">
        <f t="shared" si="152"/>
        <v>1.1202924256173252E-2</v>
      </c>
      <c r="CN262" s="94">
        <f t="shared" si="153"/>
        <v>0.70645352279455298</v>
      </c>
      <c r="CO262" s="94">
        <f t="shared" si="154"/>
        <v>0.36784908755382406</v>
      </c>
    </row>
    <row r="263" spans="1:93" x14ac:dyDescent="0.35">
      <c r="A263" s="104">
        <v>102083</v>
      </c>
      <c r="B263" s="5" t="s">
        <v>581</v>
      </c>
      <c r="C263" s="46" t="s">
        <v>934</v>
      </c>
      <c r="D263" s="13" t="s">
        <v>935</v>
      </c>
      <c r="E263" s="6" t="s">
        <v>111</v>
      </c>
      <c r="F263" s="6" t="s">
        <v>247</v>
      </c>
      <c r="G263" s="12" t="s">
        <v>247</v>
      </c>
      <c r="H263" s="51" t="s">
        <v>248</v>
      </c>
      <c r="I263" s="24" t="s">
        <v>78</v>
      </c>
      <c r="J263" s="19">
        <v>243</v>
      </c>
      <c r="K263" s="19">
        <v>246</v>
      </c>
      <c r="L263" s="19">
        <v>63</v>
      </c>
      <c r="M263" s="19">
        <v>52</v>
      </c>
      <c r="N263" s="18">
        <v>252</v>
      </c>
      <c r="O263" s="18">
        <v>274.5</v>
      </c>
      <c r="P263" s="18">
        <v>72</v>
      </c>
      <c r="Q263" s="18">
        <v>55.5</v>
      </c>
      <c r="R263" s="19">
        <v>248.5</v>
      </c>
      <c r="S263" s="19">
        <v>247.5</v>
      </c>
      <c r="T263" s="19">
        <v>49.5</v>
      </c>
      <c r="U263" s="19">
        <v>58.5</v>
      </c>
      <c r="V263" s="19">
        <v>273.5</v>
      </c>
      <c r="W263" s="19">
        <v>267</v>
      </c>
      <c r="X263" s="19">
        <v>54.5</v>
      </c>
      <c r="Y263" s="19">
        <v>65</v>
      </c>
      <c r="Z263" s="19">
        <v>276.5</v>
      </c>
      <c r="AA263" s="19">
        <v>276</v>
      </c>
      <c r="AB263" s="19">
        <v>49.5</v>
      </c>
      <c r="AC263" s="19">
        <v>68</v>
      </c>
      <c r="AD263" s="19">
        <v>240</v>
      </c>
      <c r="AE263" s="19">
        <v>267</v>
      </c>
      <c r="AF263" s="19">
        <v>50</v>
      </c>
      <c r="AG263" s="19">
        <v>59</v>
      </c>
      <c r="AH263" s="19">
        <v>267</v>
      </c>
      <c r="AI263" s="19">
        <v>260</v>
      </c>
      <c r="AJ263" s="19">
        <v>59</v>
      </c>
      <c r="AK263" s="19">
        <v>68</v>
      </c>
      <c r="AL263" s="19">
        <v>235.5</v>
      </c>
      <c r="AM263" s="19">
        <v>231</v>
      </c>
      <c r="AN263" s="19">
        <v>54.5</v>
      </c>
      <c r="AO263" s="19">
        <v>47</v>
      </c>
      <c r="AP263" s="19">
        <v>229.5</v>
      </c>
      <c r="AQ263" s="19">
        <v>229.5</v>
      </c>
      <c r="AR263" s="19">
        <v>40.5</v>
      </c>
      <c r="AS263" s="19">
        <v>46.5</v>
      </c>
      <c r="AT263" s="19">
        <v>251.5</v>
      </c>
      <c r="AU263" s="19">
        <v>240.5</v>
      </c>
      <c r="AV263" s="19">
        <v>40.5</v>
      </c>
      <c r="AW263" s="19">
        <v>49.5</v>
      </c>
      <c r="AX263" s="19">
        <v>243</v>
      </c>
      <c r="AY263" s="19">
        <v>237</v>
      </c>
      <c r="AZ263" s="19">
        <v>63</v>
      </c>
      <c r="BA263" s="19">
        <v>55</v>
      </c>
      <c r="BB263" s="19">
        <v>222.5</v>
      </c>
      <c r="BC263" s="19">
        <v>264.5</v>
      </c>
      <c r="BD263" s="19">
        <v>49.5</v>
      </c>
      <c r="BE263" s="19">
        <v>51.5</v>
      </c>
      <c r="BF263" s="23">
        <v>28.567900000000002</v>
      </c>
      <c r="BG263" s="23">
        <v>77.253699999999995</v>
      </c>
      <c r="BH263" s="31">
        <f t="shared" si="124"/>
        <v>222.5</v>
      </c>
      <c r="BI263" s="31">
        <f t="shared" si="125"/>
        <v>264.5</v>
      </c>
      <c r="BJ263" s="37">
        <f t="shared" si="126"/>
        <v>-42</v>
      </c>
      <c r="BK263" s="37">
        <f t="shared" si="127"/>
        <v>-15.879017013232513</v>
      </c>
      <c r="BL263" s="36">
        <f t="shared" si="128"/>
        <v>49.5</v>
      </c>
      <c r="BM263" s="36">
        <f t="shared" si="129"/>
        <v>51.5</v>
      </c>
      <c r="BN263" s="37">
        <f t="shared" si="130"/>
        <v>-2</v>
      </c>
      <c r="BO263" s="37">
        <f t="shared" si="131"/>
        <v>-3.8834951456310676</v>
      </c>
      <c r="BP263" s="38">
        <f t="shared" si="132"/>
        <v>3008</v>
      </c>
      <c r="BQ263" s="39">
        <f>J263+N263+S263+W263+AA263+AE263+AI263+AM263+AQ263+AU263+Table1[[#This Row],[MS-0225]]+Table1[[#This Row],[MS-0325]]</f>
        <v>3015</v>
      </c>
      <c r="BR263" s="37">
        <f t="shared" si="133"/>
        <v>-7</v>
      </c>
      <c r="BS263" s="37">
        <f t="shared" si="134"/>
        <v>-0.23217247097844113</v>
      </c>
      <c r="BT263" s="36">
        <f t="shared" si="135"/>
        <v>618</v>
      </c>
      <c r="BU263" s="36">
        <f t="shared" si="136"/>
        <v>703</v>
      </c>
      <c r="BV263" s="37">
        <f t="shared" si="137"/>
        <v>-85</v>
      </c>
      <c r="BW263" s="37">
        <f t="shared" si="138"/>
        <v>-12.091038406827881</v>
      </c>
      <c r="BX263">
        <v>0</v>
      </c>
      <c r="BY263" s="83">
        <f t="shared" si="139"/>
        <v>0</v>
      </c>
      <c r="BZ263">
        <v>0</v>
      </c>
      <c r="CA263" s="83">
        <f t="shared" si="140"/>
        <v>0</v>
      </c>
      <c r="CB263" s="96">
        <f t="shared" si="141"/>
        <v>0.19347826086956521</v>
      </c>
      <c r="CC263" s="96">
        <f t="shared" si="142"/>
        <v>0.17551426675514267</v>
      </c>
      <c r="CD263" s="97">
        <f t="shared" si="143"/>
        <v>1.7963994114422538E-2</v>
      </c>
      <c r="CE263" s="96">
        <f t="shared" si="144"/>
        <v>0.22916666666666666</v>
      </c>
      <c r="CF263" s="96">
        <f t="shared" si="145"/>
        <v>0.13005050505050506</v>
      </c>
      <c r="CG263" s="96">
        <f t="shared" si="146"/>
        <v>9.9116161616161602E-2</v>
      </c>
      <c r="CH263" s="95">
        <f t="shared" si="147"/>
        <v>0.17258096904673112</v>
      </c>
      <c r="CI263" s="95">
        <f t="shared" si="148"/>
        <v>0.16997406697485623</v>
      </c>
      <c r="CJ263" s="98">
        <f t="shared" si="149"/>
        <v>2.6069020718748892E-3</v>
      </c>
      <c r="CK263" s="95">
        <f t="shared" si="150"/>
        <v>0.16248192454318391</v>
      </c>
      <c r="CL263" s="95">
        <f t="shared" si="151"/>
        <v>0.14548841059602649</v>
      </c>
      <c r="CM263" s="98">
        <f t="shared" si="152"/>
        <v>1.6993513947157424E-2</v>
      </c>
      <c r="CN263" s="94">
        <f t="shared" si="153"/>
        <v>0.69032387618692448</v>
      </c>
      <c r="CO263" s="94">
        <f t="shared" si="154"/>
        <v>0.64992769817273566</v>
      </c>
    </row>
    <row r="264" spans="1:93" ht="24.5" x14ac:dyDescent="0.35">
      <c r="A264" s="103">
        <v>41056548</v>
      </c>
      <c r="B264" s="9" t="s">
        <v>380</v>
      </c>
      <c r="C264" s="47" t="s">
        <v>522</v>
      </c>
      <c r="D264" s="14" t="s">
        <v>523</v>
      </c>
      <c r="E264" s="10" t="s">
        <v>103</v>
      </c>
      <c r="F264" s="10" t="s">
        <v>104</v>
      </c>
      <c r="G264" s="12" t="s">
        <v>104</v>
      </c>
      <c r="H264" s="51" t="s">
        <v>105</v>
      </c>
      <c r="I264" s="25" t="s">
        <v>78</v>
      </c>
      <c r="J264" s="20">
        <v>215.5</v>
      </c>
      <c r="K264" s="20">
        <v>242</v>
      </c>
      <c r="L264" s="20">
        <v>50.5</v>
      </c>
      <c r="M264" s="20">
        <v>56</v>
      </c>
      <c r="N264" s="18">
        <v>274.5</v>
      </c>
      <c r="O264" s="18">
        <v>297.5</v>
      </c>
      <c r="P264" s="18">
        <v>67.5</v>
      </c>
      <c r="Q264" s="18">
        <v>67.5</v>
      </c>
      <c r="R264" s="20">
        <v>238.5</v>
      </c>
      <c r="S264" s="20">
        <v>229.5</v>
      </c>
      <c r="T264" s="20">
        <v>45.5</v>
      </c>
      <c r="U264" s="20">
        <v>58.5</v>
      </c>
      <c r="V264" s="20">
        <v>260</v>
      </c>
      <c r="W264" s="20">
        <v>243</v>
      </c>
      <c r="X264" s="20">
        <v>56</v>
      </c>
      <c r="Y264" s="20">
        <v>63</v>
      </c>
      <c r="Z264" s="20">
        <v>281.5</v>
      </c>
      <c r="AA264" s="20">
        <v>267.5</v>
      </c>
      <c r="AB264" s="20">
        <v>55.5</v>
      </c>
      <c r="AC264" s="20">
        <v>63.5</v>
      </c>
      <c r="AD264" s="20">
        <v>252</v>
      </c>
      <c r="AE264" s="20">
        <v>236</v>
      </c>
      <c r="AF264" s="20">
        <v>56</v>
      </c>
      <c r="AG264" s="20">
        <v>59</v>
      </c>
      <c r="AH264" s="20">
        <v>270</v>
      </c>
      <c r="AI264" s="20">
        <v>249.5</v>
      </c>
      <c r="AJ264" s="20">
        <v>63</v>
      </c>
      <c r="AK264" s="20">
        <v>63.5</v>
      </c>
      <c r="AL264" s="20">
        <v>272</v>
      </c>
      <c r="AM264" s="20">
        <v>233.5</v>
      </c>
      <c r="AN264" s="20">
        <v>58</v>
      </c>
      <c r="AO264" s="20">
        <v>50.5</v>
      </c>
      <c r="AP264" s="20">
        <v>256.5</v>
      </c>
      <c r="AQ264" s="20">
        <v>229</v>
      </c>
      <c r="AR264" s="20">
        <v>52.5</v>
      </c>
      <c r="AS264" s="20">
        <v>53</v>
      </c>
      <c r="AT264" s="20">
        <v>270</v>
      </c>
      <c r="AU264" s="20">
        <v>241</v>
      </c>
      <c r="AV264" s="20">
        <v>55</v>
      </c>
      <c r="AW264" s="20">
        <v>49</v>
      </c>
      <c r="AX264" s="20">
        <v>241</v>
      </c>
      <c r="AY264" s="20">
        <v>207.5</v>
      </c>
      <c r="AZ264" s="20">
        <v>49</v>
      </c>
      <c r="BA264" s="20">
        <v>43.5</v>
      </c>
      <c r="BB264" s="20">
        <v>222</v>
      </c>
      <c r="BC264" s="20">
        <v>240</v>
      </c>
      <c r="BD264" s="20">
        <v>61</v>
      </c>
      <c r="BE264" s="20">
        <v>56</v>
      </c>
      <c r="BF264" s="23">
        <v>28.591396</v>
      </c>
      <c r="BG264" s="23">
        <v>77.211864000000006</v>
      </c>
      <c r="BH264" s="31">
        <f t="shared" ref="BH264:BH327" si="155">BB264</f>
        <v>222</v>
      </c>
      <c r="BI264" s="31">
        <f t="shared" ref="BI264:BI327" si="156">BC264</f>
        <v>240</v>
      </c>
      <c r="BJ264" s="37">
        <f t="shared" ref="BJ264:BJ327" si="157">(BH264-BI264)</f>
        <v>-18</v>
      </c>
      <c r="BK264" s="37">
        <f t="shared" ref="BK264:BK327" si="158">(BJ264)/BI264*100</f>
        <v>-7.5</v>
      </c>
      <c r="BL264" s="36">
        <f t="shared" ref="BL264:BL327" si="159">BD264</f>
        <v>61</v>
      </c>
      <c r="BM264" s="36">
        <f t="shared" ref="BM264:BM327" si="160">BE264</f>
        <v>56</v>
      </c>
      <c r="BN264" s="37">
        <f t="shared" ref="BN264:BN327" si="161">(BL264-BM264)</f>
        <v>5</v>
      </c>
      <c r="BO264" s="37">
        <f t="shared" ref="BO264:BO327" si="162">(BN264)/BM264*100</f>
        <v>8.9285714285714288</v>
      </c>
      <c r="BP264" s="38">
        <f t="shared" ref="BP264:BP327" si="163">K264+O264+R264+V264+Z264+AD264+AH264+AL264+AP264+AT264+AX264+BB264</f>
        <v>3103</v>
      </c>
      <c r="BQ264" s="39">
        <f>J264+N264+S264+W264+AA264+AE264+AI264+AM264+AQ264+AU264+Table1[[#This Row],[MS-0225]]+Table1[[#This Row],[MS-0325]]</f>
        <v>2866.5</v>
      </c>
      <c r="BR264" s="37">
        <f t="shared" ref="BR264:BR327" si="164">(BP264-BQ264)</f>
        <v>236.5</v>
      </c>
      <c r="BS264" s="37">
        <f t="shared" ref="BS264:BS327" si="165">(BR264)/BQ264*100</f>
        <v>8.2504796790511072</v>
      </c>
      <c r="BT264" s="36">
        <f t="shared" ref="BT264:BT327" si="166">M264+Q264+T264+X264+AB264+AF264+AJ264+AN264+AR264+AV264+AZ264+BD264</f>
        <v>675</v>
      </c>
      <c r="BU264" s="36">
        <f t="shared" ref="BU264:BU327" si="167">L264+P264+U264+Y264+AC264+AG264+AK264+AO264+AS264+AW264+BA264+BE264</f>
        <v>677.5</v>
      </c>
      <c r="BV264" s="37">
        <f t="shared" ref="BV264:BV327" si="168">(BT264-BU264)</f>
        <v>-2.5</v>
      </c>
      <c r="BW264" s="37">
        <f t="shared" ref="BW264:BW327" si="169">(BV264)/BU264*100</f>
        <v>-0.36900369003690037</v>
      </c>
      <c r="BX264">
        <v>0</v>
      </c>
      <c r="BY264" s="83">
        <f t="shared" ref="BY264:BY327" si="170">BX264/BH264</f>
        <v>0</v>
      </c>
      <c r="BZ264">
        <v>0</v>
      </c>
      <c r="CA264" s="83">
        <f t="shared" ref="CA264:CA327" si="171">BZ264/BP264</f>
        <v>0</v>
      </c>
      <c r="CB264" s="96">
        <f t="shared" ref="CB264:CB327" si="172">BH264/SUMIFS(BH$2:BH$398,G$2:G$398,G264)</f>
        <v>0.16316070927841816</v>
      </c>
      <c r="CC264" s="96">
        <f t="shared" ref="CC264:CC327" si="173">BI264/SUMIFS(BI$2:BI$398,G$2:G$398,G264)</f>
        <v>0.17975616076791828</v>
      </c>
      <c r="CD264" s="97">
        <f t="shared" ref="CD264:CD327" si="174">CB264-CC264</f>
        <v>-1.6595451489500118E-2</v>
      </c>
      <c r="CE264" s="96">
        <f t="shared" ref="CE264:CE327" si="175">BL264/SUMIFS(BL$2:BL$398,G$2:G$398,G264)</f>
        <v>0.13284666445981502</v>
      </c>
      <c r="CF264" s="96">
        <f t="shared" ref="CF264:CF327" si="176">BM264/SUMIFS(BM$2:BM$398,G$2:G$398,G264)</f>
        <v>0.11150114388227073</v>
      </c>
      <c r="CG264" s="96">
        <f t="shared" ref="CG264:CG327" si="177">CE264-CF264</f>
        <v>2.1345520577544297E-2</v>
      </c>
      <c r="CH264" s="95">
        <f t="shared" ref="CH264:CH327" si="178">BP264/SUMIFS(BP$2:BP$398,G$2:G$398,G264)</f>
        <v>0.18476929031167164</v>
      </c>
      <c r="CI264" s="95">
        <f t="shared" ref="CI264:CI327" si="179">BQ264/SUMIFS(BQ$2:BQ$398,G$2:G$398,G264)</f>
        <v>0.17640059356357266</v>
      </c>
      <c r="CJ264" s="98">
        <f t="shared" ref="CJ264:CJ327" si="180">CH264-CI264</f>
        <v>8.3686967480989805E-3</v>
      </c>
      <c r="CK264" s="95">
        <f t="shared" ref="CK264:CK327" si="181">BT264/SUMIFS(BT$2:BT$398,G$2:G$398,G264)</f>
        <v>0.12016414357925385</v>
      </c>
      <c r="CL264" s="95">
        <f t="shared" ref="CL264:CL327" si="182">BU264/SUMIFS(BU$2:BU$398,G$2:G$398,G264)</f>
        <v>0.11012041888045418</v>
      </c>
      <c r="CM264" s="98">
        <f t="shared" ref="CM264:CM327" si="183">CK264-CL264</f>
        <v>1.0043724698799675E-2</v>
      </c>
      <c r="CN264" s="94">
        <f t="shared" ref="CN264:CN327" si="184">COUNTIFS(G$2:G$398,G264)*CH264</f>
        <v>1.1086157418700298</v>
      </c>
      <c r="CO264" s="94">
        <f t="shared" ref="CO264:CO327" si="185">COUNTIFS(G$2:G$398,G264)*CK264</f>
        <v>0.7209848614755231</v>
      </c>
    </row>
    <row r="265" spans="1:93" ht="24.5" x14ac:dyDescent="0.35">
      <c r="A265" s="104">
        <v>106222</v>
      </c>
      <c r="B265" s="5" t="s">
        <v>581</v>
      </c>
      <c r="C265" s="46" t="s">
        <v>905</v>
      </c>
      <c r="D265" s="13" t="s">
        <v>391</v>
      </c>
      <c r="E265" s="6" t="s">
        <v>89</v>
      </c>
      <c r="F265" s="6" t="s">
        <v>906</v>
      </c>
      <c r="G265" s="12" t="s">
        <v>906</v>
      </c>
      <c r="H265" s="51" t="s">
        <v>1007</v>
      </c>
      <c r="I265" s="24" t="s">
        <v>86</v>
      </c>
      <c r="J265" s="19">
        <v>101</v>
      </c>
      <c r="K265" s="19">
        <v>99</v>
      </c>
      <c r="L265" s="19">
        <v>13</v>
      </c>
      <c r="M265" s="19">
        <v>9</v>
      </c>
      <c r="N265" s="18">
        <v>99</v>
      </c>
      <c r="O265" s="18">
        <v>117</v>
      </c>
      <c r="P265" s="18">
        <v>9</v>
      </c>
      <c r="Q265" s="18">
        <v>9</v>
      </c>
      <c r="R265" s="19">
        <v>99</v>
      </c>
      <c r="S265" s="19">
        <v>108</v>
      </c>
      <c r="T265" s="19">
        <v>9</v>
      </c>
      <c r="U265" s="19">
        <v>14</v>
      </c>
      <c r="V265" s="19">
        <v>117</v>
      </c>
      <c r="W265" s="19">
        <v>112.5</v>
      </c>
      <c r="X265" s="19">
        <v>9</v>
      </c>
      <c r="Y265" s="19">
        <v>13.5</v>
      </c>
      <c r="Z265" s="19">
        <v>113</v>
      </c>
      <c r="AA265" s="19">
        <v>117.5</v>
      </c>
      <c r="AB265" s="19">
        <v>9</v>
      </c>
      <c r="AC265" s="19">
        <v>4.5</v>
      </c>
      <c r="AD265" s="19">
        <v>105</v>
      </c>
      <c r="AE265" s="19">
        <v>94.5</v>
      </c>
      <c r="AF265" s="19">
        <v>9</v>
      </c>
      <c r="AG265" s="19">
        <v>13.5</v>
      </c>
      <c r="AH265" s="19">
        <v>117</v>
      </c>
      <c r="AI265" s="19">
        <v>120.5</v>
      </c>
      <c r="AJ265" s="19">
        <v>9</v>
      </c>
      <c r="AK265" s="19">
        <v>9.5</v>
      </c>
      <c r="AL265" s="19">
        <v>105</v>
      </c>
      <c r="AM265" s="19">
        <v>117</v>
      </c>
      <c r="AN265" s="19">
        <v>9</v>
      </c>
      <c r="AO265" s="19">
        <v>9</v>
      </c>
      <c r="AP265" s="19">
        <v>99</v>
      </c>
      <c r="AQ265" s="19">
        <v>95</v>
      </c>
      <c r="AR265" s="19">
        <v>9</v>
      </c>
      <c r="AS265" s="19">
        <v>5</v>
      </c>
      <c r="AT265" s="19">
        <v>85.5</v>
      </c>
      <c r="AU265" s="19">
        <v>113</v>
      </c>
      <c r="AV265" s="19">
        <v>4.5</v>
      </c>
      <c r="AW265" s="19">
        <v>9</v>
      </c>
      <c r="AX265" s="19">
        <v>85.5</v>
      </c>
      <c r="AY265" s="19">
        <v>99</v>
      </c>
      <c r="AZ265" s="19">
        <v>4.5</v>
      </c>
      <c r="BA265" s="19">
        <v>9</v>
      </c>
      <c r="BB265" s="19">
        <v>93</v>
      </c>
      <c r="BC265" s="19">
        <v>112.5</v>
      </c>
      <c r="BD265" s="19">
        <v>9</v>
      </c>
      <c r="BE265" s="19">
        <v>13.5</v>
      </c>
      <c r="BF265" s="23">
        <v>28.533000000000001</v>
      </c>
      <c r="BG265" s="23">
        <v>77.107500000000002</v>
      </c>
      <c r="BH265" s="31">
        <f t="shared" si="155"/>
        <v>93</v>
      </c>
      <c r="BI265" s="31">
        <f t="shared" si="156"/>
        <v>112.5</v>
      </c>
      <c r="BJ265" s="37">
        <f t="shared" si="157"/>
        <v>-19.5</v>
      </c>
      <c r="BK265" s="37">
        <f t="shared" si="158"/>
        <v>-17.333333333333336</v>
      </c>
      <c r="BL265" s="36">
        <f t="shared" si="159"/>
        <v>9</v>
      </c>
      <c r="BM265" s="36">
        <f t="shared" si="160"/>
        <v>13.5</v>
      </c>
      <c r="BN265" s="37">
        <f t="shared" si="161"/>
        <v>-4.5</v>
      </c>
      <c r="BO265" s="37">
        <f t="shared" si="162"/>
        <v>-33.333333333333329</v>
      </c>
      <c r="BP265" s="38">
        <f t="shared" si="163"/>
        <v>1235</v>
      </c>
      <c r="BQ265" s="39">
        <f>J265+N265+S265+W265+AA265+AE265+AI265+AM265+AQ265+AU265+Table1[[#This Row],[MS-0225]]+Table1[[#This Row],[MS-0325]]</f>
        <v>1289.5</v>
      </c>
      <c r="BR265" s="37">
        <f t="shared" si="164"/>
        <v>-54.5</v>
      </c>
      <c r="BS265" s="37">
        <f t="shared" si="165"/>
        <v>-4.2264443582784033</v>
      </c>
      <c r="BT265" s="36">
        <f t="shared" si="166"/>
        <v>99</v>
      </c>
      <c r="BU265" s="36">
        <f t="shared" si="167"/>
        <v>122.5</v>
      </c>
      <c r="BV265" s="37">
        <f t="shared" si="168"/>
        <v>-23.5</v>
      </c>
      <c r="BW265" s="37">
        <f t="shared" si="169"/>
        <v>-19.183673469387756</v>
      </c>
      <c r="BX265">
        <v>0</v>
      </c>
      <c r="BY265" s="83">
        <f t="shared" si="170"/>
        <v>0</v>
      </c>
      <c r="BZ265">
        <v>0</v>
      </c>
      <c r="CA265" s="83">
        <f t="shared" si="171"/>
        <v>0</v>
      </c>
      <c r="CB265" s="96">
        <f t="shared" si="172"/>
        <v>6.8710749907646848E-2</v>
      </c>
      <c r="CC265" s="96">
        <f t="shared" si="173"/>
        <v>8.4905660377358486E-2</v>
      </c>
      <c r="CD265" s="97">
        <f t="shared" si="174"/>
        <v>-1.6194910469711638E-2</v>
      </c>
      <c r="CE265" s="96">
        <f t="shared" si="175"/>
        <v>3.3027522935779818E-2</v>
      </c>
      <c r="CF265" s="96">
        <f t="shared" si="176"/>
        <v>4.7872340425531915E-2</v>
      </c>
      <c r="CG265" s="96">
        <f t="shared" si="177"/>
        <v>-1.4844817489752096E-2</v>
      </c>
      <c r="CH265" s="95">
        <f t="shared" si="178"/>
        <v>7.8674948240165632E-2</v>
      </c>
      <c r="CI265" s="95">
        <f t="shared" si="179"/>
        <v>8.408868601238996E-2</v>
      </c>
      <c r="CJ265" s="98">
        <f t="shared" si="180"/>
        <v>-5.4137377722243279E-3</v>
      </c>
      <c r="CK265" s="95">
        <f t="shared" si="181"/>
        <v>3.3991416309012874E-2</v>
      </c>
      <c r="CL265" s="95">
        <f t="shared" si="182"/>
        <v>3.5693473193473192E-2</v>
      </c>
      <c r="CM265" s="98">
        <f t="shared" si="183"/>
        <v>-1.7020568844603179E-3</v>
      </c>
      <c r="CN265" s="94">
        <f t="shared" si="184"/>
        <v>0.39337474120082816</v>
      </c>
      <c r="CO265" s="94">
        <f t="shared" si="185"/>
        <v>0.16995708154506436</v>
      </c>
    </row>
    <row r="266" spans="1:93" ht="24.5" x14ac:dyDescent="0.35">
      <c r="A266" s="103">
        <v>41057002</v>
      </c>
      <c r="B266" s="9" t="s">
        <v>380</v>
      </c>
      <c r="C266" s="47" t="s">
        <v>440</v>
      </c>
      <c r="D266" s="14" t="s">
        <v>441</v>
      </c>
      <c r="E266" s="10" t="s">
        <v>111</v>
      </c>
      <c r="F266" s="10" t="s">
        <v>271</v>
      </c>
      <c r="G266" s="12" t="s">
        <v>271</v>
      </c>
      <c r="H266" s="51" t="s">
        <v>113</v>
      </c>
      <c r="I266" s="25" t="s">
        <v>78</v>
      </c>
      <c r="J266" s="20">
        <v>240</v>
      </c>
      <c r="K266" s="20">
        <v>249</v>
      </c>
      <c r="L266" s="20">
        <v>103</v>
      </c>
      <c r="M266" s="20">
        <v>118</v>
      </c>
      <c r="N266" s="18">
        <v>271</v>
      </c>
      <c r="O266" s="18">
        <v>271</v>
      </c>
      <c r="P266" s="18">
        <v>119</v>
      </c>
      <c r="Q266" s="18">
        <v>113</v>
      </c>
      <c r="R266" s="20">
        <v>255</v>
      </c>
      <c r="S266" s="20">
        <v>242</v>
      </c>
      <c r="T266" s="20">
        <v>88</v>
      </c>
      <c r="U266" s="20">
        <v>112</v>
      </c>
      <c r="V266" s="20">
        <v>267</v>
      </c>
      <c r="W266" s="20">
        <v>268</v>
      </c>
      <c r="X266" s="20">
        <v>102</v>
      </c>
      <c r="Y266" s="20">
        <v>100</v>
      </c>
      <c r="Z266" s="20">
        <v>279</v>
      </c>
      <c r="AA266" s="20">
        <v>280</v>
      </c>
      <c r="AB266" s="20">
        <v>113</v>
      </c>
      <c r="AC266" s="20">
        <v>106</v>
      </c>
      <c r="AD266" s="20">
        <v>260</v>
      </c>
      <c r="AE266" s="20">
        <v>267.5</v>
      </c>
      <c r="AF266" s="20">
        <v>96</v>
      </c>
      <c r="AG266" s="20">
        <v>111.5</v>
      </c>
      <c r="AH266" s="20">
        <v>267</v>
      </c>
      <c r="AI266" s="20">
        <v>289</v>
      </c>
      <c r="AJ266" s="20">
        <v>97</v>
      </c>
      <c r="AK266" s="20">
        <v>153</v>
      </c>
      <c r="AL266" s="20">
        <v>254</v>
      </c>
      <c r="AM266" s="20">
        <v>238</v>
      </c>
      <c r="AN266" s="20">
        <v>86</v>
      </c>
      <c r="AO266" s="20">
        <v>98</v>
      </c>
      <c r="AP266" s="20">
        <v>258</v>
      </c>
      <c r="AQ266" s="20">
        <v>235</v>
      </c>
      <c r="AR266" s="20">
        <v>79</v>
      </c>
      <c r="AS266" s="20">
        <v>96</v>
      </c>
      <c r="AT266" s="20">
        <v>245</v>
      </c>
      <c r="AU266" s="20">
        <v>248</v>
      </c>
      <c r="AV266" s="20">
        <v>74</v>
      </c>
      <c r="AW266" s="20">
        <v>96</v>
      </c>
      <c r="AX266" s="20">
        <v>235</v>
      </c>
      <c r="AY266" s="20">
        <v>235.5</v>
      </c>
      <c r="AZ266" s="20">
        <v>80</v>
      </c>
      <c r="BA266" s="20">
        <v>101.5</v>
      </c>
      <c r="BB266" s="20">
        <v>217.5</v>
      </c>
      <c r="BC266" s="20">
        <v>246</v>
      </c>
      <c r="BD266" s="20">
        <v>90.5</v>
      </c>
      <c r="BE266" s="20">
        <v>99</v>
      </c>
      <c r="BF266" s="23">
        <v>28.589158999999999</v>
      </c>
      <c r="BG266" s="23">
        <v>77.246651</v>
      </c>
      <c r="BH266" s="31">
        <f t="shared" si="155"/>
        <v>217.5</v>
      </c>
      <c r="BI266" s="31">
        <f t="shared" si="156"/>
        <v>246</v>
      </c>
      <c r="BJ266" s="37">
        <f t="shared" si="157"/>
        <v>-28.5</v>
      </c>
      <c r="BK266" s="37">
        <f t="shared" si="158"/>
        <v>-11.585365853658537</v>
      </c>
      <c r="BL266" s="36">
        <f t="shared" si="159"/>
        <v>90.5</v>
      </c>
      <c r="BM266" s="36">
        <f t="shared" si="160"/>
        <v>99</v>
      </c>
      <c r="BN266" s="37">
        <f t="shared" si="161"/>
        <v>-8.5</v>
      </c>
      <c r="BO266" s="37">
        <f t="shared" si="162"/>
        <v>-8.5858585858585847</v>
      </c>
      <c r="BP266" s="38">
        <f t="shared" si="163"/>
        <v>3057.5</v>
      </c>
      <c r="BQ266" s="39">
        <f>J266+N266+S266+W266+AA266+AE266+AI266+AM266+AQ266+AU266+Table1[[#This Row],[MS-0225]]+Table1[[#This Row],[MS-0325]]</f>
        <v>3060</v>
      </c>
      <c r="BR266" s="37">
        <f t="shared" si="164"/>
        <v>-2.5</v>
      </c>
      <c r="BS266" s="37">
        <f t="shared" si="165"/>
        <v>-8.1699346405228759E-2</v>
      </c>
      <c r="BT266" s="36">
        <f t="shared" si="166"/>
        <v>1136.5</v>
      </c>
      <c r="BU266" s="36">
        <f t="shared" si="167"/>
        <v>1295</v>
      </c>
      <c r="BV266" s="37">
        <f t="shared" si="168"/>
        <v>-158.5</v>
      </c>
      <c r="BW266" s="37">
        <f t="shared" si="169"/>
        <v>-12.239382239382239</v>
      </c>
      <c r="BX266">
        <v>0</v>
      </c>
      <c r="BY266" s="83">
        <f t="shared" si="170"/>
        <v>0</v>
      </c>
      <c r="BZ266">
        <v>0</v>
      </c>
      <c r="CA266" s="83">
        <f t="shared" si="171"/>
        <v>0</v>
      </c>
      <c r="CB266" s="96">
        <f t="shared" si="172"/>
        <v>0.41666666666666669</v>
      </c>
      <c r="CC266" s="96">
        <f t="shared" si="173"/>
        <v>0.43967828418230565</v>
      </c>
      <c r="CD266" s="97">
        <f t="shared" si="174"/>
        <v>-2.301161751563896E-2</v>
      </c>
      <c r="CE266" s="96">
        <f t="shared" si="175"/>
        <v>0.48655913978494625</v>
      </c>
      <c r="CF266" s="96">
        <f t="shared" si="176"/>
        <v>0.49624060150375937</v>
      </c>
      <c r="CG266" s="96">
        <f t="shared" si="177"/>
        <v>-9.6814617188131225E-3</v>
      </c>
      <c r="CH266" s="95">
        <f t="shared" si="178"/>
        <v>0.44231464737793852</v>
      </c>
      <c r="CI266" s="95">
        <f t="shared" si="179"/>
        <v>0.45613773570842958</v>
      </c>
      <c r="CJ266" s="98">
        <f t="shared" si="180"/>
        <v>-1.3823088330491062E-2</v>
      </c>
      <c r="CK266" s="95">
        <f t="shared" si="181"/>
        <v>0.51647352874346741</v>
      </c>
      <c r="CL266" s="95">
        <f t="shared" si="182"/>
        <v>0.5286793223106756</v>
      </c>
      <c r="CM266" s="98">
        <f t="shared" si="183"/>
        <v>-1.220579356720819E-2</v>
      </c>
      <c r="CN266" s="94">
        <f t="shared" si="184"/>
        <v>1.3269439421338156</v>
      </c>
      <c r="CO266" s="94">
        <f t="shared" si="185"/>
        <v>1.5494205862304022</v>
      </c>
    </row>
    <row r="267" spans="1:93" ht="36.5" x14ac:dyDescent="0.35">
      <c r="A267" s="104">
        <v>106334</v>
      </c>
      <c r="B267" s="5" t="s">
        <v>581</v>
      </c>
      <c r="C267" s="46" t="s">
        <v>869</v>
      </c>
      <c r="D267" s="13" t="s">
        <v>870</v>
      </c>
      <c r="E267" s="6" t="s">
        <v>111</v>
      </c>
      <c r="F267" s="6" t="s">
        <v>414</v>
      </c>
      <c r="G267" s="12" t="s">
        <v>414</v>
      </c>
      <c r="H267" s="51" t="s">
        <v>275</v>
      </c>
      <c r="I267" s="24" t="s">
        <v>78</v>
      </c>
      <c r="J267" s="19">
        <v>177</v>
      </c>
      <c r="K267" s="19">
        <v>164</v>
      </c>
      <c r="L267" s="19">
        <v>9</v>
      </c>
      <c r="M267" s="19">
        <v>0</v>
      </c>
      <c r="N267" s="18">
        <v>186</v>
      </c>
      <c r="O267" s="18">
        <v>198</v>
      </c>
      <c r="P267" s="18">
        <v>18</v>
      </c>
      <c r="Q267" s="18">
        <v>14</v>
      </c>
      <c r="R267" s="19">
        <v>187</v>
      </c>
      <c r="S267" s="19">
        <v>192</v>
      </c>
      <c r="T267" s="19">
        <v>9</v>
      </c>
      <c r="U267" s="19">
        <v>12</v>
      </c>
      <c r="V267" s="19">
        <v>202.5</v>
      </c>
      <c r="W267" s="19">
        <v>192</v>
      </c>
      <c r="X267" s="19">
        <v>13.5</v>
      </c>
      <c r="Y267" s="19">
        <v>18</v>
      </c>
      <c r="Z267" s="19">
        <v>215</v>
      </c>
      <c r="AA267" s="19">
        <v>202.5</v>
      </c>
      <c r="AB267" s="19">
        <v>9</v>
      </c>
      <c r="AC267" s="19">
        <v>13.5</v>
      </c>
      <c r="AD267" s="19">
        <v>186.5</v>
      </c>
      <c r="AE267" s="19">
        <v>202.5</v>
      </c>
      <c r="AF267" s="19">
        <v>13.5</v>
      </c>
      <c r="AG267" s="19">
        <v>9.5</v>
      </c>
      <c r="AH267" s="19">
        <v>209.5</v>
      </c>
      <c r="AI267" s="19">
        <v>205</v>
      </c>
      <c r="AJ267" s="19">
        <v>8.5</v>
      </c>
      <c r="AK267" s="19">
        <v>9</v>
      </c>
      <c r="AL267" s="19">
        <v>201</v>
      </c>
      <c r="AM267" s="19">
        <v>184</v>
      </c>
      <c r="AN267" s="19">
        <v>9</v>
      </c>
      <c r="AO267" s="19">
        <v>14</v>
      </c>
      <c r="AP267" s="19">
        <v>207</v>
      </c>
      <c r="AQ267" s="19">
        <v>186.5</v>
      </c>
      <c r="AR267" s="19">
        <v>9</v>
      </c>
      <c r="AS267" s="19">
        <v>9.5</v>
      </c>
      <c r="AT267" s="19">
        <v>189</v>
      </c>
      <c r="AU267" s="19">
        <v>176.5</v>
      </c>
      <c r="AV267" s="19">
        <v>9</v>
      </c>
      <c r="AW267" s="19">
        <v>13.5</v>
      </c>
      <c r="AX267" s="19">
        <v>191</v>
      </c>
      <c r="AY267" s="19">
        <v>179</v>
      </c>
      <c r="AZ267" s="19">
        <v>13</v>
      </c>
      <c r="BA267" s="19">
        <v>13</v>
      </c>
      <c r="BB267" s="19">
        <v>216.5</v>
      </c>
      <c r="BC267" s="19">
        <v>183</v>
      </c>
      <c r="BD267" s="19">
        <v>13.5</v>
      </c>
      <c r="BE267" s="19">
        <v>9</v>
      </c>
      <c r="BF267" s="23">
        <v>28.532299999999999</v>
      </c>
      <c r="BG267" s="23">
        <v>77.267099999999999</v>
      </c>
      <c r="BH267" s="31">
        <f t="shared" si="155"/>
        <v>216.5</v>
      </c>
      <c r="BI267" s="31">
        <f t="shared" si="156"/>
        <v>183</v>
      </c>
      <c r="BJ267" s="37">
        <f t="shared" si="157"/>
        <v>33.5</v>
      </c>
      <c r="BK267" s="37">
        <f t="shared" si="158"/>
        <v>18.306010928961751</v>
      </c>
      <c r="BL267" s="36">
        <f t="shared" si="159"/>
        <v>13.5</v>
      </c>
      <c r="BM267" s="36">
        <f t="shared" si="160"/>
        <v>9</v>
      </c>
      <c r="BN267" s="37">
        <f t="shared" si="161"/>
        <v>4.5</v>
      </c>
      <c r="BO267" s="37">
        <f t="shared" si="162"/>
        <v>50</v>
      </c>
      <c r="BP267" s="38">
        <f t="shared" si="163"/>
        <v>2367</v>
      </c>
      <c r="BQ267" s="39">
        <f>J267+N267+S267+W267+AA267+AE267+AI267+AM267+AQ267+AU267+Table1[[#This Row],[MS-0225]]+Table1[[#This Row],[MS-0325]]</f>
        <v>2266</v>
      </c>
      <c r="BR267" s="37">
        <f t="shared" si="164"/>
        <v>101</v>
      </c>
      <c r="BS267" s="37">
        <f t="shared" si="165"/>
        <v>4.4571932921447486</v>
      </c>
      <c r="BT267" s="36">
        <f t="shared" si="166"/>
        <v>121</v>
      </c>
      <c r="BU267" s="36">
        <f t="shared" si="167"/>
        <v>148</v>
      </c>
      <c r="BV267" s="37">
        <f t="shared" si="168"/>
        <v>-27</v>
      </c>
      <c r="BW267" s="37">
        <f t="shared" si="169"/>
        <v>-18.243243243243242</v>
      </c>
      <c r="BX267">
        <v>0</v>
      </c>
      <c r="BY267" s="83">
        <f t="shared" si="170"/>
        <v>0</v>
      </c>
      <c r="BZ267">
        <v>0</v>
      </c>
      <c r="CA267" s="83">
        <f t="shared" si="171"/>
        <v>0</v>
      </c>
      <c r="CB267" s="96">
        <f t="shared" si="172"/>
        <v>0.24122562674094708</v>
      </c>
      <c r="CC267" s="96">
        <f t="shared" si="173"/>
        <v>0.21328671328671328</v>
      </c>
      <c r="CD267" s="97">
        <f t="shared" si="174"/>
        <v>2.7938913454233799E-2</v>
      </c>
      <c r="CE267" s="96">
        <f t="shared" si="175"/>
        <v>2.7300303336703743E-2</v>
      </c>
      <c r="CF267" s="96">
        <f t="shared" si="176"/>
        <v>1.7341040462427744E-2</v>
      </c>
      <c r="CG267" s="96">
        <f t="shared" si="177"/>
        <v>9.9592628742759988E-3</v>
      </c>
      <c r="CH267" s="95">
        <f t="shared" si="178"/>
        <v>0.21582930610011855</v>
      </c>
      <c r="CI267" s="95">
        <f t="shared" si="179"/>
        <v>0.21153846153846154</v>
      </c>
      <c r="CJ267" s="98">
        <f t="shared" si="180"/>
        <v>4.2908445616570146E-3</v>
      </c>
      <c r="CK267" s="95">
        <f t="shared" si="181"/>
        <v>1.8456375838926176E-2</v>
      </c>
      <c r="CL267" s="95">
        <f t="shared" si="182"/>
        <v>2.2036828304816982E-2</v>
      </c>
      <c r="CM267" s="98">
        <f t="shared" si="183"/>
        <v>-3.5804524658908064E-3</v>
      </c>
      <c r="CN267" s="94">
        <f t="shared" si="184"/>
        <v>0.64748791830035568</v>
      </c>
      <c r="CO267" s="94">
        <f t="shared" si="185"/>
        <v>5.5369127516778527E-2</v>
      </c>
    </row>
    <row r="268" spans="1:93" ht="24.5" x14ac:dyDescent="0.35">
      <c r="A268" s="104">
        <v>106283</v>
      </c>
      <c r="B268" s="5" t="s">
        <v>581</v>
      </c>
      <c r="C268" s="46" t="s">
        <v>789</v>
      </c>
      <c r="D268" s="13" t="s">
        <v>790</v>
      </c>
      <c r="E268" s="6" t="s">
        <v>228</v>
      </c>
      <c r="F268" s="6" t="s">
        <v>229</v>
      </c>
      <c r="G268" s="12" t="s">
        <v>229</v>
      </c>
      <c r="H268" s="51" t="s">
        <v>230</v>
      </c>
      <c r="I268" s="24" t="s">
        <v>78</v>
      </c>
      <c r="J268" s="19">
        <v>184.5</v>
      </c>
      <c r="K268" s="19">
        <v>211.5</v>
      </c>
      <c r="L268" s="19">
        <v>157.5</v>
      </c>
      <c r="M268" s="19">
        <v>148.5</v>
      </c>
      <c r="N268" s="18">
        <v>180</v>
      </c>
      <c r="O268" s="18">
        <v>216</v>
      </c>
      <c r="P268" s="18">
        <v>144</v>
      </c>
      <c r="Q268" s="18">
        <v>126</v>
      </c>
      <c r="R268" s="19">
        <v>202</v>
      </c>
      <c r="S268" s="19">
        <v>184.5</v>
      </c>
      <c r="T268" s="19">
        <v>136</v>
      </c>
      <c r="U268" s="19">
        <v>139.5</v>
      </c>
      <c r="V268" s="19">
        <v>191.5</v>
      </c>
      <c r="W268" s="19">
        <v>198</v>
      </c>
      <c r="X268" s="19">
        <v>102.5</v>
      </c>
      <c r="Y268" s="19">
        <v>162</v>
      </c>
      <c r="Z268" s="19">
        <v>210</v>
      </c>
      <c r="AA268" s="19">
        <v>202.5</v>
      </c>
      <c r="AB268" s="19">
        <v>110</v>
      </c>
      <c r="AC268" s="19">
        <v>139.5</v>
      </c>
      <c r="AD268" s="19">
        <v>195</v>
      </c>
      <c r="AE268" s="19">
        <v>175.5</v>
      </c>
      <c r="AF268" s="19">
        <v>145</v>
      </c>
      <c r="AG268" s="19">
        <v>148.5</v>
      </c>
      <c r="AH268" s="19">
        <v>220</v>
      </c>
      <c r="AI268" s="19">
        <v>193.5</v>
      </c>
      <c r="AJ268" s="19">
        <v>100</v>
      </c>
      <c r="AK268" s="19">
        <v>166.5</v>
      </c>
      <c r="AL268" s="19">
        <v>205</v>
      </c>
      <c r="AM268" s="19">
        <v>202.5</v>
      </c>
      <c r="AN268" s="19">
        <v>135</v>
      </c>
      <c r="AO268" s="19">
        <v>121.5</v>
      </c>
      <c r="AP268" s="19">
        <v>210</v>
      </c>
      <c r="AQ268" s="19">
        <v>189</v>
      </c>
      <c r="AR268" s="19">
        <v>110</v>
      </c>
      <c r="AS268" s="19">
        <v>99</v>
      </c>
      <c r="AT268" s="19">
        <v>200</v>
      </c>
      <c r="AU268" s="19">
        <v>189</v>
      </c>
      <c r="AV268" s="19">
        <v>80</v>
      </c>
      <c r="AW268" s="19">
        <v>135</v>
      </c>
      <c r="AX268" s="19">
        <v>195</v>
      </c>
      <c r="AY268" s="19">
        <v>184.5</v>
      </c>
      <c r="AZ268" s="19">
        <v>145</v>
      </c>
      <c r="BA268" s="19">
        <v>121.5</v>
      </c>
      <c r="BB268" s="19">
        <v>215</v>
      </c>
      <c r="BC268" s="19">
        <v>184.5</v>
      </c>
      <c r="BD268" s="19">
        <v>145</v>
      </c>
      <c r="BE268" s="19">
        <v>121.5</v>
      </c>
      <c r="BF268" s="23">
        <v>28.701499999999999</v>
      </c>
      <c r="BG268" s="23">
        <v>77.290199999999999</v>
      </c>
      <c r="BH268" s="31">
        <f t="shared" si="155"/>
        <v>215</v>
      </c>
      <c r="BI268" s="31">
        <f t="shared" si="156"/>
        <v>184.5</v>
      </c>
      <c r="BJ268" s="37">
        <f t="shared" si="157"/>
        <v>30.5</v>
      </c>
      <c r="BK268" s="37">
        <f t="shared" si="158"/>
        <v>16.531165311653119</v>
      </c>
      <c r="BL268" s="36">
        <f t="shared" si="159"/>
        <v>145</v>
      </c>
      <c r="BM268" s="36">
        <f t="shared" si="160"/>
        <v>121.5</v>
      </c>
      <c r="BN268" s="37">
        <f t="shared" si="161"/>
        <v>23.5</v>
      </c>
      <c r="BO268" s="37">
        <f t="shared" si="162"/>
        <v>19.34156378600823</v>
      </c>
      <c r="BP268" s="38">
        <f t="shared" si="163"/>
        <v>2471</v>
      </c>
      <c r="BQ268" s="39">
        <f>J268+N268+S268+W268+AA268+AE268+AI268+AM268+AQ268+AU268+Table1[[#This Row],[MS-0225]]+Table1[[#This Row],[MS-0325]]</f>
        <v>2268</v>
      </c>
      <c r="BR268" s="37">
        <f t="shared" si="164"/>
        <v>203</v>
      </c>
      <c r="BS268" s="37">
        <f t="shared" si="165"/>
        <v>8.9506172839506171</v>
      </c>
      <c r="BT268" s="36">
        <f t="shared" si="166"/>
        <v>1483</v>
      </c>
      <c r="BU268" s="36">
        <f t="shared" si="167"/>
        <v>1656</v>
      </c>
      <c r="BV268" s="37">
        <f t="shared" si="168"/>
        <v>-173</v>
      </c>
      <c r="BW268" s="37">
        <f t="shared" si="169"/>
        <v>-10.446859903381643</v>
      </c>
      <c r="BX268">
        <v>0</v>
      </c>
      <c r="BY268" s="83">
        <f t="shared" si="170"/>
        <v>0</v>
      </c>
      <c r="BZ268">
        <v>0</v>
      </c>
      <c r="CA268" s="83">
        <f t="shared" si="171"/>
        <v>0</v>
      </c>
      <c r="CB268" s="96">
        <f t="shared" si="172"/>
        <v>0.16699029126213591</v>
      </c>
      <c r="CC268" s="96">
        <f t="shared" si="173"/>
        <v>0.15602536997885835</v>
      </c>
      <c r="CD268" s="97">
        <f t="shared" si="174"/>
        <v>1.0964921283277557E-2</v>
      </c>
      <c r="CE268" s="96">
        <f t="shared" si="175"/>
        <v>0.35495716034271724</v>
      </c>
      <c r="CF268" s="96">
        <f t="shared" si="176"/>
        <v>0.39256865912762517</v>
      </c>
      <c r="CG268" s="96">
        <f t="shared" si="177"/>
        <v>-3.7611498784907937E-2</v>
      </c>
      <c r="CH268" s="95">
        <f t="shared" si="178"/>
        <v>0.16305925828164181</v>
      </c>
      <c r="CI268" s="95">
        <f t="shared" si="179"/>
        <v>0.16443719412724306</v>
      </c>
      <c r="CJ268" s="98">
        <f t="shared" si="180"/>
        <v>-1.3779358456012525E-3</v>
      </c>
      <c r="CK268" s="95">
        <f t="shared" si="181"/>
        <v>0.37421145596770122</v>
      </c>
      <c r="CL268" s="95">
        <f t="shared" si="182"/>
        <v>0.41971866683563552</v>
      </c>
      <c r="CM268" s="98">
        <f t="shared" si="183"/>
        <v>-4.55072108679343E-2</v>
      </c>
      <c r="CN268" s="94">
        <f t="shared" si="184"/>
        <v>0.48917777484492542</v>
      </c>
      <c r="CO268" s="94">
        <f t="shared" si="185"/>
        <v>1.1226343679031037</v>
      </c>
    </row>
    <row r="269" spans="1:93" ht="36.5" x14ac:dyDescent="0.35">
      <c r="A269" s="104">
        <v>106369</v>
      </c>
      <c r="B269" s="5" t="s">
        <v>581</v>
      </c>
      <c r="C269" s="46" t="s">
        <v>944</v>
      </c>
      <c r="D269" s="13" t="s">
        <v>945</v>
      </c>
      <c r="E269" s="6" t="s">
        <v>81</v>
      </c>
      <c r="F269" s="6" t="s">
        <v>946</v>
      </c>
      <c r="G269" s="12" t="s">
        <v>946</v>
      </c>
      <c r="H269" s="51" t="s">
        <v>141</v>
      </c>
      <c r="I269" s="24" t="s">
        <v>83</v>
      </c>
      <c r="J269" s="19">
        <v>181</v>
      </c>
      <c r="K269" s="19">
        <v>193.5</v>
      </c>
      <c r="L269" s="19">
        <v>91</v>
      </c>
      <c r="M269" s="19">
        <v>132.5</v>
      </c>
      <c r="N269" s="18">
        <v>204</v>
      </c>
      <c r="O269" s="18">
        <v>205</v>
      </c>
      <c r="P269" s="18">
        <v>122</v>
      </c>
      <c r="Q269" s="18">
        <v>135</v>
      </c>
      <c r="R269" s="19">
        <v>190.5</v>
      </c>
      <c r="S269" s="19">
        <v>193.5</v>
      </c>
      <c r="T269" s="19">
        <v>129.5</v>
      </c>
      <c r="U269" s="19">
        <v>112.5</v>
      </c>
      <c r="V269" s="19">
        <v>192.5</v>
      </c>
      <c r="W269" s="19">
        <v>209.5</v>
      </c>
      <c r="X269" s="19">
        <v>143.5</v>
      </c>
      <c r="Y269" s="19">
        <v>128.5</v>
      </c>
      <c r="Z269" s="19">
        <v>194</v>
      </c>
      <c r="AA269" s="19">
        <v>189</v>
      </c>
      <c r="AB269" s="19">
        <v>132</v>
      </c>
      <c r="AC269" s="19">
        <v>85</v>
      </c>
      <c r="AD269" s="19">
        <v>193</v>
      </c>
      <c r="AE269" s="19">
        <v>179</v>
      </c>
      <c r="AF269" s="19">
        <v>143</v>
      </c>
      <c r="AG269" s="19">
        <v>89</v>
      </c>
      <c r="AH269" s="19">
        <v>196</v>
      </c>
      <c r="AI269" s="19">
        <v>218.5</v>
      </c>
      <c r="AJ269" s="19">
        <v>130</v>
      </c>
      <c r="AK269" s="19">
        <v>165.5</v>
      </c>
      <c r="AL269" s="19">
        <v>189.5</v>
      </c>
      <c r="AM269" s="19">
        <v>187.5</v>
      </c>
      <c r="AN269" s="19">
        <v>114.5</v>
      </c>
      <c r="AO269" s="19">
        <v>84.5</v>
      </c>
      <c r="AP269" s="19">
        <v>189</v>
      </c>
      <c r="AQ269" s="19">
        <v>180.5</v>
      </c>
      <c r="AR269" s="19">
        <v>111</v>
      </c>
      <c r="AS269" s="19">
        <v>97.5</v>
      </c>
      <c r="AT269" s="19">
        <v>190.5</v>
      </c>
      <c r="AU269" s="19">
        <v>195</v>
      </c>
      <c r="AV269" s="19">
        <v>139.5</v>
      </c>
      <c r="AW269" s="19">
        <v>131</v>
      </c>
      <c r="AX269" s="19">
        <v>185</v>
      </c>
      <c r="AY269" s="19">
        <v>168.5</v>
      </c>
      <c r="AZ269" s="19">
        <v>145</v>
      </c>
      <c r="BA269" s="19">
        <v>143.5</v>
      </c>
      <c r="BB269" s="19">
        <v>214.5</v>
      </c>
      <c r="BC269" s="19">
        <v>182.5</v>
      </c>
      <c r="BD269" s="19">
        <v>147.5</v>
      </c>
      <c r="BE269" s="19">
        <v>165.5</v>
      </c>
      <c r="BF269" s="23">
        <v>28.620076600000001</v>
      </c>
      <c r="BG269" s="23">
        <v>76.982903500000006</v>
      </c>
      <c r="BH269" s="31">
        <f t="shared" si="155"/>
        <v>214.5</v>
      </c>
      <c r="BI269" s="31">
        <f t="shared" si="156"/>
        <v>182.5</v>
      </c>
      <c r="BJ269" s="37">
        <f t="shared" si="157"/>
        <v>32</v>
      </c>
      <c r="BK269" s="37">
        <f t="shared" si="158"/>
        <v>17.534246575342465</v>
      </c>
      <c r="BL269" s="36">
        <f t="shared" si="159"/>
        <v>147.5</v>
      </c>
      <c r="BM269" s="36">
        <f t="shared" si="160"/>
        <v>165.5</v>
      </c>
      <c r="BN269" s="37">
        <f t="shared" si="161"/>
        <v>-18</v>
      </c>
      <c r="BO269" s="37">
        <f t="shared" si="162"/>
        <v>-10.876132930513595</v>
      </c>
      <c r="BP269" s="38">
        <f t="shared" si="163"/>
        <v>2333</v>
      </c>
      <c r="BQ269" s="39">
        <f>J269+N269+S269+W269+AA269+AE269+AI269+AM269+AQ269+AU269+Table1[[#This Row],[MS-0225]]+Table1[[#This Row],[MS-0325]]</f>
        <v>2288.5</v>
      </c>
      <c r="BR269" s="37">
        <f t="shared" si="164"/>
        <v>44.5</v>
      </c>
      <c r="BS269" s="37">
        <f t="shared" si="165"/>
        <v>1.9445051343674895</v>
      </c>
      <c r="BT269" s="36">
        <f t="shared" si="166"/>
        <v>1603</v>
      </c>
      <c r="BU269" s="36">
        <f t="shared" si="167"/>
        <v>1415.5</v>
      </c>
      <c r="BV269" s="37">
        <f t="shared" si="168"/>
        <v>187.5</v>
      </c>
      <c r="BW269" s="37">
        <f t="shared" si="169"/>
        <v>13.246202755210174</v>
      </c>
      <c r="BX269">
        <v>0</v>
      </c>
      <c r="BY269" s="83">
        <f t="shared" si="170"/>
        <v>0</v>
      </c>
      <c r="BZ269">
        <v>0</v>
      </c>
      <c r="CA269" s="83">
        <f t="shared" si="171"/>
        <v>0</v>
      </c>
      <c r="CB269" s="96">
        <f t="shared" si="172"/>
        <v>1</v>
      </c>
      <c r="CC269" s="96">
        <f t="shared" si="173"/>
        <v>1</v>
      </c>
      <c r="CD269" s="97">
        <f t="shared" si="174"/>
        <v>0</v>
      </c>
      <c r="CE269" s="96">
        <f t="shared" si="175"/>
        <v>1</v>
      </c>
      <c r="CF269" s="96">
        <f t="shared" si="176"/>
        <v>1</v>
      </c>
      <c r="CG269" s="96">
        <f t="shared" si="177"/>
        <v>0</v>
      </c>
      <c r="CH269" s="95">
        <f t="shared" si="178"/>
        <v>1</v>
      </c>
      <c r="CI269" s="95">
        <f t="shared" si="179"/>
        <v>1</v>
      </c>
      <c r="CJ269" s="98">
        <f t="shared" si="180"/>
        <v>0</v>
      </c>
      <c r="CK269" s="95">
        <f t="shared" si="181"/>
        <v>1</v>
      </c>
      <c r="CL269" s="95">
        <f t="shared" si="182"/>
        <v>1</v>
      </c>
      <c r="CM269" s="98">
        <f t="shared" si="183"/>
        <v>0</v>
      </c>
      <c r="CN269" s="94">
        <f t="shared" si="184"/>
        <v>1</v>
      </c>
      <c r="CO269" s="94">
        <f t="shared" si="185"/>
        <v>1</v>
      </c>
    </row>
    <row r="270" spans="1:93" x14ac:dyDescent="0.35">
      <c r="A270" s="104">
        <v>180790</v>
      </c>
      <c r="B270" s="5" t="s">
        <v>581</v>
      </c>
      <c r="C270" s="46" t="s">
        <v>612</v>
      </c>
      <c r="D270" s="13" t="s">
        <v>613</v>
      </c>
      <c r="E270" s="6" t="s">
        <v>187</v>
      </c>
      <c r="F270" s="6" t="s">
        <v>216</v>
      </c>
      <c r="G270" s="12" t="s">
        <v>216</v>
      </c>
      <c r="H270" s="51" t="s">
        <v>217</v>
      </c>
      <c r="I270" s="24" t="s">
        <v>86</v>
      </c>
      <c r="J270" s="19">
        <v>328.5</v>
      </c>
      <c r="K270" s="19">
        <v>376</v>
      </c>
      <c r="L270" s="19">
        <v>67.5</v>
      </c>
      <c r="M270" s="19">
        <v>72</v>
      </c>
      <c r="N270" s="18">
        <v>351</v>
      </c>
      <c r="O270" s="18">
        <v>356.5</v>
      </c>
      <c r="P270" s="18">
        <v>81</v>
      </c>
      <c r="Q270" s="18">
        <v>71.5</v>
      </c>
      <c r="R270" s="19">
        <v>353.5</v>
      </c>
      <c r="S270" s="19">
        <v>328.5</v>
      </c>
      <c r="T270" s="19">
        <v>68.5</v>
      </c>
      <c r="U270" s="19">
        <v>85.5</v>
      </c>
      <c r="V270" s="19">
        <v>397</v>
      </c>
      <c r="W270" s="19">
        <v>351</v>
      </c>
      <c r="X270" s="19">
        <v>63</v>
      </c>
      <c r="Y270" s="19">
        <v>81</v>
      </c>
      <c r="Z270" s="19">
        <v>393.5</v>
      </c>
      <c r="AA270" s="19">
        <v>338</v>
      </c>
      <c r="AB270" s="19">
        <v>66.5</v>
      </c>
      <c r="AC270" s="19">
        <v>74</v>
      </c>
      <c r="AD270" s="19">
        <v>363.5</v>
      </c>
      <c r="AE270" s="19">
        <v>333</v>
      </c>
      <c r="AF270" s="19">
        <v>66.5</v>
      </c>
      <c r="AG270" s="19">
        <v>67</v>
      </c>
      <c r="AH270" s="19">
        <v>386</v>
      </c>
      <c r="AI270" s="19">
        <v>338.5</v>
      </c>
      <c r="AJ270" s="19">
        <v>74</v>
      </c>
      <c r="AK270" s="19">
        <v>93.5</v>
      </c>
      <c r="AL270" s="19">
        <v>392.5</v>
      </c>
      <c r="AM270" s="19">
        <v>347</v>
      </c>
      <c r="AN270" s="19">
        <v>75.5</v>
      </c>
      <c r="AO270" s="19">
        <v>73</v>
      </c>
      <c r="AP270" s="19">
        <v>381.5</v>
      </c>
      <c r="AQ270" s="19">
        <v>338</v>
      </c>
      <c r="AR270" s="19">
        <v>68.5</v>
      </c>
      <c r="AS270" s="19">
        <v>70</v>
      </c>
      <c r="AT270" s="19">
        <v>381.5</v>
      </c>
      <c r="AU270" s="19">
        <v>319.5</v>
      </c>
      <c r="AV270" s="19">
        <v>56.5</v>
      </c>
      <c r="AW270" s="19">
        <v>76.5</v>
      </c>
      <c r="AX270" s="19">
        <v>350.5</v>
      </c>
      <c r="AY270" s="19">
        <v>302.5</v>
      </c>
      <c r="AZ270" s="19">
        <v>67.5</v>
      </c>
      <c r="BA270" s="19">
        <v>87.5</v>
      </c>
      <c r="BB270" s="19">
        <v>408</v>
      </c>
      <c r="BC270" s="19">
        <v>346.5</v>
      </c>
      <c r="BD270" s="19">
        <v>76</v>
      </c>
      <c r="BE270" s="19">
        <v>83.5</v>
      </c>
      <c r="BF270" s="23">
        <v>28.732800000000001</v>
      </c>
      <c r="BG270" s="23">
        <v>77.198599999999999</v>
      </c>
      <c r="BH270" s="31">
        <f t="shared" si="155"/>
        <v>408</v>
      </c>
      <c r="BI270" s="31">
        <f t="shared" si="156"/>
        <v>346.5</v>
      </c>
      <c r="BJ270" s="37">
        <f t="shared" si="157"/>
        <v>61.5</v>
      </c>
      <c r="BK270" s="37">
        <f t="shared" si="158"/>
        <v>17.748917748917751</v>
      </c>
      <c r="BL270" s="36">
        <f t="shared" si="159"/>
        <v>76</v>
      </c>
      <c r="BM270" s="36">
        <f t="shared" si="160"/>
        <v>83.5</v>
      </c>
      <c r="BN270" s="37">
        <f t="shared" si="161"/>
        <v>-7.5</v>
      </c>
      <c r="BO270" s="37">
        <f t="shared" si="162"/>
        <v>-8.9820359281437128</v>
      </c>
      <c r="BP270" s="38">
        <f t="shared" si="163"/>
        <v>4540</v>
      </c>
      <c r="BQ270" s="39">
        <f>J270+N270+S270+W270+AA270+AE270+AI270+AM270+AQ270+AU270+Table1[[#This Row],[MS-0225]]+Table1[[#This Row],[MS-0325]]</f>
        <v>4022</v>
      </c>
      <c r="BR270" s="37">
        <f t="shared" si="164"/>
        <v>518</v>
      </c>
      <c r="BS270" s="37">
        <f t="shared" si="165"/>
        <v>12.879164594728989</v>
      </c>
      <c r="BT270" s="36">
        <f t="shared" si="166"/>
        <v>826</v>
      </c>
      <c r="BU270" s="36">
        <f t="shared" si="167"/>
        <v>940</v>
      </c>
      <c r="BV270" s="37">
        <f t="shared" si="168"/>
        <v>-114</v>
      </c>
      <c r="BW270" s="37">
        <f t="shared" si="169"/>
        <v>-12.127659574468085</v>
      </c>
      <c r="BX270">
        <v>0</v>
      </c>
      <c r="BY270" s="83">
        <f t="shared" si="170"/>
        <v>0</v>
      </c>
      <c r="BZ270">
        <v>0</v>
      </c>
      <c r="CA270" s="83">
        <f t="shared" si="171"/>
        <v>0</v>
      </c>
      <c r="CB270" s="96">
        <f t="shared" si="172"/>
        <v>0.24600542659029243</v>
      </c>
      <c r="CC270" s="96">
        <f t="shared" si="173"/>
        <v>0.23757284881727803</v>
      </c>
      <c r="CD270" s="97">
        <f t="shared" si="174"/>
        <v>8.4325777730143991E-3</v>
      </c>
      <c r="CE270" s="96">
        <f t="shared" si="175"/>
        <v>0.12762384550797648</v>
      </c>
      <c r="CF270" s="96">
        <f t="shared" si="176"/>
        <v>0.13928273561301086</v>
      </c>
      <c r="CG270" s="96">
        <f t="shared" si="177"/>
        <v>-1.1658890105034375E-2</v>
      </c>
      <c r="CH270" s="95">
        <f t="shared" si="178"/>
        <v>0.24479012212546841</v>
      </c>
      <c r="CI270" s="95">
        <f t="shared" si="179"/>
        <v>0.24794254514273767</v>
      </c>
      <c r="CJ270" s="98">
        <f t="shared" si="180"/>
        <v>-3.1524230172692569E-3</v>
      </c>
      <c r="CK270" s="95">
        <f t="shared" si="181"/>
        <v>0.12298071912454403</v>
      </c>
      <c r="CL270" s="95">
        <f t="shared" si="182"/>
        <v>0.13029315960912052</v>
      </c>
      <c r="CM270" s="98">
        <f t="shared" si="183"/>
        <v>-7.3124404845764934E-3</v>
      </c>
      <c r="CN270" s="94">
        <f t="shared" si="184"/>
        <v>1.2239506106273421</v>
      </c>
      <c r="CO270" s="94">
        <f t="shared" si="185"/>
        <v>0.61490359562272012</v>
      </c>
    </row>
    <row r="271" spans="1:93" ht="24.5" x14ac:dyDescent="0.35">
      <c r="A271" s="104">
        <v>206615</v>
      </c>
      <c r="B271" s="5" t="s">
        <v>581</v>
      </c>
      <c r="C271" s="46" t="s">
        <v>799</v>
      </c>
      <c r="D271" s="13" t="s">
        <v>800</v>
      </c>
      <c r="E271" s="6" t="s">
        <v>89</v>
      </c>
      <c r="F271" s="6" t="s">
        <v>603</v>
      </c>
      <c r="G271" s="12" t="s">
        <v>906</v>
      </c>
      <c r="H271" s="51" t="s">
        <v>1007</v>
      </c>
      <c r="I271" s="24" t="s">
        <v>86</v>
      </c>
      <c r="J271" s="19">
        <v>172</v>
      </c>
      <c r="K271" s="19">
        <v>188</v>
      </c>
      <c r="L271" s="19">
        <v>44</v>
      </c>
      <c r="M271" s="19">
        <v>40</v>
      </c>
      <c r="N271" s="18">
        <v>188</v>
      </c>
      <c r="O271" s="18">
        <v>200</v>
      </c>
      <c r="P271" s="18">
        <v>52</v>
      </c>
      <c r="Q271" s="18">
        <v>40</v>
      </c>
      <c r="R271" s="19">
        <v>196</v>
      </c>
      <c r="S271" s="19">
        <v>180</v>
      </c>
      <c r="T271" s="19">
        <v>56</v>
      </c>
      <c r="U271" s="19">
        <v>60</v>
      </c>
      <c r="V271" s="19">
        <v>216</v>
      </c>
      <c r="W271" s="19">
        <v>200</v>
      </c>
      <c r="X271" s="19">
        <v>48</v>
      </c>
      <c r="Y271" s="19">
        <v>52</v>
      </c>
      <c r="Z271" s="19">
        <v>192</v>
      </c>
      <c r="AA271" s="19">
        <v>180</v>
      </c>
      <c r="AB271" s="19">
        <v>48</v>
      </c>
      <c r="AC271" s="19">
        <v>48</v>
      </c>
      <c r="AD271" s="19">
        <v>188</v>
      </c>
      <c r="AE271" s="19">
        <v>192</v>
      </c>
      <c r="AF271" s="19">
        <v>40</v>
      </c>
      <c r="AG271" s="19">
        <v>48</v>
      </c>
      <c r="AH271" s="19">
        <v>200</v>
      </c>
      <c r="AI271" s="19">
        <v>196</v>
      </c>
      <c r="AJ271" s="19">
        <v>40</v>
      </c>
      <c r="AK271" s="19">
        <v>44</v>
      </c>
      <c r="AL271" s="19">
        <v>188</v>
      </c>
      <c r="AM271" s="19">
        <v>188</v>
      </c>
      <c r="AN271" s="19">
        <v>40</v>
      </c>
      <c r="AO271" s="19">
        <v>40</v>
      </c>
      <c r="AP271" s="19">
        <v>192</v>
      </c>
      <c r="AQ271" s="19">
        <v>188</v>
      </c>
      <c r="AR271" s="19">
        <v>36</v>
      </c>
      <c r="AS271" s="19">
        <v>40</v>
      </c>
      <c r="AT271" s="19">
        <v>192</v>
      </c>
      <c r="AU271" s="19">
        <v>184</v>
      </c>
      <c r="AV271" s="19">
        <v>36</v>
      </c>
      <c r="AW271" s="19">
        <v>44</v>
      </c>
      <c r="AX271" s="19">
        <v>188</v>
      </c>
      <c r="AY271" s="19">
        <v>172</v>
      </c>
      <c r="AZ271" s="19">
        <v>40</v>
      </c>
      <c r="BA271" s="19">
        <v>44</v>
      </c>
      <c r="BB271" s="19">
        <v>184</v>
      </c>
      <c r="BC271" s="19">
        <v>212</v>
      </c>
      <c r="BD271" s="19">
        <v>44</v>
      </c>
      <c r="BE271" s="19">
        <v>52</v>
      </c>
      <c r="BF271" s="23">
        <v>28.693000000000001</v>
      </c>
      <c r="BG271" s="23">
        <v>77.100200000000001</v>
      </c>
      <c r="BH271" s="31">
        <f t="shared" si="155"/>
        <v>184</v>
      </c>
      <c r="BI271" s="31">
        <f t="shared" si="156"/>
        <v>212</v>
      </c>
      <c r="BJ271" s="37">
        <f t="shared" si="157"/>
        <v>-28</v>
      </c>
      <c r="BK271" s="37">
        <f t="shared" si="158"/>
        <v>-13.20754716981132</v>
      </c>
      <c r="BL271" s="36">
        <f t="shared" si="159"/>
        <v>44</v>
      </c>
      <c r="BM271" s="36">
        <f t="shared" si="160"/>
        <v>52</v>
      </c>
      <c r="BN271" s="37">
        <f t="shared" si="161"/>
        <v>-8</v>
      </c>
      <c r="BO271" s="37">
        <f t="shared" si="162"/>
        <v>-15.384615384615385</v>
      </c>
      <c r="BP271" s="38">
        <f t="shared" si="163"/>
        <v>2324</v>
      </c>
      <c r="BQ271" s="39">
        <f>J271+N271+S271+W271+AA271+AE271+AI271+AM271+AQ271+AU271+Table1[[#This Row],[MS-0225]]+Table1[[#This Row],[MS-0325]]</f>
        <v>2252</v>
      </c>
      <c r="BR271" s="37">
        <f t="shared" si="164"/>
        <v>72</v>
      </c>
      <c r="BS271" s="37">
        <f t="shared" si="165"/>
        <v>3.197158081705151</v>
      </c>
      <c r="BT271" s="36">
        <f t="shared" si="166"/>
        <v>508</v>
      </c>
      <c r="BU271" s="36">
        <f t="shared" si="167"/>
        <v>568</v>
      </c>
      <c r="BV271" s="37">
        <f t="shared" si="168"/>
        <v>-60</v>
      </c>
      <c r="BW271" s="37">
        <f t="shared" si="169"/>
        <v>-10.56338028169014</v>
      </c>
      <c r="BX271">
        <v>0</v>
      </c>
      <c r="BY271" s="83">
        <f t="shared" si="170"/>
        <v>0</v>
      </c>
      <c r="BZ271">
        <v>0</v>
      </c>
      <c r="CA271" s="83">
        <f t="shared" si="171"/>
        <v>0</v>
      </c>
      <c r="CB271" s="96">
        <f t="shared" si="172"/>
        <v>0.13594384927964537</v>
      </c>
      <c r="CC271" s="96">
        <f t="shared" si="173"/>
        <v>0.16</v>
      </c>
      <c r="CD271" s="97">
        <f t="shared" si="174"/>
        <v>-2.4056150720354635E-2</v>
      </c>
      <c r="CE271" s="96">
        <f t="shared" si="175"/>
        <v>0.16146788990825689</v>
      </c>
      <c r="CF271" s="96">
        <f t="shared" si="176"/>
        <v>0.18439716312056736</v>
      </c>
      <c r="CG271" s="96">
        <f t="shared" si="177"/>
        <v>-2.2929273212310475E-2</v>
      </c>
      <c r="CH271" s="95">
        <f t="shared" si="178"/>
        <v>0.14804905239687849</v>
      </c>
      <c r="CI271" s="95">
        <f t="shared" si="179"/>
        <v>0.14685360286925334</v>
      </c>
      <c r="CJ271" s="98">
        <f t="shared" si="180"/>
        <v>1.1954495276251531E-3</v>
      </c>
      <c r="CK271" s="95">
        <f t="shared" si="181"/>
        <v>0.17442060085836911</v>
      </c>
      <c r="CL271" s="95">
        <f t="shared" si="182"/>
        <v>0.1655011655011655</v>
      </c>
      <c r="CM271" s="98">
        <f t="shared" si="183"/>
        <v>8.9194353572036034E-3</v>
      </c>
      <c r="CN271" s="94">
        <f t="shared" si="184"/>
        <v>0.74024526198439244</v>
      </c>
      <c r="CO271" s="94">
        <f t="shared" si="185"/>
        <v>0.87210300429184551</v>
      </c>
    </row>
    <row r="272" spans="1:93" ht="48.5" x14ac:dyDescent="0.35">
      <c r="A272" s="104">
        <v>102084</v>
      </c>
      <c r="B272" s="5" t="s">
        <v>581</v>
      </c>
      <c r="C272" s="46" t="s">
        <v>702</v>
      </c>
      <c r="D272" s="13" t="s">
        <v>703</v>
      </c>
      <c r="E272" s="6" t="s">
        <v>103</v>
      </c>
      <c r="F272" s="6" t="s">
        <v>526</v>
      </c>
      <c r="G272" s="12" t="s">
        <v>526</v>
      </c>
      <c r="H272" s="51" t="s">
        <v>248</v>
      </c>
      <c r="I272" s="24" t="s">
        <v>78</v>
      </c>
      <c r="J272" s="19">
        <v>220</v>
      </c>
      <c r="K272" s="19">
        <v>241</v>
      </c>
      <c r="L272" s="19">
        <v>220</v>
      </c>
      <c r="M272" s="19">
        <v>217</v>
      </c>
      <c r="N272" s="18">
        <v>220</v>
      </c>
      <c r="O272" s="18">
        <v>244</v>
      </c>
      <c r="P272" s="18">
        <v>200</v>
      </c>
      <c r="Q272" s="18">
        <v>196</v>
      </c>
      <c r="R272" s="19">
        <v>255</v>
      </c>
      <c r="S272" s="19">
        <v>235</v>
      </c>
      <c r="T272" s="19">
        <v>177</v>
      </c>
      <c r="U272" s="19">
        <v>185</v>
      </c>
      <c r="V272" s="19">
        <v>252</v>
      </c>
      <c r="W272" s="19">
        <v>230</v>
      </c>
      <c r="X272" s="19">
        <v>144</v>
      </c>
      <c r="Y272" s="19">
        <v>150</v>
      </c>
      <c r="Z272" s="19">
        <v>222</v>
      </c>
      <c r="AA272" s="19">
        <v>238</v>
      </c>
      <c r="AB272" s="19">
        <v>164</v>
      </c>
      <c r="AC272" s="19">
        <v>160</v>
      </c>
      <c r="AD272" s="19">
        <v>217</v>
      </c>
      <c r="AE272" s="19">
        <v>205</v>
      </c>
      <c r="AF272" s="19">
        <v>209</v>
      </c>
      <c r="AG272" s="19">
        <v>195</v>
      </c>
      <c r="AH272" s="19">
        <v>232</v>
      </c>
      <c r="AI272" s="19">
        <v>220</v>
      </c>
      <c r="AJ272" s="19">
        <v>217</v>
      </c>
      <c r="AK272" s="19">
        <v>240</v>
      </c>
      <c r="AL272" s="19">
        <v>222</v>
      </c>
      <c r="AM272" s="19">
        <v>230</v>
      </c>
      <c r="AN272" s="19">
        <v>208</v>
      </c>
      <c r="AO272" s="19">
        <v>230</v>
      </c>
      <c r="AP272" s="19">
        <v>222</v>
      </c>
      <c r="AQ272" s="19">
        <v>206.5</v>
      </c>
      <c r="AR272" s="19">
        <v>164</v>
      </c>
      <c r="AS272" s="19">
        <v>189.5</v>
      </c>
      <c r="AT272" s="19">
        <v>210</v>
      </c>
      <c r="AU272" s="19">
        <v>217</v>
      </c>
      <c r="AV272" s="19">
        <v>160</v>
      </c>
      <c r="AW272" s="19">
        <v>197</v>
      </c>
      <c r="AX272" s="19">
        <v>204</v>
      </c>
      <c r="AY272" s="19">
        <v>203</v>
      </c>
      <c r="AZ272" s="19">
        <v>205</v>
      </c>
      <c r="BA272" s="19">
        <v>237</v>
      </c>
      <c r="BB272" s="19">
        <v>210</v>
      </c>
      <c r="BC272" s="19">
        <v>225</v>
      </c>
      <c r="BD272" s="19">
        <v>204</v>
      </c>
      <c r="BE272" s="19">
        <v>233</v>
      </c>
      <c r="BF272" s="23">
        <v>28.569700000000001</v>
      </c>
      <c r="BG272" s="23">
        <v>77.195099999999996</v>
      </c>
      <c r="BH272" s="31">
        <f t="shared" si="155"/>
        <v>210</v>
      </c>
      <c r="BI272" s="31">
        <f t="shared" si="156"/>
        <v>225</v>
      </c>
      <c r="BJ272" s="37">
        <f t="shared" si="157"/>
        <v>-15</v>
      </c>
      <c r="BK272" s="37">
        <f t="shared" si="158"/>
        <v>-6.666666666666667</v>
      </c>
      <c r="BL272" s="36">
        <f t="shared" si="159"/>
        <v>204</v>
      </c>
      <c r="BM272" s="36">
        <f t="shared" si="160"/>
        <v>233</v>
      </c>
      <c r="BN272" s="37">
        <f t="shared" si="161"/>
        <v>-29</v>
      </c>
      <c r="BO272" s="37">
        <f t="shared" si="162"/>
        <v>-12.446351931330472</v>
      </c>
      <c r="BP272" s="38">
        <f t="shared" si="163"/>
        <v>2731</v>
      </c>
      <c r="BQ272" s="39">
        <f>J272+N272+S272+W272+AA272+AE272+AI272+AM272+AQ272+AU272+Table1[[#This Row],[MS-0225]]+Table1[[#This Row],[MS-0325]]</f>
        <v>2649.5</v>
      </c>
      <c r="BR272" s="37">
        <f t="shared" si="164"/>
        <v>81.5</v>
      </c>
      <c r="BS272" s="37">
        <f t="shared" si="165"/>
        <v>3.0760520852991133</v>
      </c>
      <c r="BT272" s="36">
        <f t="shared" si="166"/>
        <v>2265</v>
      </c>
      <c r="BU272" s="36">
        <f t="shared" si="167"/>
        <v>2436.5</v>
      </c>
      <c r="BV272" s="37">
        <f t="shared" si="168"/>
        <v>-171.5</v>
      </c>
      <c r="BW272" s="37">
        <f t="shared" si="169"/>
        <v>-7.038785142622614</v>
      </c>
      <c r="BX272">
        <v>0</v>
      </c>
      <c r="BY272" s="83">
        <f t="shared" si="170"/>
        <v>0</v>
      </c>
      <c r="BZ272">
        <v>0</v>
      </c>
      <c r="CA272" s="83">
        <f t="shared" si="171"/>
        <v>0</v>
      </c>
      <c r="CB272" s="96">
        <f t="shared" si="172"/>
        <v>0.2073050345508391</v>
      </c>
      <c r="CC272" s="96">
        <f t="shared" si="173"/>
        <v>0.21206409048067862</v>
      </c>
      <c r="CD272" s="97">
        <f t="shared" si="174"/>
        <v>-4.759055929839523E-3</v>
      </c>
      <c r="CE272" s="96">
        <f t="shared" si="175"/>
        <v>0.40396039603960399</v>
      </c>
      <c r="CF272" s="96">
        <f t="shared" si="176"/>
        <v>0.42210144927536231</v>
      </c>
      <c r="CG272" s="96">
        <f t="shared" si="177"/>
        <v>-1.814105323575832E-2</v>
      </c>
      <c r="CH272" s="95">
        <f t="shared" si="178"/>
        <v>0.21190254500310365</v>
      </c>
      <c r="CI272" s="95">
        <f t="shared" si="179"/>
        <v>0.21200240048009603</v>
      </c>
      <c r="CJ272" s="98">
        <f t="shared" si="180"/>
        <v>-9.9855476992372072E-5</v>
      </c>
      <c r="CK272" s="95">
        <f t="shared" si="181"/>
        <v>0.38526960367409424</v>
      </c>
      <c r="CL272" s="95">
        <f t="shared" si="182"/>
        <v>0.37527916827108204</v>
      </c>
      <c r="CM272" s="98">
        <f t="shared" si="183"/>
        <v>9.9904354030121989E-3</v>
      </c>
      <c r="CN272" s="94">
        <f t="shared" si="184"/>
        <v>0.63570763500931093</v>
      </c>
      <c r="CO272" s="94">
        <f t="shared" si="185"/>
        <v>1.1558088110222826</v>
      </c>
    </row>
    <row r="273" spans="1:95" ht="24.5" x14ac:dyDescent="0.35">
      <c r="A273" s="104">
        <v>106310</v>
      </c>
      <c r="B273" s="5" t="s">
        <v>581</v>
      </c>
      <c r="C273" s="46" t="s">
        <v>837</v>
      </c>
      <c r="D273" s="13" t="s">
        <v>838</v>
      </c>
      <c r="E273" s="6" t="s">
        <v>111</v>
      </c>
      <c r="F273" s="6" t="s">
        <v>839</v>
      </c>
      <c r="G273" s="12" t="s">
        <v>839</v>
      </c>
      <c r="H273" s="51" t="s">
        <v>105</v>
      </c>
      <c r="I273" s="24" t="s">
        <v>78</v>
      </c>
      <c r="J273" s="19">
        <v>145.5</v>
      </c>
      <c r="K273" s="19">
        <v>172</v>
      </c>
      <c r="L273" s="19">
        <v>52.5</v>
      </c>
      <c r="M273" s="19">
        <v>44</v>
      </c>
      <c r="N273" s="18">
        <v>196</v>
      </c>
      <c r="O273" s="18">
        <v>204</v>
      </c>
      <c r="P273" s="18">
        <v>68</v>
      </c>
      <c r="Q273" s="18">
        <v>60</v>
      </c>
      <c r="R273" s="19">
        <v>195</v>
      </c>
      <c r="S273" s="19">
        <v>211</v>
      </c>
      <c r="T273" s="19">
        <v>45</v>
      </c>
      <c r="U273" s="19">
        <v>65</v>
      </c>
      <c r="V273" s="19">
        <v>203</v>
      </c>
      <c r="W273" s="19">
        <v>176</v>
      </c>
      <c r="X273" s="19">
        <v>49</v>
      </c>
      <c r="Y273" s="19">
        <v>52</v>
      </c>
      <c r="Z273" s="19">
        <v>216</v>
      </c>
      <c r="AA273" s="19">
        <v>197.5</v>
      </c>
      <c r="AB273" s="19">
        <v>48</v>
      </c>
      <c r="AC273" s="19">
        <v>60.5</v>
      </c>
      <c r="AD273" s="19">
        <v>196</v>
      </c>
      <c r="AE273" s="19">
        <v>244.5</v>
      </c>
      <c r="AF273" s="19">
        <v>56</v>
      </c>
      <c r="AG273" s="19">
        <v>69.5</v>
      </c>
      <c r="AH273" s="19">
        <v>208</v>
      </c>
      <c r="AI273" s="19">
        <v>148</v>
      </c>
      <c r="AJ273" s="19">
        <v>44</v>
      </c>
      <c r="AK273" s="19">
        <v>44</v>
      </c>
      <c r="AL273" s="19">
        <v>220</v>
      </c>
      <c r="AM273" s="19">
        <v>205.5</v>
      </c>
      <c r="AN273" s="19">
        <v>32</v>
      </c>
      <c r="AO273" s="19">
        <v>40.5</v>
      </c>
      <c r="AP273" s="19">
        <v>192</v>
      </c>
      <c r="AQ273" s="19">
        <v>196.5</v>
      </c>
      <c r="AR273" s="19">
        <v>36</v>
      </c>
      <c r="AS273" s="19">
        <v>45.5</v>
      </c>
      <c r="AT273" s="19">
        <v>192</v>
      </c>
      <c r="AU273" s="19">
        <v>173.5</v>
      </c>
      <c r="AV273" s="19">
        <v>36</v>
      </c>
      <c r="AW273" s="19">
        <v>36.5</v>
      </c>
      <c r="AX273" s="19">
        <v>177</v>
      </c>
      <c r="AY273" s="19">
        <v>169.5</v>
      </c>
      <c r="AZ273" s="19">
        <v>33</v>
      </c>
      <c r="BA273" s="19">
        <v>40.5</v>
      </c>
      <c r="BB273" s="19">
        <v>209.5</v>
      </c>
      <c r="BC273" s="19">
        <v>191</v>
      </c>
      <c r="BD273" s="19">
        <v>36.5</v>
      </c>
      <c r="BE273" s="19">
        <v>49</v>
      </c>
      <c r="BF273" s="23">
        <v>28.6022</v>
      </c>
      <c r="BG273" s="23">
        <v>77.236999999999995</v>
      </c>
      <c r="BH273" s="31">
        <f t="shared" si="155"/>
        <v>209.5</v>
      </c>
      <c r="BI273" s="31">
        <f t="shared" si="156"/>
        <v>191</v>
      </c>
      <c r="BJ273" s="37">
        <f t="shared" si="157"/>
        <v>18.5</v>
      </c>
      <c r="BK273" s="37">
        <f t="shared" si="158"/>
        <v>9.6858638743455501</v>
      </c>
      <c r="BL273" s="36">
        <f t="shared" si="159"/>
        <v>36.5</v>
      </c>
      <c r="BM273" s="36">
        <f t="shared" si="160"/>
        <v>49</v>
      </c>
      <c r="BN273" s="37">
        <f t="shared" si="161"/>
        <v>-12.5</v>
      </c>
      <c r="BO273" s="37">
        <f t="shared" si="162"/>
        <v>-25.510204081632654</v>
      </c>
      <c r="BP273" s="38">
        <f t="shared" si="163"/>
        <v>2384.5</v>
      </c>
      <c r="BQ273" s="39">
        <f>J273+N273+S273+W273+AA273+AE273+AI273+AM273+AQ273+AU273+Table1[[#This Row],[MS-0225]]+Table1[[#This Row],[MS-0325]]</f>
        <v>2254.5</v>
      </c>
      <c r="BR273" s="37">
        <f t="shared" si="164"/>
        <v>130</v>
      </c>
      <c r="BS273" s="37">
        <f t="shared" si="165"/>
        <v>5.7662452872033709</v>
      </c>
      <c r="BT273" s="36">
        <f t="shared" si="166"/>
        <v>519.5</v>
      </c>
      <c r="BU273" s="36">
        <f t="shared" si="167"/>
        <v>623.5</v>
      </c>
      <c r="BV273" s="37">
        <f t="shared" si="168"/>
        <v>-104</v>
      </c>
      <c r="BW273" s="37">
        <f t="shared" si="169"/>
        <v>-16.680032076984762</v>
      </c>
      <c r="BX273">
        <v>0</v>
      </c>
      <c r="BY273" s="83">
        <f t="shared" si="170"/>
        <v>0</v>
      </c>
      <c r="BZ273">
        <v>0</v>
      </c>
      <c r="CA273" s="83">
        <f t="shared" si="171"/>
        <v>0</v>
      </c>
      <c r="CB273" s="96">
        <f t="shared" si="172"/>
        <v>1</v>
      </c>
      <c r="CC273" s="96">
        <f t="shared" si="173"/>
        <v>1</v>
      </c>
      <c r="CD273" s="97">
        <f t="shared" si="174"/>
        <v>0</v>
      </c>
      <c r="CE273" s="96">
        <f t="shared" si="175"/>
        <v>1</v>
      </c>
      <c r="CF273" s="96">
        <f t="shared" si="176"/>
        <v>1</v>
      </c>
      <c r="CG273" s="96">
        <f t="shared" si="177"/>
        <v>0</v>
      </c>
      <c r="CH273" s="95">
        <f t="shared" si="178"/>
        <v>1</v>
      </c>
      <c r="CI273" s="95">
        <f t="shared" si="179"/>
        <v>1</v>
      </c>
      <c r="CJ273" s="98">
        <f t="shared" si="180"/>
        <v>0</v>
      </c>
      <c r="CK273" s="95">
        <f t="shared" si="181"/>
        <v>1</v>
      </c>
      <c r="CL273" s="95">
        <f t="shared" si="182"/>
        <v>1</v>
      </c>
      <c r="CM273" s="98">
        <f t="shared" si="183"/>
        <v>0</v>
      </c>
      <c r="CN273" s="94">
        <f t="shared" si="184"/>
        <v>1</v>
      </c>
      <c r="CO273" s="94">
        <f t="shared" si="185"/>
        <v>1</v>
      </c>
    </row>
    <row r="274" spans="1:95" ht="24.5" x14ac:dyDescent="0.35">
      <c r="A274" s="102">
        <v>112398</v>
      </c>
      <c r="B274" s="3" t="s">
        <v>72</v>
      </c>
      <c r="C274" s="41" t="s">
        <v>114</v>
      </c>
      <c r="D274" s="12" t="s">
        <v>115</v>
      </c>
      <c r="E274" s="4" t="s">
        <v>111</v>
      </c>
      <c r="F274" s="4" t="s">
        <v>116</v>
      </c>
      <c r="G274" s="12" t="s">
        <v>116</v>
      </c>
      <c r="H274" s="51" t="s">
        <v>105</v>
      </c>
      <c r="I274" s="23" t="s">
        <v>78</v>
      </c>
      <c r="J274" s="90">
        <v>198.00000199999999</v>
      </c>
      <c r="K274" s="90">
        <v>207</v>
      </c>
      <c r="L274" s="90">
        <v>54</v>
      </c>
      <c r="M274" s="90">
        <v>45</v>
      </c>
      <c r="N274" s="18">
        <v>220.50000199999999</v>
      </c>
      <c r="O274" s="18">
        <v>234</v>
      </c>
      <c r="P274" s="18">
        <v>67.5</v>
      </c>
      <c r="Q274" s="18">
        <v>54</v>
      </c>
      <c r="R274" s="90">
        <v>198</v>
      </c>
      <c r="S274" s="90">
        <v>216.00000199999999</v>
      </c>
      <c r="T274" s="90">
        <v>54</v>
      </c>
      <c r="U274" s="90">
        <v>72</v>
      </c>
      <c r="V274" s="90">
        <v>252</v>
      </c>
      <c r="W274" s="90">
        <v>225</v>
      </c>
      <c r="X274" s="90">
        <v>54</v>
      </c>
      <c r="Y274" s="90">
        <v>63</v>
      </c>
      <c r="Z274" s="90">
        <v>236</v>
      </c>
      <c r="AA274" s="90">
        <v>234</v>
      </c>
      <c r="AB274" s="90">
        <v>72</v>
      </c>
      <c r="AC274" s="90">
        <v>72</v>
      </c>
      <c r="AD274" s="90">
        <v>229.5</v>
      </c>
      <c r="AE274" s="90">
        <v>234.00000299999999</v>
      </c>
      <c r="AF274" s="90">
        <v>58.5</v>
      </c>
      <c r="AG274" s="90">
        <v>54</v>
      </c>
      <c r="AH274" s="90">
        <v>230</v>
      </c>
      <c r="AI274" s="90">
        <v>216</v>
      </c>
      <c r="AJ274" s="90">
        <v>54</v>
      </c>
      <c r="AK274" s="90">
        <v>72</v>
      </c>
      <c r="AL274" s="90">
        <v>193.5</v>
      </c>
      <c r="AM274" s="90">
        <v>216.000001</v>
      </c>
      <c r="AN274" s="90">
        <v>40.5</v>
      </c>
      <c r="AO274" s="90">
        <v>36</v>
      </c>
      <c r="AP274" s="90">
        <v>210</v>
      </c>
      <c r="AQ274" s="90">
        <v>185</v>
      </c>
      <c r="AR274" s="90">
        <v>54</v>
      </c>
      <c r="AS274" s="90">
        <v>45</v>
      </c>
      <c r="AT274" s="90">
        <v>209</v>
      </c>
      <c r="AU274" s="90">
        <v>207</v>
      </c>
      <c r="AV274" s="90">
        <v>63</v>
      </c>
      <c r="AW274" s="90">
        <v>63</v>
      </c>
      <c r="AX274" s="90">
        <v>198</v>
      </c>
      <c r="AY274" s="90">
        <v>207</v>
      </c>
      <c r="AZ274" s="90">
        <v>54</v>
      </c>
      <c r="BA274" s="90">
        <v>45</v>
      </c>
      <c r="BB274" s="90">
        <v>208.5</v>
      </c>
      <c r="BC274" s="90">
        <v>216</v>
      </c>
      <c r="BD274" s="90">
        <v>63.5</v>
      </c>
      <c r="BE274" s="90">
        <v>54</v>
      </c>
      <c r="BF274" s="23">
        <v>28.592179999999999</v>
      </c>
      <c r="BG274" s="23">
        <v>77.237449999999995</v>
      </c>
      <c r="BH274" s="31">
        <f t="shared" si="155"/>
        <v>208.5</v>
      </c>
      <c r="BI274" s="31">
        <f t="shared" si="156"/>
        <v>216</v>
      </c>
      <c r="BJ274" s="37">
        <f t="shared" si="157"/>
        <v>-7.5</v>
      </c>
      <c r="BK274" s="37">
        <f t="shared" si="158"/>
        <v>-3.4722222222222223</v>
      </c>
      <c r="BL274" s="36">
        <f t="shared" si="159"/>
        <v>63.5</v>
      </c>
      <c r="BM274" s="36">
        <f t="shared" si="160"/>
        <v>54</v>
      </c>
      <c r="BN274" s="37">
        <f t="shared" si="161"/>
        <v>9.5</v>
      </c>
      <c r="BO274" s="37">
        <f t="shared" si="162"/>
        <v>17.592592592592592</v>
      </c>
      <c r="BP274" s="38">
        <f t="shared" si="163"/>
        <v>2605.5</v>
      </c>
      <c r="BQ274" s="39">
        <f>J274+N274+S274+W274+AA274+AE274+AI274+AM274+AQ274+AU274+Table1[[#This Row],[MS-0225]]+Table1[[#This Row],[MS-0325]]</f>
        <v>2574.5000099999997</v>
      </c>
      <c r="BR274" s="37">
        <f t="shared" si="164"/>
        <v>30.999990000000253</v>
      </c>
      <c r="BS274" s="37">
        <f t="shared" si="165"/>
        <v>1.2041169112289207</v>
      </c>
      <c r="BT274" s="36">
        <f t="shared" si="166"/>
        <v>666.5</v>
      </c>
      <c r="BU274" s="36">
        <f t="shared" si="167"/>
        <v>697.5</v>
      </c>
      <c r="BV274" s="37">
        <f t="shared" si="168"/>
        <v>-31</v>
      </c>
      <c r="BW274" s="37">
        <f t="shared" si="169"/>
        <v>-4.4444444444444446</v>
      </c>
      <c r="BX274">
        <v>27</v>
      </c>
      <c r="BY274" s="83">
        <f t="shared" si="170"/>
        <v>0.12949640287769784</v>
      </c>
      <c r="BZ274">
        <v>171</v>
      </c>
      <c r="CA274" s="83">
        <f t="shared" si="171"/>
        <v>6.563039723661486E-2</v>
      </c>
      <c r="CB274" s="96">
        <f t="shared" si="172"/>
        <v>0.56967213114754101</v>
      </c>
      <c r="CC274" s="96">
        <f t="shared" si="173"/>
        <v>0.55670103092783507</v>
      </c>
      <c r="CD274" s="97">
        <f t="shared" si="174"/>
        <v>1.2971100219705933E-2</v>
      </c>
      <c r="CE274" s="96">
        <f t="shared" si="175"/>
        <v>0.55217391304347829</v>
      </c>
      <c r="CF274" s="96">
        <f t="shared" si="176"/>
        <v>0.52427184466019416</v>
      </c>
      <c r="CG274" s="96">
        <f t="shared" si="177"/>
        <v>2.7902068383284129E-2</v>
      </c>
      <c r="CH274" s="95">
        <f t="shared" si="178"/>
        <v>0.55726660250240612</v>
      </c>
      <c r="CI274" s="95">
        <f t="shared" si="179"/>
        <v>0.555807427556547</v>
      </c>
      <c r="CJ274" s="98">
        <f t="shared" si="180"/>
        <v>1.4591749458591208E-3</v>
      </c>
      <c r="CK274" s="95">
        <f t="shared" si="181"/>
        <v>0.48384754990925588</v>
      </c>
      <c r="CL274" s="95">
        <f t="shared" si="182"/>
        <v>0.43403858120721844</v>
      </c>
      <c r="CM274" s="98">
        <f t="shared" si="183"/>
        <v>4.9808968702037437E-2</v>
      </c>
      <c r="CN274" s="94">
        <f t="shared" si="184"/>
        <v>1.1145332050048122</v>
      </c>
      <c r="CO274" s="94">
        <f t="shared" si="185"/>
        <v>0.96769509981851176</v>
      </c>
    </row>
    <row r="275" spans="1:95" ht="24.5" x14ac:dyDescent="0.35">
      <c r="A275" s="103">
        <v>41032599</v>
      </c>
      <c r="B275" s="9" t="s">
        <v>380</v>
      </c>
      <c r="C275" s="47" t="s">
        <v>563</v>
      </c>
      <c r="D275" s="14" t="s">
        <v>389</v>
      </c>
      <c r="E275" s="10" t="s">
        <v>89</v>
      </c>
      <c r="F275" s="10" t="s">
        <v>342</v>
      </c>
      <c r="G275" s="12" t="s">
        <v>342</v>
      </c>
      <c r="H275" s="51" t="s">
        <v>205</v>
      </c>
      <c r="I275" s="25" t="s">
        <v>86</v>
      </c>
      <c r="J275" s="20">
        <v>272</v>
      </c>
      <c r="K275" s="20">
        <v>292</v>
      </c>
      <c r="L275" s="20">
        <v>88</v>
      </c>
      <c r="M275" s="20">
        <v>80</v>
      </c>
      <c r="N275" s="18">
        <v>309.5</v>
      </c>
      <c r="O275" s="18">
        <v>328</v>
      </c>
      <c r="P275" s="18">
        <v>92.5</v>
      </c>
      <c r="Q275" s="18">
        <v>80</v>
      </c>
      <c r="R275" s="20">
        <v>300</v>
      </c>
      <c r="S275" s="20">
        <v>301</v>
      </c>
      <c r="T275" s="20">
        <v>72</v>
      </c>
      <c r="U275" s="20">
        <v>89</v>
      </c>
      <c r="V275" s="20">
        <v>320</v>
      </c>
      <c r="W275" s="20">
        <v>279</v>
      </c>
      <c r="X275" s="20">
        <v>76</v>
      </c>
      <c r="Y275" s="20">
        <v>81</v>
      </c>
      <c r="Z275" s="20">
        <v>320</v>
      </c>
      <c r="AA275" s="20">
        <v>308</v>
      </c>
      <c r="AB275" s="20">
        <v>77</v>
      </c>
      <c r="AC275" s="20">
        <v>88</v>
      </c>
      <c r="AD275" s="20">
        <v>292</v>
      </c>
      <c r="AE275" s="20">
        <v>301.5</v>
      </c>
      <c r="AF275" s="20">
        <v>68</v>
      </c>
      <c r="AG275" s="20">
        <v>76.5</v>
      </c>
      <c r="AH275" s="20">
        <v>308</v>
      </c>
      <c r="AI275" s="20">
        <v>296</v>
      </c>
      <c r="AJ275" s="20">
        <v>64</v>
      </c>
      <c r="AK275" s="20">
        <v>76</v>
      </c>
      <c r="AL275" s="20">
        <v>289</v>
      </c>
      <c r="AM275" s="20">
        <v>297</v>
      </c>
      <c r="AN275" s="20">
        <v>53</v>
      </c>
      <c r="AO275" s="20">
        <v>69</v>
      </c>
      <c r="AP275" s="20">
        <v>292</v>
      </c>
      <c r="AQ275" s="20">
        <v>280.5</v>
      </c>
      <c r="AR275" s="20">
        <v>56</v>
      </c>
      <c r="AS275" s="20">
        <v>56.5</v>
      </c>
      <c r="AT275" s="20">
        <v>273.5</v>
      </c>
      <c r="AU275" s="20">
        <v>308</v>
      </c>
      <c r="AV275" s="20">
        <v>56.5</v>
      </c>
      <c r="AW275" s="20">
        <v>76</v>
      </c>
      <c r="AX275" s="20">
        <v>260</v>
      </c>
      <c r="AY275" s="20">
        <v>262</v>
      </c>
      <c r="AZ275" s="20">
        <v>64</v>
      </c>
      <c r="BA275" s="20">
        <v>68</v>
      </c>
      <c r="BB275" s="20">
        <v>268</v>
      </c>
      <c r="BC275" s="20">
        <v>316</v>
      </c>
      <c r="BD275" s="20">
        <v>56</v>
      </c>
      <c r="BE275" s="20">
        <v>68</v>
      </c>
      <c r="BF275" s="23">
        <v>28.730399999999999</v>
      </c>
      <c r="BG275" s="23">
        <v>77.121420000000001</v>
      </c>
      <c r="BH275" s="31">
        <f t="shared" si="155"/>
        <v>268</v>
      </c>
      <c r="BI275" s="31">
        <f t="shared" si="156"/>
        <v>316</v>
      </c>
      <c r="BJ275" s="37">
        <f t="shared" si="157"/>
        <v>-48</v>
      </c>
      <c r="BK275" s="37">
        <f t="shared" si="158"/>
        <v>-15.18987341772152</v>
      </c>
      <c r="BL275" s="36">
        <f t="shared" si="159"/>
        <v>56</v>
      </c>
      <c r="BM275" s="36">
        <f t="shared" si="160"/>
        <v>68</v>
      </c>
      <c r="BN275" s="37">
        <f t="shared" si="161"/>
        <v>-12</v>
      </c>
      <c r="BO275" s="37">
        <f t="shared" si="162"/>
        <v>-17.647058823529413</v>
      </c>
      <c r="BP275" s="38">
        <f t="shared" si="163"/>
        <v>3542.5</v>
      </c>
      <c r="BQ275" s="39">
        <f>J275+N275+S275+W275+AA275+AE275+AI275+AM275+AQ275+AU275+Table1[[#This Row],[MS-0225]]+Table1[[#This Row],[MS-0325]]</f>
        <v>3530.5</v>
      </c>
      <c r="BR275" s="37">
        <f t="shared" si="164"/>
        <v>12</v>
      </c>
      <c r="BS275" s="37">
        <f t="shared" si="165"/>
        <v>0.33989519898031439</v>
      </c>
      <c r="BT275" s="36">
        <f t="shared" si="166"/>
        <v>802.5</v>
      </c>
      <c r="BU275" s="36">
        <f t="shared" si="167"/>
        <v>928.5</v>
      </c>
      <c r="BV275" s="37">
        <f t="shared" si="168"/>
        <v>-126</v>
      </c>
      <c r="BW275" s="37">
        <f t="shared" si="169"/>
        <v>-13.570274636510501</v>
      </c>
      <c r="BX275">
        <v>0</v>
      </c>
      <c r="BY275" s="83">
        <f t="shared" si="170"/>
        <v>0</v>
      </c>
      <c r="BZ275">
        <v>0</v>
      </c>
      <c r="CA275" s="83">
        <f t="shared" si="171"/>
        <v>0</v>
      </c>
      <c r="CB275" s="96">
        <f t="shared" si="172"/>
        <v>0.13842975206611571</v>
      </c>
      <c r="CC275" s="96">
        <f t="shared" si="173"/>
        <v>0.17118093174431204</v>
      </c>
      <c r="CD275" s="97">
        <f t="shared" si="174"/>
        <v>-3.2751179678196324E-2</v>
      </c>
      <c r="CE275" s="96">
        <f t="shared" si="175"/>
        <v>0.13461538461538461</v>
      </c>
      <c r="CF275" s="96">
        <f t="shared" si="176"/>
        <v>0.15246636771300448</v>
      </c>
      <c r="CG275" s="96">
        <f t="shared" si="177"/>
        <v>-1.7850983097619871E-2</v>
      </c>
      <c r="CH275" s="95">
        <f t="shared" si="178"/>
        <v>0.15566980862610683</v>
      </c>
      <c r="CI275" s="95">
        <f t="shared" si="179"/>
        <v>0.16037157327396162</v>
      </c>
      <c r="CJ275" s="98">
        <f t="shared" si="180"/>
        <v>-4.7017646478547948E-3</v>
      </c>
      <c r="CK275" s="95">
        <f t="shared" si="181"/>
        <v>0.15425276309466601</v>
      </c>
      <c r="CL275" s="95">
        <f t="shared" si="182"/>
        <v>0.16864953228589591</v>
      </c>
      <c r="CM275" s="98">
        <f t="shared" si="183"/>
        <v>-1.4396769191229897E-2</v>
      </c>
      <c r="CN275" s="94">
        <f t="shared" si="184"/>
        <v>1.0896886603827478</v>
      </c>
      <c r="CO275" s="94">
        <f t="shared" si="185"/>
        <v>1.0797693416626621</v>
      </c>
      <c r="CP275" s="141">
        <f>BD275-AZ275</f>
        <v>-8</v>
      </c>
    </row>
    <row r="276" spans="1:95" ht="24.5" x14ac:dyDescent="0.35">
      <c r="A276" s="104">
        <v>106320</v>
      </c>
      <c r="B276" s="5" t="s">
        <v>581</v>
      </c>
      <c r="C276" s="46" t="s">
        <v>848</v>
      </c>
      <c r="D276" s="13" t="s">
        <v>829</v>
      </c>
      <c r="E276" s="6" t="s">
        <v>103</v>
      </c>
      <c r="F276" s="6" t="s">
        <v>119</v>
      </c>
      <c r="G276" s="12" t="s">
        <v>119</v>
      </c>
      <c r="H276" s="51" t="s">
        <v>120</v>
      </c>
      <c r="I276" s="24" t="s">
        <v>83</v>
      </c>
      <c r="J276" s="19">
        <v>145.5</v>
      </c>
      <c r="K276" s="19">
        <v>184</v>
      </c>
      <c r="L276" s="19">
        <v>52.5</v>
      </c>
      <c r="M276" s="19">
        <v>56</v>
      </c>
      <c r="N276" s="18">
        <v>153.5</v>
      </c>
      <c r="O276" s="18">
        <v>196</v>
      </c>
      <c r="P276" s="18">
        <v>44.5</v>
      </c>
      <c r="Q276" s="18">
        <v>44</v>
      </c>
      <c r="R276" s="19">
        <v>180</v>
      </c>
      <c r="S276" s="19">
        <v>144.5</v>
      </c>
      <c r="T276" s="19">
        <v>48</v>
      </c>
      <c r="U276" s="19">
        <v>49.5</v>
      </c>
      <c r="V276" s="19">
        <v>204</v>
      </c>
      <c r="W276" s="19">
        <v>161.5</v>
      </c>
      <c r="X276" s="19">
        <v>48</v>
      </c>
      <c r="Y276" s="19">
        <v>60.5</v>
      </c>
      <c r="Z276" s="19">
        <v>208</v>
      </c>
      <c r="AA276" s="19">
        <v>157.5</v>
      </c>
      <c r="AB276" s="19">
        <v>80</v>
      </c>
      <c r="AC276" s="19">
        <v>52.5</v>
      </c>
      <c r="AD276" s="19">
        <v>204</v>
      </c>
      <c r="AE276" s="19">
        <v>136</v>
      </c>
      <c r="AF276" s="19">
        <v>84</v>
      </c>
      <c r="AG276" s="19">
        <v>56</v>
      </c>
      <c r="AH276" s="19">
        <v>208</v>
      </c>
      <c r="AI276" s="19">
        <v>172</v>
      </c>
      <c r="AJ276" s="19">
        <v>104</v>
      </c>
      <c r="AK276" s="19">
        <v>56</v>
      </c>
      <c r="AL276" s="19">
        <v>196</v>
      </c>
      <c r="AM276" s="19">
        <v>156</v>
      </c>
      <c r="AN276" s="19">
        <v>92</v>
      </c>
      <c r="AO276" s="19">
        <v>36</v>
      </c>
      <c r="AP276" s="19">
        <v>199</v>
      </c>
      <c r="AQ276" s="19">
        <v>147</v>
      </c>
      <c r="AR276" s="19">
        <v>97</v>
      </c>
      <c r="AS276" s="19">
        <v>45</v>
      </c>
      <c r="AT276" s="19">
        <v>192</v>
      </c>
      <c r="AU276" s="19">
        <v>170</v>
      </c>
      <c r="AV276" s="19">
        <v>84</v>
      </c>
      <c r="AW276" s="19">
        <v>44</v>
      </c>
      <c r="AX276" s="19">
        <v>196</v>
      </c>
      <c r="AY276" s="19">
        <v>144</v>
      </c>
      <c r="AZ276" s="19">
        <v>92</v>
      </c>
      <c r="BA276" s="19">
        <v>48</v>
      </c>
      <c r="BB276" s="19">
        <v>207</v>
      </c>
      <c r="BC276" s="19">
        <v>177.5</v>
      </c>
      <c r="BD276" s="19">
        <v>109</v>
      </c>
      <c r="BE276" s="19">
        <v>56.5</v>
      </c>
      <c r="BF276" s="23">
        <v>28.560099999999998</v>
      </c>
      <c r="BG276" s="23">
        <v>77.17</v>
      </c>
      <c r="BH276" s="31">
        <f t="shared" si="155"/>
        <v>207</v>
      </c>
      <c r="BI276" s="31">
        <f t="shared" si="156"/>
        <v>177.5</v>
      </c>
      <c r="BJ276" s="37">
        <f t="shared" si="157"/>
        <v>29.5</v>
      </c>
      <c r="BK276" s="37">
        <f t="shared" si="158"/>
        <v>16.619718309859156</v>
      </c>
      <c r="BL276" s="36">
        <f t="shared" si="159"/>
        <v>109</v>
      </c>
      <c r="BM276" s="36">
        <f t="shared" si="160"/>
        <v>56.5</v>
      </c>
      <c r="BN276" s="37">
        <f t="shared" si="161"/>
        <v>52.5</v>
      </c>
      <c r="BO276" s="37">
        <f t="shared" si="162"/>
        <v>92.920353982300881</v>
      </c>
      <c r="BP276" s="38">
        <f t="shared" si="163"/>
        <v>2374</v>
      </c>
      <c r="BQ276" s="39">
        <f>J276+N276+S276+W276+AA276+AE276+AI276+AM276+AQ276+AU276+Table1[[#This Row],[MS-0225]]+Table1[[#This Row],[MS-0325]]</f>
        <v>1865</v>
      </c>
      <c r="BR276" s="37">
        <f t="shared" si="164"/>
        <v>509</v>
      </c>
      <c r="BS276" s="37">
        <f t="shared" si="165"/>
        <v>27.292225201072384</v>
      </c>
      <c r="BT276" s="36">
        <f t="shared" si="166"/>
        <v>938</v>
      </c>
      <c r="BU276" s="36">
        <f t="shared" si="167"/>
        <v>601</v>
      </c>
      <c r="BV276" s="37">
        <f t="shared" si="168"/>
        <v>337</v>
      </c>
      <c r="BW276" s="37">
        <f t="shared" si="169"/>
        <v>56.07321131447587</v>
      </c>
      <c r="BX276">
        <v>0</v>
      </c>
      <c r="BY276" s="83">
        <f t="shared" si="170"/>
        <v>0</v>
      </c>
      <c r="BZ276">
        <v>0</v>
      </c>
      <c r="CA276" s="83">
        <f t="shared" si="171"/>
        <v>0</v>
      </c>
      <c r="CB276" s="96">
        <f t="shared" si="172"/>
        <v>0.17666939778779187</v>
      </c>
      <c r="CC276" s="96">
        <f t="shared" si="173"/>
        <v>0.15928725459667123</v>
      </c>
      <c r="CD276" s="97">
        <f t="shared" si="174"/>
        <v>1.7382143191120636E-2</v>
      </c>
      <c r="CE276" s="96">
        <f t="shared" si="175"/>
        <v>0.32337688537624459</v>
      </c>
      <c r="CF276" s="96">
        <f t="shared" si="176"/>
        <v>0.16226865945983204</v>
      </c>
      <c r="CG276" s="96">
        <f t="shared" si="177"/>
        <v>0.16110822591641255</v>
      </c>
      <c r="CH276" s="95">
        <f t="shared" si="178"/>
        <v>0.16942808031347761</v>
      </c>
      <c r="CI276" s="95">
        <f t="shared" si="179"/>
        <v>0.13975462235603364</v>
      </c>
      <c r="CJ276" s="98">
        <f t="shared" si="180"/>
        <v>2.9673457957443972E-2</v>
      </c>
      <c r="CK276" s="95">
        <f t="shared" si="181"/>
        <v>0.24343099639576793</v>
      </c>
      <c r="CL276" s="95">
        <f t="shared" si="182"/>
        <v>0.1449927793113398</v>
      </c>
      <c r="CM276" s="98">
        <f t="shared" si="183"/>
        <v>9.8438217084428126E-2</v>
      </c>
      <c r="CN276" s="94">
        <f t="shared" si="184"/>
        <v>0.67771232125391045</v>
      </c>
      <c r="CO276" s="94">
        <f t="shared" si="185"/>
        <v>0.97372398558307172</v>
      </c>
    </row>
    <row r="277" spans="1:95" ht="24.5" x14ac:dyDescent="0.35">
      <c r="A277" s="102">
        <v>112402</v>
      </c>
      <c r="B277" s="3" t="s">
        <v>72</v>
      </c>
      <c r="C277" s="41" t="s">
        <v>235</v>
      </c>
      <c r="D277" s="12" t="s">
        <v>236</v>
      </c>
      <c r="E277" s="4" t="s">
        <v>89</v>
      </c>
      <c r="F277" s="4" t="s">
        <v>237</v>
      </c>
      <c r="G277" s="12" t="s">
        <v>237</v>
      </c>
      <c r="H277" s="51" t="s">
        <v>205</v>
      </c>
      <c r="I277" s="23" t="s">
        <v>86</v>
      </c>
      <c r="J277" s="90">
        <v>158</v>
      </c>
      <c r="K277" s="90">
        <v>192</v>
      </c>
      <c r="L277" s="90">
        <v>210</v>
      </c>
      <c r="M277" s="90">
        <v>234</v>
      </c>
      <c r="N277" s="18">
        <v>160</v>
      </c>
      <c r="O277" s="18">
        <v>201</v>
      </c>
      <c r="P277" s="18">
        <v>208</v>
      </c>
      <c r="Q277" s="18">
        <v>321</v>
      </c>
      <c r="R277" s="90">
        <v>180</v>
      </c>
      <c r="S277" s="90">
        <v>163</v>
      </c>
      <c r="T277" s="90">
        <v>278</v>
      </c>
      <c r="U277" s="90">
        <v>371</v>
      </c>
      <c r="V277" s="90">
        <v>202</v>
      </c>
      <c r="W277" s="90">
        <v>173</v>
      </c>
      <c r="X277" s="90">
        <v>310</v>
      </c>
      <c r="Y277" s="90">
        <v>415</v>
      </c>
      <c r="Z277" s="90">
        <v>217</v>
      </c>
      <c r="AA277" s="90">
        <v>169</v>
      </c>
      <c r="AB277" s="90">
        <v>273</v>
      </c>
      <c r="AC277" s="90">
        <v>305</v>
      </c>
      <c r="AD277" s="90">
        <v>216</v>
      </c>
      <c r="AE277" s="90">
        <v>161</v>
      </c>
      <c r="AF277" s="90">
        <v>318</v>
      </c>
      <c r="AG277" s="90">
        <v>355</v>
      </c>
      <c r="AH277" s="90">
        <v>225.5</v>
      </c>
      <c r="AI277" s="90">
        <v>186.5</v>
      </c>
      <c r="AJ277" s="90">
        <v>350.5</v>
      </c>
      <c r="AK277" s="90">
        <v>457.5</v>
      </c>
      <c r="AL277" s="90">
        <v>194</v>
      </c>
      <c r="AM277" s="90">
        <v>169</v>
      </c>
      <c r="AN277" s="90">
        <v>306</v>
      </c>
      <c r="AO277" s="90">
        <v>363</v>
      </c>
      <c r="AP277" s="90">
        <v>202</v>
      </c>
      <c r="AQ277" s="90">
        <v>177.5</v>
      </c>
      <c r="AR277" s="90">
        <v>272</v>
      </c>
      <c r="AS277" s="90">
        <v>360.5</v>
      </c>
      <c r="AT277" s="90">
        <v>196</v>
      </c>
      <c r="AU277" s="90">
        <v>152</v>
      </c>
      <c r="AV277" s="90">
        <v>324</v>
      </c>
      <c r="AW277" s="90">
        <v>340</v>
      </c>
      <c r="AX277" s="90">
        <v>200</v>
      </c>
      <c r="AY277" s="90">
        <v>167</v>
      </c>
      <c r="AZ277" s="90">
        <v>326</v>
      </c>
      <c r="BA277" s="90">
        <v>301</v>
      </c>
      <c r="BB277" s="90">
        <v>205</v>
      </c>
      <c r="BC277" s="90">
        <v>203.5</v>
      </c>
      <c r="BD277" s="90">
        <v>329</v>
      </c>
      <c r="BE277" s="90">
        <v>280.5</v>
      </c>
      <c r="BF277" s="23">
        <v>28.688289999999999</v>
      </c>
      <c r="BG277" s="23">
        <v>77.08972</v>
      </c>
      <c r="BH277" s="31">
        <f t="shared" si="155"/>
        <v>205</v>
      </c>
      <c r="BI277" s="31">
        <f t="shared" si="156"/>
        <v>203.5</v>
      </c>
      <c r="BJ277" s="37">
        <f t="shared" si="157"/>
        <v>1.5</v>
      </c>
      <c r="BK277" s="37">
        <f t="shared" si="158"/>
        <v>0.73710073710073709</v>
      </c>
      <c r="BL277" s="36">
        <f t="shared" si="159"/>
        <v>329</v>
      </c>
      <c r="BM277" s="36">
        <f t="shared" si="160"/>
        <v>280.5</v>
      </c>
      <c r="BN277" s="37">
        <f t="shared" si="161"/>
        <v>48.5</v>
      </c>
      <c r="BO277" s="37">
        <f t="shared" si="162"/>
        <v>17.290552584670234</v>
      </c>
      <c r="BP277" s="38">
        <f t="shared" si="163"/>
        <v>2430.5</v>
      </c>
      <c r="BQ277" s="39">
        <f>J277+N277+S277+W277+AA277+AE277+AI277+AM277+AQ277+AU277+Table1[[#This Row],[MS-0225]]+Table1[[#This Row],[MS-0325]]</f>
        <v>2039.5</v>
      </c>
      <c r="BR277" s="37">
        <f t="shared" si="164"/>
        <v>391</v>
      </c>
      <c r="BS277" s="37">
        <f t="shared" si="165"/>
        <v>19.171365530767346</v>
      </c>
      <c r="BT277" s="36">
        <f t="shared" si="166"/>
        <v>3641.5</v>
      </c>
      <c r="BU277" s="36">
        <f t="shared" si="167"/>
        <v>3966.5</v>
      </c>
      <c r="BV277" s="37">
        <f t="shared" si="168"/>
        <v>-325</v>
      </c>
      <c r="BW277" s="37">
        <f t="shared" si="169"/>
        <v>-8.1936215807386859</v>
      </c>
      <c r="BX277">
        <v>0</v>
      </c>
      <c r="BY277" s="83">
        <f t="shared" si="170"/>
        <v>0</v>
      </c>
      <c r="BZ277">
        <v>0</v>
      </c>
      <c r="CA277" s="83">
        <f t="shared" si="171"/>
        <v>0</v>
      </c>
      <c r="CB277" s="96">
        <f t="shared" si="172"/>
        <v>0.23482245131729668</v>
      </c>
      <c r="CC277" s="96">
        <f t="shared" si="173"/>
        <v>0.22374931280923585</v>
      </c>
      <c r="CD277" s="97">
        <f t="shared" si="174"/>
        <v>1.1073138508060826E-2</v>
      </c>
      <c r="CE277" s="96">
        <f t="shared" si="175"/>
        <v>0.689727463312369</v>
      </c>
      <c r="CF277" s="96">
        <f t="shared" si="176"/>
        <v>0.69344870210135967</v>
      </c>
      <c r="CG277" s="96">
        <f t="shared" si="177"/>
        <v>-3.7212387889906662E-3</v>
      </c>
      <c r="CH277" s="95">
        <f t="shared" si="178"/>
        <v>0.24241970875723121</v>
      </c>
      <c r="CI277" s="95">
        <f t="shared" si="179"/>
        <v>0.20408265372492121</v>
      </c>
      <c r="CJ277" s="98">
        <f t="shared" si="180"/>
        <v>3.8337055032309997E-2</v>
      </c>
      <c r="CK277" s="95">
        <f t="shared" si="181"/>
        <v>0.72568752491032285</v>
      </c>
      <c r="CL277" s="95">
        <f t="shared" si="182"/>
        <v>0.70798750557786705</v>
      </c>
      <c r="CM277" s="98">
        <f t="shared" si="183"/>
        <v>1.7700019332455796E-2</v>
      </c>
      <c r="CN277" s="94">
        <f t="shared" si="184"/>
        <v>0.72725912627169365</v>
      </c>
      <c r="CO277" s="94">
        <f t="shared" si="185"/>
        <v>2.1770625747309684</v>
      </c>
    </row>
    <row r="278" spans="1:95" ht="24.5" x14ac:dyDescent="0.35">
      <c r="A278" s="102">
        <v>112415</v>
      </c>
      <c r="B278" s="3" t="s">
        <v>72</v>
      </c>
      <c r="C278" s="41" t="s">
        <v>308</v>
      </c>
      <c r="D278" s="12" t="s">
        <v>309</v>
      </c>
      <c r="E278" s="4" t="s">
        <v>89</v>
      </c>
      <c r="F278" s="4" t="s">
        <v>310</v>
      </c>
      <c r="G278" s="12" t="s">
        <v>310</v>
      </c>
      <c r="H278" s="51" t="s">
        <v>205</v>
      </c>
      <c r="I278" s="23" t="s">
        <v>86</v>
      </c>
      <c r="J278" s="90">
        <v>178.5</v>
      </c>
      <c r="K278" s="90">
        <v>204.5</v>
      </c>
      <c r="L278" s="90">
        <v>25.5</v>
      </c>
      <c r="M278" s="90">
        <v>41.5</v>
      </c>
      <c r="N278" s="18">
        <v>206</v>
      </c>
      <c r="O278" s="18">
        <v>215.5</v>
      </c>
      <c r="P278" s="18">
        <v>54</v>
      </c>
      <c r="Q278" s="18">
        <v>46.5</v>
      </c>
      <c r="R278" s="90">
        <v>208</v>
      </c>
      <c r="S278" s="90">
        <v>199.5</v>
      </c>
      <c r="T278" s="90">
        <v>42</v>
      </c>
      <c r="U278" s="90">
        <v>52.5</v>
      </c>
      <c r="V278" s="90">
        <v>227</v>
      </c>
      <c r="W278" s="90">
        <v>199</v>
      </c>
      <c r="X278" s="90">
        <v>37</v>
      </c>
      <c r="Y278" s="90">
        <v>53</v>
      </c>
      <c r="Z278" s="90">
        <v>223.5</v>
      </c>
      <c r="AA278" s="90">
        <v>204.5</v>
      </c>
      <c r="AB278" s="90">
        <v>32.5</v>
      </c>
      <c r="AC278" s="90">
        <v>47.5</v>
      </c>
      <c r="AD278" s="90">
        <v>217.5</v>
      </c>
      <c r="AE278" s="90">
        <v>202</v>
      </c>
      <c r="AF278" s="90">
        <v>34.5</v>
      </c>
      <c r="AG278" s="90">
        <v>40</v>
      </c>
      <c r="AH278" s="90">
        <v>221</v>
      </c>
      <c r="AI278" s="90">
        <v>202.5</v>
      </c>
      <c r="AJ278" s="90">
        <v>41</v>
      </c>
      <c r="AK278" s="90">
        <v>37.5</v>
      </c>
      <c r="AL278" s="90">
        <v>193.5</v>
      </c>
      <c r="AM278" s="90">
        <v>180</v>
      </c>
      <c r="AN278" s="90">
        <v>44.5</v>
      </c>
      <c r="AO278" s="90">
        <v>34</v>
      </c>
      <c r="AP278" s="90">
        <v>205.5</v>
      </c>
      <c r="AQ278" s="90">
        <v>208.5</v>
      </c>
      <c r="AR278" s="90">
        <v>20.5</v>
      </c>
      <c r="AS278" s="90">
        <v>25.5</v>
      </c>
      <c r="AT278" s="90">
        <v>187.5</v>
      </c>
      <c r="AU278" s="90">
        <v>173.5</v>
      </c>
      <c r="AV278" s="90">
        <v>24.5</v>
      </c>
      <c r="AW278" s="90">
        <v>32.5</v>
      </c>
      <c r="AX278" s="90">
        <v>186</v>
      </c>
      <c r="AY278" s="90">
        <v>164</v>
      </c>
      <c r="AZ278" s="90">
        <v>28</v>
      </c>
      <c r="BA278" s="90">
        <v>42</v>
      </c>
      <c r="BB278" s="90">
        <v>201</v>
      </c>
      <c r="BC278" s="90">
        <v>208.5</v>
      </c>
      <c r="BD278" s="90">
        <v>37</v>
      </c>
      <c r="BE278" s="90">
        <v>43.5</v>
      </c>
      <c r="BF278" s="23">
        <v>28.70309</v>
      </c>
      <c r="BG278" s="23">
        <v>77.157300000000006</v>
      </c>
      <c r="BH278" s="31">
        <f t="shared" si="155"/>
        <v>201</v>
      </c>
      <c r="BI278" s="31">
        <f t="shared" si="156"/>
        <v>208.5</v>
      </c>
      <c r="BJ278" s="37">
        <f t="shared" si="157"/>
        <v>-7.5</v>
      </c>
      <c r="BK278" s="37">
        <f t="shared" si="158"/>
        <v>-3.5971223021582732</v>
      </c>
      <c r="BL278" s="36">
        <f t="shared" si="159"/>
        <v>37</v>
      </c>
      <c r="BM278" s="36">
        <f t="shared" si="160"/>
        <v>43.5</v>
      </c>
      <c r="BN278" s="37">
        <f t="shared" si="161"/>
        <v>-6.5</v>
      </c>
      <c r="BO278" s="37">
        <f t="shared" si="162"/>
        <v>-14.942528735632186</v>
      </c>
      <c r="BP278" s="38">
        <f t="shared" si="163"/>
        <v>2490.5</v>
      </c>
      <c r="BQ278" s="39">
        <f>J278+N278+S278+W278+AA278+AE278+AI278+AM278+AQ278+AU278+Table1[[#This Row],[MS-0225]]+Table1[[#This Row],[MS-0325]]</f>
        <v>2326.5</v>
      </c>
      <c r="BR278" s="37">
        <f t="shared" si="164"/>
        <v>164</v>
      </c>
      <c r="BS278" s="37">
        <f t="shared" si="165"/>
        <v>7.0492155598538577</v>
      </c>
      <c r="BT278" s="36">
        <f t="shared" si="166"/>
        <v>429.5</v>
      </c>
      <c r="BU278" s="36">
        <f t="shared" si="167"/>
        <v>487.5</v>
      </c>
      <c r="BV278" s="37">
        <f t="shared" si="168"/>
        <v>-58</v>
      </c>
      <c r="BW278" s="37">
        <f t="shared" si="169"/>
        <v>-11.897435897435898</v>
      </c>
      <c r="BX278">
        <v>0</v>
      </c>
      <c r="BY278" s="83">
        <f t="shared" si="170"/>
        <v>0</v>
      </c>
      <c r="BZ278">
        <v>0</v>
      </c>
      <c r="CA278" s="83">
        <f t="shared" si="171"/>
        <v>0</v>
      </c>
      <c r="CB278" s="96">
        <f t="shared" si="172"/>
        <v>0.40978593272171254</v>
      </c>
      <c r="CC278" s="96">
        <f t="shared" si="173"/>
        <v>0.41043307086614172</v>
      </c>
      <c r="CD278" s="97">
        <f t="shared" si="174"/>
        <v>-6.4713814442918238E-4</v>
      </c>
      <c r="CE278" s="96">
        <f t="shared" si="175"/>
        <v>0.47741935483870968</v>
      </c>
      <c r="CF278" s="96">
        <f t="shared" si="176"/>
        <v>0.453125</v>
      </c>
      <c r="CG278" s="96">
        <f t="shared" si="177"/>
        <v>2.4294354838709675E-2</v>
      </c>
      <c r="CH278" s="95">
        <f t="shared" si="178"/>
        <v>0.40030539259021136</v>
      </c>
      <c r="CI278" s="95">
        <f t="shared" si="179"/>
        <v>0.38791162984576905</v>
      </c>
      <c r="CJ278" s="98">
        <f t="shared" si="180"/>
        <v>1.2393762744442316E-2</v>
      </c>
      <c r="CK278" s="95">
        <f t="shared" si="181"/>
        <v>0.43893714869698519</v>
      </c>
      <c r="CL278" s="95">
        <f t="shared" si="182"/>
        <v>0.42007755277897457</v>
      </c>
      <c r="CM278" s="98">
        <f t="shared" si="183"/>
        <v>1.8859595918010619E-2</v>
      </c>
      <c r="CN278" s="94">
        <f t="shared" si="184"/>
        <v>0.80061078518042272</v>
      </c>
      <c r="CO278" s="94">
        <f t="shared" si="185"/>
        <v>0.87787429739397038</v>
      </c>
    </row>
    <row r="279" spans="1:95" ht="24.5" x14ac:dyDescent="0.35">
      <c r="A279" s="103">
        <v>41031180</v>
      </c>
      <c r="B279" s="9" t="s">
        <v>380</v>
      </c>
      <c r="C279" s="47" t="s">
        <v>426</v>
      </c>
      <c r="D279" s="14" t="s">
        <v>427</v>
      </c>
      <c r="E279" s="10" t="s">
        <v>103</v>
      </c>
      <c r="F279" s="10" t="s">
        <v>428</v>
      </c>
      <c r="G279" s="12" t="s">
        <v>428</v>
      </c>
      <c r="H279" s="51" t="s">
        <v>105</v>
      </c>
      <c r="I279" s="25" t="s">
        <v>78</v>
      </c>
      <c r="J279" s="20">
        <v>193.5</v>
      </c>
      <c r="K279" s="20">
        <v>242.5</v>
      </c>
      <c r="L279" s="20">
        <v>220.5</v>
      </c>
      <c r="M279" s="20">
        <v>231.5</v>
      </c>
      <c r="N279" s="18">
        <v>234</v>
      </c>
      <c r="O279" s="18">
        <v>234</v>
      </c>
      <c r="P279" s="18">
        <v>234</v>
      </c>
      <c r="Q279" s="18">
        <v>259</v>
      </c>
      <c r="R279" s="20">
        <v>234</v>
      </c>
      <c r="S279" s="20">
        <v>216</v>
      </c>
      <c r="T279" s="20">
        <v>226</v>
      </c>
      <c r="U279" s="20">
        <v>234</v>
      </c>
      <c r="V279" s="20">
        <v>228</v>
      </c>
      <c r="W279" s="20">
        <v>225</v>
      </c>
      <c r="X279" s="20">
        <v>249</v>
      </c>
      <c r="Y279" s="20">
        <v>261</v>
      </c>
      <c r="Z279" s="20">
        <v>247.5</v>
      </c>
      <c r="AA279" s="20">
        <v>252</v>
      </c>
      <c r="AB279" s="20">
        <v>295.5</v>
      </c>
      <c r="AC279" s="20">
        <v>270</v>
      </c>
      <c r="AD279" s="20">
        <v>238</v>
      </c>
      <c r="AE279" s="20">
        <v>229.5</v>
      </c>
      <c r="AF279" s="20">
        <v>300</v>
      </c>
      <c r="AG279" s="20">
        <v>256.5</v>
      </c>
      <c r="AH279" s="20">
        <v>249</v>
      </c>
      <c r="AI279" s="20">
        <v>217</v>
      </c>
      <c r="AJ279" s="20">
        <v>265</v>
      </c>
      <c r="AK279" s="20">
        <v>217</v>
      </c>
      <c r="AL279" s="20">
        <v>227</v>
      </c>
      <c r="AM279" s="20">
        <v>225</v>
      </c>
      <c r="AN279" s="20">
        <v>225</v>
      </c>
      <c r="AO279" s="20">
        <v>153</v>
      </c>
      <c r="AP279" s="20">
        <v>200</v>
      </c>
      <c r="AQ279" s="20">
        <v>213</v>
      </c>
      <c r="AR279" s="20">
        <v>249</v>
      </c>
      <c r="AS279" s="20">
        <v>185</v>
      </c>
      <c r="AT279" s="20">
        <v>209</v>
      </c>
      <c r="AU279" s="20">
        <v>214</v>
      </c>
      <c r="AV279" s="20">
        <v>229</v>
      </c>
      <c r="AW279" s="20">
        <v>218</v>
      </c>
      <c r="AX279" s="20">
        <v>205</v>
      </c>
      <c r="AY279" s="20">
        <v>205.5</v>
      </c>
      <c r="AZ279" s="20">
        <v>109</v>
      </c>
      <c r="BA279" s="20">
        <v>233.5</v>
      </c>
      <c r="BB279" s="20">
        <v>200</v>
      </c>
      <c r="BC279" s="20">
        <v>225.5</v>
      </c>
      <c r="BD279" s="20">
        <v>136</v>
      </c>
      <c r="BE279" s="20">
        <v>234.5</v>
      </c>
      <c r="BF279" s="23">
        <v>28.591760000000001</v>
      </c>
      <c r="BG279" s="23">
        <v>77.175749999999994</v>
      </c>
      <c r="BH279" s="31">
        <f t="shared" si="155"/>
        <v>200</v>
      </c>
      <c r="BI279" s="31">
        <f t="shared" si="156"/>
        <v>225.5</v>
      </c>
      <c r="BJ279" s="37">
        <f t="shared" si="157"/>
        <v>-25.5</v>
      </c>
      <c r="BK279" s="37">
        <f t="shared" si="158"/>
        <v>-11.308203991130821</v>
      </c>
      <c r="BL279" s="36">
        <f t="shared" si="159"/>
        <v>136</v>
      </c>
      <c r="BM279" s="36">
        <f t="shared" si="160"/>
        <v>234.5</v>
      </c>
      <c r="BN279" s="37">
        <f t="shared" si="161"/>
        <v>-98.5</v>
      </c>
      <c r="BO279" s="37">
        <f t="shared" si="162"/>
        <v>-42.004264392324089</v>
      </c>
      <c r="BP279" s="38">
        <f t="shared" si="163"/>
        <v>2714</v>
      </c>
      <c r="BQ279" s="39">
        <f>J279+N279+S279+W279+AA279+AE279+AI279+AM279+AQ279+AU279+Table1[[#This Row],[MS-0225]]+Table1[[#This Row],[MS-0325]]</f>
        <v>2650</v>
      </c>
      <c r="BR279" s="37">
        <f t="shared" si="164"/>
        <v>64</v>
      </c>
      <c r="BS279" s="37">
        <f t="shared" si="165"/>
        <v>2.4150943396226414</v>
      </c>
      <c r="BT279" s="36">
        <f t="shared" si="166"/>
        <v>2774</v>
      </c>
      <c r="BU279" s="36">
        <f t="shared" si="167"/>
        <v>2717</v>
      </c>
      <c r="BV279" s="37">
        <f t="shared" si="168"/>
        <v>57</v>
      </c>
      <c r="BW279" s="37">
        <f t="shared" si="169"/>
        <v>2.0979020979020979</v>
      </c>
      <c r="BX279">
        <v>0</v>
      </c>
      <c r="BY279" s="83">
        <f t="shared" si="170"/>
        <v>0</v>
      </c>
      <c r="BZ279">
        <v>0</v>
      </c>
      <c r="CA279" s="83">
        <f t="shared" si="171"/>
        <v>0</v>
      </c>
      <c r="CB279" s="96">
        <f t="shared" si="172"/>
        <v>0.14265335235378032</v>
      </c>
      <c r="CC279" s="96">
        <f t="shared" si="173"/>
        <v>0.15573204419889503</v>
      </c>
      <c r="CD279" s="97">
        <f t="shared" si="174"/>
        <v>-1.3078691845114704E-2</v>
      </c>
      <c r="CE279" s="96">
        <f t="shared" si="175"/>
        <v>0.21451104100946372</v>
      </c>
      <c r="CF279" s="96">
        <f t="shared" si="176"/>
        <v>0.36300309597523217</v>
      </c>
      <c r="CG279" s="96">
        <f t="shared" si="177"/>
        <v>-0.14849205496576845</v>
      </c>
      <c r="CH279" s="95">
        <f t="shared" si="178"/>
        <v>0.15645356545800426</v>
      </c>
      <c r="CI279" s="95">
        <f t="shared" si="179"/>
        <v>0.15767239840542632</v>
      </c>
      <c r="CJ279" s="98">
        <f t="shared" si="180"/>
        <v>-1.2188329474220605E-3</v>
      </c>
      <c r="CK279" s="95">
        <f t="shared" si="181"/>
        <v>0.37461174881836595</v>
      </c>
      <c r="CL279" s="95">
        <f t="shared" si="182"/>
        <v>0.35684265826109796</v>
      </c>
      <c r="CM279" s="98">
        <f t="shared" si="183"/>
        <v>1.7769090557267997E-2</v>
      </c>
      <c r="CN279" s="94">
        <f t="shared" si="184"/>
        <v>0.46936069637401279</v>
      </c>
      <c r="CO279" s="94">
        <f t="shared" si="185"/>
        <v>1.1238352464550978</v>
      </c>
    </row>
    <row r="280" spans="1:95" ht="24.5" x14ac:dyDescent="0.35">
      <c r="A280" s="104">
        <v>205752</v>
      </c>
      <c r="B280" s="5" t="s">
        <v>581</v>
      </c>
      <c r="C280" s="46" t="s">
        <v>599</v>
      </c>
      <c r="D280" s="13" t="s">
        <v>600</v>
      </c>
      <c r="E280" s="6" t="s">
        <v>89</v>
      </c>
      <c r="F280" s="6" t="s">
        <v>204</v>
      </c>
      <c r="G280" s="12" t="s">
        <v>204</v>
      </c>
      <c r="H280" s="51" t="s">
        <v>205</v>
      </c>
      <c r="I280" s="24" t="s">
        <v>86</v>
      </c>
      <c r="J280" s="19">
        <v>168</v>
      </c>
      <c r="K280" s="19">
        <v>156</v>
      </c>
      <c r="L280" s="19">
        <v>60</v>
      </c>
      <c r="M280" s="19">
        <v>48</v>
      </c>
      <c r="N280" s="18">
        <v>176</v>
      </c>
      <c r="O280" s="18">
        <v>188</v>
      </c>
      <c r="P280" s="18">
        <v>52</v>
      </c>
      <c r="Q280" s="18">
        <v>40</v>
      </c>
      <c r="R280" s="19">
        <v>185.5</v>
      </c>
      <c r="S280" s="19">
        <v>168</v>
      </c>
      <c r="T280" s="19">
        <v>48.5</v>
      </c>
      <c r="U280" s="19">
        <v>48</v>
      </c>
      <c r="V280" s="19">
        <v>201.5</v>
      </c>
      <c r="W280" s="19">
        <v>185</v>
      </c>
      <c r="X280" s="19">
        <v>44.5</v>
      </c>
      <c r="Y280" s="19">
        <v>45</v>
      </c>
      <c r="Z280" s="19">
        <v>201.5</v>
      </c>
      <c r="AA280" s="19">
        <v>168</v>
      </c>
      <c r="AB280" s="19">
        <v>44.5</v>
      </c>
      <c r="AC280" s="19">
        <v>48</v>
      </c>
      <c r="AD280" s="19">
        <v>180</v>
      </c>
      <c r="AE280" s="19">
        <v>164</v>
      </c>
      <c r="AF280" s="19">
        <v>48</v>
      </c>
      <c r="AG280" s="19">
        <v>40</v>
      </c>
      <c r="AH280" s="19">
        <v>199</v>
      </c>
      <c r="AI280" s="19">
        <v>180</v>
      </c>
      <c r="AJ280" s="19">
        <v>49</v>
      </c>
      <c r="AK280" s="19">
        <v>48</v>
      </c>
      <c r="AL280" s="19">
        <v>185.5</v>
      </c>
      <c r="AM280" s="19">
        <v>152</v>
      </c>
      <c r="AN280" s="19">
        <v>48.5</v>
      </c>
      <c r="AO280" s="19">
        <v>28</v>
      </c>
      <c r="AP280" s="19">
        <v>182</v>
      </c>
      <c r="AQ280" s="19">
        <v>160</v>
      </c>
      <c r="AR280" s="19">
        <v>40</v>
      </c>
      <c r="AS280" s="19">
        <v>32</v>
      </c>
      <c r="AT280" s="19">
        <v>162</v>
      </c>
      <c r="AU280" s="19">
        <v>160</v>
      </c>
      <c r="AV280" s="19">
        <v>44</v>
      </c>
      <c r="AW280" s="19">
        <v>44</v>
      </c>
      <c r="AX280" s="19">
        <v>173.5</v>
      </c>
      <c r="AY280" s="19">
        <v>142</v>
      </c>
      <c r="AZ280" s="19">
        <v>48.5</v>
      </c>
      <c r="BA280" s="19">
        <v>44</v>
      </c>
      <c r="BB280" s="19">
        <v>168</v>
      </c>
      <c r="BC280" s="19">
        <v>166</v>
      </c>
      <c r="BD280" s="19">
        <v>36</v>
      </c>
      <c r="BE280" s="19">
        <v>44</v>
      </c>
      <c r="BF280" s="23">
        <v>28.721299999999999</v>
      </c>
      <c r="BG280" s="23">
        <v>77.109499999999997</v>
      </c>
      <c r="BH280" s="31">
        <f t="shared" si="155"/>
        <v>168</v>
      </c>
      <c r="BI280" s="31">
        <f t="shared" si="156"/>
        <v>166</v>
      </c>
      <c r="BJ280" s="37">
        <f t="shared" si="157"/>
        <v>2</v>
      </c>
      <c r="BK280" s="37">
        <f t="shared" si="158"/>
        <v>1.2048192771084338</v>
      </c>
      <c r="BL280" s="36">
        <f t="shared" si="159"/>
        <v>36</v>
      </c>
      <c r="BM280" s="36">
        <f t="shared" si="160"/>
        <v>44</v>
      </c>
      <c r="BN280" s="37">
        <f t="shared" si="161"/>
        <v>-8</v>
      </c>
      <c r="BO280" s="37">
        <f t="shared" si="162"/>
        <v>-18.181818181818183</v>
      </c>
      <c r="BP280" s="38">
        <f t="shared" si="163"/>
        <v>2182.5</v>
      </c>
      <c r="BQ280" s="39">
        <f>J280+N280+S280+W280+AA280+AE280+AI280+AM280+AQ280+AU280+Table1[[#This Row],[MS-0225]]+Table1[[#This Row],[MS-0325]]</f>
        <v>1989</v>
      </c>
      <c r="BR280" s="37">
        <f t="shared" si="164"/>
        <v>193.5</v>
      </c>
      <c r="BS280" s="37">
        <f t="shared" si="165"/>
        <v>9.7285067873303177</v>
      </c>
      <c r="BT280" s="36">
        <f t="shared" si="166"/>
        <v>539.5</v>
      </c>
      <c r="BU280" s="36">
        <f t="shared" si="167"/>
        <v>533</v>
      </c>
      <c r="BV280" s="37">
        <f t="shared" si="168"/>
        <v>6.5</v>
      </c>
      <c r="BW280" s="37">
        <f t="shared" si="169"/>
        <v>1.2195121951219512</v>
      </c>
      <c r="BX280">
        <v>0</v>
      </c>
      <c r="BY280" s="83">
        <f t="shared" si="170"/>
        <v>0</v>
      </c>
      <c r="BZ280">
        <v>0</v>
      </c>
      <c r="CA280" s="83">
        <f t="shared" si="171"/>
        <v>0</v>
      </c>
      <c r="CB280" s="96">
        <f t="shared" si="172"/>
        <v>5.4803457837220682E-2</v>
      </c>
      <c r="CC280" s="96">
        <f t="shared" si="173"/>
        <v>6.3093880653743828E-2</v>
      </c>
      <c r="CD280" s="97">
        <f t="shared" si="174"/>
        <v>-8.2904228165231464E-3</v>
      </c>
      <c r="CE280" s="96">
        <f t="shared" si="175"/>
        <v>3.4499281264973647E-2</v>
      </c>
      <c r="CF280" s="96">
        <f t="shared" si="176"/>
        <v>4.3650793650793648E-2</v>
      </c>
      <c r="CG280" s="96">
        <f t="shared" si="177"/>
        <v>-9.1515123858200015E-3</v>
      </c>
      <c r="CH280" s="95">
        <f t="shared" si="178"/>
        <v>6.2301071892439663E-2</v>
      </c>
      <c r="CI280" s="95">
        <f t="shared" si="179"/>
        <v>6.318999888203676E-2</v>
      </c>
      <c r="CJ280" s="98">
        <f t="shared" si="180"/>
        <v>-8.8892698959709693E-4</v>
      </c>
      <c r="CK280" s="95">
        <f t="shared" si="181"/>
        <v>4.5963791267305647E-2</v>
      </c>
      <c r="CL280" s="95">
        <f t="shared" si="182"/>
        <v>4.1014197222115349E-2</v>
      </c>
      <c r="CM280" s="98">
        <f t="shared" si="183"/>
        <v>4.9495940451902976E-3</v>
      </c>
      <c r="CN280" s="94">
        <f t="shared" si="184"/>
        <v>0.56070964703195703</v>
      </c>
      <c r="CO280" s="94">
        <f t="shared" si="185"/>
        <v>0.41367412140575083</v>
      </c>
    </row>
    <row r="281" spans="1:95" ht="36.5" x14ac:dyDescent="0.35">
      <c r="A281" s="104">
        <v>106288</v>
      </c>
      <c r="B281" s="5" t="s">
        <v>581</v>
      </c>
      <c r="C281" s="46" t="s">
        <v>801</v>
      </c>
      <c r="D281" s="13" t="s">
        <v>802</v>
      </c>
      <c r="E281" s="6" t="s">
        <v>111</v>
      </c>
      <c r="F281" s="6" t="s">
        <v>156</v>
      </c>
      <c r="G281" s="12" t="s">
        <v>156</v>
      </c>
      <c r="H281" s="51" t="s">
        <v>158</v>
      </c>
      <c r="I281" s="24" t="s">
        <v>78</v>
      </c>
      <c r="J281" s="19">
        <v>171</v>
      </c>
      <c r="K281" s="19">
        <v>175.5</v>
      </c>
      <c r="L281" s="19">
        <v>135</v>
      </c>
      <c r="M281" s="19">
        <v>104.5</v>
      </c>
      <c r="N281" s="18">
        <v>181</v>
      </c>
      <c r="O281" s="18">
        <v>177.5</v>
      </c>
      <c r="P281" s="18">
        <v>163</v>
      </c>
      <c r="Q281" s="18">
        <v>110.5</v>
      </c>
      <c r="R281" s="19">
        <v>167.5</v>
      </c>
      <c r="S281" s="19">
        <v>180</v>
      </c>
      <c r="T281" s="19">
        <v>120.5</v>
      </c>
      <c r="U281" s="19">
        <v>162</v>
      </c>
      <c r="V281" s="19">
        <v>180</v>
      </c>
      <c r="W281" s="19">
        <v>188.5</v>
      </c>
      <c r="X281" s="19">
        <v>126</v>
      </c>
      <c r="Y281" s="19">
        <v>179.5</v>
      </c>
      <c r="Z281" s="19">
        <v>171</v>
      </c>
      <c r="AA281" s="19">
        <v>176</v>
      </c>
      <c r="AB281" s="19">
        <v>117</v>
      </c>
      <c r="AC281" s="19">
        <v>144</v>
      </c>
      <c r="AD281" s="19">
        <v>169.5</v>
      </c>
      <c r="AE281" s="19">
        <v>171</v>
      </c>
      <c r="AF281" s="19">
        <v>124.5</v>
      </c>
      <c r="AG281" s="19">
        <v>135</v>
      </c>
      <c r="AH281" s="19">
        <v>164.5</v>
      </c>
      <c r="AI281" s="19">
        <v>184.5</v>
      </c>
      <c r="AJ281" s="19">
        <v>107.5</v>
      </c>
      <c r="AK281" s="19">
        <v>157.5</v>
      </c>
      <c r="AL281" s="19">
        <v>173</v>
      </c>
      <c r="AM281" s="19">
        <v>169.5</v>
      </c>
      <c r="AN281" s="19">
        <v>111</v>
      </c>
      <c r="AO281" s="19">
        <v>120.5</v>
      </c>
      <c r="AP281" s="19">
        <v>173</v>
      </c>
      <c r="AQ281" s="19">
        <v>166</v>
      </c>
      <c r="AR281" s="19">
        <v>103</v>
      </c>
      <c r="AS281" s="19">
        <v>114</v>
      </c>
      <c r="AT281" s="19">
        <v>171</v>
      </c>
      <c r="AU281" s="19">
        <v>162</v>
      </c>
      <c r="AV281" s="19">
        <v>93</v>
      </c>
      <c r="AW281" s="19">
        <v>138</v>
      </c>
      <c r="AX281" s="19">
        <v>166.5</v>
      </c>
      <c r="AY281" s="19">
        <v>153.5</v>
      </c>
      <c r="AZ281" s="19">
        <v>99.5</v>
      </c>
      <c r="BA281" s="19">
        <v>112.5</v>
      </c>
      <c r="BB281" s="19">
        <v>196</v>
      </c>
      <c r="BC281" s="19">
        <v>166.5</v>
      </c>
      <c r="BD281" s="19">
        <v>98</v>
      </c>
      <c r="BE281" s="19">
        <v>121.5</v>
      </c>
      <c r="BF281" s="23">
        <v>28.501300000000001</v>
      </c>
      <c r="BG281" s="23">
        <v>77.289000000000001</v>
      </c>
      <c r="BH281" s="31">
        <f t="shared" si="155"/>
        <v>196</v>
      </c>
      <c r="BI281" s="31">
        <f t="shared" si="156"/>
        <v>166.5</v>
      </c>
      <c r="BJ281" s="37">
        <f t="shared" si="157"/>
        <v>29.5</v>
      </c>
      <c r="BK281" s="37">
        <f t="shared" si="158"/>
        <v>17.717717717717719</v>
      </c>
      <c r="BL281" s="36">
        <f t="shared" si="159"/>
        <v>98</v>
      </c>
      <c r="BM281" s="36">
        <f t="shared" si="160"/>
        <v>121.5</v>
      </c>
      <c r="BN281" s="37">
        <f t="shared" si="161"/>
        <v>-23.5</v>
      </c>
      <c r="BO281" s="37">
        <f t="shared" si="162"/>
        <v>-19.34156378600823</v>
      </c>
      <c r="BP281" s="38">
        <f t="shared" si="163"/>
        <v>2085</v>
      </c>
      <c r="BQ281" s="39">
        <f>J281+N281+S281+W281+AA281+AE281+AI281+AM281+AQ281+AU281+Table1[[#This Row],[MS-0225]]+Table1[[#This Row],[MS-0325]]</f>
        <v>2069.5</v>
      </c>
      <c r="BR281" s="37">
        <f t="shared" si="164"/>
        <v>15.5</v>
      </c>
      <c r="BS281" s="37">
        <f t="shared" si="165"/>
        <v>0.74897318192800189</v>
      </c>
      <c r="BT281" s="36">
        <f t="shared" si="166"/>
        <v>1315</v>
      </c>
      <c r="BU281" s="36">
        <f t="shared" si="167"/>
        <v>1682.5</v>
      </c>
      <c r="BV281" s="37">
        <f t="shared" si="168"/>
        <v>-367.5</v>
      </c>
      <c r="BW281" s="37">
        <f t="shared" si="169"/>
        <v>-21.842496285289748</v>
      </c>
      <c r="BX281">
        <v>0</v>
      </c>
      <c r="BY281" s="83">
        <f t="shared" si="170"/>
        <v>0</v>
      </c>
      <c r="BZ281">
        <v>0</v>
      </c>
      <c r="CA281" s="83">
        <f t="shared" si="171"/>
        <v>0</v>
      </c>
      <c r="CB281" s="96">
        <f t="shared" si="172"/>
        <v>0.32885906040268459</v>
      </c>
      <c r="CC281" s="96">
        <f t="shared" si="173"/>
        <v>0.29133858267716534</v>
      </c>
      <c r="CD281" s="97">
        <f t="shared" si="174"/>
        <v>3.7520477725519252E-2</v>
      </c>
      <c r="CE281" s="96">
        <f t="shared" si="175"/>
        <v>0.32885906040268459</v>
      </c>
      <c r="CF281" s="96">
        <f t="shared" si="176"/>
        <v>0.35064935064935066</v>
      </c>
      <c r="CG281" s="96">
        <f t="shared" si="177"/>
        <v>-2.1790290246666066E-2</v>
      </c>
      <c r="CH281" s="95">
        <f t="shared" si="178"/>
        <v>0.30571847507331379</v>
      </c>
      <c r="CI281" s="95">
        <f t="shared" si="179"/>
        <v>0.29865069474689016</v>
      </c>
      <c r="CJ281" s="98">
        <f t="shared" si="180"/>
        <v>7.0677803264236339E-3</v>
      </c>
      <c r="CK281" s="95">
        <f t="shared" si="181"/>
        <v>0.35656182212581344</v>
      </c>
      <c r="CL281" s="95">
        <f t="shared" si="182"/>
        <v>0.37467987974613071</v>
      </c>
      <c r="CM281" s="98">
        <f t="shared" si="183"/>
        <v>-1.8118057620317263E-2</v>
      </c>
      <c r="CN281" s="94">
        <f t="shared" si="184"/>
        <v>0.61143695014662758</v>
      </c>
      <c r="CO281" s="94">
        <f t="shared" si="185"/>
        <v>0.71312364425162689</v>
      </c>
    </row>
    <row r="282" spans="1:95" ht="24.5" x14ac:dyDescent="0.35">
      <c r="A282" s="103">
        <v>41070344</v>
      </c>
      <c r="B282" s="9" t="s">
        <v>380</v>
      </c>
      <c r="C282" s="47" t="s">
        <v>465</v>
      </c>
      <c r="D282" s="14" t="s">
        <v>466</v>
      </c>
      <c r="E282" s="10" t="s">
        <v>103</v>
      </c>
      <c r="F282" s="10" t="s">
        <v>467</v>
      </c>
      <c r="G282" s="12" t="s">
        <v>467</v>
      </c>
      <c r="H282" s="51" t="s">
        <v>135</v>
      </c>
      <c r="I282" s="25" t="s">
        <v>83</v>
      </c>
      <c r="J282" s="20">
        <v>217.5</v>
      </c>
      <c r="K282" s="20">
        <v>270</v>
      </c>
      <c r="L282" s="20">
        <v>118.5</v>
      </c>
      <c r="M282" s="20">
        <v>103</v>
      </c>
      <c r="N282" s="18">
        <v>259.5</v>
      </c>
      <c r="O282" s="18">
        <v>268.5</v>
      </c>
      <c r="P282" s="18">
        <v>114.5</v>
      </c>
      <c r="Q282" s="18">
        <v>99.5</v>
      </c>
      <c r="R282" s="20">
        <v>240</v>
      </c>
      <c r="S282" s="20">
        <v>246.5</v>
      </c>
      <c r="T282" s="20">
        <v>86</v>
      </c>
      <c r="U282" s="20">
        <v>129.5</v>
      </c>
      <c r="V282" s="20">
        <v>237.5</v>
      </c>
      <c r="W282" s="20">
        <v>264</v>
      </c>
      <c r="X282" s="20">
        <v>84.5</v>
      </c>
      <c r="Y282" s="20">
        <v>123</v>
      </c>
      <c r="Z282" s="20">
        <v>267.5</v>
      </c>
      <c r="AA282" s="20">
        <v>274</v>
      </c>
      <c r="AB282" s="20">
        <v>87.5</v>
      </c>
      <c r="AC282" s="20">
        <v>111</v>
      </c>
      <c r="AD282" s="20">
        <v>227</v>
      </c>
      <c r="AE282" s="20">
        <v>228</v>
      </c>
      <c r="AF282" s="20">
        <v>91</v>
      </c>
      <c r="AG282" s="20">
        <v>111</v>
      </c>
      <c r="AH282" s="20">
        <v>246</v>
      </c>
      <c r="AI282" s="20">
        <v>236</v>
      </c>
      <c r="AJ282" s="20">
        <v>103</v>
      </c>
      <c r="AK282" s="20">
        <v>108</v>
      </c>
      <c r="AL282" s="20">
        <v>242</v>
      </c>
      <c r="AM282" s="20">
        <v>220.5</v>
      </c>
      <c r="AN282" s="20">
        <v>85</v>
      </c>
      <c r="AO282" s="20">
        <v>91.5</v>
      </c>
      <c r="AP282" s="20">
        <v>226</v>
      </c>
      <c r="AQ282" s="20">
        <v>230</v>
      </c>
      <c r="AR282" s="20">
        <v>75</v>
      </c>
      <c r="AS282" s="20">
        <v>92</v>
      </c>
      <c r="AT282" s="20">
        <v>212</v>
      </c>
      <c r="AU282" s="20">
        <v>232</v>
      </c>
      <c r="AV282" s="20">
        <v>76</v>
      </c>
      <c r="AW282" s="20">
        <v>97</v>
      </c>
      <c r="AX282" s="20">
        <v>201.5</v>
      </c>
      <c r="AY282" s="20">
        <v>232.5</v>
      </c>
      <c r="AZ282" s="20">
        <v>73.5</v>
      </c>
      <c r="BA282" s="20">
        <v>103.5</v>
      </c>
      <c r="BB282" s="20">
        <v>194</v>
      </c>
      <c r="BC282" s="20">
        <v>261.5</v>
      </c>
      <c r="BD282" s="20">
        <v>52</v>
      </c>
      <c r="BE282" s="20">
        <v>120.5</v>
      </c>
      <c r="BF282" s="23">
        <v>28.558215000000001</v>
      </c>
      <c r="BG282" s="23">
        <v>77.106860999999995</v>
      </c>
      <c r="BH282" s="31">
        <f t="shared" si="155"/>
        <v>194</v>
      </c>
      <c r="BI282" s="31">
        <f t="shared" si="156"/>
        <v>261.5</v>
      </c>
      <c r="BJ282" s="37">
        <f t="shared" si="157"/>
        <v>-67.5</v>
      </c>
      <c r="BK282" s="37">
        <f t="shared" si="158"/>
        <v>-25.812619502868067</v>
      </c>
      <c r="BL282" s="36">
        <f t="shared" si="159"/>
        <v>52</v>
      </c>
      <c r="BM282" s="36">
        <f t="shared" si="160"/>
        <v>120.5</v>
      </c>
      <c r="BN282" s="37">
        <f t="shared" si="161"/>
        <v>-68.5</v>
      </c>
      <c r="BO282" s="37">
        <f t="shared" si="162"/>
        <v>-56.84647302904564</v>
      </c>
      <c r="BP282" s="38">
        <f t="shared" si="163"/>
        <v>2832</v>
      </c>
      <c r="BQ282" s="39">
        <f>J282+N282+S282+W282+AA282+AE282+AI282+AM282+AQ282+AU282+Table1[[#This Row],[MS-0225]]+Table1[[#This Row],[MS-0325]]</f>
        <v>2902</v>
      </c>
      <c r="BR282" s="37">
        <f t="shared" si="164"/>
        <v>-70</v>
      </c>
      <c r="BS282" s="37">
        <f t="shared" si="165"/>
        <v>-2.4121295658166781</v>
      </c>
      <c r="BT282" s="36">
        <f t="shared" si="166"/>
        <v>1016</v>
      </c>
      <c r="BU282" s="36">
        <f t="shared" si="167"/>
        <v>1320</v>
      </c>
      <c r="BV282" s="37">
        <f t="shared" si="168"/>
        <v>-304</v>
      </c>
      <c r="BW282" s="37">
        <f t="shared" si="169"/>
        <v>-23.030303030303031</v>
      </c>
      <c r="BX282">
        <v>0</v>
      </c>
      <c r="BY282" s="83">
        <f t="shared" si="170"/>
        <v>0</v>
      </c>
      <c r="BZ282">
        <v>0</v>
      </c>
      <c r="CA282" s="83">
        <f t="shared" si="171"/>
        <v>0</v>
      </c>
      <c r="CB282" s="96">
        <f t="shared" si="172"/>
        <v>1</v>
      </c>
      <c r="CC282" s="96">
        <f t="shared" si="173"/>
        <v>1</v>
      </c>
      <c r="CD282" s="97">
        <f t="shared" si="174"/>
        <v>0</v>
      </c>
      <c r="CE282" s="96">
        <f t="shared" si="175"/>
        <v>1</v>
      </c>
      <c r="CF282" s="96">
        <f t="shared" si="176"/>
        <v>1</v>
      </c>
      <c r="CG282" s="96">
        <f t="shared" si="177"/>
        <v>0</v>
      </c>
      <c r="CH282" s="95">
        <f t="shared" si="178"/>
        <v>1</v>
      </c>
      <c r="CI282" s="95">
        <f t="shared" si="179"/>
        <v>1</v>
      </c>
      <c r="CJ282" s="98">
        <f t="shared" si="180"/>
        <v>0</v>
      </c>
      <c r="CK282" s="95">
        <f t="shared" si="181"/>
        <v>1</v>
      </c>
      <c r="CL282" s="95">
        <f t="shared" si="182"/>
        <v>1</v>
      </c>
      <c r="CM282" s="98">
        <f t="shared" si="183"/>
        <v>0</v>
      </c>
      <c r="CN282" s="94">
        <f t="shared" si="184"/>
        <v>1</v>
      </c>
      <c r="CO282" s="94">
        <f t="shared" si="185"/>
        <v>1</v>
      </c>
    </row>
    <row r="283" spans="1:95" ht="24.5" x14ac:dyDescent="0.35">
      <c r="A283" s="104">
        <v>106333</v>
      </c>
      <c r="B283" s="5" t="s">
        <v>581</v>
      </c>
      <c r="C283" s="46" t="s">
        <v>604</v>
      </c>
      <c r="D283" s="13" t="s">
        <v>605</v>
      </c>
      <c r="E283" s="6" t="s">
        <v>85</v>
      </c>
      <c r="F283" s="6" t="s">
        <v>337</v>
      </c>
      <c r="G283" s="12" t="s">
        <v>337</v>
      </c>
      <c r="H283" s="51" t="s">
        <v>248</v>
      </c>
      <c r="I283" s="24" t="s">
        <v>86</v>
      </c>
      <c r="J283" s="19">
        <v>361.5</v>
      </c>
      <c r="K283" s="19">
        <v>396</v>
      </c>
      <c r="L283" s="19">
        <v>108.5</v>
      </c>
      <c r="M283" s="19">
        <v>72</v>
      </c>
      <c r="N283" s="18">
        <v>352.5</v>
      </c>
      <c r="O283" s="18">
        <v>396</v>
      </c>
      <c r="P283" s="18">
        <v>99.5</v>
      </c>
      <c r="Q283" s="18">
        <v>78</v>
      </c>
      <c r="R283" s="19">
        <v>379</v>
      </c>
      <c r="S283" s="19">
        <v>395</v>
      </c>
      <c r="T283" s="19">
        <v>67</v>
      </c>
      <c r="U283" s="19">
        <v>85</v>
      </c>
      <c r="V283" s="19">
        <v>411.5</v>
      </c>
      <c r="W283" s="19">
        <v>386</v>
      </c>
      <c r="X283" s="19">
        <v>76.5</v>
      </c>
      <c r="Y283" s="19">
        <v>86</v>
      </c>
      <c r="Z283" s="19">
        <v>433</v>
      </c>
      <c r="AA283" s="19">
        <v>398.5</v>
      </c>
      <c r="AB283" s="19">
        <v>67</v>
      </c>
      <c r="AC283" s="19">
        <v>95.5</v>
      </c>
      <c r="AD283" s="19">
        <v>397.5</v>
      </c>
      <c r="AE283" s="19">
        <v>368</v>
      </c>
      <c r="AF283" s="19">
        <v>90.5</v>
      </c>
      <c r="AG283" s="19">
        <v>80</v>
      </c>
      <c r="AH283" s="19">
        <v>388.5</v>
      </c>
      <c r="AI283" s="19">
        <v>384</v>
      </c>
      <c r="AJ283" s="19">
        <v>63.5</v>
      </c>
      <c r="AK283" s="19">
        <v>86</v>
      </c>
      <c r="AL283" s="19">
        <v>406.5</v>
      </c>
      <c r="AM283" s="19">
        <v>337.5</v>
      </c>
      <c r="AN283" s="19">
        <v>63.5</v>
      </c>
      <c r="AO283" s="19">
        <v>64.5</v>
      </c>
      <c r="AP283" s="19">
        <v>380</v>
      </c>
      <c r="AQ283" s="19">
        <v>364</v>
      </c>
      <c r="AR283" s="19">
        <v>58</v>
      </c>
      <c r="AS283" s="19">
        <v>58</v>
      </c>
      <c r="AT283" s="19">
        <v>315</v>
      </c>
      <c r="AU283" s="19">
        <v>359</v>
      </c>
      <c r="AV283" s="19">
        <v>63</v>
      </c>
      <c r="AW283" s="19">
        <v>63</v>
      </c>
      <c r="AX283" s="19">
        <v>373.5</v>
      </c>
      <c r="AY283" s="19">
        <v>321.5</v>
      </c>
      <c r="AZ283" s="19">
        <v>58.5</v>
      </c>
      <c r="BA283" s="19">
        <v>62.5</v>
      </c>
      <c r="BB283" s="19">
        <v>373.5</v>
      </c>
      <c r="BC283" s="19">
        <v>360.5</v>
      </c>
      <c r="BD283" s="19">
        <v>58.5</v>
      </c>
      <c r="BE283" s="19">
        <v>67.5</v>
      </c>
      <c r="BF283" s="23">
        <v>28.639199999999999</v>
      </c>
      <c r="BG283" s="23">
        <v>77.13</v>
      </c>
      <c r="BH283" s="31">
        <f t="shared" si="155"/>
        <v>373.5</v>
      </c>
      <c r="BI283" s="31">
        <f t="shared" si="156"/>
        <v>360.5</v>
      </c>
      <c r="BJ283" s="37">
        <f t="shared" si="157"/>
        <v>13</v>
      </c>
      <c r="BK283" s="37">
        <f t="shared" si="158"/>
        <v>3.6061026352288486</v>
      </c>
      <c r="BL283" s="36">
        <f t="shared" si="159"/>
        <v>58.5</v>
      </c>
      <c r="BM283" s="36">
        <f t="shared" si="160"/>
        <v>67.5</v>
      </c>
      <c r="BN283" s="37">
        <f t="shared" si="161"/>
        <v>-9</v>
      </c>
      <c r="BO283" s="37">
        <f t="shared" si="162"/>
        <v>-13.333333333333334</v>
      </c>
      <c r="BP283" s="38">
        <f t="shared" si="163"/>
        <v>4650</v>
      </c>
      <c r="BQ283" s="39">
        <f>J283+N283+S283+W283+AA283+AE283+AI283+AM283+AQ283+AU283+Table1[[#This Row],[MS-0225]]+Table1[[#This Row],[MS-0325]]</f>
        <v>4388</v>
      </c>
      <c r="BR283" s="37">
        <f t="shared" si="164"/>
        <v>262</v>
      </c>
      <c r="BS283" s="37">
        <f t="shared" si="165"/>
        <v>5.9708295350957155</v>
      </c>
      <c r="BT283" s="36">
        <f t="shared" si="166"/>
        <v>816</v>
      </c>
      <c r="BU283" s="36">
        <f t="shared" si="167"/>
        <v>956</v>
      </c>
      <c r="BV283" s="37">
        <f t="shared" si="168"/>
        <v>-140</v>
      </c>
      <c r="BW283" s="37">
        <f t="shared" si="169"/>
        <v>-14.644351464435147</v>
      </c>
      <c r="BX283">
        <v>0</v>
      </c>
      <c r="BY283" s="83">
        <f t="shared" si="170"/>
        <v>0</v>
      </c>
      <c r="BZ283">
        <v>0</v>
      </c>
      <c r="CA283" s="83">
        <f t="shared" si="171"/>
        <v>0</v>
      </c>
      <c r="CB283" s="96">
        <f t="shared" si="172"/>
        <v>0.12944030497314157</v>
      </c>
      <c r="CC283" s="96">
        <f t="shared" si="173"/>
        <v>0.13246371486312694</v>
      </c>
      <c r="CD283" s="97">
        <f t="shared" si="174"/>
        <v>-3.0234098899853679E-3</v>
      </c>
      <c r="CE283" s="96">
        <f t="shared" si="175"/>
        <v>0.15294117647058825</v>
      </c>
      <c r="CF283" s="96">
        <f t="shared" si="176"/>
        <v>0.16605166051660517</v>
      </c>
      <c r="CG283" s="96">
        <f t="shared" si="177"/>
        <v>-1.3110484046016918E-2</v>
      </c>
      <c r="CH283" s="95">
        <f t="shared" si="178"/>
        <v>0.13518031309504774</v>
      </c>
      <c r="CI283" s="95">
        <f t="shared" si="179"/>
        <v>0.13421833414250584</v>
      </c>
      <c r="CJ283" s="98">
        <f t="shared" si="180"/>
        <v>9.6197895254190868E-4</v>
      </c>
      <c r="CK283" s="95">
        <f t="shared" si="181"/>
        <v>0.17787465940054495</v>
      </c>
      <c r="CL283" s="95">
        <f t="shared" si="182"/>
        <v>0.17976682963520121</v>
      </c>
      <c r="CM283" s="98">
        <f t="shared" si="183"/>
        <v>-1.8921702346562652E-3</v>
      </c>
      <c r="CN283" s="94">
        <f t="shared" si="184"/>
        <v>0.67590156547523872</v>
      </c>
      <c r="CO283" s="94">
        <f t="shared" si="185"/>
        <v>0.88937329700272472</v>
      </c>
    </row>
    <row r="284" spans="1:95" ht="24.5" x14ac:dyDescent="0.35">
      <c r="A284" s="102">
        <v>112460</v>
      </c>
      <c r="B284" s="3" t="s">
        <v>72</v>
      </c>
      <c r="C284" s="45" t="s">
        <v>224</v>
      </c>
      <c r="D284" s="12" t="s">
        <v>225</v>
      </c>
      <c r="E284" s="4" t="s">
        <v>75</v>
      </c>
      <c r="F284" s="4" t="s">
        <v>220</v>
      </c>
      <c r="G284" s="12" t="s">
        <v>220</v>
      </c>
      <c r="H284" s="51" t="s">
        <v>77</v>
      </c>
      <c r="I284" s="23" t="s">
        <v>78</v>
      </c>
      <c r="J284" s="90">
        <v>156</v>
      </c>
      <c r="K284" s="90">
        <v>162</v>
      </c>
      <c r="L284" s="90">
        <v>18</v>
      </c>
      <c r="M284" s="90">
        <v>20</v>
      </c>
      <c r="N284" s="18">
        <v>149.5</v>
      </c>
      <c r="O284" s="18">
        <v>170</v>
      </c>
      <c r="P284" s="18">
        <v>40.5</v>
      </c>
      <c r="Q284" s="18">
        <v>40</v>
      </c>
      <c r="R284" s="90">
        <v>158</v>
      </c>
      <c r="S284" s="90">
        <v>156</v>
      </c>
      <c r="T284" s="90">
        <v>38</v>
      </c>
      <c r="U284" s="90">
        <v>38</v>
      </c>
      <c r="V284" s="90">
        <v>170</v>
      </c>
      <c r="W284" s="90">
        <v>165.5</v>
      </c>
      <c r="X284" s="90">
        <v>40</v>
      </c>
      <c r="Y284" s="90">
        <v>48.5</v>
      </c>
      <c r="Z284" s="90">
        <v>164</v>
      </c>
      <c r="AA284" s="90">
        <v>145.5</v>
      </c>
      <c r="AB284" s="90">
        <v>32</v>
      </c>
      <c r="AC284" s="90">
        <v>42.5</v>
      </c>
      <c r="AD284" s="90">
        <v>192</v>
      </c>
      <c r="AE284" s="90">
        <v>162.500001</v>
      </c>
      <c r="AF284" s="90">
        <v>32</v>
      </c>
      <c r="AG284" s="90">
        <v>31.5</v>
      </c>
      <c r="AH284" s="90">
        <v>171</v>
      </c>
      <c r="AI284" s="90">
        <v>177</v>
      </c>
      <c r="AJ284" s="90">
        <v>25</v>
      </c>
      <c r="AK284" s="90">
        <v>51</v>
      </c>
      <c r="AL284" s="90">
        <v>167</v>
      </c>
      <c r="AM284" s="90">
        <v>158</v>
      </c>
      <c r="AN284" s="90">
        <v>29</v>
      </c>
      <c r="AO284" s="90">
        <v>38</v>
      </c>
      <c r="AP284" s="90">
        <v>157</v>
      </c>
      <c r="AQ284" s="90">
        <v>162</v>
      </c>
      <c r="AR284" s="90">
        <v>25</v>
      </c>
      <c r="AS284" s="90">
        <v>20</v>
      </c>
      <c r="AT284" s="90">
        <v>171</v>
      </c>
      <c r="AU284" s="90">
        <v>166</v>
      </c>
      <c r="AV284" s="90">
        <v>25</v>
      </c>
      <c r="AW284" s="90">
        <v>48</v>
      </c>
      <c r="AX284" s="90">
        <v>153</v>
      </c>
      <c r="AY284" s="90">
        <v>156</v>
      </c>
      <c r="AZ284" s="90">
        <v>29</v>
      </c>
      <c r="BA284" s="90">
        <v>26</v>
      </c>
      <c r="BB284" s="90">
        <v>190</v>
      </c>
      <c r="BC284" s="90">
        <v>155</v>
      </c>
      <c r="BD284" s="90">
        <v>34</v>
      </c>
      <c r="BE284" s="90">
        <v>39</v>
      </c>
      <c r="BF284" s="23">
        <v>28.604379999999999</v>
      </c>
      <c r="BG284" s="23">
        <v>77.323160000000001</v>
      </c>
      <c r="BH284" s="31">
        <f t="shared" si="155"/>
        <v>190</v>
      </c>
      <c r="BI284" s="31">
        <f t="shared" si="156"/>
        <v>155</v>
      </c>
      <c r="BJ284" s="37">
        <f t="shared" si="157"/>
        <v>35</v>
      </c>
      <c r="BK284" s="37">
        <f t="shared" si="158"/>
        <v>22.58064516129032</v>
      </c>
      <c r="BL284" s="36">
        <f t="shared" si="159"/>
        <v>34</v>
      </c>
      <c r="BM284" s="36">
        <f t="shared" si="160"/>
        <v>39</v>
      </c>
      <c r="BN284" s="37">
        <f t="shared" si="161"/>
        <v>-5</v>
      </c>
      <c r="BO284" s="37">
        <f t="shared" si="162"/>
        <v>-12.820512820512819</v>
      </c>
      <c r="BP284" s="38">
        <f t="shared" si="163"/>
        <v>2025</v>
      </c>
      <c r="BQ284" s="39">
        <f>J284+N284+S284+W284+AA284+AE284+AI284+AM284+AQ284+AU284+Table1[[#This Row],[MS-0225]]+Table1[[#This Row],[MS-0325]]</f>
        <v>1909.0000009999999</v>
      </c>
      <c r="BR284" s="37">
        <f t="shared" si="164"/>
        <v>115.99999900000012</v>
      </c>
      <c r="BS284" s="37">
        <f t="shared" si="165"/>
        <v>6.07647977680646</v>
      </c>
      <c r="BT284" s="36">
        <f t="shared" si="166"/>
        <v>369</v>
      </c>
      <c r="BU284" s="36">
        <f t="shared" si="167"/>
        <v>441</v>
      </c>
      <c r="BV284" s="37">
        <f t="shared" si="168"/>
        <v>-72</v>
      </c>
      <c r="BW284" s="37">
        <f t="shared" si="169"/>
        <v>-16.326530612244898</v>
      </c>
      <c r="BX284">
        <v>5</v>
      </c>
      <c r="BY284" s="83">
        <f t="shared" si="170"/>
        <v>2.6315789473684209E-2</v>
      </c>
      <c r="BZ284">
        <v>5</v>
      </c>
      <c r="CA284" s="83">
        <f t="shared" si="171"/>
        <v>2.4691358024691358E-3</v>
      </c>
      <c r="CB284" s="96">
        <f t="shared" si="172"/>
        <v>9.4480358030830436E-2</v>
      </c>
      <c r="CC284" s="96">
        <f t="shared" si="173"/>
        <v>8.4653194975423271E-2</v>
      </c>
      <c r="CD284" s="97">
        <f t="shared" si="174"/>
        <v>9.8271630554071648E-3</v>
      </c>
      <c r="CE284" s="96">
        <f t="shared" si="175"/>
        <v>5.1829268292682924E-2</v>
      </c>
      <c r="CF284" s="96">
        <f t="shared" si="176"/>
        <v>5.5714285714285716E-2</v>
      </c>
      <c r="CG284" s="96">
        <f t="shared" si="177"/>
        <v>-3.8850174216027919E-3</v>
      </c>
      <c r="CH284" s="95">
        <f t="shared" si="178"/>
        <v>8.727695888285493E-2</v>
      </c>
      <c r="CI284" s="95">
        <f t="shared" si="179"/>
        <v>8.6839830752712691E-2</v>
      </c>
      <c r="CJ284" s="98">
        <f t="shared" si="180"/>
        <v>4.3712813014223917E-4</v>
      </c>
      <c r="CK284" s="95">
        <f t="shared" si="181"/>
        <v>4.6467699282206273E-2</v>
      </c>
      <c r="CL284" s="95">
        <f t="shared" si="182"/>
        <v>5.2269764134170914E-2</v>
      </c>
      <c r="CM284" s="98">
        <f t="shared" si="183"/>
        <v>-5.8020648519646403E-3</v>
      </c>
      <c r="CN284" s="94">
        <f t="shared" si="184"/>
        <v>0.52366175329712961</v>
      </c>
      <c r="CO284" s="94">
        <f t="shared" si="185"/>
        <v>0.27880619569323761</v>
      </c>
    </row>
    <row r="285" spans="1:95" ht="24.5" x14ac:dyDescent="0.35">
      <c r="A285" s="104">
        <v>102099</v>
      </c>
      <c r="B285" s="5" t="s">
        <v>581</v>
      </c>
      <c r="C285" s="46" t="s">
        <v>656</v>
      </c>
      <c r="D285" s="13" t="s">
        <v>657</v>
      </c>
      <c r="E285" s="6" t="s">
        <v>187</v>
      </c>
      <c r="F285" s="6" t="s">
        <v>356</v>
      </c>
      <c r="G285" s="12" t="s">
        <v>395</v>
      </c>
      <c r="H285" s="51" t="s">
        <v>248</v>
      </c>
      <c r="I285" s="24" t="s">
        <v>86</v>
      </c>
      <c r="J285" s="19">
        <v>544.5</v>
      </c>
      <c r="K285" s="19">
        <v>565</v>
      </c>
      <c r="L285" s="19">
        <v>103.5</v>
      </c>
      <c r="M285" s="19">
        <v>95</v>
      </c>
      <c r="N285" s="18">
        <v>585</v>
      </c>
      <c r="O285" s="18">
        <v>598</v>
      </c>
      <c r="P285" s="18">
        <v>117</v>
      </c>
      <c r="Q285" s="18">
        <v>94</v>
      </c>
      <c r="R285" s="19">
        <v>548</v>
      </c>
      <c r="S285" s="19">
        <v>553.5</v>
      </c>
      <c r="T285" s="19">
        <v>84</v>
      </c>
      <c r="U285" s="19">
        <v>112.5</v>
      </c>
      <c r="V285" s="19">
        <v>585</v>
      </c>
      <c r="W285" s="19">
        <v>585</v>
      </c>
      <c r="X285" s="19">
        <v>95</v>
      </c>
      <c r="Y285" s="19">
        <v>117</v>
      </c>
      <c r="Z285" s="19">
        <v>625</v>
      </c>
      <c r="AA285" s="19">
        <v>607.5</v>
      </c>
      <c r="AB285" s="19">
        <v>95</v>
      </c>
      <c r="AC285" s="19">
        <v>112.5</v>
      </c>
      <c r="AD285" s="19">
        <v>580</v>
      </c>
      <c r="AE285" s="19">
        <v>562</v>
      </c>
      <c r="AF285" s="19">
        <v>100</v>
      </c>
      <c r="AG285" s="19">
        <v>108</v>
      </c>
      <c r="AH285" s="19">
        <v>590</v>
      </c>
      <c r="AI285" s="19">
        <v>575.5</v>
      </c>
      <c r="AJ285" s="19">
        <v>90</v>
      </c>
      <c r="AK285" s="19">
        <v>106.5</v>
      </c>
      <c r="AL285" s="19">
        <v>570</v>
      </c>
      <c r="AM285" s="19">
        <v>549</v>
      </c>
      <c r="AN285" s="19">
        <v>90</v>
      </c>
      <c r="AO285" s="19">
        <v>87</v>
      </c>
      <c r="AP285" s="19">
        <v>550</v>
      </c>
      <c r="AQ285" s="19">
        <v>552</v>
      </c>
      <c r="AR285" s="19">
        <v>70</v>
      </c>
      <c r="AS285" s="19">
        <v>82</v>
      </c>
      <c r="AT285" s="19">
        <v>540</v>
      </c>
      <c r="AU285" s="19">
        <v>527</v>
      </c>
      <c r="AV285" s="19">
        <v>80</v>
      </c>
      <c r="AW285" s="19">
        <v>87</v>
      </c>
      <c r="AX285" s="19">
        <v>530</v>
      </c>
      <c r="AY285" s="19">
        <v>510</v>
      </c>
      <c r="AZ285" s="19">
        <v>90</v>
      </c>
      <c r="BA285" s="19">
        <v>90</v>
      </c>
      <c r="BB285" s="19">
        <v>555</v>
      </c>
      <c r="BC285" s="19">
        <v>545</v>
      </c>
      <c r="BD285" s="19">
        <v>85</v>
      </c>
      <c r="BE285" s="19">
        <v>95</v>
      </c>
      <c r="BF285" s="23">
        <v>28.6965</v>
      </c>
      <c r="BG285" s="23">
        <v>77.211699999999993</v>
      </c>
      <c r="BH285" s="31">
        <f t="shared" si="155"/>
        <v>555</v>
      </c>
      <c r="BI285" s="31">
        <f t="shared" si="156"/>
        <v>545</v>
      </c>
      <c r="BJ285" s="37">
        <f t="shared" si="157"/>
        <v>10</v>
      </c>
      <c r="BK285" s="37">
        <f t="shared" si="158"/>
        <v>1.834862385321101</v>
      </c>
      <c r="BL285" s="36">
        <f t="shared" si="159"/>
        <v>85</v>
      </c>
      <c r="BM285" s="36">
        <f t="shared" si="160"/>
        <v>95</v>
      </c>
      <c r="BN285" s="37">
        <f t="shared" si="161"/>
        <v>-10</v>
      </c>
      <c r="BO285" s="37">
        <f t="shared" si="162"/>
        <v>-10.526315789473683</v>
      </c>
      <c r="BP285" s="38">
        <f t="shared" si="163"/>
        <v>6836</v>
      </c>
      <c r="BQ285" s="39">
        <f>J285+N285+S285+W285+AA285+AE285+AI285+AM285+AQ285+AU285+Table1[[#This Row],[MS-0225]]+Table1[[#This Row],[MS-0325]]</f>
        <v>6696</v>
      </c>
      <c r="BR285" s="37">
        <f t="shared" si="164"/>
        <v>140</v>
      </c>
      <c r="BS285" s="37">
        <f t="shared" si="165"/>
        <v>2.0908004778972518</v>
      </c>
      <c r="BT285" s="36">
        <f t="shared" si="166"/>
        <v>1068</v>
      </c>
      <c r="BU285" s="36">
        <f t="shared" si="167"/>
        <v>1218</v>
      </c>
      <c r="BV285" s="37">
        <f t="shared" si="168"/>
        <v>-150</v>
      </c>
      <c r="BW285" s="37">
        <f t="shared" si="169"/>
        <v>-12.315270935960591</v>
      </c>
      <c r="BX285">
        <v>0</v>
      </c>
      <c r="BY285" s="83">
        <f t="shared" si="170"/>
        <v>0</v>
      </c>
      <c r="BZ285">
        <v>0</v>
      </c>
      <c r="CA285" s="83">
        <f t="shared" si="171"/>
        <v>0</v>
      </c>
      <c r="CB285" s="96">
        <f t="shared" si="172"/>
        <v>0.22905489063144863</v>
      </c>
      <c r="CC285" s="96">
        <f t="shared" si="173"/>
        <v>0.22543950361944157</v>
      </c>
      <c r="CD285" s="97">
        <f t="shared" si="174"/>
        <v>3.6153870120070597E-3</v>
      </c>
      <c r="CE285" s="96">
        <f t="shared" si="175"/>
        <v>8.771929824561403E-2</v>
      </c>
      <c r="CF285" s="96">
        <f t="shared" si="176"/>
        <v>9.0347123157394196E-2</v>
      </c>
      <c r="CG285" s="96">
        <f t="shared" si="177"/>
        <v>-2.6278249117801661E-3</v>
      </c>
      <c r="CH285" s="95">
        <f t="shared" si="178"/>
        <v>0.22733621549717326</v>
      </c>
      <c r="CI285" s="95">
        <f t="shared" si="179"/>
        <v>0.23584108199492815</v>
      </c>
      <c r="CJ285" s="98">
        <f t="shared" si="180"/>
        <v>-8.5048664977548927E-3</v>
      </c>
      <c r="CK285" s="95">
        <f t="shared" si="181"/>
        <v>8.5174256320280722E-2</v>
      </c>
      <c r="CL285" s="95">
        <f t="shared" si="182"/>
        <v>9.6178142766898289E-2</v>
      </c>
      <c r="CM285" s="98">
        <f t="shared" si="183"/>
        <v>-1.1003886446617567E-2</v>
      </c>
      <c r="CN285" s="94">
        <f t="shared" si="184"/>
        <v>1.3640172929830396</v>
      </c>
      <c r="CO285" s="94">
        <f t="shared" si="185"/>
        <v>0.51104553792168428</v>
      </c>
    </row>
    <row r="286" spans="1:95" ht="36.5" x14ac:dyDescent="0.35">
      <c r="A286" s="104">
        <v>186863</v>
      </c>
      <c r="B286" s="5" t="s">
        <v>581</v>
      </c>
      <c r="C286" s="46" t="s">
        <v>665</v>
      </c>
      <c r="D286" s="13" t="s">
        <v>666</v>
      </c>
      <c r="E286" s="6" t="s">
        <v>75</v>
      </c>
      <c r="F286" s="6" t="s">
        <v>667</v>
      </c>
      <c r="G286" s="12" t="s">
        <v>667</v>
      </c>
      <c r="H286" s="51" t="s">
        <v>77</v>
      </c>
      <c r="I286" s="24" t="s">
        <v>78</v>
      </c>
      <c r="J286" s="19">
        <v>207</v>
      </c>
      <c r="K286" s="19">
        <v>128.5</v>
      </c>
      <c r="L286" s="19">
        <v>45</v>
      </c>
      <c r="M286" s="19">
        <v>39.5</v>
      </c>
      <c r="N286" s="18">
        <v>220.5</v>
      </c>
      <c r="O286" s="18">
        <v>112.5</v>
      </c>
      <c r="P286" s="18">
        <v>49.5</v>
      </c>
      <c r="Q286" s="18">
        <v>31.5</v>
      </c>
      <c r="R286" s="19">
        <v>130.5</v>
      </c>
      <c r="S286" s="19">
        <v>216</v>
      </c>
      <c r="T286" s="19">
        <v>31.5</v>
      </c>
      <c r="U286" s="19">
        <v>54</v>
      </c>
      <c r="V286" s="19">
        <v>211.5</v>
      </c>
      <c r="W286" s="19">
        <v>234</v>
      </c>
      <c r="X286" s="19">
        <v>40.5</v>
      </c>
      <c r="Y286" s="19">
        <v>54</v>
      </c>
      <c r="Z286" s="19">
        <v>206</v>
      </c>
      <c r="AA286" s="19">
        <v>236</v>
      </c>
      <c r="AB286" s="19">
        <v>40</v>
      </c>
      <c r="AC286" s="19">
        <v>54</v>
      </c>
      <c r="AD286" s="19">
        <v>176</v>
      </c>
      <c r="AE286" s="19">
        <v>238.5</v>
      </c>
      <c r="AF286" s="19">
        <v>36</v>
      </c>
      <c r="AG286" s="19">
        <v>49.5</v>
      </c>
      <c r="AH286" s="19">
        <v>212</v>
      </c>
      <c r="AI286" s="19">
        <v>239</v>
      </c>
      <c r="AJ286" s="19">
        <v>36</v>
      </c>
      <c r="AK286" s="19">
        <v>45</v>
      </c>
      <c r="AL286" s="19">
        <v>196.5</v>
      </c>
      <c r="AM286" s="19">
        <v>211.5</v>
      </c>
      <c r="AN286" s="19">
        <v>31.5</v>
      </c>
      <c r="AO286" s="19">
        <v>40.5</v>
      </c>
      <c r="AP286" s="19">
        <v>184.5</v>
      </c>
      <c r="AQ286" s="19">
        <v>192.5</v>
      </c>
      <c r="AR286" s="19">
        <v>31.5</v>
      </c>
      <c r="AS286" s="19">
        <v>27.5</v>
      </c>
      <c r="AT286" s="19">
        <v>170.5</v>
      </c>
      <c r="AU286" s="19">
        <v>196.5</v>
      </c>
      <c r="AV286" s="19">
        <v>35.5</v>
      </c>
      <c r="AW286" s="19">
        <v>41.5</v>
      </c>
      <c r="AX286" s="19">
        <v>117</v>
      </c>
      <c r="AY286" s="19">
        <v>181.5</v>
      </c>
      <c r="AZ286" s="19">
        <v>27</v>
      </c>
      <c r="BA286" s="19">
        <v>40.5</v>
      </c>
      <c r="BB286" s="19">
        <v>188.5</v>
      </c>
      <c r="BC286" s="19">
        <v>138</v>
      </c>
      <c r="BD286" s="19">
        <v>35.5</v>
      </c>
      <c r="BE286" s="19">
        <v>36</v>
      </c>
      <c r="BF286" s="23">
        <v>28.6218</v>
      </c>
      <c r="BG286" s="23">
        <v>77.301900000000003</v>
      </c>
      <c r="BH286" s="31">
        <f t="shared" si="155"/>
        <v>188.5</v>
      </c>
      <c r="BI286" s="31">
        <f t="shared" si="156"/>
        <v>138</v>
      </c>
      <c r="BJ286" s="37">
        <f t="shared" si="157"/>
        <v>50.5</v>
      </c>
      <c r="BK286" s="37">
        <f t="shared" si="158"/>
        <v>36.594202898550726</v>
      </c>
      <c r="BL286" s="36">
        <f t="shared" si="159"/>
        <v>35.5</v>
      </c>
      <c r="BM286" s="36">
        <f t="shared" si="160"/>
        <v>36</v>
      </c>
      <c r="BN286" s="37">
        <f t="shared" si="161"/>
        <v>-0.5</v>
      </c>
      <c r="BO286" s="37">
        <f t="shared" si="162"/>
        <v>-1.3888888888888888</v>
      </c>
      <c r="BP286" s="38">
        <f t="shared" si="163"/>
        <v>2034</v>
      </c>
      <c r="BQ286" s="39">
        <f>J286+N286+S286+W286+AA286+AE286+AI286+AM286+AQ286+AU286+Table1[[#This Row],[MS-0225]]+Table1[[#This Row],[MS-0325]]</f>
        <v>2511</v>
      </c>
      <c r="BR286" s="37">
        <f t="shared" si="164"/>
        <v>-477</v>
      </c>
      <c r="BS286" s="37">
        <f t="shared" si="165"/>
        <v>-18.996415770609318</v>
      </c>
      <c r="BT286" s="36">
        <f t="shared" si="166"/>
        <v>416</v>
      </c>
      <c r="BU286" s="36">
        <f t="shared" si="167"/>
        <v>537</v>
      </c>
      <c r="BV286" s="37">
        <f t="shared" si="168"/>
        <v>-121</v>
      </c>
      <c r="BW286" s="37">
        <f t="shared" si="169"/>
        <v>-22.532588454376164</v>
      </c>
      <c r="BX286">
        <v>0</v>
      </c>
      <c r="BY286" s="83">
        <f t="shared" si="170"/>
        <v>0</v>
      </c>
      <c r="BZ286">
        <v>0</v>
      </c>
      <c r="CA286" s="83">
        <f t="shared" si="171"/>
        <v>0</v>
      </c>
      <c r="CB286" s="96">
        <f t="shared" si="172"/>
        <v>0.10297732859874351</v>
      </c>
      <c r="CC286" s="96">
        <f t="shared" si="173"/>
        <v>8.263473053892216E-2</v>
      </c>
      <c r="CD286" s="97">
        <f t="shared" si="174"/>
        <v>2.0342598059821346E-2</v>
      </c>
      <c r="CE286" s="96">
        <f t="shared" si="175"/>
        <v>9.2088197146562911E-2</v>
      </c>
      <c r="CF286" s="96">
        <f t="shared" si="176"/>
        <v>8.7804878048780483E-2</v>
      </c>
      <c r="CG286" s="96">
        <f t="shared" si="177"/>
        <v>4.2833190977824287E-3</v>
      </c>
      <c r="CH286" s="95">
        <f t="shared" si="178"/>
        <v>9.6977209878897686E-2</v>
      </c>
      <c r="CI286" s="95">
        <f t="shared" si="179"/>
        <v>0.12631102391911264</v>
      </c>
      <c r="CJ286" s="98">
        <f t="shared" si="180"/>
        <v>-2.9333814040214956E-2</v>
      </c>
      <c r="CK286" s="95">
        <f t="shared" si="181"/>
        <v>8.8775074690567654E-2</v>
      </c>
      <c r="CL286" s="95">
        <f t="shared" si="182"/>
        <v>0.10561510473006196</v>
      </c>
      <c r="CM286" s="98">
        <f t="shared" si="183"/>
        <v>-1.6840030039494303E-2</v>
      </c>
      <c r="CN286" s="94">
        <f t="shared" si="184"/>
        <v>0.48488604939448843</v>
      </c>
      <c r="CO286" s="94">
        <f t="shared" si="185"/>
        <v>0.44387537345283828</v>
      </c>
    </row>
    <row r="287" spans="1:95" ht="36.5" x14ac:dyDescent="0.35">
      <c r="A287" s="104">
        <v>106261</v>
      </c>
      <c r="B287" s="5" t="s">
        <v>581</v>
      </c>
      <c r="C287" s="46" t="s">
        <v>807</v>
      </c>
      <c r="D287" s="13" t="s">
        <v>808</v>
      </c>
      <c r="E287" s="6" t="s">
        <v>85</v>
      </c>
      <c r="F287" s="6" t="s">
        <v>373</v>
      </c>
      <c r="G287" s="12" t="s">
        <v>373</v>
      </c>
      <c r="H287" s="51" t="s">
        <v>178</v>
      </c>
      <c r="I287" s="24" t="s">
        <v>86</v>
      </c>
      <c r="J287" s="19">
        <v>369</v>
      </c>
      <c r="K287" s="19">
        <v>405</v>
      </c>
      <c r="L287" s="19">
        <v>99</v>
      </c>
      <c r="M287" s="19">
        <v>95</v>
      </c>
      <c r="N287" s="18">
        <v>396</v>
      </c>
      <c r="O287" s="18">
        <v>425</v>
      </c>
      <c r="P287" s="18">
        <v>144</v>
      </c>
      <c r="Q287" s="18">
        <v>135</v>
      </c>
      <c r="R287" s="19">
        <v>385</v>
      </c>
      <c r="S287" s="19">
        <v>387</v>
      </c>
      <c r="T287" s="19">
        <v>115</v>
      </c>
      <c r="U287" s="19">
        <v>135</v>
      </c>
      <c r="V287" s="19">
        <v>420</v>
      </c>
      <c r="W287" s="19">
        <v>414</v>
      </c>
      <c r="X287" s="19">
        <v>100</v>
      </c>
      <c r="Y287" s="19">
        <v>126</v>
      </c>
      <c r="Z287" s="19">
        <v>420</v>
      </c>
      <c r="AA287" s="19">
        <v>405</v>
      </c>
      <c r="AB287" s="19">
        <v>120</v>
      </c>
      <c r="AC287" s="19">
        <v>117</v>
      </c>
      <c r="AD287" s="19">
        <v>400</v>
      </c>
      <c r="AE287" s="19">
        <v>387</v>
      </c>
      <c r="AF287" s="19">
        <v>100</v>
      </c>
      <c r="AG287" s="19">
        <v>117</v>
      </c>
      <c r="AH287" s="19">
        <v>435</v>
      </c>
      <c r="AI287" s="19">
        <v>418.5</v>
      </c>
      <c r="AJ287" s="19">
        <v>105</v>
      </c>
      <c r="AK287" s="19">
        <v>121.5</v>
      </c>
      <c r="AL287" s="19">
        <v>400</v>
      </c>
      <c r="AM287" s="19">
        <v>400.5</v>
      </c>
      <c r="AN287" s="19">
        <v>120</v>
      </c>
      <c r="AO287" s="19">
        <v>103.5</v>
      </c>
      <c r="AP287" s="19">
        <v>395</v>
      </c>
      <c r="AQ287" s="19">
        <v>373.5</v>
      </c>
      <c r="AR287" s="19">
        <v>85</v>
      </c>
      <c r="AS287" s="19">
        <v>94.5</v>
      </c>
      <c r="AT287" s="19">
        <v>390</v>
      </c>
      <c r="AU287" s="19">
        <v>373.5</v>
      </c>
      <c r="AV287" s="19">
        <v>90</v>
      </c>
      <c r="AW287" s="19">
        <v>112.5</v>
      </c>
      <c r="AX287" s="19">
        <v>375</v>
      </c>
      <c r="AY287" s="19">
        <v>346.5</v>
      </c>
      <c r="AZ287" s="19">
        <v>105</v>
      </c>
      <c r="BA287" s="19">
        <v>85.5</v>
      </c>
      <c r="BB287" s="19">
        <v>440</v>
      </c>
      <c r="BC287" s="19">
        <v>387</v>
      </c>
      <c r="BD287" s="19">
        <v>100</v>
      </c>
      <c r="BE287" s="19">
        <v>111</v>
      </c>
      <c r="BF287" s="23">
        <v>28.6798</v>
      </c>
      <c r="BG287" s="23">
        <v>77.089200000000005</v>
      </c>
      <c r="BH287" s="31">
        <f t="shared" si="155"/>
        <v>440</v>
      </c>
      <c r="BI287" s="31">
        <f t="shared" si="156"/>
        <v>387</v>
      </c>
      <c r="BJ287" s="37">
        <f t="shared" si="157"/>
        <v>53</v>
      </c>
      <c r="BK287" s="37">
        <f t="shared" si="158"/>
        <v>13.695090439276486</v>
      </c>
      <c r="BL287" s="36">
        <f t="shared" si="159"/>
        <v>100</v>
      </c>
      <c r="BM287" s="36">
        <f t="shared" si="160"/>
        <v>111</v>
      </c>
      <c r="BN287" s="37">
        <f t="shared" si="161"/>
        <v>-11</v>
      </c>
      <c r="BO287" s="37">
        <f t="shared" si="162"/>
        <v>-9.9099099099099099</v>
      </c>
      <c r="BP287" s="38">
        <f t="shared" si="163"/>
        <v>4890</v>
      </c>
      <c r="BQ287" s="39">
        <f>J287+N287+S287+W287+AA287+AE287+AI287+AM287+AQ287+AU287+Table1[[#This Row],[MS-0225]]+Table1[[#This Row],[MS-0325]]</f>
        <v>4657.5</v>
      </c>
      <c r="BR287" s="37">
        <f t="shared" si="164"/>
        <v>232.5</v>
      </c>
      <c r="BS287" s="37">
        <f t="shared" si="165"/>
        <v>4.9919484702093397</v>
      </c>
      <c r="BT287" s="36">
        <f t="shared" si="166"/>
        <v>1270</v>
      </c>
      <c r="BU287" s="36">
        <f t="shared" si="167"/>
        <v>1366.5</v>
      </c>
      <c r="BV287" s="37">
        <f t="shared" si="168"/>
        <v>-96.5</v>
      </c>
      <c r="BW287" s="37">
        <f t="shared" si="169"/>
        <v>-7.0618368093669961</v>
      </c>
      <c r="BX287">
        <v>0</v>
      </c>
      <c r="BY287" s="83">
        <f t="shared" si="170"/>
        <v>0</v>
      </c>
      <c r="BZ287">
        <v>0</v>
      </c>
      <c r="CA287" s="83">
        <f t="shared" si="171"/>
        <v>0</v>
      </c>
      <c r="CB287" s="96">
        <f t="shared" si="172"/>
        <v>0.26554013277006638</v>
      </c>
      <c r="CC287" s="96">
        <f t="shared" si="173"/>
        <v>0.24179943767572634</v>
      </c>
      <c r="CD287" s="97">
        <f t="shared" si="174"/>
        <v>2.3740695094340042E-2</v>
      </c>
      <c r="CE287" s="96">
        <f t="shared" si="175"/>
        <v>0.2706359945872801</v>
      </c>
      <c r="CF287" s="96">
        <f t="shared" si="176"/>
        <v>0.27373612823674476</v>
      </c>
      <c r="CG287" s="96">
        <f t="shared" si="177"/>
        <v>-3.1001336494646536E-3</v>
      </c>
      <c r="CH287" s="95">
        <f t="shared" si="178"/>
        <v>0.25306629405371839</v>
      </c>
      <c r="CI287" s="95">
        <f t="shared" si="179"/>
        <v>0.24523483560409048</v>
      </c>
      <c r="CJ287" s="98">
        <f t="shared" si="180"/>
        <v>7.8314584496279038E-3</v>
      </c>
      <c r="CK287" s="95">
        <f t="shared" si="181"/>
        <v>0.30076968620485495</v>
      </c>
      <c r="CL287" s="95">
        <f t="shared" si="182"/>
        <v>0.29494927692639761</v>
      </c>
      <c r="CM287" s="98">
        <f t="shared" si="183"/>
        <v>5.8204092784573391E-3</v>
      </c>
      <c r="CN287" s="94">
        <f t="shared" si="184"/>
        <v>1.2653314702685918</v>
      </c>
      <c r="CO287" s="94">
        <f t="shared" si="185"/>
        <v>1.5038484310242748</v>
      </c>
    </row>
    <row r="288" spans="1:95" ht="24.5" x14ac:dyDescent="0.35">
      <c r="A288" s="103">
        <v>41027003</v>
      </c>
      <c r="B288" s="9" t="s">
        <v>380</v>
      </c>
      <c r="C288" s="48" t="s">
        <v>549</v>
      </c>
      <c r="D288" s="14" t="s">
        <v>550</v>
      </c>
      <c r="E288" s="10" t="s">
        <v>85</v>
      </c>
      <c r="F288" s="10" t="s">
        <v>303</v>
      </c>
      <c r="G288" s="12" t="s">
        <v>303</v>
      </c>
      <c r="H288" s="51" t="s">
        <v>304</v>
      </c>
      <c r="I288" s="25" t="s">
        <v>86</v>
      </c>
      <c r="J288" s="20">
        <v>157</v>
      </c>
      <c r="K288" s="20">
        <v>170</v>
      </c>
      <c r="L288" s="20">
        <v>59</v>
      </c>
      <c r="M288" s="20">
        <v>70</v>
      </c>
      <c r="N288" s="18">
        <v>165</v>
      </c>
      <c r="O288" s="18">
        <v>188</v>
      </c>
      <c r="P288" s="18">
        <v>75</v>
      </c>
      <c r="Q288" s="18">
        <v>84</v>
      </c>
      <c r="R288" s="20">
        <v>174</v>
      </c>
      <c r="S288" s="20">
        <v>170</v>
      </c>
      <c r="T288" s="20">
        <v>81</v>
      </c>
      <c r="U288" s="20">
        <v>70</v>
      </c>
      <c r="V288" s="20">
        <v>188.5</v>
      </c>
      <c r="W288" s="20">
        <v>170</v>
      </c>
      <c r="X288" s="20">
        <v>89.5</v>
      </c>
      <c r="Y288" s="20">
        <v>50</v>
      </c>
      <c r="Z288" s="20">
        <v>185</v>
      </c>
      <c r="AA288" s="20">
        <v>175</v>
      </c>
      <c r="AB288" s="20">
        <v>80</v>
      </c>
      <c r="AC288" s="20">
        <v>65</v>
      </c>
      <c r="AD288" s="20">
        <v>172</v>
      </c>
      <c r="AE288" s="20">
        <v>183.5</v>
      </c>
      <c r="AF288" s="20">
        <v>84</v>
      </c>
      <c r="AG288" s="20">
        <v>74.5</v>
      </c>
      <c r="AH288" s="20">
        <v>180</v>
      </c>
      <c r="AI288" s="20">
        <v>160</v>
      </c>
      <c r="AJ288" s="20">
        <v>85</v>
      </c>
      <c r="AK288" s="20">
        <v>40</v>
      </c>
      <c r="AL288" s="20">
        <v>168.5</v>
      </c>
      <c r="AM288" s="20">
        <v>163</v>
      </c>
      <c r="AN288" s="20">
        <v>74.5</v>
      </c>
      <c r="AO288" s="20">
        <v>60</v>
      </c>
      <c r="AP288" s="20">
        <v>165</v>
      </c>
      <c r="AQ288" s="20">
        <v>142</v>
      </c>
      <c r="AR288" s="20">
        <v>75</v>
      </c>
      <c r="AS288" s="20">
        <v>70</v>
      </c>
      <c r="AT288" s="20">
        <v>170.5</v>
      </c>
      <c r="AU288" s="20">
        <v>155</v>
      </c>
      <c r="AV288" s="20">
        <v>82.5</v>
      </c>
      <c r="AW288" s="20">
        <v>65</v>
      </c>
      <c r="AX288" s="20">
        <v>162</v>
      </c>
      <c r="AY288" s="20">
        <v>130</v>
      </c>
      <c r="AZ288" s="20">
        <v>74</v>
      </c>
      <c r="BA288" s="20">
        <v>60</v>
      </c>
      <c r="BB288" s="20">
        <v>155</v>
      </c>
      <c r="BC288" s="20">
        <v>165.5</v>
      </c>
      <c r="BD288" s="20">
        <v>65</v>
      </c>
      <c r="BE288" s="20">
        <v>82.5</v>
      </c>
      <c r="BF288" s="23">
        <v>28.622949999999999</v>
      </c>
      <c r="BG288" s="23">
        <v>77.110510000000005</v>
      </c>
      <c r="BH288" s="31">
        <f t="shared" si="155"/>
        <v>155</v>
      </c>
      <c r="BI288" s="31">
        <f t="shared" si="156"/>
        <v>165.5</v>
      </c>
      <c r="BJ288" s="37">
        <f t="shared" si="157"/>
        <v>-10.5</v>
      </c>
      <c r="BK288" s="37">
        <f t="shared" si="158"/>
        <v>-6.3444108761329305</v>
      </c>
      <c r="BL288" s="36">
        <f t="shared" si="159"/>
        <v>65</v>
      </c>
      <c r="BM288" s="36">
        <f t="shared" si="160"/>
        <v>82.5</v>
      </c>
      <c r="BN288" s="37">
        <f t="shared" si="161"/>
        <v>-17.5</v>
      </c>
      <c r="BO288" s="37">
        <f t="shared" si="162"/>
        <v>-21.212121212121211</v>
      </c>
      <c r="BP288" s="38">
        <f t="shared" si="163"/>
        <v>2078.5</v>
      </c>
      <c r="BQ288" s="39">
        <f>J288+N288+S288+W288+AA288+AE288+AI288+AM288+AQ288+AU288+Table1[[#This Row],[MS-0225]]+Table1[[#This Row],[MS-0325]]</f>
        <v>1936</v>
      </c>
      <c r="BR288" s="37">
        <f t="shared" si="164"/>
        <v>142.5</v>
      </c>
      <c r="BS288" s="37">
        <f t="shared" si="165"/>
        <v>7.3605371900826446</v>
      </c>
      <c r="BT288" s="36">
        <f t="shared" si="166"/>
        <v>944.5</v>
      </c>
      <c r="BU288" s="36">
        <f t="shared" si="167"/>
        <v>771</v>
      </c>
      <c r="BV288" s="37">
        <f t="shared" si="168"/>
        <v>173.5</v>
      </c>
      <c r="BW288" s="37">
        <f t="shared" si="169"/>
        <v>22.50324254215305</v>
      </c>
      <c r="BX288">
        <v>0</v>
      </c>
      <c r="BY288" s="83">
        <f t="shared" si="170"/>
        <v>0</v>
      </c>
      <c r="BZ288">
        <v>0</v>
      </c>
      <c r="CA288" s="83">
        <f t="shared" si="171"/>
        <v>0</v>
      </c>
      <c r="CB288" s="96">
        <f t="shared" si="172"/>
        <v>9.9454603785691376E-2</v>
      </c>
      <c r="CC288" s="96">
        <f t="shared" si="173"/>
        <v>0.11273841961852861</v>
      </c>
      <c r="CD288" s="97">
        <f t="shared" si="174"/>
        <v>-1.3283815832837234E-2</v>
      </c>
      <c r="CE288" s="96">
        <f t="shared" si="175"/>
        <v>0.21996615905245348</v>
      </c>
      <c r="CF288" s="96">
        <f t="shared" si="176"/>
        <v>0.24408284023668639</v>
      </c>
      <c r="CG288" s="96">
        <f t="shared" si="177"/>
        <v>-2.4116681184232908E-2</v>
      </c>
      <c r="CH288" s="95">
        <f t="shared" si="178"/>
        <v>0.113087951250034</v>
      </c>
      <c r="CI288" s="95">
        <f t="shared" si="179"/>
        <v>0.11129954861194671</v>
      </c>
      <c r="CJ288" s="98">
        <f t="shared" si="180"/>
        <v>1.7884026380872858E-3</v>
      </c>
      <c r="CK288" s="95">
        <f t="shared" si="181"/>
        <v>0.25544286680189315</v>
      </c>
      <c r="CL288" s="95">
        <f t="shared" si="182"/>
        <v>0.20377956918197437</v>
      </c>
      <c r="CM288" s="98">
        <f t="shared" si="183"/>
        <v>5.166329761991878E-2</v>
      </c>
      <c r="CN288" s="94">
        <f t="shared" si="184"/>
        <v>0.56543975625016996</v>
      </c>
      <c r="CO288" s="94">
        <f t="shared" si="185"/>
        <v>1.2772143340094657</v>
      </c>
      <c r="CP288" s="141">
        <f>BD288-AZ288</f>
        <v>-9</v>
      </c>
      <c r="CQ288" t="s">
        <v>1088</v>
      </c>
    </row>
    <row r="289" spans="1:93" ht="36.5" x14ac:dyDescent="0.35">
      <c r="A289" s="103">
        <v>41019255</v>
      </c>
      <c r="B289" s="9" t="s">
        <v>380</v>
      </c>
      <c r="C289" s="48" t="s">
        <v>494</v>
      </c>
      <c r="D289" s="14" t="s">
        <v>495</v>
      </c>
      <c r="E289" s="10" t="s">
        <v>81</v>
      </c>
      <c r="F289" s="10" t="s">
        <v>184</v>
      </c>
      <c r="G289" s="12" t="s">
        <v>184</v>
      </c>
      <c r="H289" s="51" t="s">
        <v>141</v>
      </c>
      <c r="I289" s="25" t="s">
        <v>83</v>
      </c>
      <c r="J289" s="20">
        <v>160.5</v>
      </c>
      <c r="K289" s="20">
        <v>169</v>
      </c>
      <c r="L289" s="20">
        <v>115.5</v>
      </c>
      <c r="M289" s="20">
        <v>91</v>
      </c>
      <c r="N289" s="18">
        <v>162</v>
      </c>
      <c r="O289" s="18">
        <v>184.5</v>
      </c>
      <c r="P289" s="18">
        <v>90</v>
      </c>
      <c r="Q289" s="18">
        <v>80.5</v>
      </c>
      <c r="R289" s="20">
        <v>152.5</v>
      </c>
      <c r="S289" s="20">
        <v>162</v>
      </c>
      <c r="T289" s="20">
        <v>81.5</v>
      </c>
      <c r="U289" s="20">
        <v>90</v>
      </c>
      <c r="V289" s="20">
        <v>182</v>
      </c>
      <c r="W289" s="20">
        <v>180</v>
      </c>
      <c r="X289" s="20">
        <v>70</v>
      </c>
      <c r="Y289" s="20">
        <v>90</v>
      </c>
      <c r="Z289" s="20">
        <v>170.5</v>
      </c>
      <c r="AA289" s="20">
        <v>172.5</v>
      </c>
      <c r="AB289" s="20">
        <v>57.5</v>
      </c>
      <c r="AC289" s="20">
        <v>79.5</v>
      </c>
      <c r="AD289" s="20">
        <v>174</v>
      </c>
      <c r="AE289" s="20">
        <v>166.5</v>
      </c>
      <c r="AF289" s="20">
        <v>93</v>
      </c>
      <c r="AG289" s="20">
        <v>85.5</v>
      </c>
      <c r="AH289" s="20">
        <v>186.5</v>
      </c>
      <c r="AI289" s="20">
        <v>171</v>
      </c>
      <c r="AJ289" s="20">
        <v>90.5</v>
      </c>
      <c r="AK289" s="20">
        <v>99</v>
      </c>
      <c r="AL289" s="20">
        <v>172</v>
      </c>
      <c r="AM289" s="20">
        <v>191.5</v>
      </c>
      <c r="AN289" s="20">
        <v>93</v>
      </c>
      <c r="AO289" s="20">
        <v>100.5</v>
      </c>
      <c r="AP289" s="20">
        <v>168.5</v>
      </c>
      <c r="AQ289" s="20">
        <v>159.5</v>
      </c>
      <c r="AR289" s="20">
        <v>72.5</v>
      </c>
      <c r="AS289" s="20">
        <v>54.5</v>
      </c>
      <c r="AT289" s="20">
        <v>154</v>
      </c>
      <c r="AU289" s="20">
        <v>149.5</v>
      </c>
      <c r="AV289" s="20">
        <v>73</v>
      </c>
      <c r="AW289" s="20">
        <v>60.5</v>
      </c>
      <c r="AX289" s="20">
        <v>160.5</v>
      </c>
      <c r="AY289" s="20">
        <v>156</v>
      </c>
      <c r="AZ289" s="20">
        <v>74.5</v>
      </c>
      <c r="BA289" s="20">
        <v>72</v>
      </c>
      <c r="BB289" s="20">
        <v>185.5</v>
      </c>
      <c r="BC289" s="20">
        <v>171</v>
      </c>
      <c r="BD289" s="20">
        <v>88.5</v>
      </c>
      <c r="BE289" s="20">
        <v>82</v>
      </c>
      <c r="BF289" s="23">
        <v>28.6047048</v>
      </c>
      <c r="BG289" s="23">
        <v>76.9707303</v>
      </c>
      <c r="BH289" s="31">
        <f t="shared" si="155"/>
        <v>185.5</v>
      </c>
      <c r="BI289" s="31">
        <f t="shared" si="156"/>
        <v>171</v>
      </c>
      <c r="BJ289" s="37">
        <f t="shared" si="157"/>
        <v>14.5</v>
      </c>
      <c r="BK289" s="37">
        <f t="shared" si="158"/>
        <v>8.4795321637426895</v>
      </c>
      <c r="BL289" s="36">
        <f t="shared" si="159"/>
        <v>88.5</v>
      </c>
      <c r="BM289" s="36">
        <f t="shared" si="160"/>
        <v>82</v>
      </c>
      <c r="BN289" s="37">
        <f t="shared" si="161"/>
        <v>6.5</v>
      </c>
      <c r="BO289" s="37">
        <f t="shared" si="162"/>
        <v>7.9268292682926829</v>
      </c>
      <c r="BP289" s="38">
        <f t="shared" si="163"/>
        <v>2059.5</v>
      </c>
      <c r="BQ289" s="39">
        <f>J289+N289+S289+W289+AA289+AE289+AI289+AM289+AQ289+AU289+Table1[[#This Row],[MS-0225]]+Table1[[#This Row],[MS-0325]]</f>
        <v>2002</v>
      </c>
      <c r="BR289" s="37">
        <f t="shared" si="164"/>
        <v>57.5</v>
      </c>
      <c r="BS289" s="37">
        <f t="shared" si="165"/>
        <v>2.872127872127872</v>
      </c>
      <c r="BT289" s="36">
        <f t="shared" si="166"/>
        <v>965.5</v>
      </c>
      <c r="BU289" s="36">
        <f t="shared" si="167"/>
        <v>1019</v>
      </c>
      <c r="BV289" s="37">
        <f t="shared" si="168"/>
        <v>-53.5</v>
      </c>
      <c r="BW289" s="37">
        <f t="shared" si="169"/>
        <v>-5.2502453385672228</v>
      </c>
      <c r="BX289">
        <v>0</v>
      </c>
      <c r="BY289" s="83">
        <f t="shared" si="170"/>
        <v>0</v>
      </c>
      <c r="BZ289">
        <v>0</v>
      </c>
      <c r="CA289" s="83">
        <f t="shared" si="171"/>
        <v>0</v>
      </c>
      <c r="CB289" s="96">
        <f t="shared" si="172"/>
        <v>0.13559941520467836</v>
      </c>
      <c r="CC289" s="96">
        <f t="shared" si="173"/>
        <v>0.12775494957041464</v>
      </c>
      <c r="CD289" s="97">
        <f t="shared" si="174"/>
        <v>7.8444656342637198E-3</v>
      </c>
      <c r="CE289" s="96">
        <f t="shared" si="175"/>
        <v>0.21798029556650247</v>
      </c>
      <c r="CF289" s="96">
        <f t="shared" si="176"/>
        <v>0.17281348788198103</v>
      </c>
      <c r="CG289" s="96">
        <f t="shared" si="177"/>
        <v>4.5166807684521443E-2</v>
      </c>
      <c r="CH289" s="95">
        <f t="shared" si="178"/>
        <v>0.13152600823833702</v>
      </c>
      <c r="CI289" s="95">
        <f t="shared" si="179"/>
        <v>0.12364512235678621</v>
      </c>
      <c r="CJ289" s="98">
        <f t="shared" si="180"/>
        <v>7.8808858815508087E-3</v>
      </c>
      <c r="CK289" s="95">
        <f t="shared" si="181"/>
        <v>0.21212786993298913</v>
      </c>
      <c r="CL289" s="95">
        <f t="shared" si="182"/>
        <v>0.18681822348519572</v>
      </c>
      <c r="CM289" s="98">
        <f t="shared" si="183"/>
        <v>2.5309646447793405E-2</v>
      </c>
      <c r="CN289" s="94">
        <f t="shared" si="184"/>
        <v>0.92068205766835909</v>
      </c>
      <c r="CO289" s="94">
        <f t="shared" si="185"/>
        <v>1.4848950895309239</v>
      </c>
    </row>
    <row r="290" spans="1:93" ht="24.5" x14ac:dyDescent="0.35">
      <c r="A290" s="102">
        <v>112430</v>
      </c>
      <c r="B290" s="3" t="s">
        <v>72</v>
      </c>
      <c r="C290" s="40" t="s">
        <v>264</v>
      </c>
      <c r="D290" s="12" t="s">
        <v>243</v>
      </c>
      <c r="E290" s="4" t="s">
        <v>200</v>
      </c>
      <c r="F290" s="4" t="s">
        <v>265</v>
      </c>
      <c r="G290" s="12" t="s">
        <v>265</v>
      </c>
      <c r="H290" s="51" t="s">
        <v>172</v>
      </c>
      <c r="I290" s="23" t="s">
        <v>83</v>
      </c>
      <c r="J290" s="90">
        <v>144</v>
      </c>
      <c r="K290" s="90">
        <v>160</v>
      </c>
      <c r="L290" s="90">
        <v>234</v>
      </c>
      <c r="M290" s="90">
        <v>240</v>
      </c>
      <c r="N290" s="18">
        <v>153</v>
      </c>
      <c r="O290" s="18">
        <v>165</v>
      </c>
      <c r="P290" s="18">
        <v>279</v>
      </c>
      <c r="Q290" s="18">
        <v>235</v>
      </c>
      <c r="R290" s="90">
        <v>160</v>
      </c>
      <c r="S290" s="90">
        <v>153</v>
      </c>
      <c r="T290" s="90">
        <v>240</v>
      </c>
      <c r="U290" s="90">
        <v>261</v>
      </c>
      <c r="V290" s="90">
        <v>170</v>
      </c>
      <c r="W290" s="90">
        <v>153</v>
      </c>
      <c r="X290" s="90">
        <v>230</v>
      </c>
      <c r="Y290" s="90">
        <v>261</v>
      </c>
      <c r="Z290" s="90">
        <v>180</v>
      </c>
      <c r="AA290" s="90">
        <v>144</v>
      </c>
      <c r="AB290" s="90">
        <v>240</v>
      </c>
      <c r="AC290" s="90">
        <v>270</v>
      </c>
      <c r="AD290" s="90">
        <v>170</v>
      </c>
      <c r="AE290" s="90">
        <v>162</v>
      </c>
      <c r="AF290" s="90">
        <v>250</v>
      </c>
      <c r="AG290" s="90">
        <v>270</v>
      </c>
      <c r="AH290" s="90">
        <v>180</v>
      </c>
      <c r="AI290" s="90">
        <v>162</v>
      </c>
      <c r="AJ290" s="90">
        <v>240</v>
      </c>
      <c r="AK290" s="90">
        <v>288</v>
      </c>
      <c r="AL290" s="90">
        <v>160</v>
      </c>
      <c r="AM290" s="90">
        <v>140</v>
      </c>
      <c r="AN290" s="90">
        <v>220</v>
      </c>
      <c r="AO290" s="90">
        <v>240</v>
      </c>
      <c r="AP290" s="90">
        <v>170</v>
      </c>
      <c r="AQ290" s="90">
        <v>160</v>
      </c>
      <c r="AR290" s="90">
        <v>210</v>
      </c>
      <c r="AS290" s="90">
        <v>260</v>
      </c>
      <c r="AT290" s="90">
        <v>170</v>
      </c>
      <c r="AU290" s="90">
        <v>140</v>
      </c>
      <c r="AV290" s="90">
        <v>210</v>
      </c>
      <c r="AW290" s="90">
        <v>260</v>
      </c>
      <c r="AX290" s="90">
        <v>160</v>
      </c>
      <c r="AY290" s="90">
        <v>130</v>
      </c>
      <c r="AZ290" s="90">
        <v>180</v>
      </c>
      <c r="BA290" s="90">
        <v>230</v>
      </c>
      <c r="BB290" s="90">
        <v>185</v>
      </c>
      <c r="BC290" s="90">
        <v>160</v>
      </c>
      <c r="BD290" s="90">
        <v>255</v>
      </c>
      <c r="BE290" s="90">
        <v>240</v>
      </c>
      <c r="BF290" s="23">
        <v>28.796250000000001</v>
      </c>
      <c r="BG290" s="23">
        <v>77.139080000000007</v>
      </c>
      <c r="BH290" s="31">
        <f t="shared" si="155"/>
        <v>185</v>
      </c>
      <c r="BI290" s="31">
        <f t="shared" si="156"/>
        <v>160</v>
      </c>
      <c r="BJ290" s="37">
        <f t="shared" si="157"/>
        <v>25</v>
      </c>
      <c r="BK290" s="37">
        <f t="shared" si="158"/>
        <v>15.625</v>
      </c>
      <c r="BL290" s="36">
        <f t="shared" si="159"/>
        <v>255</v>
      </c>
      <c r="BM290" s="36">
        <f t="shared" si="160"/>
        <v>240</v>
      </c>
      <c r="BN290" s="37">
        <f t="shared" si="161"/>
        <v>15</v>
      </c>
      <c r="BO290" s="37">
        <f t="shared" si="162"/>
        <v>6.25</v>
      </c>
      <c r="BP290" s="38">
        <f t="shared" si="163"/>
        <v>2030</v>
      </c>
      <c r="BQ290" s="39">
        <f>J290+N290+S290+W290+AA290+AE290+AI290+AM290+AQ290+AU290+Table1[[#This Row],[MS-0225]]+Table1[[#This Row],[MS-0325]]</f>
        <v>1801</v>
      </c>
      <c r="BR290" s="37">
        <f t="shared" si="164"/>
        <v>229</v>
      </c>
      <c r="BS290" s="37">
        <f t="shared" si="165"/>
        <v>12.715158245419211</v>
      </c>
      <c r="BT290" s="36">
        <f t="shared" si="166"/>
        <v>2750</v>
      </c>
      <c r="BU290" s="36">
        <f t="shared" si="167"/>
        <v>3093</v>
      </c>
      <c r="BV290" s="37">
        <f t="shared" si="168"/>
        <v>-343</v>
      </c>
      <c r="BW290" s="37">
        <f t="shared" si="169"/>
        <v>-11.08955706433883</v>
      </c>
      <c r="BX290">
        <v>0</v>
      </c>
      <c r="BY290" s="83">
        <f t="shared" si="170"/>
        <v>0</v>
      </c>
      <c r="BZ290">
        <v>0</v>
      </c>
      <c r="CA290" s="83">
        <f t="shared" si="171"/>
        <v>0</v>
      </c>
      <c r="CB290" s="96">
        <f t="shared" si="172"/>
        <v>0.44047619047619047</v>
      </c>
      <c r="CC290" s="96">
        <f t="shared" si="173"/>
        <v>0.41078305519897307</v>
      </c>
      <c r="CD290" s="97">
        <f t="shared" si="174"/>
        <v>2.9693135277217397E-2</v>
      </c>
      <c r="CE290" s="96">
        <f t="shared" si="175"/>
        <v>0.47222222222222221</v>
      </c>
      <c r="CF290" s="96">
        <f t="shared" si="176"/>
        <v>0.45070422535211269</v>
      </c>
      <c r="CG290" s="96">
        <f t="shared" si="177"/>
        <v>2.1517996870109524E-2</v>
      </c>
      <c r="CH290" s="95">
        <f t="shared" si="178"/>
        <v>0.41989864515461783</v>
      </c>
      <c r="CI290" s="95">
        <f t="shared" si="179"/>
        <v>0.40290827740492169</v>
      </c>
      <c r="CJ290" s="98">
        <f t="shared" si="180"/>
        <v>1.6990367749696145E-2</v>
      </c>
      <c r="CK290" s="95">
        <f t="shared" si="181"/>
        <v>0.46916318348545594</v>
      </c>
      <c r="CL290" s="95">
        <f t="shared" si="182"/>
        <v>0.51861167002012076</v>
      </c>
      <c r="CM290" s="98">
        <f t="shared" si="183"/>
        <v>-4.9448486534664826E-2</v>
      </c>
      <c r="CN290" s="94">
        <f t="shared" si="184"/>
        <v>0.83979729030923567</v>
      </c>
      <c r="CO290" s="94">
        <f t="shared" si="185"/>
        <v>0.93832636697091187</v>
      </c>
    </row>
    <row r="291" spans="1:93" ht="24.5" x14ac:dyDescent="0.35">
      <c r="A291" s="104">
        <v>106347</v>
      </c>
      <c r="B291" s="5" t="s">
        <v>581</v>
      </c>
      <c r="C291" s="46" t="s">
        <v>704</v>
      </c>
      <c r="D291" s="13" t="s">
        <v>705</v>
      </c>
      <c r="E291" s="6" t="s">
        <v>89</v>
      </c>
      <c r="F291" s="6" t="s">
        <v>310</v>
      </c>
      <c r="G291" s="12" t="s">
        <v>310</v>
      </c>
      <c r="H291" s="51" t="s">
        <v>205</v>
      </c>
      <c r="I291" s="24" t="s">
        <v>86</v>
      </c>
      <c r="J291" s="19">
        <v>297.5</v>
      </c>
      <c r="K291" s="19">
        <v>310</v>
      </c>
      <c r="L291" s="19">
        <v>52.5</v>
      </c>
      <c r="M291" s="19">
        <v>44</v>
      </c>
      <c r="N291" s="18">
        <v>315</v>
      </c>
      <c r="O291" s="18">
        <v>325.5</v>
      </c>
      <c r="P291" s="18">
        <v>69</v>
      </c>
      <c r="Q291" s="18">
        <v>58.5</v>
      </c>
      <c r="R291" s="19">
        <v>317.5</v>
      </c>
      <c r="S291" s="19">
        <v>326</v>
      </c>
      <c r="T291" s="19">
        <v>46.5</v>
      </c>
      <c r="U291" s="19">
        <v>66</v>
      </c>
      <c r="V291" s="19">
        <v>343.5</v>
      </c>
      <c r="W291" s="19">
        <v>317.5</v>
      </c>
      <c r="X291" s="19">
        <v>44.5</v>
      </c>
      <c r="Y291" s="19">
        <v>66.5</v>
      </c>
      <c r="Z291" s="19">
        <v>330</v>
      </c>
      <c r="AA291" s="19">
        <v>337</v>
      </c>
      <c r="AB291" s="19">
        <v>60</v>
      </c>
      <c r="AC291" s="19">
        <v>61</v>
      </c>
      <c r="AD291" s="19">
        <v>337.5</v>
      </c>
      <c r="AE291" s="19">
        <v>303</v>
      </c>
      <c r="AF291" s="19">
        <v>50.5</v>
      </c>
      <c r="AG291" s="19">
        <v>55</v>
      </c>
      <c r="AH291" s="19">
        <v>312.5</v>
      </c>
      <c r="AI291" s="19">
        <v>325</v>
      </c>
      <c r="AJ291" s="19">
        <v>45.5</v>
      </c>
      <c r="AK291" s="19">
        <v>69</v>
      </c>
      <c r="AL291" s="19">
        <v>307.5</v>
      </c>
      <c r="AM291" s="19">
        <v>300</v>
      </c>
      <c r="AN291" s="19">
        <v>40.5</v>
      </c>
      <c r="AO291" s="19">
        <v>50</v>
      </c>
      <c r="AP291" s="19">
        <v>303.5</v>
      </c>
      <c r="AQ291" s="19">
        <v>287.5</v>
      </c>
      <c r="AR291" s="19">
        <v>36.5</v>
      </c>
      <c r="AS291" s="19">
        <v>44.5</v>
      </c>
      <c r="AT291" s="19">
        <v>271</v>
      </c>
      <c r="AU291" s="19">
        <v>299</v>
      </c>
      <c r="AV291" s="19">
        <v>41</v>
      </c>
      <c r="AW291" s="19">
        <v>41</v>
      </c>
      <c r="AX291" s="19">
        <v>283</v>
      </c>
      <c r="AY291" s="19">
        <v>264</v>
      </c>
      <c r="AZ291" s="19">
        <v>41</v>
      </c>
      <c r="BA291" s="19">
        <v>46</v>
      </c>
      <c r="BB291" s="19">
        <v>289.5</v>
      </c>
      <c r="BC291" s="19">
        <v>299.5</v>
      </c>
      <c r="BD291" s="19">
        <v>40.5</v>
      </c>
      <c r="BE291" s="19">
        <v>52.5</v>
      </c>
      <c r="BF291" s="23">
        <v>28.7136</v>
      </c>
      <c r="BG291" s="23">
        <v>77.157799999999995</v>
      </c>
      <c r="BH291" s="31">
        <f t="shared" si="155"/>
        <v>289.5</v>
      </c>
      <c r="BI291" s="31">
        <f t="shared" si="156"/>
        <v>299.5</v>
      </c>
      <c r="BJ291" s="37">
        <f t="shared" si="157"/>
        <v>-10</v>
      </c>
      <c r="BK291" s="37">
        <f t="shared" si="158"/>
        <v>-3.33889816360601</v>
      </c>
      <c r="BL291" s="36">
        <f t="shared" si="159"/>
        <v>40.5</v>
      </c>
      <c r="BM291" s="36">
        <f t="shared" si="160"/>
        <v>52.5</v>
      </c>
      <c r="BN291" s="37">
        <f t="shared" si="161"/>
        <v>-12</v>
      </c>
      <c r="BO291" s="37">
        <f t="shared" si="162"/>
        <v>-22.857142857142858</v>
      </c>
      <c r="BP291" s="38">
        <f t="shared" si="163"/>
        <v>3731</v>
      </c>
      <c r="BQ291" s="39">
        <f>J291+N291+S291+W291+AA291+AE291+AI291+AM291+AQ291+AU291+Table1[[#This Row],[MS-0225]]+Table1[[#This Row],[MS-0325]]</f>
        <v>3671</v>
      </c>
      <c r="BR291" s="37">
        <f t="shared" si="164"/>
        <v>60</v>
      </c>
      <c r="BS291" s="37">
        <f t="shared" si="165"/>
        <v>1.6344320348678836</v>
      </c>
      <c r="BT291" s="36">
        <f t="shared" si="166"/>
        <v>549</v>
      </c>
      <c r="BU291" s="36">
        <f t="shared" si="167"/>
        <v>673</v>
      </c>
      <c r="BV291" s="37">
        <f t="shared" si="168"/>
        <v>-124</v>
      </c>
      <c r="BW291" s="37">
        <f t="shared" si="169"/>
        <v>-18.424962852897476</v>
      </c>
      <c r="BX291">
        <v>0</v>
      </c>
      <c r="BY291" s="83">
        <f t="shared" si="170"/>
        <v>0</v>
      </c>
      <c r="BZ291">
        <v>0</v>
      </c>
      <c r="CA291" s="83">
        <f t="shared" si="171"/>
        <v>0</v>
      </c>
      <c r="CB291" s="96">
        <f t="shared" si="172"/>
        <v>0.59021406727828751</v>
      </c>
      <c r="CC291" s="96">
        <f t="shared" si="173"/>
        <v>0.58956692913385822</v>
      </c>
      <c r="CD291" s="97">
        <f t="shared" si="174"/>
        <v>6.471381444292934E-4</v>
      </c>
      <c r="CE291" s="96">
        <f t="shared" si="175"/>
        <v>0.52258064516129032</v>
      </c>
      <c r="CF291" s="96">
        <f t="shared" si="176"/>
        <v>0.546875</v>
      </c>
      <c r="CG291" s="96">
        <f t="shared" si="177"/>
        <v>-2.4294354838709675E-2</v>
      </c>
      <c r="CH291" s="95">
        <f t="shared" si="178"/>
        <v>0.59969460740978864</v>
      </c>
      <c r="CI291" s="95">
        <f t="shared" si="179"/>
        <v>0.6120883701542309</v>
      </c>
      <c r="CJ291" s="98">
        <f t="shared" si="180"/>
        <v>-1.239376274444226E-2</v>
      </c>
      <c r="CK291" s="95">
        <f t="shared" si="181"/>
        <v>0.56106285130301481</v>
      </c>
      <c r="CL291" s="95">
        <f t="shared" si="182"/>
        <v>0.57992244722102537</v>
      </c>
      <c r="CM291" s="98">
        <f t="shared" si="183"/>
        <v>-1.8859595918010563E-2</v>
      </c>
      <c r="CN291" s="94">
        <f t="shared" si="184"/>
        <v>1.1993892148195773</v>
      </c>
      <c r="CO291" s="94">
        <f t="shared" si="185"/>
        <v>1.1221257026060296</v>
      </c>
    </row>
    <row r="292" spans="1:93" ht="24.5" x14ac:dyDescent="0.35">
      <c r="A292" s="104">
        <v>172351</v>
      </c>
      <c r="B292" s="5" t="s">
        <v>581</v>
      </c>
      <c r="C292" s="46" t="s">
        <v>584</v>
      </c>
      <c r="D292" s="13" t="s">
        <v>585</v>
      </c>
      <c r="E292" s="6" t="s">
        <v>85</v>
      </c>
      <c r="F292" s="6" t="s">
        <v>177</v>
      </c>
      <c r="G292" s="12" t="s">
        <v>177</v>
      </c>
      <c r="H292" s="51" t="s">
        <v>178</v>
      </c>
      <c r="I292" s="24" t="s">
        <v>86</v>
      </c>
      <c r="J292" s="19">
        <v>0</v>
      </c>
      <c r="K292" s="19">
        <v>0</v>
      </c>
      <c r="L292" s="19">
        <v>18</v>
      </c>
      <c r="M292" s="19">
        <v>14</v>
      </c>
      <c r="N292" s="18">
        <v>0</v>
      </c>
      <c r="O292" s="18">
        <v>0</v>
      </c>
      <c r="P292" s="18">
        <v>18</v>
      </c>
      <c r="Q292" s="18">
        <v>12</v>
      </c>
      <c r="R292" s="19">
        <v>0</v>
      </c>
      <c r="S292" s="19">
        <v>0</v>
      </c>
      <c r="T292" s="19">
        <v>12</v>
      </c>
      <c r="U292" s="19">
        <v>12</v>
      </c>
      <c r="V292" s="19">
        <v>0</v>
      </c>
      <c r="W292" s="19">
        <v>0</v>
      </c>
      <c r="X292" s="19">
        <v>0</v>
      </c>
      <c r="Y292" s="19">
        <v>12</v>
      </c>
      <c r="Z292" s="19">
        <v>0</v>
      </c>
      <c r="AA292" s="19">
        <v>0</v>
      </c>
      <c r="AB292" s="19">
        <v>12</v>
      </c>
      <c r="AC292" s="19">
        <v>14</v>
      </c>
      <c r="AD292" s="19">
        <v>0</v>
      </c>
      <c r="AE292" s="19">
        <v>0</v>
      </c>
      <c r="AF292" s="19">
        <v>0</v>
      </c>
      <c r="AG292" s="19">
        <v>24</v>
      </c>
      <c r="AH292" s="19">
        <v>0</v>
      </c>
      <c r="AI292" s="19">
        <v>0</v>
      </c>
      <c r="AJ292" s="19">
        <v>12</v>
      </c>
      <c r="AK292" s="19">
        <v>12</v>
      </c>
      <c r="AL292" s="19">
        <v>0</v>
      </c>
      <c r="AM292" s="19">
        <v>0</v>
      </c>
      <c r="AN292" s="19">
        <v>0</v>
      </c>
      <c r="AO292" s="19">
        <v>12</v>
      </c>
      <c r="AP292" s="19">
        <v>0</v>
      </c>
      <c r="AQ292" s="19">
        <v>0</v>
      </c>
      <c r="AR292" s="19">
        <v>0</v>
      </c>
      <c r="AS292" s="19">
        <v>22</v>
      </c>
      <c r="AT292" s="19">
        <v>0</v>
      </c>
      <c r="AU292" s="19">
        <v>0</v>
      </c>
      <c r="AV292" s="19">
        <v>12</v>
      </c>
      <c r="AW292" s="19">
        <v>14</v>
      </c>
      <c r="AX292" s="19">
        <v>0</v>
      </c>
      <c r="AY292" s="19">
        <v>0</v>
      </c>
      <c r="AZ292" s="19">
        <v>0</v>
      </c>
      <c r="BA292" s="19">
        <v>14</v>
      </c>
      <c r="BB292" s="19">
        <v>0</v>
      </c>
      <c r="BC292" s="19">
        <v>0</v>
      </c>
      <c r="BD292" s="19">
        <v>0</v>
      </c>
      <c r="BE292" s="19">
        <v>12</v>
      </c>
      <c r="BF292" s="23">
        <v>28.674569000000002</v>
      </c>
      <c r="BG292" s="23">
        <v>77.143503999999993</v>
      </c>
      <c r="BH292" s="31">
        <f t="shared" si="155"/>
        <v>0</v>
      </c>
      <c r="BI292" s="31">
        <f t="shared" si="156"/>
        <v>0</v>
      </c>
      <c r="BJ292" s="37">
        <f t="shared" si="157"/>
        <v>0</v>
      </c>
      <c r="BK292" s="37" t="e">
        <f t="shared" si="158"/>
        <v>#DIV/0!</v>
      </c>
      <c r="BL292" s="36">
        <f t="shared" si="159"/>
        <v>0</v>
      </c>
      <c r="BM292" s="36">
        <f t="shared" si="160"/>
        <v>12</v>
      </c>
      <c r="BN292" s="37">
        <f t="shared" si="161"/>
        <v>-12</v>
      </c>
      <c r="BO292" s="37">
        <f t="shared" si="162"/>
        <v>-100</v>
      </c>
      <c r="BP292" s="38">
        <f t="shared" si="163"/>
        <v>0</v>
      </c>
      <c r="BQ292" s="39">
        <f>J292+N292+S292+W292+AA292+AE292+AI292+AM292+AQ292+AU292+Table1[[#This Row],[MS-0225]]+Table1[[#This Row],[MS-0325]]</f>
        <v>0</v>
      </c>
      <c r="BR292" s="37">
        <f t="shared" si="164"/>
        <v>0</v>
      </c>
      <c r="BS292" s="37" t="e">
        <f t="shared" si="165"/>
        <v>#DIV/0!</v>
      </c>
      <c r="BT292" s="36">
        <f t="shared" si="166"/>
        <v>74</v>
      </c>
      <c r="BU292" s="36">
        <f t="shared" si="167"/>
        <v>184</v>
      </c>
      <c r="BV292" s="37">
        <f t="shared" si="168"/>
        <v>-110</v>
      </c>
      <c r="BW292" s="37">
        <f t="shared" si="169"/>
        <v>-59.782608695652172</v>
      </c>
      <c r="BX292">
        <v>0</v>
      </c>
      <c r="BY292" s="83" t="e">
        <f t="shared" si="170"/>
        <v>#DIV/0!</v>
      </c>
      <c r="BZ292">
        <v>0</v>
      </c>
      <c r="CA292" s="83" t="e">
        <f t="shared" si="171"/>
        <v>#DIV/0!</v>
      </c>
      <c r="CB292" s="96">
        <f t="shared" si="172"/>
        <v>0</v>
      </c>
      <c r="CC292" s="96">
        <f t="shared" si="173"/>
        <v>0</v>
      </c>
      <c r="CD292" s="97">
        <f t="shared" si="174"/>
        <v>0</v>
      </c>
      <c r="CE292" s="96">
        <f t="shared" si="175"/>
        <v>0</v>
      </c>
      <c r="CF292" s="96">
        <f t="shared" si="176"/>
        <v>1.2694302162474374E-2</v>
      </c>
      <c r="CG292" s="96">
        <f t="shared" si="177"/>
        <v>-1.2694302162474374E-2</v>
      </c>
      <c r="CH292" s="95">
        <f t="shared" si="178"/>
        <v>0</v>
      </c>
      <c r="CI292" s="95">
        <f t="shared" si="179"/>
        <v>0</v>
      </c>
      <c r="CJ292" s="98">
        <f t="shared" si="180"/>
        <v>0</v>
      </c>
      <c r="CK292" s="95">
        <f t="shared" si="181"/>
        <v>6.6286854931486708E-3</v>
      </c>
      <c r="CL292" s="95">
        <f t="shared" si="182"/>
        <v>1.4846101599296294E-2</v>
      </c>
      <c r="CM292" s="98">
        <f t="shared" si="183"/>
        <v>-8.2174161061476236E-3</v>
      </c>
      <c r="CN292" s="94">
        <f t="shared" si="184"/>
        <v>0</v>
      </c>
      <c r="CO292" s="94">
        <f t="shared" si="185"/>
        <v>3.3143427465743357E-2</v>
      </c>
    </row>
    <row r="293" spans="1:93" ht="24.5" x14ac:dyDescent="0.35">
      <c r="A293" s="102">
        <v>112440</v>
      </c>
      <c r="B293" s="3" t="s">
        <v>72</v>
      </c>
      <c r="C293" s="45" t="s">
        <v>319</v>
      </c>
      <c r="D293" s="12" t="s">
        <v>320</v>
      </c>
      <c r="E293" s="4" t="s">
        <v>187</v>
      </c>
      <c r="F293" s="4" t="s">
        <v>321</v>
      </c>
      <c r="G293" s="12" t="s">
        <v>321</v>
      </c>
      <c r="H293" s="51" t="s">
        <v>189</v>
      </c>
      <c r="I293" s="23" t="s">
        <v>86</v>
      </c>
      <c r="J293" s="90">
        <v>187</v>
      </c>
      <c r="K293" s="90">
        <v>207</v>
      </c>
      <c r="L293" s="90">
        <v>17</v>
      </c>
      <c r="M293" s="90">
        <v>29</v>
      </c>
      <c r="N293" s="18">
        <v>191.5</v>
      </c>
      <c r="O293" s="18">
        <v>182</v>
      </c>
      <c r="P293" s="18">
        <v>26.5</v>
      </c>
      <c r="Q293" s="18">
        <v>28</v>
      </c>
      <c r="R293" s="90">
        <v>205</v>
      </c>
      <c r="S293" s="90">
        <v>215</v>
      </c>
      <c r="T293" s="90">
        <v>19</v>
      </c>
      <c r="U293" s="90">
        <v>37</v>
      </c>
      <c r="V293" s="90">
        <v>168</v>
      </c>
      <c r="W293" s="90">
        <v>201</v>
      </c>
      <c r="X293" s="90">
        <v>28</v>
      </c>
      <c r="Y293" s="90">
        <v>27</v>
      </c>
      <c r="Z293" s="90">
        <v>210</v>
      </c>
      <c r="AA293" s="90">
        <v>205</v>
      </c>
      <c r="AB293" s="90">
        <v>28</v>
      </c>
      <c r="AC293" s="90">
        <v>35</v>
      </c>
      <c r="AD293" s="90">
        <v>238</v>
      </c>
      <c r="AE293" s="90">
        <v>217.500001</v>
      </c>
      <c r="AF293" s="90">
        <v>28</v>
      </c>
      <c r="AG293" s="90">
        <v>22.5</v>
      </c>
      <c r="AH293" s="90">
        <v>219</v>
      </c>
      <c r="AI293" s="90">
        <v>231</v>
      </c>
      <c r="AJ293" s="90">
        <v>33</v>
      </c>
      <c r="AK293" s="90">
        <v>35</v>
      </c>
      <c r="AL293" s="90">
        <v>199</v>
      </c>
      <c r="AM293" s="90">
        <v>188</v>
      </c>
      <c r="AN293" s="90">
        <v>23</v>
      </c>
      <c r="AO293" s="90">
        <v>22</v>
      </c>
      <c r="AP293" s="90">
        <v>206</v>
      </c>
      <c r="AQ293" s="90">
        <v>219</v>
      </c>
      <c r="AR293" s="90">
        <v>32</v>
      </c>
      <c r="AS293" s="90">
        <v>37</v>
      </c>
      <c r="AT293" s="90">
        <v>168</v>
      </c>
      <c r="AU293" s="90">
        <v>191</v>
      </c>
      <c r="AV293" s="90">
        <v>14</v>
      </c>
      <c r="AW293" s="90">
        <v>33</v>
      </c>
      <c r="AX293" s="90">
        <v>214</v>
      </c>
      <c r="AY293" s="90">
        <v>173</v>
      </c>
      <c r="AZ293" s="90">
        <v>38</v>
      </c>
      <c r="BA293" s="90">
        <v>23</v>
      </c>
      <c r="BB293" s="90">
        <v>181</v>
      </c>
      <c r="BC293" s="90">
        <v>220</v>
      </c>
      <c r="BD293" s="90">
        <v>19</v>
      </c>
      <c r="BE293" s="90">
        <v>26</v>
      </c>
      <c r="BF293" s="23">
        <v>28.641780000000001</v>
      </c>
      <c r="BG293" s="23">
        <v>77.233810000000005</v>
      </c>
      <c r="BH293" s="31">
        <f t="shared" si="155"/>
        <v>181</v>
      </c>
      <c r="BI293" s="31">
        <f t="shared" si="156"/>
        <v>220</v>
      </c>
      <c r="BJ293" s="37">
        <f t="shared" si="157"/>
        <v>-39</v>
      </c>
      <c r="BK293" s="37">
        <f t="shared" si="158"/>
        <v>-17.727272727272727</v>
      </c>
      <c r="BL293" s="36">
        <f t="shared" si="159"/>
        <v>19</v>
      </c>
      <c r="BM293" s="36">
        <f t="shared" si="160"/>
        <v>26</v>
      </c>
      <c r="BN293" s="37">
        <f t="shared" si="161"/>
        <v>-7</v>
      </c>
      <c r="BO293" s="37">
        <f t="shared" si="162"/>
        <v>-26.923076923076923</v>
      </c>
      <c r="BP293" s="38">
        <f t="shared" si="163"/>
        <v>2397</v>
      </c>
      <c r="BQ293" s="39">
        <f>J293+N293+S293+W293+AA293+AE293+AI293+AM293+AQ293+AU293+Table1[[#This Row],[MS-0225]]+Table1[[#This Row],[MS-0325]]</f>
        <v>2439.0000009999999</v>
      </c>
      <c r="BR293" s="37">
        <f t="shared" si="164"/>
        <v>-42.000000999999884</v>
      </c>
      <c r="BS293" s="37">
        <f t="shared" si="165"/>
        <v>-1.7220172604665729</v>
      </c>
      <c r="BT293" s="36">
        <f t="shared" si="166"/>
        <v>319</v>
      </c>
      <c r="BU293" s="36">
        <f t="shared" si="167"/>
        <v>341</v>
      </c>
      <c r="BV293" s="37">
        <f t="shared" si="168"/>
        <v>-22</v>
      </c>
      <c r="BW293" s="37">
        <f t="shared" si="169"/>
        <v>-6.4516129032258061</v>
      </c>
      <c r="BX293">
        <v>23</v>
      </c>
      <c r="BY293" s="83">
        <f t="shared" si="170"/>
        <v>0.1270718232044199</v>
      </c>
      <c r="BZ293">
        <v>149</v>
      </c>
      <c r="CA293" s="83">
        <f t="shared" si="171"/>
        <v>6.2161034626616603E-2</v>
      </c>
      <c r="CB293" s="96">
        <f t="shared" si="172"/>
        <v>0.12598166514351827</v>
      </c>
      <c r="CC293" s="96">
        <f t="shared" si="173"/>
        <v>0.15611096367297878</v>
      </c>
      <c r="CD293" s="97">
        <f t="shared" si="174"/>
        <v>-3.0129298529460502E-2</v>
      </c>
      <c r="CE293" s="96">
        <f t="shared" si="175"/>
        <v>4.9436810649209399E-2</v>
      </c>
      <c r="CF293" s="96">
        <f t="shared" si="176"/>
        <v>7.9120183558825871E-2</v>
      </c>
      <c r="CG293" s="96">
        <f t="shared" si="177"/>
        <v>-2.9683372909616472E-2</v>
      </c>
      <c r="CH293" s="95">
        <f t="shared" si="178"/>
        <v>0.13897107140608464</v>
      </c>
      <c r="CI293" s="95">
        <f t="shared" si="179"/>
        <v>0.14901568091282549</v>
      </c>
      <c r="CJ293" s="98">
        <f t="shared" si="180"/>
        <v>-1.0044609506740854E-2</v>
      </c>
      <c r="CK293" s="95">
        <f t="shared" si="181"/>
        <v>7.846057884722471E-2</v>
      </c>
      <c r="CL293" s="95">
        <f t="shared" si="182"/>
        <v>8.5611666485066171E-2</v>
      </c>
      <c r="CM293" s="98">
        <f t="shared" si="183"/>
        <v>-7.1510876378414606E-3</v>
      </c>
      <c r="CN293" s="94">
        <f t="shared" si="184"/>
        <v>0.83382642843650778</v>
      </c>
      <c r="CO293" s="94">
        <f t="shared" si="185"/>
        <v>0.47076347308334826</v>
      </c>
    </row>
    <row r="294" spans="1:93" ht="48.5" x14ac:dyDescent="0.35">
      <c r="A294" s="104">
        <v>106223</v>
      </c>
      <c r="B294" s="5" t="s">
        <v>581</v>
      </c>
      <c r="C294" s="46" t="s">
        <v>675</v>
      </c>
      <c r="D294" s="13" t="s">
        <v>676</v>
      </c>
      <c r="E294" s="6" t="s">
        <v>75</v>
      </c>
      <c r="F294" s="6" t="s">
        <v>667</v>
      </c>
      <c r="G294" s="12" t="s">
        <v>667</v>
      </c>
      <c r="H294" s="51" t="s">
        <v>77</v>
      </c>
      <c r="I294" s="24" t="s">
        <v>78</v>
      </c>
      <c r="J294" s="19">
        <v>135</v>
      </c>
      <c r="K294" s="19">
        <v>180</v>
      </c>
      <c r="L294" s="19">
        <v>117</v>
      </c>
      <c r="M294" s="19">
        <v>120</v>
      </c>
      <c r="N294" s="18">
        <v>157.5</v>
      </c>
      <c r="O294" s="18">
        <v>180</v>
      </c>
      <c r="P294" s="18">
        <v>130.5</v>
      </c>
      <c r="Q294" s="18">
        <v>140</v>
      </c>
      <c r="R294" s="19">
        <v>170</v>
      </c>
      <c r="S294" s="19">
        <v>153</v>
      </c>
      <c r="T294" s="19">
        <v>90</v>
      </c>
      <c r="U294" s="19">
        <v>117</v>
      </c>
      <c r="V294" s="19">
        <v>150</v>
      </c>
      <c r="W294" s="19">
        <v>157.5</v>
      </c>
      <c r="X294" s="19">
        <v>90</v>
      </c>
      <c r="Y294" s="19">
        <v>112.5</v>
      </c>
      <c r="Z294" s="19">
        <v>175</v>
      </c>
      <c r="AA294" s="19">
        <v>162</v>
      </c>
      <c r="AB294" s="19">
        <v>105</v>
      </c>
      <c r="AC294" s="19">
        <v>108</v>
      </c>
      <c r="AD294" s="19">
        <v>160</v>
      </c>
      <c r="AE294" s="19">
        <v>160</v>
      </c>
      <c r="AF294" s="19">
        <v>100</v>
      </c>
      <c r="AG294" s="19">
        <v>100</v>
      </c>
      <c r="AH294" s="19">
        <v>180</v>
      </c>
      <c r="AI294" s="19">
        <v>165</v>
      </c>
      <c r="AJ294" s="19">
        <v>120</v>
      </c>
      <c r="AK294" s="19">
        <v>75</v>
      </c>
      <c r="AL294" s="19">
        <v>180</v>
      </c>
      <c r="AM294" s="19">
        <v>170</v>
      </c>
      <c r="AN294" s="19">
        <v>100</v>
      </c>
      <c r="AO294" s="19">
        <v>90</v>
      </c>
      <c r="AP294" s="19">
        <v>175</v>
      </c>
      <c r="AQ294" s="19">
        <v>175</v>
      </c>
      <c r="AR294" s="19">
        <v>125</v>
      </c>
      <c r="AS294" s="19">
        <v>105</v>
      </c>
      <c r="AT294" s="19">
        <v>155</v>
      </c>
      <c r="AU294" s="19">
        <v>150</v>
      </c>
      <c r="AV294" s="19">
        <v>85</v>
      </c>
      <c r="AW294" s="19">
        <v>90</v>
      </c>
      <c r="AX294" s="19">
        <v>145</v>
      </c>
      <c r="AY294" s="19">
        <v>160</v>
      </c>
      <c r="AZ294" s="19">
        <v>95</v>
      </c>
      <c r="BA294" s="19">
        <v>100</v>
      </c>
      <c r="BB294" s="19">
        <v>180</v>
      </c>
      <c r="BC294" s="19">
        <v>165</v>
      </c>
      <c r="BD294" s="19">
        <v>100</v>
      </c>
      <c r="BE294" s="19">
        <v>95</v>
      </c>
      <c r="BF294" s="23">
        <v>28.628779000000002</v>
      </c>
      <c r="BG294" s="23">
        <v>77.325242000000003</v>
      </c>
      <c r="BH294" s="31">
        <f t="shared" si="155"/>
        <v>180</v>
      </c>
      <c r="BI294" s="31">
        <f t="shared" si="156"/>
        <v>165</v>
      </c>
      <c r="BJ294" s="37">
        <f t="shared" si="157"/>
        <v>15</v>
      </c>
      <c r="BK294" s="37">
        <f t="shared" si="158"/>
        <v>9.0909090909090917</v>
      </c>
      <c r="BL294" s="36">
        <f t="shared" si="159"/>
        <v>100</v>
      </c>
      <c r="BM294" s="36">
        <f t="shared" si="160"/>
        <v>95</v>
      </c>
      <c r="BN294" s="37">
        <f t="shared" si="161"/>
        <v>5</v>
      </c>
      <c r="BO294" s="37">
        <f t="shared" si="162"/>
        <v>5.2631578947368416</v>
      </c>
      <c r="BP294" s="38">
        <f t="shared" si="163"/>
        <v>2030</v>
      </c>
      <c r="BQ294" s="39">
        <f>J294+N294+S294+W294+AA294+AE294+AI294+AM294+AQ294+AU294+Table1[[#This Row],[MS-0225]]+Table1[[#This Row],[MS-0325]]</f>
        <v>1910</v>
      </c>
      <c r="BR294" s="37">
        <f t="shared" si="164"/>
        <v>120</v>
      </c>
      <c r="BS294" s="37">
        <f t="shared" si="165"/>
        <v>6.2827225130890048</v>
      </c>
      <c r="BT294" s="36">
        <f t="shared" si="166"/>
        <v>1270</v>
      </c>
      <c r="BU294" s="36">
        <f t="shared" si="167"/>
        <v>1240</v>
      </c>
      <c r="BV294" s="37">
        <f t="shared" si="168"/>
        <v>30</v>
      </c>
      <c r="BW294" s="37">
        <f t="shared" si="169"/>
        <v>2.4193548387096775</v>
      </c>
      <c r="BX294">
        <v>0</v>
      </c>
      <c r="BY294" s="83">
        <f t="shared" si="170"/>
        <v>0</v>
      </c>
      <c r="BZ294">
        <v>0</v>
      </c>
      <c r="CA294" s="83">
        <f t="shared" si="171"/>
        <v>0</v>
      </c>
      <c r="CB294" s="96">
        <f t="shared" si="172"/>
        <v>9.8333788582354545E-2</v>
      </c>
      <c r="CC294" s="96">
        <f t="shared" si="173"/>
        <v>9.880239520958084E-2</v>
      </c>
      <c r="CD294" s="97">
        <f t="shared" si="174"/>
        <v>-4.6860662722629509E-4</v>
      </c>
      <c r="CE294" s="96">
        <f t="shared" si="175"/>
        <v>0.25940337224383919</v>
      </c>
      <c r="CF294" s="96">
        <f t="shared" si="176"/>
        <v>0.23170731707317074</v>
      </c>
      <c r="CG294" s="96">
        <f t="shared" si="177"/>
        <v>2.7696055170668449E-2</v>
      </c>
      <c r="CH294" s="95">
        <f t="shared" si="178"/>
        <v>9.6786497568418048E-2</v>
      </c>
      <c r="CI294" s="95">
        <f t="shared" si="179"/>
        <v>9.6078875223219895E-2</v>
      </c>
      <c r="CJ294" s="98">
        <f t="shared" si="180"/>
        <v>7.0762234519815281E-4</v>
      </c>
      <c r="CK294" s="95">
        <f t="shared" si="181"/>
        <v>0.27102005975245413</v>
      </c>
      <c r="CL294" s="95">
        <f t="shared" si="182"/>
        <v>0.24387845412528272</v>
      </c>
      <c r="CM294" s="98">
        <f t="shared" si="183"/>
        <v>2.7141605627171411E-2</v>
      </c>
      <c r="CN294" s="94">
        <f t="shared" si="184"/>
        <v>0.48393248784209025</v>
      </c>
      <c r="CO294" s="94">
        <f t="shared" si="185"/>
        <v>1.3551002987622707</v>
      </c>
    </row>
    <row r="295" spans="1:93" ht="36.5" x14ac:dyDescent="0.35">
      <c r="A295" s="104">
        <v>354260</v>
      </c>
      <c r="B295" s="5" t="s">
        <v>581</v>
      </c>
      <c r="C295" s="46" t="s">
        <v>812</v>
      </c>
      <c r="D295" s="13" t="s">
        <v>813</v>
      </c>
      <c r="E295" s="6" t="s">
        <v>200</v>
      </c>
      <c r="F295" s="6" t="s">
        <v>814</v>
      </c>
      <c r="G295" s="12" t="s">
        <v>814</v>
      </c>
      <c r="H295" s="51" t="s">
        <v>91</v>
      </c>
      <c r="I295" s="24" t="s">
        <v>83</v>
      </c>
      <c r="J295" s="19">
        <v>125.5</v>
      </c>
      <c r="K295" s="19">
        <v>135.5</v>
      </c>
      <c r="L295" s="19">
        <v>66.5</v>
      </c>
      <c r="M295" s="19">
        <v>52.5</v>
      </c>
      <c r="N295" s="18">
        <v>132.5</v>
      </c>
      <c r="O295" s="18">
        <v>141.5</v>
      </c>
      <c r="P295" s="18">
        <v>53.5</v>
      </c>
      <c r="Q295" s="18">
        <v>54.5</v>
      </c>
      <c r="R295" s="19">
        <v>153.5</v>
      </c>
      <c r="S295" s="19">
        <v>124.5</v>
      </c>
      <c r="T295" s="19">
        <v>54.5</v>
      </c>
      <c r="U295" s="19">
        <v>49.5</v>
      </c>
      <c r="V295" s="19">
        <v>167.5</v>
      </c>
      <c r="W295" s="19">
        <v>145.5</v>
      </c>
      <c r="X295" s="19">
        <v>62.5</v>
      </c>
      <c r="Y295" s="19">
        <v>48.5</v>
      </c>
      <c r="Z295" s="19">
        <v>169.5</v>
      </c>
      <c r="AA295" s="19">
        <v>140</v>
      </c>
      <c r="AB295" s="19">
        <v>40.5</v>
      </c>
      <c r="AC295" s="19">
        <v>40</v>
      </c>
      <c r="AD295" s="19">
        <v>166.5</v>
      </c>
      <c r="AE295" s="19">
        <v>132</v>
      </c>
      <c r="AF295" s="19">
        <v>49.5</v>
      </c>
      <c r="AG295" s="19">
        <v>36</v>
      </c>
      <c r="AH295" s="19">
        <v>189.5</v>
      </c>
      <c r="AI295" s="19">
        <v>148.5</v>
      </c>
      <c r="AJ295" s="19">
        <v>52.5</v>
      </c>
      <c r="AK295" s="19">
        <v>43.5</v>
      </c>
      <c r="AL295" s="19">
        <v>148</v>
      </c>
      <c r="AM295" s="19">
        <v>137</v>
      </c>
      <c r="AN295" s="19">
        <v>62</v>
      </c>
      <c r="AO295" s="19">
        <v>43</v>
      </c>
      <c r="AP295" s="19">
        <v>161</v>
      </c>
      <c r="AQ295" s="19">
        <v>132.5</v>
      </c>
      <c r="AR295" s="19">
        <v>49</v>
      </c>
      <c r="AS295" s="19">
        <v>35.5</v>
      </c>
      <c r="AT295" s="19">
        <v>147</v>
      </c>
      <c r="AU295" s="19">
        <v>134.5</v>
      </c>
      <c r="AV295" s="19">
        <v>45</v>
      </c>
      <c r="AW295" s="19">
        <v>57.5</v>
      </c>
      <c r="AX295" s="19">
        <v>165</v>
      </c>
      <c r="AY295" s="19">
        <v>124.5</v>
      </c>
      <c r="AZ295" s="19">
        <v>57</v>
      </c>
      <c r="BA295" s="19">
        <v>45.5</v>
      </c>
      <c r="BB295" s="19">
        <v>179.5</v>
      </c>
      <c r="BC295" s="19">
        <v>124</v>
      </c>
      <c r="BD295" s="19">
        <v>76.5</v>
      </c>
      <c r="BE295" s="19">
        <v>44</v>
      </c>
      <c r="BF295" s="23">
        <v>28.853674000000002</v>
      </c>
      <c r="BG295" s="23">
        <v>77.094342999999995</v>
      </c>
      <c r="BH295" s="31">
        <f t="shared" si="155"/>
        <v>179.5</v>
      </c>
      <c r="BI295" s="31">
        <f t="shared" si="156"/>
        <v>124</v>
      </c>
      <c r="BJ295" s="37">
        <f t="shared" si="157"/>
        <v>55.5</v>
      </c>
      <c r="BK295" s="37">
        <f t="shared" si="158"/>
        <v>44.758064516129032</v>
      </c>
      <c r="BL295" s="36">
        <f t="shared" si="159"/>
        <v>76.5</v>
      </c>
      <c r="BM295" s="36">
        <f t="shared" si="160"/>
        <v>44</v>
      </c>
      <c r="BN295" s="37">
        <f t="shared" si="161"/>
        <v>32.5</v>
      </c>
      <c r="BO295" s="37">
        <f t="shared" si="162"/>
        <v>73.86363636363636</v>
      </c>
      <c r="BP295" s="38">
        <f t="shared" si="163"/>
        <v>1924</v>
      </c>
      <c r="BQ295" s="39">
        <f>J295+N295+S295+W295+AA295+AE295+AI295+AM295+AQ295+AU295+Table1[[#This Row],[MS-0225]]+Table1[[#This Row],[MS-0325]]</f>
        <v>1601</v>
      </c>
      <c r="BR295" s="37">
        <f t="shared" si="164"/>
        <v>323</v>
      </c>
      <c r="BS295" s="37">
        <f t="shared" si="165"/>
        <v>20.174890693316677</v>
      </c>
      <c r="BT295" s="36">
        <f t="shared" si="166"/>
        <v>656</v>
      </c>
      <c r="BU295" s="36">
        <f t="shared" si="167"/>
        <v>563</v>
      </c>
      <c r="BV295" s="37">
        <f t="shared" si="168"/>
        <v>93</v>
      </c>
      <c r="BW295" s="37">
        <f t="shared" si="169"/>
        <v>16.518650088809945</v>
      </c>
      <c r="BX295">
        <v>0</v>
      </c>
      <c r="BY295" s="83">
        <f t="shared" si="170"/>
        <v>0</v>
      </c>
      <c r="BZ295">
        <v>0</v>
      </c>
      <c r="CA295" s="83">
        <f t="shared" si="171"/>
        <v>0</v>
      </c>
      <c r="CB295" s="96">
        <f t="shared" si="172"/>
        <v>0.69171483622350671</v>
      </c>
      <c r="CC295" s="96">
        <f t="shared" si="173"/>
        <v>0.55605381165919288</v>
      </c>
      <c r="CD295" s="97">
        <f t="shared" si="174"/>
        <v>0.13566102456431384</v>
      </c>
      <c r="CE295" s="96">
        <f t="shared" si="175"/>
        <v>0.9503105590062112</v>
      </c>
      <c r="CF295" s="96">
        <f t="shared" si="176"/>
        <v>0.72131147540983609</v>
      </c>
      <c r="CG295" s="96">
        <f t="shared" si="177"/>
        <v>0.22899908359637511</v>
      </c>
      <c r="CH295" s="95">
        <f t="shared" si="178"/>
        <v>0.67853994004584728</v>
      </c>
      <c r="CI295" s="95">
        <f t="shared" si="179"/>
        <v>0.62490241998438723</v>
      </c>
      <c r="CJ295" s="98">
        <f t="shared" si="180"/>
        <v>5.3637520061460053E-2</v>
      </c>
      <c r="CK295" s="95">
        <f t="shared" si="181"/>
        <v>0.88588791357191088</v>
      </c>
      <c r="CL295" s="95">
        <f t="shared" si="182"/>
        <v>0.68159806295399517</v>
      </c>
      <c r="CM295" s="98">
        <f t="shared" si="183"/>
        <v>0.20428985061791571</v>
      </c>
      <c r="CN295" s="94">
        <f t="shared" si="184"/>
        <v>1.3570798800916946</v>
      </c>
      <c r="CO295" s="94">
        <f t="shared" si="185"/>
        <v>1.7717758271438218</v>
      </c>
    </row>
    <row r="296" spans="1:93" ht="24.5" x14ac:dyDescent="0.35">
      <c r="A296" s="104">
        <v>106373</v>
      </c>
      <c r="B296" s="5" t="s">
        <v>581</v>
      </c>
      <c r="C296" s="46" t="s">
        <v>753</v>
      </c>
      <c r="D296" s="13" t="s">
        <v>754</v>
      </c>
      <c r="E296" s="6" t="s">
        <v>85</v>
      </c>
      <c r="F296" s="6" t="s">
        <v>177</v>
      </c>
      <c r="G296" s="12" t="s">
        <v>177</v>
      </c>
      <c r="H296" s="51" t="s">
        <v>178</v>
      </c>
      <c r="I296" s="24" t="s">
        <v>86</v>
      </c>
      <c r="J296" s="19">
        <v>81</v>
      </c>
      <c r="K296" s="19">
        <v>99</v>
      </c>
      <c r="L296" s="19">
        <v>459</v>
      </c>
      <c r="M296" s="19">
        <v>497</v>
      </c>
      <c r="N296" s="18">
        <v>99</v>
      </c>
      <c r="O296" s="18">
        <v>103.5</v>
      </c>
      <c r="P296" s="18">
        <v>495</v>
      </c>
      <c r="Q296" s="18">
        <v>490.5</v>
      </c>
      <c r="R296" s="19">
        <v>94.5</v>
      </c>
      <c r="S296" s="19">
        <v>99</v>
      </c>
      <c r="T296" s="19">
        <v>427.5</v>
      </c>
      <c r="U296" s="19">
        <v>459</v>
      </c>
      <c r="V296" s="19">
        <v>103.5</v>
      </c>
      <c r="W296" s="19">
        <v>94.5</v>
      </c>
      <c r="X296" s="19">
        <v>490.5</v>
      </c>
      <c r="Y296" s="19">
        <v>463.5</v>
      </c>
      <c r="Z296" s="19">
        <v>103.5</v>
      </c>
      <c r="AA296" s="19">
        <v>90</v>
      </c>
      <c r="AB296" s="19">
        <v>508.5</v>
      </c>
      <c r="AC296" s="19">
        <v>450</v>
      </c>
      <c r="AD296" s="19">
        <v>103.5</v>
      </c>
      <c r="AE296" s="19">
        <v>99</v>
      </c>
      <c r="AF296" s="19">
        <v>526.5</v>
      </c>
      <c r="AG296" s="19">
        <v>459</v>
      </c>
      <c r="AH296" s="19">
        <v>99</v>
      </c>
      <c r="AI296" s="19">
        <v>99</v>
      </c>
      <c r="AJ296" s="19">
        <v>445</v>
      </c>
      <c r="AK296" s="19">
        <v>513</v>
      </c>
      <c r="AL296" s="19">
        <v>100</v>
      </c>
      <c r="AM296" s="19">
        <v>99</v>
      </c>
      <c r="AN296" s="19">
        <v>480</v>
      </c>
      <c r="AO296" s="19">
        <v>423</v>
      </c>
      <c r="AP296" s="19">
        <v>100</v>
      </c>
      <c r="AQ296" s="19">
        <v>90</v>
      </c>
      <c r="AR296" s="19">
        <v>440</v>
      </c>
      <c r="AS296" s="19">
        <v>504</v>
      </c>
      <c r="AT296" s="19">
        <v>100</v>
      </c>
      <c r="AU296" s="19">
        <v>90</v>
      </c>
      <c r="AV296" s="19">
        <v>480</v>
      </c>
      <c r="AW296" s="19">
        <v>540</v>
      </c>
      <c r="AX296" s="19">
        <v>95</v>
      </c>
      <c r="AY296" s="19">
        <v>81</v>
      </c>
      <c r="AZ296" s="19">
        <v>465</v>
      </c>
      <c r="BA296" s="19">
        <v>495</v>
      </c>
      <c r="BB296" s="19">
        <v>110</v>
      </c>
      <c r="BC296" s="19">
        <v>94.5</v>
      </c>
      <c r="BD296" s="19">
        <v>450</v>
      </c>
      <c r="BE296" s="19">
        <v>463.5</v>
      </c>
      <c r="BF296" s="23">
        <v>28.6738</v>
      </c>
      <c r="BG296" s="23">
        <v>77.142700000000005</v>
      </c>
      <c r="BH296" s="31">
        <f t="shared" si="155"/>
        <v>110</v>
      </c>
      <c r="BI296" s="31">
        <f t="shared" si="156"/>
        <v>94.5</v>
      </c>
      <c r="BJ296" s="37">
        <f t="shared" si="157"/>
        <v>15.5</v>
      </c>
      <c r="BK296" s="37">
        <f t="shared" si="158"/>
        <v>16.402116402116402</v>
      </c>
      <c r="BL296" s="36">
        <f t="shared" si="159"/>
        <v>450</v>
      </c>
      <c r="BM296" s="36">
        <f t="shared" si="160"/>
        <v>463.5</v>
      </c>
      <c r="BN296" s="37">
        <f t="shared" si="161"/>
        <v>-13.5</v>
      </c>
      <c r="BO296" s="37">
        <f t="shared" si="162"/>
        <v>-2.912621359223301</v>
      </c>
      <c r="BP296" s="38">
        <f t="shared" si="163"/>
        <v>1211.5</v>
      </c>
      <c r="BQ296" s="39">
        <f>J296+N296+S296+W296+AA296+AE296+AI296+AM296+AQ296+AU296+Table1[[#This Row],[MS-0225]]+Table1[[#This Row],[MS-0325]]</f>
        <v>1116</v>
      </c>
      <c r="BR296" s="37">
        <f t="shared" si="164"/>
        <v>95.5</v>
      </c>
      <c r="BS296" s="37">
        <f t="shared" si="165"/>
        <v>8.5573476702508966</v>
      </c>
      <c r="BT296" s="36">
        <f t="shared" si="166"/>
        <v>5700.5</v>
      </c>
      <c r="BU296" s="36">
        <f t="shared" si="167"/>
        <v>5724</v>
      </c>
      <c r="BV296" s="37">
        <f t="shared" si="168"/>
        <v>-23.5</v>
      </c>
      <c r="BW296" s="37">
        <f t="shared" si="169"/>
        <v>-0.41055206149545775</v>
      </c>
      <c r="BX296">
        <v>0</v>
      </c>
      <c r="BY296" s="83">
        <f t="shared" si="170"/>
        <v>0</v>
      </c>
      <c r="BZ296">
        <v>0</v>
      </c>
      <c r="CA296" s="83">
        <f t="shared" si="171"/>
        <v>0</v>
      </c>
      <c r="CB296" s="96">
        <f t="shared" si="172"/>
        <v>0.19278223318938928</v>
      </c>
      <c r="CC296" s="96">
        <f t="shared" si="173"/>
        <v>0.17626354851164552</v>
      </c>
      <c r="CD296" s="97">
        <f t="shared" si="174"/>
        <v>1.6518684677743756E-2</v>
      </c>
      <c r="CE296" s="96">
        <f t="shared" si="175"/>
        <v>0.44319081629839152</v>
      </c>
      <c r="CF296" s="96">
        <f t="shared" si="176"/>
        <v>0.49031742102557263</v>
      </c>
      <c r="CG296" s="96">
        <f t="shared" si="177"/>
        <v>-4.7126604727181109E-2</v>
      </c>
      <c r="CH296" s="95">
        <f t="shared" si="178"/>
        <v>0.17821116588936786</v>
      </c>
      <c r="CI296" s="95">
        <f t="shared" si="179"/>
        <v>0.17835484911835009</v>
      </c>
      <c r="CJ296" s="98">
        <f t="shared" si="180"/>
        <v>-1.4368322898222763E-4</v>
      </c>
      <c r="CK296" s="95">
        <f t="shared" si="181"/>
        <v>0.51063272504991886</v>
      </c>
      <c r="CL296" s="95">
        <f t="shared" si="182"/>
        <v>0.46184285627376076</v>
      </c>
      <c r="CM296" s="98">
        <f t="shared" si="183"/>
        <v>4.8789868776158096E-2</v>
      </c>
      <c r="CN296" s="94">
        <f t="shared" si="184"/>
        <v>0.89105582944683936</v>
      </c>
      <c r="CO296" s="94">
        <f t="shared" si="185"/>
        <v>2.5531636252495944</v>
      </c>
    </row>
    <row r="297" spans="1:93" ht="24.5" x14ac:dyDescent="0.35">
      <c r="A297" s="103">
        <v>41019250</v>
      </c>
      <c r="B297" s="9" t="s">
        <v>380</v>
      </c>
      <c r="C297" s="47" t="s">
        <v>491</v>
      </c>
      <c r="D297" s="14" t="s">
        <v>492</v>
      </c>
      <c r="E297" s="10" t="s">
        <v>111</v>
      </c>
      <c r="F297" s="10" t="s">
        <v>271</v>
      </c>
      <c r="G297" s="12" t="s">
        <v>271</v>
      </c>
      <c r="H297" s="51" t="s">
        <v>113</v>
      </c>
      <c r="I297" s="25" t="s">
        <v>78</v>
      </c>
      <c r="J297" s="20">
        <v>153</v>
      </c>
      <c r="K297" s="20">
        <v>186</v>
      </c>
      <c r="L297" s="20">
        <v>45</v>
      </c>
      <c r="M297" s="20">
        <v>73</v>
      </c>
      <c r="N297" s="18">
        <v>180</v>
      </c>
      <c r="O297" s="18">
        <v>194</v>
      </c>
      <c r="P297" s="18">
        <v>54</v>
      </c>
      <c r="Q297" s="18">
        <v>69</v>
      </c>
      <c r="R297" s="20">
        <v>168</v>
      </c>
      <c r="S297" s="20">
        <v>151.5</v>
      </c>
      <c r="T297" s="20">
        <v>60</v>
      </c>
      <c r="U297" s="20">
        <v>52.5</v>
      </c>
      <c r="V297" s="20">
        <v>198</v>
      </c>
      <c r="W297" s="20">
        <v>193.5</v>
      </c>
      <c r="X297" s="20">
        <v>62</v>
      </c>
      <c r="Y297" s="20">
        <v>58.5</v>
      </c>
      <c r="Z297" s="20">
        <v>199</v>
      </c>
      <c r="AA297" s="20">
        <v>175.5</v>
      </c>
      <c r="AB297" s="20">
        <v>61</v>
      </c>
      <c r="AC297" s="20">
        <v>40.5</v>
      </c>
      <c r="AD297" s="20">
        <v>203</v>
      </c>
      <c r="AE297" s="20">
        <v>189</v>
      </c>
      <c r="AF297" s="20">
        <v>65</v>
      </c>
      <c r="AG297" s="20">
        <v>81</v>
      </c>
      <c r="AH297" s="20">
        <v>203.5</v>
      </c>
      <c r="AI297" s="20">
        <v>171</v>
      </c>
      <c r="AJ297" s="20">
        <v>65.5</v>
      </c>
      <c r="AK297" s="20">
        <v>81</v>
      </c>
      <c r="AL297" s="20">
        <v>177.5</v>
      </c>
      <c r="AM297" s="20">
        <v>175.5</v>
      </c>
      <c r="AN297" s="20">
        <v>60.5</v>
      </c>
      <c r="AO297" s="20">
        <v>76.5</v>
      </c>
      <c r="AP297" s="20">
        <v>177</v>
      </c>
      <c r="AQ297" s="20">
        <v>180</v>
      </c>
      <c r="AR297" s="20">
        <v>56</v>
      </c>
      <c r="AS297" s="20">
        <v>72</v>
      </c>
      <c r="AT297" s="20">
        <v>183.5</v>
      </c>
      <c r="AU297" s="20">
        <v>154.5</v>
      </c>
      <c r="AV297" s="20">
        <v>59.5</v>
      </c>
      <c r="AW297" s="20">
        <v>60.5</v>
      </c>
      <c r="AX297" s="20">
        <v>173</v>
      </c>
      <c r="AY297" s="20">
        <v>174.5</v>
      </c>
      <c r="AZ297" s="20">
        <v>61</v>
      </c>
      <c r="BA297" s="20">
        <v>71.5</v>
      </c>
      <c r="BB297" s="20">
        <v>171.5</v>
      </c>
      <c r="BC297" s="20">
        <v>166.5</v>
      </c>
      <c r="BD297" s="20">
        <v>74.5</v>
      </c>
      <c r="BE297" s="20">
        <v>67.5</v>
      </c>
      <c r="BF297" s="23">
        <v>28.589300000000001</v>
      </c>
      <c r="BG297" s="23">
        <v>77.246809999999996</v>
      </c>
      <c r="BH297" s="31">
        <f t="shared" si="155"/>
        <v>171.5</v>
      </c>
      <c r="BI297" s="31">
        <f t="shared" si="156"/>
        <v>166.5</v>
      </c>
      <c r="BJ297" s="37">
        <f t="shared" si="157"/>
        <v>5</v>
      </c>
      <c r="BK297" s="37">
        <f t="shared" si="158"/>
        <v>3.0030030030030028</v>
      </c>
      <c r="BL297" s="36">
        <f t="shared" si="159"/>
        <v>74.5</v>
      </c>
      <c r="BM297" s="36">
        <f t="shared" si="160"/>
        <v>67.5</v>
      </c>
      <c r="BN297" s="37">
        <f t="shared" si="161"/>
        <v>7</v>
      </c>
      <c r="BO297" s="37">
        <f t="shared" si="162"/>
        <v>10.37037037037037</v>
      </c>
      <c r="BP297" s="38">
        <f t="shared" si="163"/>
        <v>2234</v>
      </c>
      <c r="BQ297" s="39">
        <f>J297+N297+S297+W297+AA297+AE297+AI297+AM297+AQ297+AU297+Table1[[#This Row],[MS-0225]]+Table1[[#This Row],[MS-0325]]</f>
        <v>2064.5</v>
      </c>
      <c r="BR297" s="37">
        <f t="shared" si="164"/>
        <v>169.5</v>
      </c>
      <c r="BS297" s="37">
        <f t="shared" si="165"/>
        <v>8.2102203923468142</v>
      </c>
      <c r="BT297" s="36">
        <f t="shared" si="166"/>
        <v>767</v>
      </c>
      <c r="BU297" s="36">
        <f t="shared" si="167"/>
        <v>760.5</v>
      </c>
      <c r="BV297" s="37">
        <f t="shared" si="168"/>
        <v>6.5</v>
      </c>
      <c r="BW297" s="37">
        <f t="shared" si="169"/>
        <v>0.85470085470085477</v>
      </c>
      <c r="BX297">
        <v>0</v>
      </c>
      <c r="BY297" s="83">
        <f t="shared" si="170"/>
        <v>0</v>
      </c>
      <c r="BZ297">
        <v>0</v>
      </c>
      <c r="CA297" s="83">
        <f t="shared" si="171"/>
        <v>0</v>
      </c>
      <c r="CB297" s="96">
        <f t="shared" si="172"/>
        <v>0.32854406130268199</v>
      </c>
      <c r="CC297" s="96">
        <f t="shared" si="173"/>
        <v>0.2975871313672922</v>
      </c>
      <c r="CD297" s="97">
        <f t="shared" si="174"/>
        <v>3.0956929935389788E-2</v>
      </c>
      <c r="CE297" s="96">
        <f t="shared" si="175"/>
        <v>0.40053763440860213</v>
      </c>
      <c r="CF297" s="96">
        <f t="shared" si="176"/>
        <v>0.33834586466165412</v>
      </c>
      <c r="CG297" s="96">
        <f t="shared" si="177"/>
        <v>6.2191769746948011E-2</v>
      </c>
      <c r="CH297" s="95">
        <f t="shared" si="178"/>
        <v>0.32318264014466547</v>
      </c>
      <c r="CI297" s="95">
        <f t="shared" si="179"/>
        <v>0.30774390698367743</v>
      </c>
      <c r="CJ297" s="98">
        <f t="shared" si="180"/>
        <v>1.5438733160988038E-2</v>
      </c>
      <c r="CK297" s="95">
        <f t="shared" si="181"/>
        <v>0.34855714610315836</v>
      </c>
      <c r="CL297" s="95">
        <f t="shared" si="182"/>
        <v>0.31047152480097978</v>
      </c>
      <c r="CM297" s="98">
        <f t="shared" si="183"/>
        <v>3.8085621302178574E-2</v>
      </c>
      <c r="CN297" s="94">
        <f t="shared" si="184"/>
        <v>0.9695479204339964</v>
      </c>
      <c r="CO297" s="94">
        <f t="shared" si="185"/>
        <v>1.045671438309475</v>
      </c>
    </row>
    <row r="298" spans="1:93" ht="24.5" x14ac:dyDescent="0.35">
      <c r="A298" s="104">
        <v>106348</v>
      </c>
      <c r="B298" s="5" t="s">
        <v>581</v>
      </c>
      <c r="C298" s="46" t="s">
        <v>673</v>
      </c>
      <c r="D298" s="13" t="s">
        <v>674</v>
      </c>
      <c r="E298" s="6" t="s">
        <v>85</v>
      </c>
      <c r="F298" s="6" t="s">
        <v>580</v>
      </c>
      <c r="G298" s="12" t="s">
        <v>580</v>
      </c>
      <c r="H298" s="51" t="s">
        <v>304</v>
      </c>
      <c r="I298" s="24" t="s">
        <v>86</v>
      </c>
      <c r="J298" s="19">
        <v>603</v>
      </c>
      <c r="K298" s="19">
        <v>629</v>
      </c>
      <c r="L298" s="19">
        <v>91</v>
      </c>
      <c r="M298" s="19">
        <v>81</v>
      </c>
      <c r="N298" s="18">
        <v>635</v>
      </c>
      <c r="O298" s="18">
        <v>671</v>
      </c>
      <c r="P298" s="18">
        <v>103</v>
      </c>
      <c r="Q298" s="18">
        <v>81</v>
      </c>
      <c r="R298" s="19">
        <v>631.5</v>
      </c>
      <c r="S298" s="19">
        <v>603</v>
      </c>
      <c r="T298" s="19">
        <v>76.5</v>
      </c>
      <c r="U298" s="19">
        <v>81</v>
      </c>
      <c r="V298" s="19">
        <v>681.5</v>
      </c>
      <c r="W298" s="19">
        <v>575.5</v>
      </c>
      <c r="X298" s="19">
        <v>76.5</v>
      </c>
      <c r="Y298" s="19">
        <v>94.5</v>
      </c>
      <c r="Z298" s="19">
        <v>688</v>
      </c>
      <c r="AA298" s="19">
        <v>651</v>
      </c>
      <c r="AB298" s="19">
        <v>72</v>
      </c>
      <c r="AC298" s="19">
        <v>87</v>
      </c>
      <c r="AD298" s="19">
        <v>645</v>
      </c>
      <c r="AE298" s="19">
        <v>617</v>
      </c>
      <c r="AF298" s="19">
        <v>77</v>
      </c>
      <c r="AG298" s="19">
        <v>83</v>
      </c>
      <c r="AH298" s="19">
        <v>706</v>
      </c>
      <c r="AI298" s="19">
        <v>607</v>
      </c>
      <c r="AJ298" s="19">
        <v>72</v>
      </c>
      <c r="AK298" s="19">
        <v>87</v>
      </c>
      <c r="AL298" s="19">
        <v>641</v>
      </c>
      <c r="AM298" s="19">
        <v>621</v>
      </c>
      <c r="AN298" s="19">
        <v>63</v>
      </c>
      <c r="AO298" s="19">
        <v>73</v>
      </c>
      <c r="AP298" s="19">
        <v>657</v>
      </c>
      <c r="AQ298" s="19">
        <v>602.5</v>
      </c>
      <c r="AR298" s="19">
        <v>63</v>
      </c>
      <c r="AS298" s="19">
        <v>67.5</v>
      </c>
      <c r="AT298" s="19">
        <v>644</v>
      </c>
      <c r="AU298" s="19">
        <v>570.5</v>
      </c>
      <c r="AV298" s="19">
        <v>72</v>
      </c>
      <c r="AW298" s="19">
        <v>59.5</v>
      </c>
      <c r="AX298" s="19">
        <v>614.5</v>
      </c>
      <c r="AY298" s="19">
        <v>573.5</v>
      </c>
      <c r="AZ298" s="19">
        <v>67.5</v>
      </c>
      <c r="BA298" s="19">
        <v>72.5</v>
      </c>
      <c r="BB298" s="19">
        <v>664.5</v>
      </c>
      <c r="BC298" s="19">
        <v>626.5</v>
      </c>
      <c r="BD298" s="19">
        <v>67.5</v>
      </c>
      <c r="BE298" s="19">
        <v>81.5</v>
      </c>
      <c r="BF298" s="23">
        <v>28.610600000000002</v>
      </c>
      <c r="BG298" s="23">
        <v>77.094499999999996</v>
      </c>
      <c r="BH298" s="31">
        <f t="shared" si="155"/>
        <v>664.5</v>
      </c>
      <c r="BI298" s="31">
        <f t="shared" si="156"/>
        <v>626.5</v>
      </c>
      <c r="BJ298" s="37">
        <f t="shared" si="157"/>
        <v>38</v>
      </c>
      <c r="BK298" s="37">
        <f t="shared" si="158"/>
        <v>6.0654429369513165</v>
      </c>
      <c r="BL298" s="36">
        <f t="shared" si="159"/>
        <v>67.5</v>
      </c>
      <c r="BM298" s="36">
        <f t="shared" si="160"/>
        <v>81.5</v>
      </c>
      <c r="BN298" s="37">
        <f t="shared" si="161"/>
        <v>-14</v>
      </c>
      <c r="BO298" s="37">
        <f t="shared" si="162"/>
        <v>-17.177914110429448</v>
      </c>
      <c r="BP298" s="38">
        <f t="shared" si="163"/>
        <v>7873</v>
      </c>
      <c r="BQ298" s="39">
        <f>J298+N298+S298+W298+AA298+AE298+AI298+AM298+AQ298+AU298+Table1[[#This Row],[MS-0225]]+Table1[[#This Row],[MS-0325]]</f>
        <v>7285.5</v>
      </c>
      <c r="BR298" s="37">
        <f t="shared" si="164"/>
        <v>587.5</v>
      </c>
      <c r="BS298" s="37">
        <f t="shared" si="165"/>
        <v>8.0639626655685959</v>
      </c>
      <c r="BT298" s="36">
        <f t="shared" si="166"/>
        <v>869</v>
      </c>
      <c r="BU298" s="36">
        <f t="shared" si="167"/>
        <v>980.5</v>
      </c>
      <c r="BV298" s="37">
        <f t="shared" si="168"/>
        <v>-111.5</v>
      </c>
      <c r="BW298" s="37">
        <f t="shared" si="169"/>
        <v>-11.371749107598164</v>
      </c>
      <c r="BX298">
        <v>0</v>
      </c>
      <c r="BY298" s="83">
        <f t="shared" si="170"/>
        <v>0</v>
      </c>
      <c r="BZ298">
        <v>0</v>
      </c>
      <c r="CA298" s="83">
        <f t="shared" si="171"/>
        <v>0</v>
      </c>
      <c r="CB298" s="96">
        <f t="shared" si="172"/>
        <v>0.33442375440362354</v>
      </c>
      <c r="CC298" s="96">
        <f t="shared" si="173"/>
        <v>0.34225621414913959</v>
      </c>
      <c r="CD298" s="97">
        <f t="shared" si="174"/>
        <v>-7.8324597455160516E-3</v>
      </c>
      <c r="CE298" s="96">
        <f t="shared" si="175"/>
        <v>0.1967930029154519</v>
      </c>
      <c r="CF298" s="96">
        <f t="shared" si="176"/>
        <v>0.21032258064516129</v>
      </c>
      <c r="CG298" s="96">
        <f t="shared" si="177"/>
        <v>-1.3529577729709391E-2</v>
      </c>
      <c r="CH298" s="95">
        <f t="shared" si="178"/>
        <v>0.3413248937830573</v>
      </c>
      <c r="CI298" s="95">
        <f t="shared" si="179"/>
        <v>0.33027335781313749</v>
      </c>
      <c r="CJ298" s="98">
        <f t="shared" si="180"/>
        <v>1.1051535969919812E-2</v>
      </c>
      <c r="CK298" s="95">
        <f t="shared" si="181"/>
        <v>0.19705215419501135</v>
      </c>
      <c r="CL298" s="95">
        <f t="shared" si="182"/>
        <v>0.2148805610344072</v>
      </c>
      <c r="CM298" s="98">
        <f t="shared" si="183"/>
        <v>-1.7828406839395849E-2</v>
      </c>
      <c r="CN298" s="94">
        <f t="shared" si="184"/>
        <v>1.7066244689152865</v>
      </c>
      <c r="CO298" s="94">
        <f t="shared" si="185"/>
        <v>0.98526077097505671</v>
      </c>
    </row>
    <row r="299" spans="1:93" ht="24.5" x14ac:dyDescent="0.35">
      <c r="A299" s="104">
        <v>186849</v>
      </c>
      <c r="B299" s="5" t="s">
        <v>581</v>
      </c>
      <c r="C299" s="46" t="s">
        <v>660</v>
      </c>
      <c r="D299" s="13" t="s">
        <v>661</v>
      </c>
      <c r="E299" s="6" t="s">
        <v>169</v>
      </c>
      <c r="F299" s="6" t="s">
        <v>170</v>
      </c>
      <c r="G299" s="12" t="s">
        <v>170</v>
      </c>
      <c r="H299" s="51" t="s">
        <v>172</v>
      </c>
      <c r="I299" s="24" t="s">
        <v>78</v>
      </c>
      <c r="J299" s="19">
        <v>144</v>
      </c>
      <c r="K299" s="19">
        <v>168</v>
      </c>
      <c r="L299" s="19">
        <v>12</v>
      </c>
      <c r="M299" s="19">
        <v>12</v>
      </c>
      <c r="N299" s="18">
        <v>144</v>
      </c>
      <c r="O299" s="18">
        <v>166</v>
      </c>
      <c r="P299" s="18">
        <v>12</v>
      </c>
      <c r="Q299" s="18">
        <v>16</v>
      </c>
      <c r="R299" s="19">
        <v>156</v>
      </c>
      <c r="S299" s="19">
        <v>144</v>
      </c>
      <c r="T299" s="19">
        <v>12</v>
      </c>
      <c r="U299" s="19">
        <v>12</v>
      </c>
      <c r="V299" s="19">
        <v>180</v>
      </c>
      <c r="W299" s="19">
        <v>156</v>
      </c>
      <c r="X299" s="19">
        <v>12</v>
      </c>
      <c r="Y299" s="19">
        <v>12</v>
      </c>
      <c r="Z299" s="19">
        <v>168</v>
      </c>
      <c r="AA299" s="19">
        <v>156</v>
      </c>
      <c r="AB299" s="19">
        <v>12</v>
      </c>
      <c r="AC299" s="19">
        <v>12</v>
      </c>
      <c r="AD299" s="19">
        <v>188</v>
      </c>
      <c r="AE299" s="19">
        <v>144</v>
      </c>
      <c r="AF299" s="19">
        <v>16</v>
      </c>
      <c r="AG299" s="19">
        <v>12</v>
      </c>
      <c r="AH299" s="19">
        <v>204</v>
      </c>
      <c r="AI299" s="19">
        <v>160</v>
      </c>
      <c r="AJ299" s="19">
        <v>12</v>
      </c>
      <c r="AK299" s="19">
        <v>8</v>
      </c>
      <c r="AL299" s="19">
        <v>168</v>
      </c>
      <c r="AM299" s="19">
        <v>156</v>
      </c>
      <c r="AN299" s="19">
        <v>12</v>
      </c>
      <c r="AO299" s="19">
        <v>12</v>
      </c>
      <c r="AP299" s="19">
        <v>160</v>
      </c>
      <c r="AQ299" s="19">
        <v>156</v>
      </c>
      <c r="AR299" s="19">
        <v>12</v>
      </c>
      <c r="AS299" s="19">
        <v>12</v>
      </c>
      <c r="AT299" s="19">
        <v>162</v>
      </c>
      <c r="AU299" s="19">
        <v>136</v>
      </c>
      <c r="AV299" s="19">
        <v>8</v>
      </c>
      <c r="AW299" s="19">
        <v>8</v>
      </c>
      <c r="AX299" s="19">
        <v>156</v>
      </c>
      <c r="AY299" s="19">
        <v>132</v>
      </c>
      <c r="AZ299" s="19">
        <v>12</v>
      </c>
      <c r="BA299" s="19">
        <v>12</v>
      </c>
      <c r="BB299" s="19">
        <v>170</v>
      </c>
      <c r="BC299" s="19">
        <v>148</v>
      </c>
      <c r="BD299" s="19">
        <v>16</v>
      </c>
      <c r="BE299" s="19">
        <v>8</v>
      </c>
      <c r="BF299" s="23">
        <v>28.6767</v>
      </c>
      <c r="BG299" s="23">
        <v>77.321899999999999</v>
      </c>
      <c r="BH299" s="31">
        <f t="shared" si="155"/>
        <v>170</v>
      </c>
      <c r="BI299" s="31">
        <f t="shared" si="156"/>
        <v>148</v>
      </c>
      <c r="BJ299" s="37">
        <f t="shared" si="157"/>
        <v>22</v>
      </c>
      <c r="BK299" s="37">
        <f t="shared" si="158"/>
        <v>14.864864864864865</v>
      </c>
      <c r="BL299" s="36">
        <f t="shared" si="159"/>
        <v>16</v>
      </c>
      <c r="BM299" s="36">
        <f t="shared" si="160"/>
        <v>8</v>
      </c>
      <c r="BN299" s="37">
        <f t="shared" si="161"/>
        <v>8</v>
      </c>
      <c r="BO299" s="37">
        <f t="shared" si="162"/>
        <v>100</v>
      </c>
      <c r="BP299" s="38">
        <f t="shared" si="163"/>
        <v>2046</v>
      </c>
      <c r="BQ299" s="39">
        <f>J299+N299+S299+W299+AA299+AE299+AI299+AM299+AQ299+AU299+Table1[[#This Row],[MS-0225]]+Table1[[#This Row],[MS-0325]]</f>
        <v>1776</v>
      </c>
      <c r="BR299" s="37">
        <f t="shared" si="164"/>
        <v>270</v>
      </c>
      <c r="BS299" s="37">
        <f t="shared" si="165"/>
        <v>15.202702702702704</v>
      </c>
      <c r="BT299" s="36">
        <f t="shared" si="166"/>
        <v>152</v>
      </c>
      <c r="BU299" s="36">
        <f t="shared" si="167"/>
        <v>132</v>
      </c>
      <c r="BV299" s="37">
        <f t="shared" si="168"/>
        <v>20</v>
      </c>
      <c r="BW299" s="37">
        <f t="shared" si="169"/>
        <v>15.151515151515152</v>
      </c>
      <c r="BX299">
        <v>0</v>
      </c>
      <c r="BY299" s="83">
        <f t="shared" si="170"/>
        <v>0</v>
      </c>
      <c r="BZ299">
        <v>0</v>
      </c>
      <c r="CA299" s="83">
        <f t="shared" si="171"/>
        <v>0</v>
      </c>
      <c r="CB299" s="96">
        <f t="shared" si="172"/>
        <v>0.11793270898369754</v>
      </c>
      <c r="CC299" s="96">
        <f t="shared" si="173"/>
        <v>0.10393258426966293</v>
      </c>
      <c r="CD299" s="97">
        <f t="shared" si="174"/>
        <v>1.4000124714034612E-2</v>
      </c>
      <c r="CE299" s="96">
        <f t="shared" si="175"/>
        <v>2.2939068100358423E-2</v>
      </c>
      <c r="CF299" s="96">
        <f t="shared" si="176"/>
        <v>8.3420229405630868E-3</v>
      </c>
      <c r="CG299" s="96">
        <f t="shared" si="177"/>
        <v>1.4597045159795336E-2</v>
      </c>
      <c r="CH299" s="95">
        <f t="shared" si="178"/>
        <v>0.11728961247420316</v>
      </c>
      <c r="CI299" s="95">
        <f t="shared" si="179"/>
        <v>0.10427736840560138</v>
      </c>
      <c r="CJ299" s="98">
        <f t="shared" si="180"/>
        <v>1.3012244068601783E-2</v>
      </c>
      <c r="CK299" s="95">
        <f t="shared" si="181"/>
        <v>1.5050995148034459E-2</v>
      </c>
      <c r="CL299" s="95">
        <f t="shared" si="182"/>
        <v>1.05866784296427E-2</v>
      </c>
      <c r="CM299" s="98">
        <f t="shared" si="183"/>
        <v>4.4643167183917587E-3</v>
      </c>
      <c r="CN299" s="94">
        <f t="shared" si="184"/>
        <v>0.58644806237101577</v>
      </c>
      <c r="CO299" s="94">
        <f t="shared" si="185"/>
        <v>7.52549757401723E-2</v>
      </c>
    </row>
    <row r="300" spans="1:93" ht="24.5" x14ac:dyDescent="0.35">
      <c r="A300" s="102">
        <v>198666</v>
      </c>
      <c r="B300" s="3" t="s">
        <v>72</v>
      </c>
      <c r="C300" s="43" t="s">
        <v>266</v>
      </c>
      <c r="D300" s="12" t="s">
        <v>267</v>
      </c>
      <c r="E300" s="4" t="s">
        <v>200</v>
      </c>
      <c r="F300" s="4" t="s">
        <v>268</v>
      </c>
      <c r="G300" s="12" t="s">
        <v>268</v>
      </c>
      <c r="H300" s="51" t="s">
        <v>91</v>
      </c>
      <c r="I300" s="23" t="s">
        <v>83</v>
      </c>
      <c r="J300" s="90">
        <v>156</v>
      </c>
      <c r="K300" s="90">
        <v>144.5</v>
      </c>
      <c r="L300" s="90">
        <v>60</v>
      </c>
      <c r="M300" s="90">
        <v>67.5</v>
      </c>
      <c r="N300" s="18">
        <v>186.5</v>
      </c>
      <c r="O300" s="18">
        <v>148.5</v>
      </c>
      <c r="P300" s="18">
        <v>83.5</v>
      </c>
      <c r="Q300" s="18">
        <v>55.5</v>
      </c>
      <c r="R300" s="90">
        <v>175</v>
      </c>
      <c r="S300" s="90">
        <v>169</v>
      </c>
      <c r="T300" s="90">
        <v>59</v>
      </c>
      <c r="U300" s="90">
        <v>77</v>
      </c>
      <c r="V300" s="90">
        <v>150.5</v>
      </c>
      <c r="W300" s="90">
        <v>155</v>
      </c>
      <c r="X300" s="90">
        <v>43.5</v>
      </c>
      <c r="Y300" s="90">
        <v>57</v>
      </c>
      <c r="Z300" s="90">
        <v>156.5</v>
      </c>
      <c r="AA300" s="90">
        <v>158.5</v>
      </c>
      <c r="AB300" s="90">
        <v>39.5</v>
      </c>
      <c r="AC300" s="90">
        <v>39.5</v>
      </c>
      <c r="AD300" s="90">
        <v>185.5</v>
      </c>
      <c r="AE300" s="90">
        <v>144</v>
      </c>
      <c r="AF300" s="90">
        <v>62.5</v>
      </c>
      <c r="AG300" s="90">
        <v>48</v>
      </c>
      <c r="AH300" s="90">
        <v>168.5</v>
      </c>
      <c r="AI300" s="90">
        <v>152</v>
      </c>
      <c r="AJ300" s="90">
        <v>61.5</v>
      </c>
      <c r="AK300" s="90">
        <v>52</v>
      </c>
      <c r="AL300" s="90">
        <v>154</v>
      </c>
      <c r="AM300" s="90">
        <v>151.5</v>
      </c>
      <c r="AN300" s="90">
        <v>54</v>
      </c>
      <c r="AO300" s="90">
        <v>30.5</v>
      </c>
      <c r="AP300" s="90">
        <v>145</v>
      </c>
      <c r="AQ300" s="90">
        <v>139.5</v>
      </c>
      <c r="AR300" s="90">
        <v>35</v>
      </c>
      <c r="AS300" s="90">
        <v>34.5</v>
      </c>
      <c r="AT300" s="90">
        <v>137.5</v>
      </c>
      <c r="AU300" s="90">
        <v>132</v>
      </c>
      <c r="AV300" s="90">
        <v>40.5</v>
      </c>
      <c r="AW300" s="90">
        <v>48</v>
      </c>
      <c r="AX300" s="90">
        <v>145.5</v>
      </c>
      <c r="AY300" s="90">
        <v>127.5</v>
      </c>
      <c r="AZ300" s="90">
        <v>52.5</v>
      </c>
      <c r="BA300" s="90">
        <v>48.5</v>
      </c>
      <c r="BB300" s="90">
        <v>170</v>
      </c>
      <c r="BC300" s="90">
        <v>148.5</v>
      </c>
      <c r="BD300" s="90">
        <v>62</v>
      </c>
      <c r="BE300" s="90">
        <v>35.5</v>
      </c>
      <c r="BF300" s="23">
        <v>28.798088</v>
      </c>
      <c r="BG300" s="23">
        <v>77.034974000000005</v>
      </c>
      <c r="BH300" s="31">
        <f t="shared" si="155"/>
        <v>170</v>
      </c>
      <c r="BI300" s="31">
        <f t="shared" si="156"/>
        <v>148.5</v>
      </c>
      <c r="BJ300" s="37">
        <f t="shared" si="157"/>
        <v>21.5</v>
      </c>
      <c r="BK300" s="37">
        <f t="shared" si="158"/>
        <v>14.478114478114479</v>
      </c>
      <c r="BL300" s="36">
        <f t="shared" si="159"/>
        <v>62</v>
      </c>
      <c r="BM300" s="36">
        <f t="shared" si="160"/>
        <v>35.5</v>
      </c>
      <c r="BN300" s="37">
        <f t="shared" si="161"/>
        <v>26.5</v>
      </c>
      <c r="BO300" s="37">
        <f t="shared" si="162"/>
        <v>74.647887323943664</v>
      </c>
      <c r="BP300" s="38">
        <f t="shared" si="163"/>
        <v>1881</v>
      </c>
      <c r="BQ300" s="39">
        <f>J300+N300+S300+W300+AA300+AE300+AI300+AM300+AQ300+AU300+Table1[[#This Row],[MS-0225]]+Table1[[#This Row],[MS-0325]]</f>
        <v>1820</v>
      </c>
      <c r="BR300" s="37">
        <f t="shared" si="164"/>
        <v>61</v>
      </c>
      <c r="BS300" s="37">
        <f t="shared" si="165"/>
        <v>3.3516483516483517</v>
      </c>
      <c r="BT300" s="36">
        <f t="shared" si="166"/>
        <v>633</v>
      </c>
      <c r="BU300" s="36">
        <f t="shared" si="167"/>
        <v>614</v>
      </c>
      <c r="BV300" s="37">
        <f t="shared" si="168"/>
        <v>19</v>
      </c>
      <c r="BW300" s="37">
        <f t="shared" si="169"/>
        <v>3.0944625407166124</v>
      </c>
      <c r="BX300">
        <v>0</v>
      </c>
      <c r="BY300" s="83">
        <f t="shared" si="170"/>
        <v>0</v>
      </c>
      <c r="BZ300">
        <v>0</v>
      </c>
      <c r="CA300" s="83">
        <f t="shared" si="171"/>
        <v>0</v>
      </c>
      <c r="CB300" s="96">
        <f t="shared" si="172"/>
        <v>0.32977691561590688</v>
      </c>
      <c r="CC300" s="96">
        <f t="shared" si="173"/>
        <v>0.30461538461538462</v>
      </c>
      <c r="CD300" s="97">
        <f t="shared" si="174"/>
        <v>2.5161531000522264E-2</v>
      </c>
      <c r="CE300" s="96">
        <f t="shared" si="175"/>
        <v>0.24554455445544554</v>
      </c>
      <c r="CF300" s="96">
        <f t="shared" si="176"/>
        <v>0.17705735660847879</v>
      </c>
      <c r="CG300" s="96">
        <f t="shared" si="177"/>
        <v>6.8487197846966746E-2</v>
      </c>
      <c r="CH300" s="95">
        <f t="shared" si="178"/>
        <v>0.31245847176079733</v>
      </c>
      <c r="CI300" s="95">
        <f t="shared" si="179"/>
        <v>0.3273381294964029</v>
      </c>
      <c r="CJ300" s="98">
        <f t="shared" si="180"/>
        <v>-1.4879657735605567E-2</v>
      </c>
      <c r="CK300" s="95">
        <f t="shared" si="181"/>
        <v>0.23637042569081404</v>
      </c>
      <c r="CL300" s="95">
        <f t="shared" si="182"/>
        <v>0.22311046511627908</v>
      </c>
      <c r="CM300" s="98">
        <f t="shared" si="183"/>
        <v>1.3259960574534962E-2</v>
      </c>
      <c r="CN300" s="94">
        <f t="shared" si="184"/>
        <v>1.5622923588039868</v>
      </c>
      <c r="CO300" s="94">
        <f t="shared" si="185"/>
        <v>1.1818521284540702</v>
      </c>
    </row>
    <row r="301" spans="1:93" ht="24.5" x14ac:dyDescent="0.35">
      <c r="A301" s="102">
        <v>142283</v>
      </c>
      <c r="B301" s="3" t="s">
        <v>72</v>
      </c>
      <c r="C301" s="43" t="s">
        <v>258</v>
      </c>
      <c r="D301" s="12" t="s">
        <v>259</v>
      </c>
      <c r="E301" s="4" t="s">
        <v>200</v>
      </c>
      <c r="F301" s="4" t="s">
        <v>260</v>
      </c>
      <c r="G301" s="12" t="s">
        <v>260</v>
      </c>
      <c r="H301" s="51" t="s">
        <v>261</v>
      </c>
      <c r="I301" s="23" t="s">
        <v>83</v>
      </c>
      <c r="J301" s="90">
        <v>218</v>
      </c>
      <c r="K301" s="90">
        <v>218</v>
      </c>
      <c r="L301" s="90">
        <v>219</v>
      </c>
      <c r="M301" s="90">
        <v>219</v>
      </c>
      <c r="N301" s="18">
        <v>208</v>
      </c>
      <c r="O301" s="18">
        <v>247</v>
      </c>
      <c r="P301" s="18">
        <v>206</v>
      </c>
      <c r="Q301" s="18">
        <v>236</v>
      </c>
      <c r="R301" s="90">
        <v>164</v>
      </c>
      <c r="S301" s="90">
        <v>185</v>
      </c>
      <c r="T301" s="90">
        <v>135</v>
      </c>
      <c r="U301" s="90">
        <v>160</v>
      </c>
      <c r="V301" s="90">
        <v>221</v>
      </c>
      <c r="W301" s="90">
        <v>195</v>
      </c>
      <c r="X301" s="90">
        <v>142</v>
      </c>
      <c r="Y301" s="90">
        <v>219</v>
      </c>
      <c r="Z301" s="90">
        <v>224</v>
      </c>
      <c r="AA301" s="90">
        <v>222</v>
      </c>
      <c r="AB301" s="90">
        <v>176</v>
      </c>
      <c r="AC301" s="90">
        <v>192</v>
      </c>
      <c r="AD301" s="90">
        <v>202</v>
      </c>
      <c r="AE301" s="90">
        <v>197</v>
      </c>
      <c r="AF301" s="90">
        <v>179</v>
      </c>
      <c r="AG301" s="90">
        <v>201</v>
      </c>
      <c r="AH301" s="90">
        <v>187</v>
      </c>
      <c r="AI301" s="90">
        <v>213</v>
      </c>
      <c r="AJ301" s="90">
        <v>194</v>
      </c>
      <c r="AK301" s="90">
        <v>196</v>
      </c>
      <c r="AL301" s="90">
        <v>190</v>
      </c>
      <c r="AM301" s="90">
        <v>209</v>
      </c>
      <c r="AN301" s="90">
        <v>191</v>
      </c>
      <c r="AO301" s="90">
        <v>228</v>
      </c>
      <c r="AP301" s="90">
        <v>156</v>
      </c>
      <c r="AQ301" s="90">
        <v>203</v>
      </c>
      <c r="AR301" s="90">
        <v>223</v>
      </c>
      <c r="AS301" s="90">
        <v>142</v>
      </c>
      <c r="AT301" s="90">
        <v>164</v>
      </c>
      <c r="AU301" s="90">
        <v>201</v>
      </c>
      <c r="AV301" s="90">
        <v>132</v>
      </c>
      <c r="AW301" s="90">
        <v>190</v>
      </c>
      <c r="AX301" s="90">
        <v>167</v>
      </c>
      <c r="AY301" s="90">
        <v>190</v>
      </c>
      <c r="AZ301" s="90">
        <v>155</v>
      </c>
      <c r="BA301" s="90">
        <v>224</v>
      </c>
      <c r="BB301" s="90">
        <v>170</v>
      </c>
      <c r="BC301" s="90">
        <v>203</v>
      </c>
      <c r="BD301" s="90">
        <v>198</v>
      </c>
      <c r="BE301" s="90">
        <v>188</v>
      </c>
      <c r="BF301" s="23">
        <v>28.831150000000001</v>
      </c>
      <c r="BG301" s="23">
        <v>77.130849999999995</v>
      </c>
      <c r="BH301" s="31">
        <f t="shared" si="155"/>
        <v>170</v>
      </c>
      <c r="BI301" s="31">
        <f t="shared" si="156"/>
        <v>203</v>
      </c>
      <c r="BJ301" s="37">
        <f t="shared" si="157"/>
        <v>-33</v>
      </c>
      <c r="BK301" s="37">
        <f t="shared" si="158"/>
        <v>-16.256157635467979</v>
      </c>
      <c r="BL301" s="36">
        <f t="shared" si="159"/>
        <v>198</v>
      </c>
      <c r="BM301" s="36">
        <f t="shared" si="160"/>
        <v>188</v>
      </c>
      <c r="BN301" s="37">
        <f t="shared" si="161"/>
        <v>10</v>
      </c>
      <c r="BO301" s="37">
        <f t="shared" si="162"/>
        <v>5.3191489361702127</v>
      </c>
      <c r="BP301" s="38">
        <f t="shared" si="163"/>
        <v>2310</v>
      </c>
      <c r="BQ301" s="39">
        <f>J301+N301+S301+W301+AA301+AE301+AI301+AM301+AQ301+AU301+Table1[[#This Row],[MS-0225]]+Table1[[#This Row],[MS-0325]]</f>
        <v>2444</v>
      </c>
      <c r="BR301" s="37">
        <f t="shared" si="164"/>
        <v>-134</v>
      </c>
      <c r="BS301" s="37">
        <f t="shared" si="165"/>
        <v>-5.4828150572831431</v>
      </c>
      <c r="BT301" s="36">
        <f t="shared" si="166"/>
        <v>2180</v>
      </c>
      <c r="BU301" s="36">
        <f t="shared" si="167"/>
        <v>2365</v>
      </c>
      <c r="BV301" s="37">
        <f t="shared" si="168"/>
        <v>-185</v>
      </c>
      <c r="BW301" s="37">
        <f t="shared" si="169"/>
        <v>-7.8224101479915431</v>
      </c>
      <c r="BX301">
        <v>0</v>
      </c>
      <c r="BY301" s="83">
        <f t="shared" si="170"/>
        <v>0</v>
      </c>
      <c r="BZ301">
        <v>0</v>
      </c>
      <c r="CA301" s="83">
        <f t="shared" si="171"/>
        <v>0</v>
      </c>
      <c r="CB301" s="96">
        <f t="shared" si="172"/>
        <v>0.31307550644567217</v>
      </c>
      <c r="CC301" s="96">
        <f t="shared" si="173"/>
        <v>0.39726027397260272</v>
      </c>
      <c r="CD301" s="97">
        <f t="shared" si="174"/>
        <v>-8.4184767526930548E-2</v>
      </c>
      <c r="CE301" s="96">
        <f t="shared" si="175"/>
        <v>0.26577181208053691</v>
      </c>
      <c r="CF301" s="96">
        <f t="shared" si="176"/>
        <v>0.27167630057803466</v>
      </c>
      <c r="CG301" s="96">
        <f t="shared" si="177"/>
        <v>-5.9044884974977507E-3</v>
      </c>
      <c r="CH301" s="95">
        <f t="shared" si="178"/>
        <v>0.35664659564613249</v>
      </c>
      <c r="CI301" s="95">
        <f t="shared" si="179"/>
        <v>0.40628376693541685</v>
      </c>
      <c r="CJ301" s="98">
        <f t="shared" si="180"/>
        <v>-4.9637171289284354E-2</v>
      </c>
      <c r="CK301" s="95">
        <f t="shared" si="181"/>
        <v>0.2717865602792669</v>
      </c>
      <c r="CL301" s="95">
        <f t="shared" si="182"/>
        <v>0.30466988727858291</v>
      </c>
      <c r="CM301" s="98">
        <f t="shared" si="183"/>
        <v>-3.2883326999316009E-2</v>
      </c>
      <c r="CN301" s="94">
        <f t="shared" si="184"/>
        <v>1.0699397869383975</v>
      </c>
      <c r="CO301" s="94">
        <f t="shared" si="185"/>
        <v>0.81535968083780075</v>
      </c>
    </row>
    <row r="302" spans="1:93" ht="24.5" x14ac:dyDescent="0.35">
      <c r="A302" s="102">
        <v>112389</v>
      </c>
      <c r="B302" s="3" t="s">
        <v>72</v>
      </c>
      <c r="C302" s="40" t="s">
        <v>209</v>
      </c>
      <c r="D302" s="12" t="s">
        <v>210</v>
      </c>
      <c r="E302" s="4" t="s">
        <v>103</v>
      </c>
      <c r="F302" s="4" t="s">
        <v>211</v>
      </c>
      <c r="G302" s="12" t="s">
        <v>211</v>
      </c>
      <c r="H302" s="51" t="s">
        <v>135</v>
      </c>
      <c r="I302" s="23" t="s">
        <v>83</v>
      </c>
      <c r="J302" s="90">
        <v>123</v>
      </c>
      <c r="K302" s="90">
        <v>152</v>
      </c>
      <c r="L302" s="90">
        <v>45</v>
      </c>
      <c r="M302" s="90">
        <v>62</v>
      </c>
      <c r="N302" s="18">
        <v>163</v>
      </c>
      <c r="O302" s="18">
        <v>173</v>
      </c>
      <c r="P302" s="18">
        <v>65</v>
      </c>
      <c r="Q302" s="18">
        <v>49</v>
      </c>
      <c r="R302" s="90">
        <v>158</v>
      </c>
      <c r="S302" s="90">
        <v>142</v>
      </c>
      <c r="T302" s="90">
        <v>80</v>
      </c>
      <c r="U302" s="90">
        <v>86</v>
      </c>
      <c r="V302" s="90">
        <v>176</v>
      </c>
      <c r="W302" s="90">
        <v>151.000001</v>
      </c>
      <c r="X302" s="90">
        <v>48</v>
      </c>
      <c r="Y302" s="90">
        <v>71</v>
      </c>
      <c r="Z302" s="90">
        <v>173</v>
      </c>
      <c r="AA302" s="90">
        <v>149.5</v>
      </c>
      <c r="AB302" s="90">
        <v>65</v>
      </c>
      <c r="AC302" s="90">
        <v>72.5</v>
      </c>
      <c r="AD302" s="90">
        <v>180</v>
      </c>
      <c r="AE302" s="90">
        <v>154.000001</v>
      </c>
      <c r="AF302" s="90">
        <v>72</v>
      </c>
      <c r="AG302" s="90">
        <v>64</v>
      </c>
      <c r="AH302" s="90">
        <v>178</v>
      </c>
      <c r="AI302" s="90">
        <v>137.5</v>
      </c>
      <c r="AJ302" s="90">
        <v>64</v>
      </c>
      <c r="AK302" s="90">
        <v>60.5</v>
      </c>
      <c r="AL302" s="90">
        <v>170</v>
      </c>
      <c r="AM302" s="90">
        <v>142</v>
      </c>
      <c r="AN302" s="90">
        <v>66</v>
      </c>
      <c r="AO302" s="90">
        <v>58</v>
      </c>
      <c r="AP302" s="90">
        <v>180</v>
      </c>
      <c r="AQ302" s="90">
        <v>145</v>
      </c>
      <c r="AR302" s="90">
        <v>64</v>
      </c>
      <c r="AS302" s="90">
        <v>47</v>
      </c>
      <c r="AT302" s="90">
        <v>149</v>
      </c>
      <c r="AU302" s="90">
        <v>123</v>
      </c>
      <c r="AV302" s="90">
        <v>51</v>
      </c>
      <c r="AW302" s="90">
        <v>49</v>
      </c>
      <c r="AX302" s="90">
        <v>171</v>
      </c>
      <c r="AY302" s="90">
        <v>131</v>
      </c>
      <c r="AZ302" s="90">
        <v>73</v>
      </c>
      <c r="BA302" s="90">
        <v>41</v>
      </c>
      <c r="BB302" s="90">
        <v>169</v>
      </c>
      <c r="BC302" s="90">
        <v>145</v>
      </c>
      <c r="BD302" s="90">
        <v>41</v>
      </c>
      <c r="BE302" s="90">
        <v>59</v>
      </c>
      <c r="BF302" s="23">
        <v>28.52289</v>
      </c>
      <c r="BG302" s="23">
        <v>77.099729999999994</v>
      </c>
      <c r="BH302" s="31">
        <f t="shared" si="155"/>
        <v>169</v>
      </c>
      <c r="BI302" s="31">
        <f t="shared" si="156"/>
        <v>145</v>
      </c>
      <c r="BJ302" s="37">
        <f t="shared" si="157"/>
        <v>24</v>
      </c>
      <c r="BK302" s="37">
        <f t="shared" si="158"/>
        <v>16.551724137931036</v>
      </c>
      <c r="BL302" s="36">
        <f t="shared" si="159"/>
        <v>41</v>
      </c>
      <c r="BM302" s="36">
        <f t="shared" si="160"/>
        <v>59</v>
      </c>
      <c r="BN302" s="37">
        <f t="shared" si="161"/>
        <v>-18</v>
      </c>
      <c r="BO302" s="37">
        <f t="shared" si="162"/>
        <v>-30.508474576271187</v>
      </c>
      <c r="BP302" s="38">
        <f t="shared" si="163"/>
        <v>2029</v>
      </c>
      <c r="BQ302" s="39">
        <f>J302+N302+S302+W302+AA302+AE302+AI302+AM302+AQ302+AU302+Table1[[#This Row],[MS-0225]]+Table1[[#This Row],[MS-0325]]</f>
        <v>1706.000002</v>
      </c>
      <c r="BR302" s="37">
        <f t="shared" si="164"/>
        <v>322.99999800000001</v>
      </c>
      <c r="BS302" s="37">
        <f t="shared" si="165"/>
        <v>18.933176882845046</v>
      </c>
      <c r="BT302" s="36">
        <f t="shared" si="166"/>
        <v>735</v>
      </c>
      <c r="BU302" s="36">
        <f t="shared" si="167"/>
        <v>718</v>
      </c>
      <c r="BV302" s="37">
        <f t="shared" si="168"/>
        <v>17</v>
      </c>
      <c r="BW302" s="37">
        <f t="shared" si="169"/>
        <v>2.3676880222841223</v>
      </c>
      <c r="BX302">
        <v>9.5</v>
      </c>
      <c r="BY302" s="83">
        <f t="shared" si="170"/>
        <v>5.6213017751479293E-2</v>
      </c>
      <c r="BZ302">
        <v>38.5</v>
      </c>
      <c r="CA302" s="83">
        <f t="shared" si="171"/>
        <v>1.8974864465253819E-2</v>
      </c>
      <c r="CB302" s="96">
        <f t="shared" si="172"/>
        <v>0.14883311316600617</v>
      </c>
      <c r="CC302" s="96">
        <f t="shared" si="173"/>
        <v>0.14098201263976665</v>
      </c>
      <c r="CD302" s="97">
        <f t="shared" si="174"/>
        <v>7.8511005262395239E-3</v>
      </c>
      <c r="CE302" s="96">
        <f t="shared" si="175"/>
        <v>5.6087551299589603E-2</v>
      </c>
      <c r="CF302" s="96">
        <f t="shared" si="176"/>
        <v>8.9461713419257016E-2</v>
      </c>
      <c r="CG302" s="96">
        <f t="shared" si="177"/>
        <v>-3.3374162119667414E-2</v>
      </c>
      <c r="CH302" s="95">
        <f t="shared" si="178"/>
        <v>0.14867191793368748</v>
      </c>
      <c r="CI302" s="95">
        <f t="shared" si="179"/>
        <v>0.14004843424208047</v>
      </c>
      <c r="CJ302" s="98">
        <f t="shared" si="180"/>
        <v>8.623483691607009E-3</v>
      </c>
      <c r="CK302" s="95">
        <f t="shared" si="181"/>
        <v>9.4771452517568175E-2</v>
      </c>
      <c r="CL302" s="95">
        <f t="shared" si="182"/>
        <v>8.988482724086129E-2</v>
      </c>
      <c r="CM302" s="98">
        <f t="shared" si="183"/>
        <v>4.8866252767068852E-3</v>
      </c>
      <c r="CN302" s="94">
        <f t="shared" si="184"/>
        <v>0.7433595896684374</v>
      </c>
      <c r="CO302" s="94">
        <f t="shared" si="185"/>
        <v>0.47385726258784089</v>
      </c>
    </row>
    <row r="303" spans="1:93" ht="24.5" x14ac:dyDescent="0.35">
      <c r="A303" s="104">
        <v>305307</v>
      </c>
      <c r="B303" s="5" t="s">
        <v>581</v>
      </c>
      <c r="C303" s="46" t="s">
        <v>833</v>
      </c>
      <c r="D303" s="13" t="s">
        <v>834</v>
      </c>
      <c r="E303" s="6" t="s">
        <v>103</v>
      </c>
      <c r="F303" s="6" t="s">
        <v>630</v>
      </c>
      <c r="G303" s="12" t="s">
        <v>630</v>
      </c>
      <c r="H303" s="51" t="s">
        <v>304</v>
      </c>
      <c r="I303" s="24" t="s">
        <v>86</v>
      </c>
      <c r="J303" s="19">
        <v>265.5</v>
      </c>
      <c r="K303" s="19">
        <v>283.5</v>
      </c>
      <c r="L303" s="19">
        <v>112.5</v>
      </c>
      <c r="M303" s="19">
        <v>98.5</v>
      </c>
      <c r="N303" s="18">
        <v>289</v>
      </c>
      <c r="O303" s="18">
        <v>311</v>
      </c>
      <c r="P303" s="18">
        <v>139</v>
      </c>
      <c r="Q303" s="18">
        <v>107</v>
      </c>
      <c r="R303" s="19">
        <v>288.5</v>
      </c>
      <c r="S303" s="19">
        <v>277.5</v>
      </c>
      <c r="T303" s="19">
        <v>97.5</v>
      </c>
      <c r="U303" s="19">
        <v>118.5</v>
      </c>
      <c r="V303" s="19">
        <v>306.5</v>
      </c>
      <c r="W303" s="19">
        <v>302.5</v>
      </c>
      <c r="X303" s="19">
        <v>115.5</v>
      </c>
      <c r="Y303" s="19">
        <v>131.5</v>
      </c>
      <c r="Z303" s="19">
        <v>323.5</v>
      </c>
      <c r="AA303" s="19">
        <v>297</v>
      </c>
      <c r="AB303" s="19">
        <v>120.5</v>
      </c>
      <c r="AC303" s="19">
        <v>117</v>
      </c>
      <c r="AD303" s="19">
        <v>292.5</v>
      </c>
      <c r="AE303" s="19">
        <v>270.5</v>
      </c>
      <c r="AF303" s="19">
        <v>85.5</v>
      </c>
      <c r="AG303" s="19">
        <v>97.5</v>
      </c>
      <c r="AH303" s="19">
        <v>322</v>
      </c>
      <c r="AI303" s="19">
        <v>285</v>
      </c>
      <c r="AJ303" s="19">
        <v>90</v>
      </c>
      <c r="AK303" s="19">
        <v>109</v>
      </c>
      <c r="AL303" s="19">
        <v>290</v>
      </c>
      <c r="AM303" s="19">
        <v>292.5</v>
      </c>
      <c r="AN303" s="19">
        <v>90</v>
      </c>
      <c r="AO303" s="19">
        <v>103.5</v>
      </c>
      <c r="AP303" s="19">
        <v>290</v>
      </c>
      <c r="AQ303" s="19">
        <v>258</v>
      </c>
      <c r="AR303" s="19">
        <v>90</v>
      </c>
      <c r="AS303" s="19">
        <v>94</v>
      </c>
      <c r="AT303" s="19">
        <v>288</v>
      </c>
      <c r="AU303" s="19">
        <v>266</v>
      </c>
      <c r="AV303" s="19">
        <v>114</v>
      </c>
      <c r="AW303" s="19">
        <v>100</v>
      </c>
      <c r="AX303" s="19">
        <v>263</v>
      </c>
      <c r="AY303" s="19">
        <v>245.5</v>
      </c>
      <c r="AZ303" s="19">
        <v>59</v>
      </c>
      <c r="BA303" s="19">
        <v>92.5</v>
      </c>
      <c r="BB303" s="19">
        <v>294</v>
      </c>
      <c r="BC303" s="19">
        <v>279</v>
      </c>
      <c r="BD303" s="19">
        <v>88</v>
      </c>
      <c r="BE303" s="19">
        <v>103</v>
      </c>
      <c r="BF303" s="23">
        <v>28.62</v>
      </c>
      <c r="BG303" s="23">
        <v>77.13</v>
      </c>
      <c r="BH303" s="31">
        <f t="shared" si="155"/>
        <v>294</v>
      </c>
      <c r="BI303" s="31">
        <f t="shared" si="156"/>
        <v>279</v>
      </c>
      <c r="BJ303" s="37">
        <f t="shared" si="157"/>
        <v>15</v>
      </c>
      <c r="BK303" s="37">
        <f t="shared" si="158"/>
        <v>5.376344086021505</v>
      </c>
      <c r="BL303" s="36">
        <f t="shared" si="159"/>
        <v>88</v>
      </c>
      <c r="BM303" s="36">
        <f t="shared" si="160"/>
        <v>103</v>
      </c>
      <c r="BN303" s="37">
        <f t="shared" si="161"/>
        <v>-15</v>
      </c>
      <c r="BO303" s="37">
        <f t="shared" si="162"/>
        <v>-14.563106796116504</v>
      </c>
      <c r="BP303" s="38">
        <f t="shared" si="163"/>
        <v>3552.5</v>
      </c>
      <c r="BQ303" s="39">
        <f>J303+N303+S303+W303+AA303+AE303+AI303+AM303+AQ303+AU303+Table1[[#This Row],[MS-0225]]+Table1[[#This Row],[MS-0325]]</f>
        <v>3328</v>
      </c>
      <c r="BR303" s="37">
        <f t="shared" si="164"/>
        <v>224.5</v>
      </c>
      <c r="BS303" s="37">
        <f t="shared" si="165"/>
        <v>6.7457932692307692</v>
      </c>
      <c r="BT303" s="36">
        <f t="shared" si="166"/>
        <v>1155.5</v>
      </c>
      <c r="BU303" s="36">
        <f t="shared" si="167"/>
        <v>1318</v>
      </c>
      <c r="BV303" s="37">
        <f t="shared" si="168"/>
        <v>-162.5</v>
      </c>
      <c r="BW303" s="37">
        <f t="shared" si="169"/>
        <v>-12.329286798179059</v>
      </c>
      <c r="BX303">
        <v>0</v>
      </c>
      <c r="BY303" s="83">
        <f t="shared" si="170"/>
        <v>0</v>
      </c>
      <c r="BZ303">
        <v>0</v>
      </c>
      <c r="CA303" s="83">
        <f t="shared" si="171"/>
        <v>0</v>
      </c>
      <c r="CB303" s="96">
        <f t="shared" si="172"/>
        <v>0.56647398843930641</v>
      </c>
      <c r="CC303" s="96">
        <f t="shared" si="173"/>
        <v>0.60259179265658747</v>
      </c>
      <c r="CD303" s="97">
        <f t="shared" si="174"/>
        <v>-3.6117804217281058E-2</v>
      </c>
      <c r="CE303" s="96">
        <f t="shared" si="175"/>
        <v>0.60689655172413792</v>
      </c>
      <c r="CF303" s="96">
        <f t="shared" si="176"/>
        <v>0.68211920529801329</v>
      </c>
      <c r="CG303" s="96">
        <f t="shared" si="177"/>
        <v>-7.5222653573875364E-2</v>
      </c>
      <c r="CH303" s="95">
        <f t="shared" si="178"/>
        <v>0.57192304596313293</v>
      </c>
      <c r="CI303" s="95">
        <f t="shared" si="179"/>
        <v>0.5901232378756982</v>
      </c>
      <c r="CJ303" s="98">
        <f t="shared" si="180"/>
        <v>-1.8200191912565278E-2</v>
      </c>
      <c r="CK303" s="95">
        <f t="shared" si="181"/>
        <v>0.62510143359480663</v>
      </c>
      <c r="CL303" s="95">
        <f t="shared" si="182"/>
        <v>0.63717669809040367</v>
      </c>
      <c r="CM303" s="98">
        <f t="shared" si="183"/>
        <v>-1.2075264495597038E-2</v>
      </c>
      <c r="CN303" s="94">
        <f t="shared" si="184"/>
        <v>1.1438460919262659</v>
      </c>
      <c r="CO303" s="94">
        <f t="shared" si="185"/>
        <v>1.2502028671896133</v>
      </c>
    </row>
    <row r="304" spans="1:93" x14ac:dyDescent="0.35">
      <c r="A304" s="103">
        <v>41056839</v>
      </c>
      <c r="B304" s="9" t="s">
        <v>380</v>
      </c>
      <c r="C304" s="48" t="s">
        <v>536</v>
      </c>
      <c r="D304" s="14" t="s">
        <v>281</v>
      </c>
      <c r="E304" s="10" t="s">
        <v>200</v>
      </c>
      <c r="F304" s="10" t="s">
        <v>244</v>
      </c>
      <c r="G304" s="12" t="s">
        <v>244</v>
      </c>
      <c r="H304" s="51" t="s">
        <v>172</v>
      </c>
      <c r="I304" s="25" t="s">
        <v>83</v>
      </c>
      <c r="J304" s="20">
        <v>123</v>
      </c>
      <c r="K304" s="20">
        <v>144</v>
      </c>
      <c r="L304" s="20">
        <v>819</v>
      </c>
      <c r="M304" s="20">
        <v>771</v>
      </c>
      <c r="N304" s="18">
        <v>155</v>
      </c>
      <c r="O304" s="18">
        <v>176</v>
      </c>
      <c r="P304" s="18">
        <v>808</v>
      </c>
      <c r="Q304" s="18">
        <v>797</v>
      </c>
      <c r="R304" s="20">
        <v>158</v>
      </c>
      <c r="S304" s="20">
        <v>160</v>
      </c>
      <c r="T304" s="20">
        <v>678</v>
      </c>
      <c r="U304" s="20">
        <v>775</v>
      </c>
      <c r="V304" s="20">
        <v>170</v>
      </c>
      <c r="W304" s="20">
        <v>155</v>
      </c>
      <c r="X304" s="20">
        <v>718</v>
      </c>
      <c r="Y304" s="20">
        <v>753</v>
      </c>
      <c r="Z304" s="20">
        <v>180</v>
      </c>
      <c r="AA304" s="20">
        <v>159</v>
      </c>
      <c r="AB304" s="20">
        <v>789</v>
      </c>
      <c r="AC304" s="20">
        <v>801</v>
      </c>
      <c r="AD304" s="20">
        <v>164</v>
      </c>
      <c r="AE304" s="20">
        <v>163</v>
      </c>
      <c r="AF304" s="20">
        <v>760</v>
      </c>
      <c r="AG304" s="20">
        <v>754</v>
      </c>
      <c r="AH304" s="20">
        <v>163</v>
      </c>
      <c r="AI304" s="20">
        <v>171</v>
      </c>
      <c r="AJ304" s="20">
        <v>696</v>
      </c>
      <c r="AK304" s="20">
        <v>827</v>
      </c>
      <c r="AL304" s="20">
        <v>152</v>
      </c>
      <c r="AM304" s="20">
        <v>150</v>
      </c>
      <c r="AN304" s="20">
        <v>665</v>
      </c>
      <c r="AO304" s="20">
        <v>705</v>
      </c>
      <c r="AP304" s="20">
        <v>164</v>
      </c>
      <c r="AQ304" s="20">
        <v>159</v>
      </c>
      <c r="AR304" s="20">
        <v>672</v>
      </c>
      <c r="AS304" s="20">
        <v>705</v>
      </c>
      <c r="AT304" s="20">
        <v>149</v>
      </c>
      <c r="AU304" s="20">
        <v>154</v>
      </c>
      <c r="AV304" s="20">
        <v>643</v>
      </c>
      <c r="AW304" s="20">
        <v>806</v>
      </c>
      <c r="AX304" s="20">
        <v>141</v>
      </c>
      <c r="AY304" s="20">
        <v>140</v>
      </c>
      <c r="AZ304" s="20">
        <v>629</v>
      </c>
      <c r="BA304" s="20">
        <v>868</v>
      </c>
      <c r="BB304" s="20">
        <v>166</v>
      </c>
      <c r="BC304" s="20">
        <v>145</v>
      </c>
      <c r="BD304" s="20">
        <v>627</v>
      </c>
      <c r="BE304" s="20">
        <v>900</v>
      </c>
      <c r="BF304" s="23">
        <v>28.7118</v>
      </c>
      <c r="BG304" s="23">
        <v>77.174459999999996</v>
      </c>
      <c r="BH304" s="31">
        <f t="shared" si="155"/>
        <v>166</v>
      </c>
      <c r="BI304" s="31">
        <f t="shared" si="156"/>
        <v>145</v>
      </c>
      <c r="BJ304" s="37">
        <f t="shared" si="157"/>
        <v>21</v>
      </c>
      <c r="BK304" s="37">
        <f t="shared" si="158"/>
        <v>14.482758620689657</v>
      </c>
      <c r="BL304" s="36">
        <f t="shared" si="159"/>
        <v>627</v>
      </c>
      <c r="BM304" s="36">
        <f t="shared" si="160"/>
        <v>900</v>
      </c>
      <c r="BN304" s="37">
        <f t="shared" si="161"/>
        <v>-273</v>
      </c>
      <c r="BO304" s="37">
        <f t="shared" si="162"/>
        <v>-30.333333333333336</v>
      </c>
      <c r="BP304" s="38">
        <f t="shared" si="163"/>
        <v>1927</v>
      </c>
      <c r="BQ304" s="39">
        <f>J304+N304+S304+W304+AA304+AE304+AI304+AM304+AQ304+AU304+Table1[[#This Row],[MS-0225]]+Table1[[#This Row],[MS-0325]]</f>
        <v>1834</v>
      </c>
      <c r="BR304" s="37">
        <f t="shared" si="164"/>
        <v>93</v>
      </c>
      <c r="BS304" s="37">
        <f t="shared" si="165"/>
        <v>5.0708833151581238</v>
      </c>
      <c r="BT304" s="36">
        <f t="shared" si="166"/>
        <v>8445</v>
      </c>
      <c r="BU304" s="36">
        <f t="shared" si="167"/>
        <v>9521</v>
      </c>
      <c r="BV304" s="37">
        <f t="shared" si="168"/>
        <v>-1076</v>
      </c>
      <c r="BW304" s="37">
        <f t="shared" si="169"/>
        <v>-11.301333893498581</v>
      </c>
      <c r="BX304">
        <v>0</v>
      </c>
      <c r="BY304" s="83">
        <f t="shared" si="170"/>
        <v>0</v>
      </c>
      <c r="BZ304">
        <v>0</v>
      </c>
      <c r="CA304" s="83">
        <f t="shared" si="171"/>
        <v>0</v>
      </c>
      <c r="CB304" s="96">
        <f t="shared" si="172"/>
        <v>0.15194508009153318</v>
      </c>
      <c r="CC304" s="96">
        <f t="shared" si="173"/>
        <v>0.14933058702368693</v>
      </c>
      <c r="CD304" s="97">
        <f t="shared" si="174"/>
        <v>2.6144930678462519E-3</v>
      </c>
      <c r="CE304" s="96">
        <f t="shared" si="175"/>
        <v>0.18379012164736919</v>
      </c>
      <c r="CF304" s="96">
        <f t="shared" si="176"/>
        <v>0.24154589371980675</v>
      </c>
      <c r="CG304" s="96">
        <f t="shared" si="177"/>
        <v>-5.7755772072437567E-2</v>
      </c>
      <c r="CH304" s="95">
        <f t="shared" si="178"/>
        <v>0.15729970205297744</v>
      </c>
      <c r="CI304" s="95">
        <f t="shared" si="179"/>
        <v>0.15741813656066264</v>
      </c>
      <c r="CJ304" s="98">
        <f t="shared" si="180"/>
        <v>-1.1843450768520003E-4</v>
      </c>
      <c r="CK304" s="95">
        <f t="shared" si="181"/>
        <v>0.20853139082659422</v>
      </c>
      <c r="CL304" s="95">
        <f t="shared" si="182"/>
        <v>0.23088488493343357</v>
      </c>
      <c r="CM304" s="98">
        <f t="shared" si="183"/>
        <v>-2.2353494106839344E-2</v>
      </c>
      <c r="CN304" s="94">
        <f t="shared" si="184"/>
        <v>0.78649851026488715</v>
      </c>
      <c r="CO304" s="94">
        <f t="shared" si="185"/>
        <v>1.0426569541329711</v>
      </c>
    </row>
    <row r="305" spans="1:95" ht="24.5" x14ac:dyDescent="0.35">
      <c r="A305" s="103">
        <v>41027027</v>
      </c>
      <c r="B305" s="9" t="s">
        <v>380</v>
      </c>
      <c r="C305" s="47" t="s">
        <v>489</v>
      </c>
      <c r="D305" s="14" t="s">
        <v>490</v>
      </c>
      <c r="E305" s="10" t="s">
        <v>75</v>
      </c>
      <c r="F305" s="10" t="s">
        <v>100</v>
      </c>
      <c r="G305" s="12" t="s">
        <v>100</v>
      </c>
      <c r="H305" s="51" t="s">
        <v>77</v>
      </c>
      <c r="I305" s="25" t="s">
        <v>78</v>
      </c>
      <c r="J305" s="20">
        <v>223</v>
      </c>
      <c r="K305" s="20">
        <v>218</v>
      </c>
      <c r="L305" s="20">
        <v>24</v>
      </c>
      <c r="M305" s="20">
        <v>15</v>
      </c>
      <c r="N305" s="18">
        <v>206.5</v>
      </c>
      <c r="O305" s="18">
        <v>243</v>
      </c>
      <c r="P305" s="18">
        <v>29.5</v>
      </c>
      <c r="Q305" s="18">
        <v>34</v>
      </c>
      <c r="R305" s="20">
        <v>218</v>
      </c>
      <c r="S305" s="20">
        <v>214</v>
      </c>
      <c r="T305" s="20">
        <v>28</v>
      </c>
      <c r="U305" s="20">
        <v>19</v>
      </c>
      <c r="V305" s="20">
        <v>222.5</v>
      </c>
      <c r="W305" s="20">
        <v>213</v>
      </c>
      <c r="X305" s="20">
        <v>24.5</v>
      </c>
      <c r="Y305" s="20">
        <v>34</v>
      </c>
      <c r="Z305" s="20">
        <v>269.5</v>
      </c>
      <c r="AA305" s="20">
        <v>234</v>
      </c>
      <c r="AB305" s="20">
        <v>34.5</v>
      </c>
      <c r="AC305" s="20">
        <v>28</v>
      </c>
      <c r="AD305" s="20">
        <v>222</v>
      </c>
      <c r="AE305" s="20">
        <v>220</v>
      </c>
      <c r="AF305" s="20">
        <v>24</v>
      </c>
      <c r="AG305" s="20">
        <v>34</v>
      </c>
      <c r="AH305" s="20">
        <v>245</v>
      </c>
      <c r="AI305" s="20">
        <v>234</v>
      </c>
      <c r="AJ305" s="20">
        <v>29</v>
      </c>
      <c r="AK305" s="20">
        <v>24</v>
      </c>
      <c r="AL305" s="20">
        <v>238</v>
      </c>
      <c r="AM305" s="20">
        <v>235</v>
      </c>
      <c r="AN305" s="20">
        <v>28</v>
      </c>
      <c r="AO305" s="20">
        <v>30</v>
      </c>
      <c r="AP305" s="20">
        <v>215</v>
      </c>
      <c r="AQ305" s="20">
        <v>217.5</v>
      </c>
      <c r="AR305" s="20">
        <v>32</v>
      </c>
      <c r="AS305" s="20">
        <v>25.5</v>
      </c>
      <c r="AT305" s="20">
        <v>212</v>
      </c>
      <c r="AU305" s="20">
        <v>215</v>
      </c>
      <c r="AV305" s="20">
        <v>30</v>
      </c>
      <c r="AW305" s="20">
        <v>35</v>
      </c>
      <c r="AX305" s="20">
        <v>228.5</v>
      </c>
      <c r="AY305" s="20">
        <v>218</v>
      </c>
      <c r="AZ305" s="20">
        <v>31.5</v>
      </c>
      <c r="BA305" s="20">
        <v>25</v>
      </c>
      <c r="BB305" s="20">
        <v>162</v>
      </c>
      <c r="BC305" s="20">
        <v>227.5</v>
      </c>
      <c r="BD305" s="20">
        <v>18</v>
      </c>
      <c r="BE305" s="20">
        <v>33.5</v>
      </c>
      <c r="BF305" s="23">
        <v>28.643139999999999</v>
      </c>
      <c r="BG305" s="23">
        <v>77.282160000000005</v>
      </c>
      <c r="BH305" s="31">
        <f t="shared" si="155"/>
        <v>162</v>
      </c>
      <c r="BI305" s="31">
        <f t="shared" si="156"/>
        <v>227.5</v>
      </c>
      <c r="BJ305" s="37">
        <f t="shared" si="157"/>
        <v>-65.5</v>
      </c>
      <c r="BK305" s="37">
        <f t="shared" si="158"/>
        <v>-28.791208791208788</v>
      </c>
      <c r="BL305" s="36">
        <f t="shared" si="159"/>
        <v>18</v>
      </c>
      <c r="BM305" s="36">
        <f t="shared" si="160"/>
        <v>33.5</v>
      </c>
      <c r="BN305" s="37">
        <f t="shared" si="161"/>
        <v>-15.5</v>
      </c>
      <c r="BO305" s="37">
        <f t="shared" si="162"/>
        <v>-46.268656716417908</v>
      </c>
      <c r="BP305" s="38">
        <f t="shared" si="163"/>
        <v>2693.5</v>
      </c>
      <c r="BQ305" s="39">
        <f>J305+N305+S305+W305+AA305+AE305+AI305+AM305+AQ305+AU305+Table1[[#This Row],[MS-0225]]+Table1[[#This Row],[MS-0325]]</f>
        <v>2657.5</v>
      </c>
      <c r="BR305" s="37">
        <f t="shared" si="164"/>
        <v>36</v>
      </c>
      <c r="BS305" s="37">
        <f t="shared" si="165"/>
        <v>1.3546566321730951</v>
      </c>
      <c r="BT305" s="36">
        <f t="shared" si="166"/>
        <v>328.5</v>
      </c>
      <c r="BU305" s="36">
        <f t="shared" si="167"/>
        <v>341.5</v>
      </c>
      <c r="BV305" s="37">
        <f t="shared" si="168"/>
        <v>-13</v>
      </c>
      <c r="BW305" s="37">
        <f t="shared" si="169"/>
        <v>-3.8067349926793561</v>
      </c>
      <c r="BX305">
        <v>0</v>
      </c>
      <c r="BY305" s="83">
        <f t="shared" si="170"/>
        <v>0</v>
      </c>
      <c r="BZ305">
        <v>0</v>
      </c>
      <c r="CA305" s="83">
        <f t="shared" si="171"/>
        <v>0</v>
      </c>
      <c r="CB305" s="96">
        <f t="shared" si="172"/>
        <v>3.9229930984380677E-2</v>
      </c>
      <c r="CC305" s="96">
        <f t="shared" si="173"/>
        <v>5.9947299077733864E-2</v>
      </c>
      <c r="CD305" s="97">
        <f t="shared" si="174"/>
        <v>-2.0717368093353186E-2</v>
      </c>
      <c r="CE305" s="96">
        <f t="shared" si="175"/>
        <v>2.823529411764706E-2</v>
      </c>
      <c r="CF305" s="96">
        <f t="shared" si="176"/>
        <v>0.05</v>
      </c>
      <c r="CG305" s="96">
        <f t="shared" si="177"/>
        <v>-2.1764705882352943E-2</v>
      </c>
      <c r="CH305" s="95">
        <f t="shared" si="178"/>
        <v>5.4872195591430452E-2</v>
      </c>
      <c r="CI305" s="95">
        <f t="shared" si="179"/>
        <v>5.8065220852237559E-2</v>
      </c>
      <c r="CJ305" s="98">
        <f t="shared" si="180"/>
        <v>-3.1930252608071072E-3</v>
      </c>
      <c r="CK305" s="95">
        <f t="shared" si="181"/>
        <v>4.2330031085783155E-2</v>
      </c>
      <c r="CL305" s="95">
        <f t="shared" si="182"/>
        <v>4.0383614776973657E-2</v>
      </c>
      <c r="CM305" s="98">
        <f t="shared" si="183"/>
        <v>1.9464163088094982E-3</v>
      </c>
      <c r="CN305" s="94">
        <f t="shared" si="184"/>
        <v>0.43897756473144361</v>
      </c>
      <c r="CO305" s="94">
        <f t="shared" si="185"/>
        <v>0.33864024868626524</v>
      </c>
    </row>
    <row r="306" spans="1:95" ht="36.5" x14ac:dyDescent="0.35">
      <c r="A306" s="104">
        <v>102085</v>
      </c>
      <c r="B306" s="5" t="s">
        <v>581</v>
      </c>
      <c r="C306" s="46" t="s">
        <v>835</v>
      </c>
      <c r="D306" s="13" t="s">
        <v>836</v>
      </c>
      <c r="E306" s="6" t="s">
        <v>89</v>
      </c>
      <c r="F306" s="6" t="s">
        <v>307</v>
      </c>
      <c r="G306" s="12" t="s">
        <v>307</v>
      </c>
      <c r="H306" s="51" t="s">
        <v>205</v>
      </c>
      <c r="I306" s="24" t="s">
        <v>86</v>
      </c>
      <c r="J306" s="19">
        <v>220.5</v>
      </c>
      <c r="K306" s="19">
        <v>243</v>
      </c>
      <c r="L306" s="19">
        <v>67.5</v>
      </c>
      <c r="M306" s="19">
        <v>45</v>
      </c>
      <c r="N306" s="18">
        <v>241</v>
      </c>
      <c r="O306" s="18">
        <v>256.5</v>
      </c>
      <c r="P306" s="18">
        <v>73</v>
      </c>
      <c r="Q306" s="18">
        <v>49.5</v>
      </c>
      <c r="R306" s="19">
        <v>243</v>
      </c>
      <c r="S306" s="19">
        <v>243</v>
      </c>
      <c r="T306" s="19">
        <v>45</v>
      </c>
      <c r="U306" s="19">
        <v>63</v>
      </c>
      <c r="V306" s="19">
        <v>279</v>
      </c>
      <c r="W306" s="19">
        <v>252</v>
      </c>
      <c r="X306" s="19">
        <v>45</v>
      </c>
      <c r="Y306" s="19">
        <v>72</v>
      </c>
      <c r="Z306" s="19">
        <v>270</v>
      </c>
      <c r="AA306" s="19">
        <v>238.5</v>
      </c>
      <c r="AB306" s="19">
        <v>54</v>
      </c>
      <c r="AC306" s="19">
        <v>67.5</v>
      </c>
      <c r="AD306" s="19">
        <v>272</v>
      </c>
      <c r="AE306" s="19">
        <v>250.5</v>
      </c>
      <c r="AF306" s="19">
        <v>54</v>
      </c>
      <c r="AG306" s="19">
        <v>67.5</v>
      </c>
      <c r="AH306" s="19">
        <v>276</v>
      </c>
      <c r="AI306" s="19">
        <v>248.5</v>
      </c>
      <c r="AJ306" s="19">
        <v>48</v>
      </c>
      <c r="AK306" s="19">
        <v>77.5</v>
      </c>
      <c r="AL306" s="19">
        <v>248</v>
      </c>
      <c r="AM306" s="19">
        <v>250.5</v>
      </c>
      <c r="AN306" s="19">
        <v>50</v>
      </c>
      <c r="AO306" s="19">
        <v>49.5</v>
      </c>
      <c r="AP306" s="19">
        <v>243</v>
      </c>
      <c r="AQ306" s="19">
        <v>242</v>
      </c>
      <c r="AR306" s="19">
        <v>35</v>
      </c>
      <c r="AS306" s="19">
        <v>58</v>
      </c>
      <c r="AT306" s="19">
        <v>230</v>
      </c>
      <c r="AU306" s="19">
        <v>234</v>
      </c>
      <c r="AV306" s="19">
        <v>50</v>
      </c>
      <c r="AW306" s="19">
        <v>54</v>
      </c>
      <c r="AX306" s="19">
        <v>258</v>
      </c>
      <c r="AY306" s="19">
        <v>216</v>
      </c>
      <c r="AZ306" s="19">
        <v>40</v>
      </c>
      <c r="BA306" s="19">
        <v>54</v>
      </c>
      <c r="BB306" s="19">
        <v>259</v>
      </c>
      <c r="BC306" s="19">
        <v>234</v>
      </c>
      <c r="BD306" s="19">
        <v>39</v>
      </c>
      <c r="BE306" s="19">
        <v>54</v>
      </c>
      <c r="BF306" s="23">
        <v>28.682400000000001</v>
      </c>
      <c r="BG306" s="23">
        <v>77.154200000000003</v>
      </c>
      <c r="BH306" s="31">
        <f t="shared" si="155"/>
        <v>259</v>
      </c>
      <c r="BI306" s="31">
        <f t="shared" si="156"/>
        <v>234</v>
      </c>
      <c r="BJ306" s="37">
        <f t="shared" si="157"/>
        <v>25</v>
      </c>
      <c r="BK306" s="37">
        <f t="shared" si="158"/>
        <v>10.683760683760683</v>
      </c>
      <c r="BL306" s="36">
        <f t="shared" si="159"/>
        <v>39</v>
      </c>
      <c r="BM306" s="36">
        <f t="shared" si="160"/>
        <v>54</v>
      </c>
      <c r="BN306" s="37">
        <f t="shared" si="161"/>
        <v>-15</v>
      </c>
      <c r="BO306" s="37">
        <f t="shared" si="162"/>
        <v>-27.777777777777779</v>
      </c>
      <c r="BP306" s="38">
        <f t="shared" si="163"/>
        <v>3077.5</v>
      </c>
      <c r="BQ306" s="39">
        <f>J306+N306+S306+W306+AA306+AE306+AI306+AM306+AQ306+AU306+Table1[[#This Row],[MS-0225]]+Table1[[#This Row],[MS-0325]]</f>
        <v>2870.5</v>
      </c>
      <c r="BR306" s="37">
        <f t="shared" si="164"/>
        <v>207</v>
      </c>
      <c r="BS306" s="37">
        <f t="shared" si="165"/>
        <v>7.2112872321895143</v>
      </c>
      <c r="BT306" s="36">
        <f t="shared" si="166"/>
        <v>554.5</v>
      </c>
      <c r="BU306" s="36">
        <f t="shared" si="167"/>
        <v>757.5</v>
      </c>
      <c r="BV306" s="37">
        <f t="shared" si="168"/>
        <v>-203</v>
      </c>
      <c r="BW306" s="37">
        <f t="shared" si="169"/>
        <v>-26.798679867986795</v>
      </c>
      <c r="BX306">
        <v>0</v>
      </c>
      <c r="BY306" s="83">
        <f t="shared" si="170"/>
        <v>0</v>
      </c>
      <c r="BZ306">
        <v>0</v>
      </c>
      <c r="CA306" s="83">
        <f t="shared" si="171"/>
        <v>0</v>
      </c>
      <c r="CB306" s="96">
        <f t="shared" si="172"/>
        <v>0.40532081377151802</v>
      </c>
      <c r="CC306" s="96">
        <f t="shared" si="173"/>
        <v>0.40068493150684931</v>
      </c>
      <c r="CD306" s="97">
        <f t="shared" si="174"/>
        <v>4.6358822646687114E-3</v>
      </c>
      <c r="CE306" s="96">
        <f t="shared" si="175"/>
        <v>0.49367088607594939</v>
      </c>
      <c r="CF306" s="96">
        <f t="shared" si="176"/>
        <v>0.51923076923076927</v>
      </c>
      <c r="CG306" s="96">
        <f t="shared" si="177"/>
        <v>-2.5559883154819885E-2</v>
      </c>
      <c r="CH306" s="95">
        <f t="shared" si="178"/>
        <v>0.40373893079698264</v>
      </c>
      <c r="CI306" s="95">
        <f t="shared" si="179"/>
        <v>0.39942948584150839</v>
      </c>
      <c r="CJ306" s="98">
        <f t="shared" si="180"/>
        <v>4.3094449554742509E-3</v>
      </c>
      <c r="CK306" s="95">
        <f t="shared" si="181"/>
        <v>0.49977467327625058</v>
      </c>
      <c r="CL306" s="95">
        <f t="shared" si="182"/>
        <v>0.54203935599284436</v>
      </c>
      <c r="CM306" s="98">
        <f t="shared" si="183"/>
        <v>-4.2264682716593782E-2</v>
      </c>
      <c r="CN306" s="94">
        <f t="shared" si="184"/>
        <v>0.80747786159396528</v>
      </c>
      <c r="CO306" s="94">
        <f t="shared" si="185"/>
        <v>0.99954934655250116</v>
      </c>
    </row>
    <row r="307" spans="1:95" x14ac:dyDescent="0.35">
      <c r="A307" s="103">
        <v>41056998</v>
      </c>
      <c r="B307" s="9" t="s">
        <v>380</v>
      </c>
      <c r="C307" s="47" t="s">
        <v>422</v>
      </c>
      <c r="D307" s="14" t="s">
        <v>423</v>
      </c>
      <c r="E307" s="10" t="s">
        <v>111</v>
      </c>
      <c r="F307" s="10" t="s">
        <v>116</v>
      </c>
      <c r="G307" s="12" t="s">
        <v>116</v>
      </c>
      <c r="H307" s="51" t="s">
        <v>105</v>
      </c>
      <c r="I307" s="25" t="s">
        <v>78</v>
      </c>
      <c r="J307" s="20">
        <v>126</v>
      </c>
      <c r="K307" s="20">
        <v>175</v>
      </c>
      <c r="L307" s="20">
        <v>72</v>
      </c>
      <c r="M307" s="20">
        <v>73</v>
      </c>
      <c r="N307" s="18">
        <v>193.5</v>
      </c>
      <c r="O307" s="18">
        <v>173</v>
      </c>
      <c r="P307" s="18">
        <v>94.5</v>
      </c>
      <c r="Q307" s="18">
        <v>68</v>
      </c>
      <c r="R307" s="20">
        <v>176.5</v>
      </c>
      <c r="S307" s="20">
        <v>175.5</v>
      </c>
      <c r="T307" s="20">
        <v>71.5</v>
      </c>
      <c r="U307" s="20">
        <v>94.5</v>
      </c>
      <c r="V307" s="20">
        <v>186.5</v>
      </c>
      <c r="W307" s="20">
        <v>184.5</v>
      </c>
      <c r="X307" s="20">
        <v>64.5</v>
      </c>
      <c r="Y307" s="20">
        <v>103.5</v>
      </c>
      <c r="Z307" s="20">
        <v>200.5</v>
      </c>
      <c r="AA307" s="20">
        <v>189</v>
      </c>
      <c r="AB307" s="20">
        <v>60.5</v>
      </c>
      <c r="AC307" s="20">
        <v>99</v>
      </c>
      <c r="AD307" s="20">
        <v>176.5</v>
      </c>
      <c r="AE307" s="20">
        <v>185</v>
      </c>
      <c r="AF307" s="20">
        <v>66.5</v>
      </c>
      <c r="AG307" s="20">
        <v>92</v>
      </c>
      <c r="AH307" s="20">
        <v>186</v>
      </c>
      <c r="AI307" s="20">
        <v>184.5</v>
      </c>
      <c r="AJ307" s="20">
        <v>73</v>
      </c>
      <c r="AK307" s="20">
        <v>85.5</v>
      </c>
      <c r="AL307" s="20">
        <v>166.5</v>
      </c>
      <c r="AM307" s="20">
        <v>162</v>
      </c>
      <c r="AN307" s="20">
        <v>42.5</v>
      </c>
      <c r="AO307" s="20">
        <v>54</v>
      </c>
      <c r="AP307" s="20">
        <v>164.5</v>
      </c>
      <c r="AQ307" s="20">
        <v>162</v>
      </c>
      <c r="AR307" s="20">
        <v>49.5</v>
      </c>
      <c r="AS307" s="20">
        <v>54</v>
      </c>
      <c r="AT307" s="20">
        <v>164</v>
      </c>
      <c r="AU307" s="20">
        <v>172.5</v>
      </c>
      <c r="AV307" s="20">
        <v>55</v>
      </c>
      <c r="AW307" s="20">
        <v>50.5</v>
      </c>
      <c r="AX307" s="20">
        <v>143.5</v>
      </c>
      <c r="AY307" s="20">
        <v>151</v>
      </c>
      <c r="AZ307" s="20">
        <v>35.5</v>
      </c>
      <c r="BA307" s="20">
        <v>61</v>
      </c>
      <c r="BB307" s="20">
        <v>157.5</v>
      </c>
      <c r="BC307" s="20">
        <v>172</v>
      </c>
      <c r="BD307" s="20">
        <v>51.5</v>
      </c>
      <c r="BE307" s="20">
        <v>49</v>
      </c>
      <c r="BF307" s="23">
        <v>28.591080000000002</v>
      </c>
      <c r="BG307" s="23">
        <v>77.229950000000002</v>
      </c>
      <c r="BH307" s="31">
        <f t="shared" si="155"/>
        <v>157.5</v>
      </c>
      <c r="BI307" s="31">
        <f t="shared" si="156"/>
        <v>172</v>
      </c>
      <c r="BJ307" s="37">
        <f t="shared" si="157"/>
        <v>-14.5</v>
      </c>
      <c r="BK307" s="37">
        <f t="shared" si="158"/>
        <v>-8.4302325581395348</v>
      </c>
      <c r="BL307" s="36">
        <f t="shared" si="159"/>
        <v>51.5</v>
      </c>
      <c r="BM307" s="36">
        <f t="shared" si="160"/>
        <v>49</v>
      </c>
      <c r="BN307" s="37">
        <f t="shared" si="161"/>
        <v>2.5</v>
      </c>
      <c r="BO307" s="37">
        <f t="shared" si="162"/>
        <v>5.1020408163265305</v>
      </c>
      <c r="BP307" s="38">
        <f t="shared" si="163"/>
        <v>2070</v>
      </c>
      <c r="BQ307" s="39">
        <f>J307+N307+S307+W307+AA307+AE307+AI307+AM307+AQ307+AU307+Table1[[#This Row],[MS-0225]]+Table1[[#This Row],[MS-0325]]</f>
        <v>2057.5</v>
      </c>
      <c r="BR307" s="37">
        <f t="shared" si="164"/>
        <v>12.5</v>
      </c>
      <c r="BS307" s="37">
        <f t="shared" si="165"/>
        <v>0.60753341433778862</v>
      </c>
      <c r="BT307" s="36">
        <f t="shared" si="166"/>
        <v>711</v>
      </c>
      <c r="BU307" s="36">
        <f t="shared" si="167"/>
        <v>909.5</v>
      </c>
      <c r="BV307" s="37">
        <f t="shared" si="168"/>
        <v>-198.5</v>
      </c>
      <c r="BW307" s="37">
        <f t="shared" si="169"/>
        <v>-21.825178669598682</v>
      </c>
      <c r="BX307">
        <v>0</v>
      </c>
      <c r="BY307" s="83">
        <f t="shared" si="170"/>
        <v>0</v>
      </c>
      <c r="BZ307">
        <v>0</v>
      </c>
      <c r="CA307" s="83">
        <f t="shared" si="171"/>
        <v>0</v>
      </c>
      <c r="CB307" s="96">
        <f t="shared" si="172"/>
        <v>0.43032786885245899</v>
      </c>
      <c r="CC307" s="96">
        <f t="shared" si="173"/>
        <v>0.44329896907216493</v>
      </c>
      <c r="CD307" s="97">
        <f t="shared" si="174"/>
        <v>-1.2971100219705933E-2</v>
      </c>
      <c r="CE307" s="96">
        <f t="shared" si="175"/>
        <v>0.44782608695652176</v>
      </c>
      <c r="CF307" s="96">
        <f t="shared" si="176"/>
        <v>0.47572815533980584</v>
      </c>
      <c r="CG307" s="96">
        <f t="shared" si="177"/>
        <v>-2.7902068383284073E-2</v>
      </c>
      <c r="CH307" s="95">
        <f t="shared" si="178"/>
        <v>0.44273339749759383</v>
      </c>
      <c r="CI307" s="95">
        <f t="shared" si="179"/>
        <v>0.444192572443453</v>
      </c>
      <c r="CJ307" s="98">
        <f t="shared" si="180"/>
        <v>-1.4591749458591763E-3</v>
      </c>
      <c r="CK307" s="95">
        <f t="shared" si="181"/>
        <v>0.51615245009074406</v>
      </c>
      <c r="CL307" s="95">
        <f t="shared" si="182"/>
        <v>0.56596141879278161</v>
      </c>
      <c r="CM307" s="98">
        <f t="shared" si="183"/>
        <v>-4.9808968702037548E-2</v>
      </c>
      <c r="CN307" s="94">
        <f t="shared" si="184"/>
        <v>0.88546679499518766</v>
      </c>
      <c r="CO307" s="94">
        <f t="shared" si="185"/>
        <v>1.0323049001814881</v>
      </c>
    </row>
    <row r="308" spans="1:95" ht="24.5" x14ac:dyDescent="0.35">
      <c r="A308" s="104">
        <v>107653</v>
      </c>
      <c r="B308" s="5" t="s">
        <v>581</v>
      </c>
      <c r="C308" s="46" t="s">
        <v>923</v>
      </c>
      <c r="D308" s="13" t="s">
        <v>611</v>
      </c>
      <c r="E308" s="6" t="s">
        <v>89</v>
      </c>
      <c r="F308" s="6" t="s">
        <v>906</v>
      </c>
      <c r="G308" s="12" t="s">
        <v>906</v>
      </c>
      <c r="H308" s="51" t="s">
        <v>1007</v>
      </c>
      <c r="I308" s="24" t="s">
        <v>86</v>
      </c>
      <c r="J308" s="19">
        <v>210</v>
      </c>
      <c r="K308" s="19">
        <v>193.5</v>
      </c>
      <c r="L308" s="19">
        <v>72</v>
      </c>
      <c r="M308" s="19">
        <v>40.5</v>
      </c>
      <c r="N308" s="18">
        <v>229.5</v>
      </c>
      <c r="O308" s="18">
        <v>229</v>
      </c>
      <c r="P308" s="18">
        <v>76.5</v>
      </c>
      <c r="Q308" s="18">
        <v>59</v>
      </c>
      <c r="R308" s="19">
        <v>180</v>
      </c>
      <c r="S308" s="19">
        <v>247.5</v>
      </c>
      <c r="T308" s="19">
        <v>56</v>
      </c>
      <c r="U308" s="19">
        <v>72.5</v>
      </c>
      <c r="V308" s="19">
        <v>235</v>
      </c>
      <c r="W308" s="19">
        <v>210</v>
      </c>
      <c r="X308" s="19">
        <v>61</v>
      </c>
      <c r="Y308" s="19">
        <v>78</v>
      </c>
      <c r="Z308" s="19">
        <v>201.5</v>
      </c>
      <c r="AA308" s="19">
        <v>229.5</v>
      </c>
      <c r="AB308" s="19">
        <v>56.5</v>
      </c>
      <c r="AC308" s="19">
        <v>72.5</v>
      </c>
      <c r="AD308" s="19">
        <v>192</v>
      </c>
      <c r="AE308" s="19">
        <v>121</v>
      </c>
      <c r="AF308" s="19">
        <v>48</v>
      </c>
      <c r="AG308" s="19">
        <v>65</v>
      </c>
      <c r="AH308" s="19">
        <v>217.5</v>
      </c>
      <c r="AI308" s="19">
        <v>196</v>
      </c>
      <c r="AJ308" s="19">
        <v>52.5</v>
      </c>
      <c r="AK308" s="19">
        <v>68</v>
      </c>
      <c r="AL308" s="19">
        <v>157.5</v>
      </c>
      <c r="AM308" s="19">
        <v>184</v>
      </c>
      <c r="AN308" s="19">
        <v>40.5</v>
      </c>
      <c r="AO308" s="19">
        <v>56</v>
      </c>
      <c r="AP308" s="19">
        <v>186</v>
      </c>
      <c r="AQ308" s="19">
        <v>177.5</v>
      </c>
      <c r="AR308" s="19">
        <v>36</v>
      </c>
      <c r="AS308" s="19">
        <v>56.5</v>
      </c>
      <c r="AT308" s="19">
        <v>179</v>
      </c>
      <c r="AU308" s="19">
        <v>187</v>
      </c>
      <c r="AV308" s="19">
        <v>49</v>
      </c>
      <c r="AW308" s="19">
        <v>53</v>
      </c>
      <c r="AX308" s="19">
        <v>180</v>
      </c>
      <c r="AY308" s="19">
        <v>170</v>
      </c>
      <c r="AZ308" s="19">
        <v>36</v>
      </c>
      <c r="BA308" s="19">
        <v>52</v>
      </c>
      <c r="BB308" s="19">
        <v>199</v>
      </c>
      <c r="BC308" s="19">
        <v>218</v>
      </c>
      <c r="BD308" s="19">
        <v>49</v>
      </c>
      <c r="BE308" s="19">
        <v>64</v>
      </c>
      <c r="BF308" s="23">
        <v>28.688800000000001</v>
      </c>
      <c r="BG308" s="23">
        <v>77.104299999999995</v>
      </c>
      <c r="BH308" s="31">
        <f t="shared" si="155"/>
        <v>199</v>
      </c>
      <c r="BI308" s="31">
        <f t="shared" si="156"/>
        <v>218</v>
      </c>
      <c r="BJ308" s="37">
        <f t="shared" si="157"/>
        <v>-19</v>
      </c>
      <c r="BK308" s="37">
        <f t="shared" si="158"/>
        <v>-8.7155963302752291</v>
      </c>
      <c r="BL308" s="36">
        <f t="shared" si="159"/>
        <v>49</v>
      </c>
      <c r="BM308" s="36">
        <f t="shared" si="160"/>
        <v>64</v>
      </c>
      <c r="BN308" s="37">
        <f t="shared" si="161"/>
        <v>-15</v>
      </c>
      <c r="BO308" s="37">
        <f t="shared" si="162"/>
        <v>-23.4375</v>
      </c>
      <c r="BP308" s="38">
        <f t="shared" si="163"/>
        <v>2350</v>
      </c>
      <c r="BQ308" s="39">
        <f>J308+N308+S308+W308+AA308+AE308+AI308+AM308+AQ308+AU308+Table1[[#This Row],[MS-0225]]+Table1[[#This Row],[MS-0325]]</f>
        <v>2380</v>
      </c>
      <c r="BR308" s="37">
        <f t="shared" si="164"/>
        <v>-30</v>
      </c>
      <c r="BS308" s="37">
        <f t="shared" si="165"/>
        <v>-1.2605042016806722</v>
      </c>
      <c r="BT308" s="36">
        <f t="shared" si="166"/>
        <v>584</v>
      </c>
      <c r="BU308" s="36">
        <f t="shared" si="167"/>
        <v>786</v>
      </c>
      <c r="BV308" s="37">
        <f t="shared" si="168"/>
        <v>-202</v>
      </c>
      <c r="BW308" s="37">
        <f t="shared" si="169"/>
        <v>-25.699745547073793</v>
      </c>
      <c r="BX308">
        <v>0</v>
      </c>
      <c r="BY308" s="83">
        <f t="shared" si="170"/>
        <v>0</v>
      </c>
      <c r="BZ308">
        <v>0</v>
      </c>
      <c r="CA308" s="83">
        <f t="shared" si="171"/>
        <v>0</v>
      </c>
      <c r="CB308" s="96">
        <f t="shared" si="172"/>
        <v>0.14702622829700776</v>
      </c>
      <c r="CC308" s="96">
        <f t="shared" si="173"/>
        <v>0.16452830188679246</v>
      </c>
      <c r="CD308" s="97">
        <f t="shared" si="174"/>
        <v>-1.75020735897847E-2</v>
      </c>
      <c r="CE308" s="96">
        <f t="shared" si="175"/>
        <v>0.1798165137614679</v>
      </c>
      <c r="CF308" s="96">
        <f t="shared" si="176"/>
        <v>0.22695035460992907</v>
      </c>
      <c r="CG308" s="96">
        <f t="shared" si="177"/>
        <v>-4.7133840848461173E-2</v>
      </c>
      <c r="CH308" s="95">
        <f t="shared" si="178"/>
        <v>0.14970536709667145</v>
      </c>
      <c r="CI308" s="95">
        <f t="shared" si="179"/>
        <v>0.15520052168242582</v>
      </c>
      <c r="CJ308" s="98">
        <f t="shared" si="180"/>
        <v>-5.4951545857543638E-3</v>
      </c>
      <c r="CK308" s="95">
        <f t="shared" si="181"/>
        <v>0.20051502145922748</v>
      </c>
      <c r="CL308" s="95">
        <f t="shared" si="182"/>
        <v>0.22902097902097901</v>
      </c>
      <c r="CM308" s="98">
        <f t="shared" si="183"/>
        <v>-2.8505957561751533E-2</v>
      </c>
      <c r="CN308" s="94">
        <f t="shared" si="184"/>
        <v>0.7485268354833573</v>
      </c>
      <c r="CO308" s="94">
        <f t="shared" si="185"/>
        <v>1.0025751072961373</v>
      </c>
    </row>
    <row r="309" spans="1:95" ht="24.5" x14ac:dyDescent="0.35">
      <c r="A309" s="102">
        <v>147087</v>
      </c>
      <c r="B309" s="3" t="s">
        <v>72</v>
      </c>
      <c r="C309" s="41" t="s">
        <v>278</v>
      </c>
      <c r="D309" s="12" t="s">
        <v>279</v>
      </c>
      <c r="E309" s="4" t="s">
        <v>81</v>
      </c>
      <c r="F309" s="4" t="s">
        <v>140</v>
      </c>
      <c r="G309" s="12" t="s">
        <v>140</v>
      </c>
      <c r="H309" s="51" t="s">
        <v>141</v>
      </c>
      <c r="I309" s="23" t="s">
        <v>83</v>
      </c>
      <c r="J309" s="90">
        <v>115</v>
      </c>
      <c r="K309" s="90">
        <v>121.5</v>
      </c>
      <c r="L309" s="90">
        <v>203</v>
      </c>
      <c r="M309" s="90">
        <v>202.5</v>
      </c>
      <c r="N309" s="18">
        <v>128.5</v>
      </c>
      <c r="O309" s="18">
        <v>126</v>
      </c>
      <c r="P309" s="18">
        <v>191.5</v>
      </c>
      <c r="Q309" s="18">
        <v>180</v>
      </c>
      <c r="R309" s="90">
        <v>128.5</v>
      </c>
      <c r="S309" s="90">
        <v>119.5</v>
      </c>
      <c r="T309" s="90">
        <v>171.5</v>
      </c>
      <c r="U309" s="90">
        <v>168.5</v>
      </c>
      <c r="V309" s="90">
        <v>133.5</v>
      </c>
      <c r="W309" s="90">
        <v>125</v>
      </c>
      <c r="X309" s="90">
        <v>214.5</v>
      </c>
      <c r="Y309" s="90">
        <v>193</v>
      </c>
      <c r="Z309" s="90">
        <v>119.5</v>
      </c>
      <c r="AA309" s="90">
        <v>135</v>
      </c>
      <c r="AB309" s="90">
        <v>174.5</v>
      </c>
      <c r="AC309" s="90">
        <v>201</v>
      </c>
      <c r="AD309" s="90">
        <v>137</v>
      </c>
      <c r="AE309" s="90">
        <v>119.5</v>
      </c>
      <c r="AF309" s="90">
        <v>199</v>
      </c>
      <c r="AG309" s="90">
        <v>192.5</v>
      </c>
      <c r="AH309" s="90">
        <v>127.5</v>
      </c>
      <c r="AI309" s="90">
        <v>126</v>
      </c>
      <c r="AJ309" s="90">
        <v>196.5</v>
      </c>
      <c r="AK309" s="90">
        <v>180</v>
      </c>
      <c r="AL309" s="90">
        <v>131.5</v>
      </c>
      <c r="AM309" s="90">
        <v>129</v>
      </c>
      <c r="AN309" s="90">
        <v>132.5</v>
      </c>
      <c r="AO309" s="90">
        <v>201</v>
      </c>
      <c r="AP309" s="90">
        <v>144</v>
      </c>
      <c r="AQ309" s="90">
        <v>117</v>
      </c>
      <c r="AR309" s="90">
        <v>98</v>
      </c>
      <c r="AS309" s="90">
        <v>243</v>
      </c>
      <c r="AT309" s="90">
        <v>123</v>
      </c>
      <c r="AU309" s="90">
        <v>117</v>
      </c>
      <c r="AV309" s="90">
        <v>93</v>
      </c>
      <c r="AW309" s="90">
        <v>261</v>
      </c>
      <c r="AX309" s="90">
        <v>110</v>
      </c>
      <c r="AY309" s="90">
        <v>108</v>
      </c>
      <c r="AZ309" s="90">
        <v>118</v>
      </c>
      <c r="BA309" s="90">
        <v>228</v>
      </c>
      <c r="BB309" s="90">
        <v>156.5</v>
      </c>
      <c r="BC309" s="90">
        <v>126</v>
      </c>
      <c r="BD309" s="90">
        <v>155.5</v>
      </c>
      <c r="BE309" s="90">
        <v>242</v>
      </c>
      <c r="BF309" s="23">
        <v>28.530830000000002</v>
      </c>
      <c r="BG309" s="23">
        <v>77.080179999999999</v>
      </c>
      <c r="BH309" s="31">
        <f t="shared" si="155"/>
        <v>156.5</v>
      </c>
      <c r="BI309" s="31">
        <f t="shared" si="156"/>
        <v>126</v>
      </c>
      <c r="BJ309" s="37">
        <f t="shared" si="157"/>
        <v>30.5</v>
      </c>
      <c r="BK309" s="37">
        <f t="shared" si="158"/>
        <v>24.206349206349206</v>
      </c>
      <c r="BL309" s="36">
        <f t="shared" si="159"/>
        <v>155.5</v>
      </c>
      <c r="BM309" s="36">
        <f t="shared" si="160"/>
        <v>242</v>
      </c>
      <c r="BN309" s="37">
        <f t="shared" si="161"/>
        <v>-86.5</v>
      </c>
      <c r="BO309" s="37">
        <f t="shared" si="162"/>
        <v>-35.743801652892557</v>
      </c>
      <c r="BP309" s="38">
        <f t="shared" si="163"/>
        <v>1558.5</v>
      </c>
      <c r="BQ309" s="39">
        <f>J309+N309+S309+W309+AA309+AE309+AI309+AM309+AQ309+AU309+Table1[[#This Row],[MS-0225]]+Table1[[#This Row],[MS-0325]]</f>
        <v>1465.5</v>
      </c>
      <c r="BR309" s="37">
        <f t="shared" si="164"/>
        <v>93</v>
      </c>
      <c r="BS309" s="37">
        <f t="shared" si="165"/>
        <v>6.3459570112589558</v>
      </c>
      <c r="BT309" s="36">
        <f t="shared" si="166"/>
        <v>1935.5</v>
      </c>
      <c r="BU309" s="36">
        <f t="shared" si="167"/>
        <v>2504.5</v>
      </c>
      <c r="BV309" s="37">
        <f t="shared" si="168"/>
        <v>-569</v>
      </c>
      <c r="BW309" s="37">
        <f t="shared" si="169"/>
        <v>-22.719105609902176</v>
      </c>
      <c r="BX309">
        <v>0</v>
      </c>
      <c r="BY309" s="83">
        <f t="shared" si="170"/>
        <v>0</v>
      </c>
      <c r="BZ309">
        <v>0</v>
      </c>
      <c r="CA309" s="83">
        <f t="shared" si="171"/>
        <v>0</v>
      </c>
      <c r="CB309" s="96">
        <f t="shared" si="172"/>
        <v>0.18144927536231883</v>
      </c>
      <c r="CC309" s="96">
        <f t="shared" si="173"/>
        <v>0.16</v>
      </c>
      <c r="CD309" s="97">
        <f t="shared" si="174"/>
        <v>2.1449275362318831E-2</v>
      </c>
      <c r="CE309" s="96">
        <f t="shared" si="175"/>
        <v>0.14580403187998126</v>
      </c>
      <c r="CF309" s="96">
        <f t="shared" si="176"/>
        <v>0.28025477707006369</v>
      </c>
      <c r="CG309" s="96">
        <f t="shared" si="177"/>
        <v>-0.13445074519008243</v>
      </c>
      <c r="CH309" s="95">
        <f t="shared" si="178"/>
        <v>0.1621748178980229</v>
      </c>
      <c r="CI309" s="95">
        <f t="shared" si="179"/>
        <v>0.16095551892795656</v>
      </c>
      <c r="CJ309" s="98">
        <f t="shared" si="180"/>
        <v>1.2192989700663404E-3</v>
      </c>
      <c r="CK309" s="95">
        <f t="shared" si="181"/>
        <v>0.18949481104366556</v>
      </c>
      <c r="CL309" s="95">
        <f t="shared" si="182"/>
        <v>0.20408246414602346</v>
      </c>
      <c r="CM309" s="98">
        <f t="shared" si="183"/>
        <v>-1.4587653102357906E-2</v>
      </c>
      <c r="CN309" s="94">
        <f t="shared" si="184"/>
        <v>0.97304890738813743</v>
      </c>
      <c r="CO309" s="94">
        <f t="shared" si="185"/>
        <v>1.1369688662619932</v>
      </c>
    </row>
    <row r="310" spans="1:95" ht="24.5" x14ac:dyDescent="0.35">
      <c r="A310" s="103">
        <v>41057008</v>
      </c>
      <c r="B310" s="9" t="s">
        <v>380</v>
      </c>
      <c r="C310" s="48" t="s">
        <v>390</v>
      </c>
      <c r="D310" s="14" t="s">
        <v>391</v>
      </c>
      <c r="E310" s="10" t="s">
        <v>89</v>
      </c>
      <c r="F310" s="10" t="s">
        <v>204</v>
      </c>
      <c r="G310" s="12" t="s">
        <v>204</v>
      </c>
      <c r="H310" s="51" t="s">
        <v>205</v>
      </c>
      <c r="I310" s="25" t="s">
        <v>86</v>
      </c>
      <c r="J310" s="20">
        <v>345</v>
      </c>
      <c r="K310" s="20">
        <v>400</v>
      </c>
      <c r="L310" s="20">
        <v>235</v>
      </c>
      <c r="M310" s="20">
        <v>225</v>
      </c>
      <c r="N310" s="18">
        <v>390</v>
      </c>
      <c r="O310" s="18">
        <v>412</v>
      </c>
      <c r="P310" s="18">
        <v>230</v>
      </c>
      <c r="Q310" s="18">
        <v>210</v>
      </c>
      <c r="R310" s="20">
        <v>373</v>
      </c>
      <c r="S310" s="20">
        <v>400</v>
      </c>
      <c r="T310" s="20">
        <v>200</v>
      </c>
      <c r="U310" s="20">
        <v>220</v>
      </c>
      <c r="V310" s="20">
        <v>404</v>
      </c>
      <c r="W310" s="20">
        <v>390</v>
      </c>
      <c r="X310" s="20">
        <v>134</v>
      </c>
      <c r="Y310" s="20">
        <v>230</v>
      </c>
      <c r="Z310" s="20">
        <v>383</v>
      </c>
      <c r="AA310" s="20">
        <v>400</v>
      </c>
      <c r="AB310" s="20">
        <v>100</v>
      </c>
      <c r="AC310" s="20">
        <v>220</v>
      </c>
      <c r="AD310" s="20">
        <v>405</v>
      </c>
      <c r="AE310" s="20">
        <v>365</v>
      </c>
      <c r="AF310" s="20">
        <v>98</v>
      </c>
      <c r="AG310" s="20">
        <v>215</v>
      </c>
      <c r="AH310" s="20">
        <v>460</v>
      </c>
      <c r="AI310" s="20">
        <v>410</v>
      </c>
      <c r="AJ310" s="20">
        <v>104</v>
      </c>
      <c r="AK310" s="20">
        <v>230</v>
      </c>
      <c r="AL310" s="20">
        <v>426</v>
      </c>
      <c r="AM310" s="20">
        <v>360</v>
      </c>
      <c r="AN310" s="20">
        <v>91</v>
      </c>
      <c r="AO310" s="20">
        <v>205</v>
      </c>
      <c r="AP310" s="20">
        <v>432</v>
      </c>
      <c r="AQ310" s="20">
        <v>325</v>
      </c>
      <c r="AR310" s="20">
        <v>91</v>
      </c>
      <c r="AS310" s="20">
        <v>207</v>
      </c>
      <c r="AT310" s="20">
        <v>435</v>
      </c>
      <c r="AU310" s="20">
        <v>352</v>
      </c>
      <c r="AV310" s="20">
        <v>90</v>
      </c>
      <c r="AW310" s="20">
        <v>224</v>
      </c>
      <c r="AX310" s="20">
        <v>405</v>
      </c>
      <c r="AY310" s="20">
        <v>325</v>
      </c>
      <c r="AZ310" s="20">
        <v>95</v>
      </c>
      <c r="BA310" s="20">
        <v>200</v>
      </c>
      <c r="BB310" s="20">
        <v>403</v>
      </c>
      <c r="BC310" s="20">
        <v>335</v>
      </c>
      <c r="BD310" s="20">
        <v>85</v>
      </c>
      <c r="BE310" s="20">
        <v>205</v>
      </c>
      <c r="BF310" s="23">
        <v>28.695170000000001</v>
      </c>
      <c r="BG310" s="23">
        <v>77.148859999999999</v>
      </c>
      <c r="BH310" s="31">
        <f t="shared" si="155"/>
        <v>403</v>
      </c>
      <c r="BI310" s="31">
        <f t="shared" si="156"/>
        <v>335</v>
      </c>
      <c r="BJ310" s="37">
        <f t="shared" si="157"/>
        <v>68</v>
      </c>
      <c r="BK310" s="37">
        <f t="shared" si="158"/>
        <v>20.298507462686565</v>
      </c>
      <c r="BL310" s="36">
        <f t="shared" si="159"/>
        <v>85</v>
      </c>
      <c r="BM310" s="36">
        <f t="shared" si="160"/>
        <v>205</v>
      </c>
      <c r="BN310" s="37">
        <f t="shared" si="161"/>
        <v>-120</v>
      </c>
      <c r="BO310" s="37">
        <f t="shared" si="162"/>
        <v>-58.536585365853654</v>
      </c>
      <c r="BP310" s="38">
        <f t="shared" si="163"/>
        <v>4938</v>
      </c>
      <c r="BQ310" s="39">
        <f>J310+N310+S310+W310+AA310+AE310+AI310+AM310+AQ310+AU310+Table1[[#This Row],[MS-0225]]+Table1[[#This Row],[MS-0325]]</f>
        <v>4397</v>
      </c>
      <c r="BR310" s="37">
        <f t="shared" si="164"/>
        <v>541</v>
      </c>
      <c r="BS310" s="37">
        <f t="shared" si="165"/>
        <v>12.303843529679327</v>
      </c>
      <c r="BT310" s="36">
        <f t="shared" si="166"/>
        <v>1523</v>
      </c>
      <c r="BU310" s="36">
        <f t="shared" si="167"/>
        <v>2621</v>
      </c>
      <c r="BV310" s="37">
        <f t="shared" si="168"/>
        <v>-1098</v>
      </c>
      <c r="BW310" s="37">
        <f t="shared" si="169"/>
        <v>-41.892407478061813</v>
      </c>
      <c r="BX310">
        <v>0</v>
      </c>
      <c r="BY310" s="83">
        <f t="shared" si="170"/>
        <v>0</v>
      </c>
      <c r="BZ310">
        <v>0</v>
      </c>
      <c r="CA310" s="83">
        <f t="shared" si="171"/>
        <v>0</v>
      </c>
      <c r="CB310" s="96">
        <f t="shared" si="172"/>
        <v>0.13146305659761867</v>
      </c>
      <c r="CC310" s="96">
        <f t="shared" si="173"/>
        <v>0.12732801216267578</v>
      </c>
      <c r="CD310" s="97">
        <f t="shared" si="174"/>
        <v>4.1350444349428916E-3</v>
      </c>
      <c r="CE310" s="96">
        <f t="shared" si="175"/>
        <v>8.1456636320076659E-2</v>
      </c>
      <c r="CF310" s="96">
        <f t="shared" si="176"/>
        <v>0.20337301587301587</v>
      </c>
      <c r="CG310" s="96">
        <f t="shared" si="177"/>
        <v>-0.12191637955293921</v>
      </c>
      <c r="CH310" s="95">
        <f t="shared" si="178"/>
        <v>0.14095885131952671</v>
      </c>
      <c r="CI310" s="95">
        <f t="shared" si="179"/>
        <v>0.13969151587949502</v>
      </c>
      <c r="CJ310" s="98">
        <f t="shared" si="180"/>
        <v>1.2673354400316861E-3</v>
      </c>
      <c r="CK310" s="95">
        <f t="shared" si="181"/>
        <v>0.12975505857294994</v>
      </c>
      <c r="CL310" s="95">
        <f t="shared" si="182"/>
        <v>0.20168519872263477</v>
      </c>
      <c r="CM310" s="98">
        <f t="shared" si="183"/>
        <v>-7.1930140149684824E-2</v>
      </c>
      <c r="CN310" s="94">
        <f t="shared" si="184"/>
        <v>1.2686296618757404</v>
      </c>
      <c r="CO310" s="94">
        <f t="shared" si="185"/>
        <v>1.1677955271565494</v>
      </c>
      <c r="CP310" s="141">
        <f>BD310-AZ310</f>
        <v>-10</v>
      </c>
      <c r="CQ310" t="s">
        <v>1088</v>
      </c>
    </row>
    <row r="311" spans="1:95" ht="24.5" x14ac:dyDescent="0.35">
      <c r="A311" s="104">
        <v>106332</v>
      </c>
      <c r="B311" s="5" t="s">
        <v>581</v>
      </c>
      <c r="C311" s="46" t="s">
        <v>941</v>
      </c>
      <c r="D311" s="13" t="s">
        <v>942</v>
      </c>
      <c r="E311" s="6" t="s">
        <v>89</v>
      </c>
      <c r="F311" s="6" t="s">
        <v>237</v>
      </c>
      <c r="G311" s="12" t="s">
        <v>237</v>
      </c>
      <c r="H311" s="51" t="s">
        <v>205</v>
      </c>
      <c r="I311" s="24" t="s">
        <v>86</v>
      </c>
      <c r="J311" s="19">
        <v>376</v>
      </c>
      <c r="K311" s="19">
        <v>340</v>
      </c>
      <c r="L311" s="19">
        <v>80</v>
      </c>
      <c r="M311" s="19">
        <v>56</v>
      </c>
      <c r="N311" s="18">
        <v>400</v>
      </c>
      <c r="O311" s="18">
        <v>336</v>
      </c>
      <c r="P311" s="18">
        <v>80</v>
      </c>
      <c r="Q311" s="18">
        <v>72</v>
      </c>
      <c r="R311" s="19">
        <v>328</v>
      </c>
      <c r="S311" s="19">
        <v>364</v>
      </c>
      <c r="T311" s="19">
        <v>56</v>
      </c>
      <c r="U311" s="19">
        <v>68</v>
      </c>
      <c r="V311" s="19">
        <v>256</v>
      </c>
      <c r="W311" s="19">
        <v>384</v>
      </c>
      <c r="X311" s="19">
        <v>44</v>
      </c>
      <c r="Y311" s="19">
        <v>60</v>
      </c>
      <c r="Z311" s="19">
        <v>288</v>
      </c>
      <c r="AA311" s="19">
        <v>372</v>
      </c>
      <c r="AB311" s="19">
        <v>48</v>
      </c>
      <c r="AC311" s="19">
        <v>60</v>
      </c>
      <c r="AD311" s="19">
        <v>312</v>
      </c>
      <c r="AE311" s="19">
        <v>372</v>
      </c>
      <c r="AF311" s="19">
        <v>48</v>
      </c>
      <c r="AG311" s="19">
        <v>72</v>
      </c>
      <c r="AH311" s="19">
        <v>316</v>
      </c>
      <c r="AI311" s="19">
        <v>376</v>
      </c>
      <c r="AJ311" s="19">
        <v>52</v>
      </c>
      <c r="AK311" s="19">
        <v>80</v>
      </c>
      <c r="AL311" s="19">
        <v>300</v>
      </c>
      <c r="AM311" s="19">
        <v>376</v>
      </c>
      <c r="AN311" s="19">
        <v>48</v>
      </c>
      <c r="AO311" s="19">
        <v>56</v>
      </c>
      <c r="AP311" s="19">
        <v>288</v>
      </c>
      <c r="AQ311" s="19">
        <v>348</v>
      </c>
      <c r="AR311" s="19">
        <v>48</v>
      </c>
      <c r="AS311" s="19">
        <v>60</v>
      </c>
      <c r="AT311" s="19">
        <v>260</v>
      </c>
      <c r="AU311" s="19">
        <v>352</v>
      </c>
      <c r="AV311" s="19">
        <v>52</v>
      </c>
      <c r="AW311" s="19">
        <v>80</v>
      </c>
      <c r="AX311" s="19">
        <v>261.5</v>
      </c>
      <c r="AY311" s="19">
        <v>312</v>
      </c>
      <c r="AZ311" s="19">
        <v>44.5</v>
      </c>
      <c r="BA311" s="19">
        <v>60</v>
      </c>
      <c r="BB311" s="19">
        <v>316</v>
      </c>
      <c r="BC311" s="19">
        <v>384</v>
      </c>
      <c r="BD311" s="19">
        <v>56</v>
      </c>
      <c r="BE311" s="19">
        <v>72</v>
      </c>
      <c r="BF311" s="23">
        <v>28.6877</v>
      </c>
      <c r="BG311" s="23">
        <v>77.085599999999999</v>
      </c>
      <c r="BH311" s="31">
        <f t="shared" si="155"/>
        <v>316</v>
      </c>
      <c r="BI311" s="31">
        <f t="shared" si="156"/>
        <v>384</v>
      </c>
      <c r="BJ311" s="37">
        <f t="shared" si="157"/>
        <v>-68</v>
      </c>
      <c r="BK311" s="37">
        <f t="shared" si="158"/>
        <v>-17.708333333333336</v>
      </c>
      <c r="BL311" s="36">
        <f t="shared" si="159"/>
        <v>56</v>
      </c>
      <c r="BM311" s="36">
        <f t="shared" si="160"/>
        <v>72</v>
      </c>
      <c r="BN311" s="37">
        <f t="shared" si="161"/>
        <v>-16</v>
      </c>
      <c r="BO311" s="37">
        <f t="shared" si="162"/>
        <v>-22.222222222222221</v>
      </c>
      <c r="BP311" s="38">
        <f t="shared" si="163"/>
        <v>3601.5</v>
      </c>
      <c r="BQ311" s="39">
        <f>J311+N311+S311+W311+AA311+AE311+AI311+AM311+AQ311+AU311+Table1[[#This Row],[MS-0225]]+Table1[[#This Row],[MS-0325]]</f>
        <v>4416</v>
      </c>
      <c r="BR311" s="37">
        <f t="shared" si="164"/>
        <v>-814.5</v>
      </c>
      <c r="BS311" s="37">
        <f t="shared" si="165"/>
        <v>-18.444293478260871</v>
      </c>
      <c r="BT311" s="36">
        <f t="shared" si="166"/>
        <v>624.5</v>
      </c>
      <c r="BU311" s="36">
        <f t="shared" si="167"/>
        <v>828</v>
      </c>
      <c r="BV311" s="37">
        <f t="shared" si="168"/>
        <v>-203.5</v>
      </c>
      <c r="BW311" s="37">
        <f t="shared" si="169"/>
        <v>-24.577294685990339</v>
      </c>
      <c r="BX311">
        <v>0</v>
      </c>
      <c r="BY311" s="83">
        <f t="shared" si="170"/>
        <v>0</v>
      </c>
      <c r="BZ311">
        <v>0</v>
      </c>
      <c r="CA311" s="83">
        <f t="shared" si="171"/>
        <v>0</v>
      </c>
      <c r="CB311" s="96">
        <f t="shared" si="172"/>
        <v>0.36197021764032072</v>
      </c>
      <c r="CC311" s="96">
        <f t="shared" si="173"/>
        <v>0.42221000549752613</v>
      </c>
      <c r="CD311" s="97">
        <f t="shared" si="174"/>
        <v>-6.0239787857205407E-2</v>
      </c>
      <c r="CE311" s="96">
        <f t="shared" si="175"/>
        <v>0.11740041928721175</v>
      </c>
      <c r="CF311" s="96">
        <f t="shared" si="176"/>
        <v>0.17799752781211373</v>
      </c>
      <c r="CG311" s="96">
        <f t="shared" si="177"/>
        <v>-6.059710852490198E-2</v>
      </c>
      <c r="CH311" s="95">
        <f t="shared" si="178"/>
        <v>0.35921603830041893</v>
      </c>
      <c r="CI311" s="95">
        <f t="shared" si="179"/>
        <v>0.44188722669735325</v>
      </c>
      <c r="CJ311" s="98">
        <f t="shared" si="180"/>
        <v>-8.2671188396934325E-2</v>
      </c>
      <c r="CK311" s="95">
        <f t="shared" si="181"/>
        <v>0.12445197289756875</v>
      </c>
      <c r="CL311" s="95">
        <f t="shared" si="182"/>
        <v>0.14779116465863454</v>
      </c>
      <c r="CM311" s="98">
        <f t="shared" si="183"/>
        <v>-2.3339191761065789E-2</v>
      </c>
      <c r="CN311" s="94">
        <f t="shared" si="184"/>
        <v>1.0776481149012569</v>
      </c>
      <c r="CO311" s="94">
        <f t="shared" si="185"/>
        <v>0.37335591869270623</v>
      </c>
    </row>
    <row r="312" spans="1:95" ht="24.5" x14ac:dyDescent="0.35">
      <c r="A312" s="104">
        <v>186836</v>
      </c>
      <c r="B312" s="5" t="s">
        <v>581</v>
      </c>
      <c r="C312" s="46" t="s">
        <v>696</v>
      </c>
      <c r="D312" s="13" t="s">
        <v>697</v>
      </c>
      <c r="E312" s="6" t="s">
        <v>200</v>
      </c>
      <c r="F312" s="6" t="s">
        <v>300</v>
      </c>
      <c r="G312" s="12" t="s">
        <v>300</v>
      </c>
      <c r="H312" s="51" t="s">
        <v>261</v>
      </c>
      <c r="I312" s="24" t="s">
        <v>83</v>
      </c>
      <c r="J312" s="19">
        <v>126</v>
      </c>
      <c r="K312" s="19">
        <v>142</v>
      </c>
      <c r="L312" s="19">
        <v>144</v>
      </c>
      <c r="M312" s="19">
        <v>166</v>
      </c>
      <c r="N312" s="18">
        <v>152.5</v>
      </c>
      <c r="O312" s="18">
        <v>160.5</v>
      </c>
      <c r="P312" s="18">
        <v>201.5</v>
      </c>
      <c r="Q312" s="18">
        <v>169.5</v>
      </c>
      <c r="R312" s="19">
        <v>196.5</v>
      </c>
      <c r="S312" s="19">
        <v>170</v>
      </c>
      <c r="T312" s="19">
        <v>165.5</v>
      </c>
      <c r="U312" s="19">
        <v>196</v>
      </c>
      <c r="V312" s="19">
        <v>153</v>
      </c>
      <c r="W312" s="19">
        <v>139.5</v>
      </c>
      <c r="X312" s="19">
        <v>167</v>
      </c>
      <c r="Y312" s="19">
        <v>180.5</v>
      </c>
      <c r="Z312" s="19">
        <v>164.5</v>
      </c>
      <c r="AA312" s="19">
        <v>145.5</v>
      </c>
      <c r="AB312" s="19">
        <v>139.5</v>
      </c>
      <c r="AC312" s="19">
        <v>154.5</v>
      </c>
      <c r="AD312" s="19">
        <v>147</v>
      </c>
      <c r="AE312" s="19">
        <v>140.5</v>
      </c>
      <c r="AF312" s="19">
        <v>169</v>
      </c>
      <c r="AG312" s="19">
        <v>187.5</v>
      </c>
      <c r="AH312" s="19">
        <v>185.5</v>
      </c>
      <c r="AI312" s="19">
        <v>152</v>
      </c>
      <c r="AJ312" s="19">
        <v>184.5</v>
      </c>
      <c r="AK312" s="19">
        <v>190</v>
      </c>
      <c r="AL312" s="19">
        <v>196.5</v>
      </c>
      <c r="AM312" s="19">
        <v>156</v>
      </c>
      <c r="AN312" s="19">
        <v>169.5</v>
      </c>
      <c r="AO312" s="19">
        <v>140</v>
      </c>
      <c r="AP312" s="19">
        <v>168</v>
      </c>
      <c r="AQ312" s="19">
        <v>158</v>
      </c>
      <c r="AR312" s="19">
        <v>154</v>
      </c>
      <c r="AS312" s="19">
        <v>138</v>
      </c>
      <c r="AT312" s="19">
        <v>169.5</v>
      </c>
      <c r="AU312" s="19">
        <v>136.5</v>
      </c>
      <c r="AV312" s="19">
        <v>190.5</v>
      </c>
      <c r="AW312" s="19">
        <v>141.5</v>
      </c>
      <c r="AX312" s="19">
        <v>159.5</v>
      </c>
      <c r="AY312" s="19">
        <v>140.5</v>
      </c>
      <c r="AZ312" s="19">
        <v>176.5</v>
      </c>
      <c r="BA312" s="19">
        <v>131.5</v>
      </c>
      <c r="BB312" s="19">
        <v>151.5</v>
      </c>
      <c r="BC312" s="19">
        <v>156</v>
      </c>
      <c r="BD312" s="19">
        <v>166.5</v>
      </c>
      <c r="BE312" s="19">
        <v>160</v>
      </c>
      <c r="BF312" s="23">
        <v>28.854199999999999</v>
      </c>
      <c r="BG312" s="23">
        <v>77.124700000000004</v>
      </c>
      <c r="BH312" s="31">
        <f t="shared" si="155"/>
        <v>151.5</v>
      </c>
      <c r="BI312" s="31">
        <f t="shared" si="156"/>
        <v>156</v>
      </c>
      <c r="BJ312" s="37">
        <f t="shared" si="157"/>
        <v>-4.5</v>
      </c>
      <c r="BK312" s="37">
        <f t="shared" si="158"/>
        <v>-2.8846153846153846</v>
      </c>
      <c r="BL312" s="36">
        <f t="shared" si="159"/>
        <v>166.5</v>
      </c>
      <c r="BM312" s="36">
        <f t="shared" si="160"/>
        <v>160</v>
      </c>
      <c r="BN312" s="37">
        <f t="shared" si="161"/>
        <v>6.5</v>
      </c>
      <c r="BO312" s="37">
        <f t="shared" si="162"/>
        <v>4.0625</v>
      </c>
      <c r="BP312" s="38">
        <f t="shared" si="163"/>
        <v>1994</v>
      </c>
      <c r="BQ312" s="39">
        <f>J312+N312+S312+W312+AA312+AE312+AI312+AM312+AQ312+AU312+Table1[[#This Row],[MS-0225]]+Table1[[#This Row],[MS-0325]]</f>
        <v>1773</v>
      </c>
      <c r="BR312" s="37">
        <f t="shared" si="164"/>
        <v>221</v>
      </c>
      <c r="BS312" s="37">
        <f t="shared" si="165"/>
        <v>12.464749012972364</v>
      </c>
      <c r="BT312" s="36">
        <f t="shared" si="166"/>
        <v>2018</v>
      </c>
      <c r="BU312" s="36">
        <f t="shared" si="167"/>
        <v>1965</v>
      </c>
      <c r="BV312" s="37">
        <f t="shared" si="168"/>
        <v>53</v>
      </c>
      <c r="BW312" s="37">
        <f t="shared" si="169"/>
        <v>2.6972010178117052</v>
      </c>
      <c r="BX312">
        <v>0</v>
      </c>
      <c r="BY312" s="83">
        <f t="shared" si="170"/>
        <v>0</v>
      </c>
      <c r="BZ312">
        <v>0</v>
      </c>
      <c r="CA312" s="83">
        <f t="shared" si="171"/>
        <v>0</v>
      </c>
      <c r="CB312" s="96">
        <f t="shared" si="172"/>
        <v>0.28291316526610644</v>
      </c>
      <c r="CC312" s="96">
        <f t="shared" si="173"/>
        <v>0.28415300546448086</v>
      </c>
      <c r="CD312" s="97">
        <f t="shared" si="174"/>
        <v>-1.2398401983744201E-3</v>
      </c>
      <c r="CE312" s="96">
        <f t="shared" si="175"/>
        <v>0.24981245311327832</v>
      </c>
      <c r="CF312" s="96">
        <f t="shared" si="176"/>
        <v>0.25</v>
      </c>
      <c r="CG312" s="96">
        <f t="shared" si="177"/>
        <v>-1.8754688672167896E-4</v>
      </c>
      <c r="CH312" s="95">
        <f t="shared" si="178"/>
        <v>0.29009965810722338</v>
      </c>
      <c r="CI312" s="95">
        <f t="shared" si="179"/>
        <v>0.29398109766207925</v>
      </c>
      <c r="CJ312" s="98">
        <f t="shared" si="180"/>
        <v>-3.88143955485587E-3</v>
      </c>
      <c r="CK312" s="95">
        <f t="shared" si="181"/>
        <v>0.25692278311795785</v>
      </c>
      <c r="CL312" s="95">
        <f t="shared" si="182"/>
        <v>0.26836929800600928</v>
      </c>
      <c r="CM312" s="98">
        <f t="shared" si="183"/>
        <v>-1.1446514888051429E-2</v>
      </c>
      <c r="CN312" s="94">
        <f t="shared" si="184"/>
        <v>1.7405979486433403</v>
      </c>
      <c r="CO312" s="94">
        <f t="shared" si="185"/>
        <v>1.541536698707747</v>
      </c>
    </row>
    <row r="313" spans="1:95" ht="24.5" x14ac:dyDescent="0.35">
      <c r="A313" s="102">
        <v>112424</v>
      </c>
      <c r="B313" s="3" t="s">
        <v>72</v>
      </c>
      <c r="C313" s="40" t="s">
        <v>185</v>
      </c>
      <c r="D313" s="12" t="s">
        <v>186</v>
      </c>
      <c r="E313" s="4" t="s">
        <v>187</v>
      </c>
      <c r="F313" s="4" t="s">
        <v>188</v>
      </c>
      <c r="G313" s="12" t="s">
        <v>188</v>
      </c>
      <c r="H313" s="51" t="s">
        <v>189</v>
      </c>
      <c r="I313" s="23" t="s">
        <v>86</v>
      </c>
      <c r="J313" s="90">
        <v>139.5</v>
      </c>
      <c r="K313" s="90">
        <v>150</v>
      </c>
      <c r="L313" s="90">
        <v>310.5</v>
      </c>
      <c r="M313" s="90">
        <v>330</v>
      </c>
      <c r="N313" s="18">
        <v>144</v>
      </c>
      <c r="O313" s="18">
        <v>143</v>
      </c>
      <c r="P313" s="18">
        <v>300</v>
      </c>
      <c r="Q313" s="18">
        <v>369</v>
      </c>
      <c r="R313" s="90">
        <v>150</v>
      </c>
      <c r="S313" s="90">
        <v>144</v>
      </c>
      <c r="T313" s="90">
        <v>390</v>
      </c>
      <c r="U313" s="90">
        <v>342</v>
      </c>
      <c r="V313" s="90">
        <v>155</v>
      </c>
      <c r="W313" s="90">
        <v>150.5</v>
      </c>
      <c r="X313" s="90">
        <v>285</v>
      </c>
      <c r="Y313" s="90">
        <v>305.5</v>
      </c>
      <c r="Z313" s="90">
        <v>150</v>
      </c>
      <c r="AA313" s="90">
        <v>145</v>
      </c>
      <c r="AB313" s="90">
        <v>270</v>
      </c>
      <c r="AC313" s="90">
        <v>295</v>
      </c>
      <c r="AD313" s="90">
        <v>165</v>
      </c>
      <c r="AE313" s="90">
        <v>120</v>
      </c>
      <c r="AF313" s="90">
        <v>275</v>
      </c>
      <c r="AG313" s="90">
        <v>300</v>
      </c>
      <c r="AH313" s="90">
        <v>150</v>
      </c>
      <c r="AI313" s="90">
        <v>120</v>
      </c>
      <c r="AJ313" s="90">
        <v>290</v>
      </c>
      <c r="AK313" s="90">
        <v>300</v>
      </c>
      <c r="AL313" s="90">
        <v>160</v>
      </c>
      <c r="AM313" s="90">
        <v>125</v>
      </c>
      <c r="AN313" s="90">
        <v>320</v>
      </c>
      <c r="AO313" s="90">
        <v>275</v>
      </c>
      <c r="AP313" s="90">
        <v>135</v>
      </c>
      <c r="AQ313" s="90">
        <v>130</v>
      </c>
      <c r="AR313" s="90">
        <v>285</v>
      </c>
      <c r="AS313" s="90">
        <v>310</v>
      </c>
      <c r="AT313" s="90">
        <v>150</v>
      </c>
      <c r="AU313" s="90">
        <v>140</v>
      </c>
      <c r="AV313" s="90">
        <v>250</v>
      </c>
      <c r="AW313" s="90">
        <v>290</v>
      </c>
      <c r="AX313" s="90">
        <v>130</v>
      </c>
      <c r="AY313" s="90">
        <v>120</v>
      </c>
      <c r="AZ313" s="90">
        <v>270</v>
      </c>
      <c r="BA313" s="90">
        <v>320</v>
      </c>
      <c r="BB313" s="90">
        <v>150</v>
      </c>
      <c r="BC313" s="90">
        <v>140</v>
      </c>
      <c r="BD313" s="90">
        <v>288</v>
      </c>
      <c r="BE313" s="90">
        <v>320</v>
      </c>
      <c r="BF313" s="23">
        <v>28.663589999999999</v>
      </c>
      <c r="BG313" s="23">
        <v>77.218810000000005</v>
      </c>
      <c r="BH313" s="31">
        <f t="shared" si="155"/>
        <v>150</v>
      </c>
      <c r="BI313" s="31">
        <f t="shared" si="156"/>
        <v>140</v>
      </c>
      <c r="BJ313" s="37">
        <f t="shared" si="157"/>
        <v>10</v>
      </c>
      <c r="BK313" s="37">
        <f t="shared" si="158"/>
        <v>7.1428571428571423</v>
      </c>
      <c r="BL313" s="36">
        <f t="shared" si="159"/>
        <v>288</v>
      </c>
      <c r="BM313" s="36">
        <f t="shared" si="160"/>
        <v>320</v>
      </c>
      <c r="BN313" s="37">
        <f t="shared" si="161"/>
        <v>-32</v>
      </c>
      <c r="BO313" s="37">
        <f t="shared" si="162"/>
        <v>-10</v>
      </c>
      <c r="BP313" s="38">
        <f t="shared" si="163"/>
        <v>1788</v>
      </c>
      <c r="BQ313" s="39">
        <f>J313+N313+S313+W313+AA313+AE313+AI313+AM313+AQ313+AU313+Table1[[#This Row],[MS-0225]]+Table1[[#This Row],[MS-0325]]</f>
        <v>1618</v>
      </c>
      <c r="BR313" s="37">
        <f t="shared" si="164"/>
        <v>170</v>
      </c>
      <c r="BS313" s="37">
        <f t="shared" si="165"/>
        <v>10.506798516687269</v>
      </c>
      <c r="BT313" s="36">
        <f t="shared" si="166"/>
        <v>3622</v>
      </c>
      <c r="BU313" s="36">
        <f t="shared" si="167"/>
        <v>3668</v>
      </c>
      <c r="BV313" s="37">
        <f t="shared" si="168"/>
        <v>-46</v>
      </c>
      <c r="BW313" s="37">
        <f t="shared" si="169"/>
        <v>-1.2540894220283534</v>
      </c>
      <c r="BX313">
        <v>0</v>
      </c>
      <c r="BY313" s="83">
        <f t="shared" si="170"/>
        <v>0</v>
      </c>
      <c r="BZ313">
        <v>0</v>
      </c>
      <c r="CA313" s="83">
        <f t="shared" si="171"/>
        <v>0</v>
      </c>
      <c r="CB313" s="96">
        <f t="shared" si="172"/>
        <v>0.31545741324921134</v>
      </c>
      <c r="CC313" s="96">
        <f t="shared" si="173"/>
        <v>0.36988110964332893</v>
      </c>
      <c r="CD313" s="97">
        <f t="shared" si="174"/>
        <v>-5.4423696394117593E-2</v>
      </c>
      <c r="CE313" s="96">
        <f t="shared" si="175"/>
        <v>0.75</v>
      </c>
      <c r="CF313" s="96">
        <f t="shared" si="176"/>
        <v>0.72153325817361891</v>
      </c>
      <c r="CG313" s="96">
        <f t="shared" si="177"/>
        <v>2.8466741826381092E-2</v>
      </c>
      <c r="CH313" s="95">
        <f t="shared" si="178"/>
        <v>0.31044361489712646</v>
      </c>
      <c r="CI313" s="95">
        <f t="shared" si="179"/>
        <v>0.30693351038603811</v>
      </c>
      <c r="CJ313" s="98">
        <f t="shared" si="180"/>
        <v>3.5101045110883522E-3</v>
      </c>
      <c r="CK313" s="95">
        <f t="shared" si="181"/>
        <v>0.72345950264655945</v>
      </c>
      <c r="CL313" s="95">
        <f t="shared" si="182"/>
        <v>0.73177057356608477</v>
      </c>
      <c r="CM313" s="98">
        <f t="shared" si="183"/>
        <v>-8.3110709195253207E-3</v>
      </c>
      <c r="CN313" s="94">
        <f t="shared" si="184"/>
        <v>0.93133084469137939</v>
      </c>
      <c r="CO313" s="94">
        <f t="shared" si="185"/>
        <v>2.1703785079396782</v>
      </c>
    </row>
    <row r="314" spans="1:95" ht="36.5" x14ac:dyDescent="0.35">
      <c r="A314" s="102">
        <v>149412</v>
      </c>
      <c r="B314" s="3" t="s">
        <v>72</v>
      </c>
      <c r="C314" s="43" t="s">
        <v>182</v>
      </c>
      <c r="D314" s="12" t="s">
        <v>183</v>
      </c>
      <c r="E314" s="4" t="s">
        <v>81</v>
      </c>
      <c r="F314" s="4" t="s">
        <v>184</v>
      </c>
      <c r="G314" s="12" t="s">
        <v>184</v>
      </c>
      <c r="H314" s="51" t="s">
        <v>141</v>
      </c>
      <c r="I314" s="23" t="s">
        <v>83</v>
      </c>
      <c r="J314" s="90">
        <v>191.000001</v>
      </c>
      <c r="K314" s="90">
        <v>148.5</v>
      </c>
      <c r="L314" s="90">
        <v>61</v>
      </c>
      <c r="M314" s="90">
        <v>47.5</v>
      </c>
      <c r="N314" s="18">
        <v>210.50000199999999</v>
      </c>
      <c r="O314" s="18">
        <v>155</v>
      </c>
      <c r="P314" s="18">
        <v>61.5</v>
      </c>
      <c r="Q314" s="18">
        <v>35</v>
      </c>
      <c r="R314" s="90">
        <v>143.5</v>
      </c>
      <c r="S314" s="90">
        <v>181</v>
      </c>
      <c r="T314" s="90">
        <v>40.5</v>
      </c>
      <c r="U314" s="90">
        <v>69</v>
      </c>
      <c r="V314" s="90">
        <v>158</v>
      </c>
      <c r="W314" s="90">
        <v>211.5</v>
      </c>
      <c r="X314" s="90">
        <v>44</v>
      </c>
      <c r="Y314" s="90">
        <v>64.5</v>
      </c>
      <c r="Z314" s="90">
        <v>131</v>
      </c>
      <c r="AA314" s="90">
        <v>220.00000199999999</v>
      </c>
      <c r="AB314" s="90">
        <v>37</v>
      </c>
      <c r="AC314" s="90">
        <v>70</v>
      </c>
      <c r="AD314" s="90">
        <v>139</v>
      </c>
      <c r="AE314" s="90">
        <v>178</v>
      </c>
      <c r="AF314" s="90">
        <v>37</v>
      </c>
      <c r="AG314" s="90">
        <v>58</v>
      </c>
      <c r="AH314" s="90">
        <v>141</v>
      </c>
      <c r="AI314" s="90">
        <v>182</v>
      </c>
      <c r="AJ314" s="90">
        <v>55</v>
      </c>
      <c r="AK314" s="90">
        <v>76</v>
      </c>
      <c r="AL314" s="90">
        <v>148</v>
      </c>
      <c r="AM314" s="90">
        <v>145.00000199999999</v>
      </c>
      <c r="AN314" s="90">
        <v>46</v>
      </c>
      <c r="AO314" s="90">
        <v>63</v>
      </c>
      <c r="AP314" s="90">
        <v>145.5</v>
      </c>
      <c r="AQ314" s="90">
        <v>160.5</v>
      </c>
      <c r="AR314" s="90">
        <v>32.5</v>
      </c>
      <c r="AS314" s="90">
        <v>45.5</v>
      </c>
      <c r="AT314" s="90">
        <v>139.5</v>
      </c>
      <c r="AU314" s="90">
        <v>148.5</v>
      </c>
      <c r="AV314" s="90">
        <v>30.5</v>
      </c>
      <c r="AW314" s="90">
        <v>49.5</v>
      </c>
      <c r="AX314" s="90">
        <v>126</v>
      </c>
      <c r="AY314" s="90">
        <v>147.5</v>
      </c>
      <c r="AZ314" s="90">
        <v>42</v>
      </c>
      <c r="BA314" s="90">
        <v>46.5</v>
      </c>
      <c r="BB314" s="90">
        <v>149</v>
      </c>
      <c r="BC314" s="90">
        <v>168.5</v>
      </c>
      <c r="BD314" s="90">
        <v>45</v>
      </c>
      <c r="BE314" s="90">
        <v>47.5</v>
      </c>
      <c r="BF314" s="23">
        <v>28.556819999999998</v>
      </c>
      <c r="BG314" s="23">
        <v>77.00461</v>
      </c>
      <c r="BH314" s="31">
        <f t="shared" si="155"/>
        <v>149</v>
      </c>
      <c r="BI314" s="31">
        <f t="shared" si="156"/>
        <v>168.5</v>
      </c>
      <c r="BJ314" s="37">
        <f t="shared" si="157"/>
        <v>-19.5</v>
      </c>
      <c r="BK314" s="37">
        <f t="shared" si="158"/>
        <v>-11.572700296735905</v>
      </c>
      <c r="BL314" s="36">
        <f t="shared" si="159"/>
        <v>45</v>
      </c>
      <c r="BM314" s="36">
        <f t="shared" si="160"/>
        <v>47.5</v>
      </c>
      <c r="BN314" s="37">
        <f t="shared" si="161"/>
        <v>-2.5</v>
      </c>
      <c r="BO314" s="37">
        <f t="shared" si="162"/>
        <v>-5.2631578947368416</v>
      </c>
      <c r="BP314" s="38">
        <f t="shared" si="163"/>
        <v>1724</v>
      </c>
      <c r="BQ314" s="39">
        <f>J314+N314+S314+W314+AA314+AE314+AI314+AM314+AQ314+AU314+Table1[[#This Row],[MS-0225]]+Table1[[#This Row],[MS-0325]]</f>
        <v>2144.0000069999996</v>
      </c>
      <c r="BR314" s="37">
        <f t="shared" si="164"/>
        <v>-420.00000699999964</v>
      </c>
      <c r="BS314" s="37">
        <f t="shared" si="165"/>
        <v>-19.589552501340066</v>
      </c>
      <c r="BT314" s="36">
        <f t="shared" si="166"/>
        <v>492</v>
      </c>
      <c r="BU314" s="36">
        <f t="shared" si="167"/>
        <v>712</v>
      </c>
      <c r="BV314" s="37">
        <f t="shared" si="168"/>
        <v>-220</v>
      </c>
      <c r="BW314" s="37">
        <f t="shared" si="169"/>
        <v>-30.898876404494381</v>
      </c>
      <c r="BX314">
        <v>9</v>
      </c>
      <c r="BY314" s="83">
        <f t="shared" si="170"/>
        <v>6.0402684563758392E-2</v>
      </c>
      <c r="BZ314">
        <v>109.5</v>
      </c>
      <c r="CA314" s="83">
        <f t="shared" si="171"/>
        <v>6.3515081206496515E-2</v>
      </c>
      <c r="CB314" s="96">
        <f t="shared" si="172"/>
        <v>0.10891812865497076</v>
      </c>
      <c r="CC314" s="96">
        <f t="shared" si="173"/>
        <v>0.12588718714979455</v>
      </c>
      <c r="CD314" s="97">
        <f t="shared" si="174"/>
        <v>-1.6969058494823788E-2</v>
      </c>
      <c r="CE314" s="96">
        <f t="shared" si="175"/>
        <v>0.11083743842364532</v>
      </c>
      <c r="CF314" s="96">
        <f t="shared" si="176"/>
        <v>0.10010537407797682</v>
      </c>
      <c r="CG314" s="96">
        <f t="shared" si="177"/>
        <v>1.0732064345668507E-2</v>
      </c>
      <c r="CH314" s="95">
        <f t="shared" si="178"/>
        <v>0.11009994571638407</v>
      </c>
      <c r="CI314" s="95">
        <f t="shared" si="179"/>
        <v>0.13241515644278992</v>
      </c>
      <c r="CJ314" s="98">
        <f t="shared" si="180"/>
        <v>-2.2315210726405854E-2</v>
      </c>
      <c r="CK314" s="95">
        <f t="shared" si="181"/>
        <v>0.10809623201142481</v>
      </c>
      <c r="CL314" s="95">
        <f t="shared" si="182"/>
        <v>0.13053442112017599</v>
      </c>
      <c r="CM314" s="98">
        <f t="shared" si="183"/>
        <v>-2.2438189108751186E-2</v>
      </c>
      <c r="CN314" s="94">
        <f t="shared" si="184"/>
        <v>0.7706996200146885</v>
      </c>
      <c r="CO314" s="94">
        <f t="shared" si="185"/>
        <v>0.75667362407997363</v>
      </c>
    </row>
    <row r="315" spans="1:95" ht="36.5" x14ac:dyDescent="0.35">
      <c r="A315" s="104">
        <v>305312</v>
      </c>
      <c r="B315" s="5" t="s">
        <v>581</v>
      </c>
      <c r="C315" s="46" t="s">
        <v>668</v>
      </c>
      <c r="D315" s="13" t="s">
        <v>669</v>
      </c>
      <c r="E315" s="6" t="s">
        <v>200</v>
      </c>
      <c r="F315" s="6" t="s">
        <v>670</v>
      </c>
      <c r="G315" s="12" t="s">
        <v>670</v>
      </c>
      <c r="H315" s="51" t="s">
        <v>91</v>
      </c>
      <c r="I315" s="24" t="s">
        <v>83</v>
      </c>
      <c r="J315" s="19">
        <v>114</v>
      </c>
      <c r="K315" s="19">
        <v>124</v>
      </c>
      <c r="L315" s="19">
        <v>174</v>
      </c>
      <c r="M315" s="19">
        <v>80</v>
      </c>
      <c r="N315" s="18">
        <v>126</v>
      </c>
      <c r="O315" s="18">
        <v>145</v>
      </c>
      <c r="P315" s="18">
        <v>186</v>
      </c>
      <c r="Q315" s="18">
        <v>67</v>
      </c>
      <c r="R315" s="19">
        <v>140.5</v>
      </c>
      <c r="S315" s="19">
        <v>124</v>
      </c>
      <c r="T315" s="19">
        <v>71.5</v>
      </c>
      <c r="U315" s="19">
        <v>164</v>
      </c>
      <c r="V315" s="19">
        <v>139.5</v>
      </c>
      <c r="W315" s="19">
        <v>136</v>
      </c>
      <c r="X315" s="19">
        <v>60.5</v>
      </c>
      <c r="Y315" s="19">
        <v>128</v>
      </c>
      <c r="Z315" s="19">
        <v>139.5</v>
      </c>
      <c r="AA315" s="19">
        <v>137</v>
      </c>
      <c r="AB315" s="19">
        <v>84.5</v>
      </c>
      <c r="AC315" s="19">
        <v>105</v>
      </c>
      <c r="AD315" s="19">
        <v>154</v>
      </c>
      <c r="AE315" s="19">
        <v>129.5</v>
      </c>
      <c r="AF315" s="19">
        <v>78</v>
      </c>
      <c r="AG315" s="19">
        <v>92.5</v>
      </c>
      <c r="AH315" s="19">
        <v>155</v>
      </c>
      <c r="AI315" s="19">
        <v>136</v>
      </c>
      <c r="AJ315" s="19">
        <v>85</v>
      </c>
      <c r="AK315" s="19">
        <v>116</v>
      </c>
      <c r="AL315" s="19">
        <v>148.5</v>
      </c>
      <c r="AM315" s="19">
        <v>117</v>
      </c>
      <c r="AN315" s="19">
        <v>79.5</v>
      </c>
      <c r="AO315" s="19">
        <v>113</v>
      </c>
      <c r="AP315" s="19">
        <v>145</v>
      </c>
      <c r="AQ315" s="19">
        <v>124</v>
      </c>
      <c r="AR315" s="19">
        <v>67</v>
      </c>
      <c r="AS315" s="19">
        <v>94</v>
      </c>
      <c r="AT315" s="19">
        <v>152</v>
      </c>
      <c r="AU315" s="19">
        <v>124</v>
      </c>
      <c r="AV315" s="19">
        <v>52</v>
      </c>
      <c r="AW315" s="19">
        <v>80</v>
      </c>
      <c r="AX315" s="19">
        <v>146</v>
      </c>
      <c r="AY315" s="19">
        <v>120</v>
      </c>
      <c r="AZ315" s="19">
        <v>64</v>
      </c>
      <c r="BA315" s="19">
        <v>60</v>
      </c>
      <c r="BB315" s="19">
        <v>147</v>
      </c>
      <c r="BC315" s="19">
        <v>125.5</v>
      </c>
      <c r="BD315" s="19">
        <v>123</v>
      </c>
      <c r="BE315" s="19">
        <v>60.5</v>
      </c>
      <c r="BF315" s="23">
        <v>28.82067</v>
      </c>
      <c r="BG315" s="23">
        <v>77.101600000000005</v>
      </c>
      <c r="BH315" s="31">
        <f t="shared" si="155"/>
        <v>147</v>
      </c>
      <c r="BI315" s="31">
        <f t="shared" si="156"/>
        <v>125.5</v>
      </c>
      <c r="BJ315" s="37">
        <f t="shared" si="157"/>
        <v>21.5</v>
      </c>
      <c r="BK315" s="37">
        <f t="shared" si="158"/>
        <v>17.131474103585656</v>
      </c>
      <c r="BL315" s="36">
        <f t="shared" si="159"/>
        <v>123</v>
      </c>
      <c r="BM315" s="36">
        <f t="shared" si="160"/>
        <v>60.5</v>
      </c>
      <c r="BN315" s="37">
        <f t="shared" si="161"/>
        <v>62.5</v>
      </c>
      <c r="BO315" s="37">
        <f t="shared" si="162"/>
        <v>103.30578512396693</v>
      </c>
      <c r="BP315" s="38">
        <f t="shared" si="163"/>
        <v>1736</v>
      </c>
      <c r="BQ315" s="39">
        <f>J315+N315+S315+W315+AA315+AE315+AI315+AM315+AQ315+AU315+Table1[[#This Row],[MS-0225]]+Table1[[#This Row],[MS-0325]]</f>
        <v>1513</v>
      </c>
      <c r="BR315" s="37">
        <f t="shared" si="164"/>
        <v>223</v>
      </c>
      <c r="BS315" s="37">
        <f t="shared" si="165"/>
        <v>14.738929279576999</v>
      </c>
      <c r="BT315" s="36">
        <f t="shared" si="166"/>
        <v>912</v>
      </c>
      <c r="BU315" s="36">
        <f t="shared" si="167"/>
        <v>1373</v>
      </c>
      <c r="BV315" s="37">
        <f t="shared" si="168"/>
        <v>-461</v>
      </c>
      <c r="BW315" s="37">
        <f t="shared" si="169"/>
        <v>-33.576110706482154</v>
      </c>
      <c r="BX315">
        <v>0</v>
      </c>
      <c r="BY315" s="83">
        <f t="shared" si="170"/>
        <v>0</v>
      </c>
      <c r="BZ315">
        <v>0</v>
      </c>
      <c r="CA315" s="83">
        <f t="shared" si="171"/>
        <v>0</v>
      </c>
      <c r="CB315" s="96">
        <f t="shared" si="172"/>
        <v>0.22255866767600302</v>
      </c>
      <c r="CC315" s="96">
        <f t="shared" si="173"/>
        <v>0.21361702127659574</v>
      </c>
      <c r="CD315" s="97">
        <f t="shared" si="174"/>
        <v>8.9416463994072826E-3</v>
      </c>
      <c r="CE315" s="96">
        <f t="shared" si="175"/>
        <v>0.42782608695652175</v>
      </c>
      <c r="CF315" s="96">
        <f t="shared" si="176"/>
        <v>0.2847058823529412</v>
      </c>
      <c r="CG315" s="96">
        <f t="shared" si="177"/>
        <v>0.14312020460358055</v>
      </c>
      <c r="CH315" s="95">
        <f t="shared" si="178"/>
        <v>0.22876721354681426</v>
      </c>
      <c r="CI315" s="95">
        <f t="shared" si="179"/>
        <v>0.21191960221304013</v>
      </c>
      <c r="CJ315" s="98">
        <f t="shared" si="180"/>
        <v>1.6847611333774132E-2</v>
      </c>
      <c r="CK315" s="95">
        <f t="shared" si="181"/>
        <v>0.33759022765130481</v>
      </c>
      <c r="CL315" s="95">
        <f t="shared" si="182"/>
        <v>0.41878908037212137</v>
      </c>
      <c r="CM315" s="98">
        <f t="shared" si="183"/>
        <v>-8.1198852720816561E-2</v>
      </c>
      <c r="CN315" s="94">
        <f t="shared" si="184"/>
        <v>0.68630164064044274</v>
      </c>
      <c r="CO315" s="94">
        <f t="shared" si="185"/>
        <v>1.0127706829539145</v>
      </c>
    </row>
    <row r="316" spans="1:95" ht="24.5" x14ac:dyDescent="0.35">
      <c r="A316" s="104">
        <v>102078</v>
      </c>
      <c r="B316" s="5" t="s">
        <v>581</v>
      </c>
      <c r="C316" s="46" t="s">
        <v>876</v>
      </c>
      <c r="D316" s="13" t="s">
        <v>877</v>
      </c>
      <c r="E316" s="6" t="s">
        <v>75</v>
      </c>
      <c r="F316" s="6" t="s">
        <v>220</v>
      </c>
      <c r="G316" s="12" t="s">
        <v>220</v>
      </c>
      <c r="H316" s="51" t="s">
        <v>77</v>
      </c>
      <c r="I316" s="24" t="s">
        <v>78</v>
      </c>
      <c r="J316" s="19">
        <v>126</v>
      </c>
      <c r="K316" s="19">
        <v>148.5</v>
      </c>
      <c r="L316" s="19">
        <v>54</v>
      </c>
      <c r="M316" s="19">
        <v>85.5</v>
      </c>
      <c r="N316" s="18">
        <v>148.5</v>
      </c>
      <c r="O316" s="18">
        <v>175.5</v>
      </c>
      <c r="P316" s="18">
        <v>67.5</v>
      </c>
      <c r="Q316" s="18">
        <v>94.5</v>
      </c>
      <c r="R316" s="19">
        <v>141</v>
      </c>
      <c r="S316" s="19">
        <v>130.5</v>
      </c>
      <c r="T316" s="19">
        <v>73</v>
      </c>
      <c r="U316" s="19">
        <v>49.5</v>
      </c>
      <c r="V316" s="19">
        <v>168</v>
      </c>
      <c r="W316" s="19">
        <v>157.5</v>
      </c>
      <c r="X316" s="19">
        <v>62</v>
      </c>
      <c r="Y316" s="19">
        <v>58.5</v>
      </c>
      <c r="Z316" s="19">
        <v>162</v>
      </c>
      <c r="AA316" s="19">
        <v>139.5</v>
      </c>
      <c r="AB316" s="19">
        <v>58</v>
      </c>
      <c r="AC316" s="19">
        <v>58.5</v>
      </c>
      <c r="AD316" s="19">
        <v>160.5</v>
      </c>
      <c r="AE316" s="19">
        <v>139</v>
      </c>
      <c r="AF316" s="19">
        <v>53.5</v>
      </c>
      <c r="AG316" s="19">
        <v>45</v>
      </c>
      <c r="AH316" s="19">
        <v>162</v>
      </c>
      <c r="AI316" s="19">
        <v>144</v>
      </c>
      <c r="AJ316" s="19">
        <v>50</v>
      </c>
      <c r="AK316" s="19">
        <v>54</v>
      </c>
      <c r="AL316" s="19">
        <v>148</v>
      </c>
      <c r="AM316" s="19">
        <v>135</v>
      </c>
      <c r="AN316" s="19">
        <v>50</v>
      </c>
      <c r="AO316" s="19">
        <v>63</v>
      </c>
      <c r="AP316" s="19">
        <v>146</v>
      </c>
      <c r="AQ316" s="19">
        <v>121.5</v>
      </c>
      <c r="AR316" s="19">
        <v>40</v>
      </c>
      <c r="AS316" s="19">
        <v>58.5</v>
      </c>
      <c r="AT316" s="19">
        <v>138</v>
      </c>
      <c r="AU316" s="19">
        <v>134.5</v>
      </c>
      <c r="AV316" s="19">
        <v>44</v>
      </c>
      <c r="AW316" s="19">
        <v>49.5</v>
      </c>
      <c r="AX316" s="19">
        <v>128</v>
      </c>
      <c r="AY316" s="19">
        <v>108</v>
      </c>
      <c r="AZ316" s="19">
        <v>50</v>
      </c>
      <c r="BA316" s="19">
        <v>72</v>
      </c>
      <c r="BB316" s="19">
        <v>146</v>
      </c>
      <c r="BC316" s="19">
        <v>145</v>
      </c>
      <c r="BD316" s="19">
        <v>50</v>
      </c>
      <c r="BE316" s="19">
        <v>91</v>
      </c>
      <c r="BF316" s="23">
        <v>28.604500000000002</v>
      </c>
      <c r="BG316" s="23">
        <v>77.323099999999997</v>
      </c>
      <c r="BH316" s="31">
        <f t="shared" si="155"/>
        <v>146</v>
      </c>
      <c r="BI316" s="31">
        <f t="shared" si="156"/>
        <v>145</v>
      </c>
      <c r="BJ316" s="37">
        <f t="shared" si="157"/>
        <v>1</v>
      </c>
      <c r="BK316" s="37">
        <f t="shared" si="158"/>
        <v>0.68965517241379315</v>
      </c>
      <c r="BL316" s="36">
        <f t="shared" si="159"/>
        <v>50</v>
      </c>
      <c r="BM316" s="36">
        <f t="shared" si="160"/>
        <v>91</v>
      </c>
      <c r="BN316" s="37">
        <f t="shared" si="161"/>
        <v>-41</v>
      </c>
      <c r="BO316" s="37">
        <f t="shared" si="162"/>
        <v>-45.054945054945058</v>
      </c>
      <c r="BP316" s="38">
        <f t="shared" si="163"/>
        <v>1823.5</v>
      </c>
      <c r="BQ316" s="39">
        <f>J316+N316+S316+W316+AA316+AE316+AI316+AM316+AQ316+AU316+Table1[[#This Row],[MS-0225]]+Table1[[#This Row],[MS-0325]]</f>
        <v>1629</v>
      </c>
      <c r="BR316" s="37">
        <f t="shared" si="164"/>
        <v>194.5</v>
      </c>
      <c r="BS316" s="37">
        <f t="shared" si="165"/>
        <v>11.939840392879066</v>
      </c>
      <c r="BT316" s="36">
        <f t="shared" si="166"/>
        <v>710.5</v>
      </c>
      <c r="BU316" s="36">
        <f t="shared" si="167"/>
        <v>721</v>
      </c>
      <c r="BV316" s="37">
        <f t="shared" si="168"/>
        <v>-10.5</v>
      </c>
      <c r="BW316" s="37">
        <f t="shared" si="169"/>
        <v>-1.4563106796116505</v>
      </c>
      <c r="BX316">
        <v>0</v>
      </c>
      <c r="BY316" s="83">
        <f t="shared" si="170"/>
        <v>0</v>
      </c>
      <c r="BZ316">
        <v>0</v>
      </c>
      <c r="CA316" s="83">
        <f t="shared" si="171"/>
        <v>0</v>
      </c>
      <c r="CB316" s="96">
        <f t="shared" si="172"/>
        <v>7.2600696171059173E-2</v>
      </c>
      <c r="CC316" s="96">
        <f t="shared" si="173"/>
        <v>7.9191698525395954E-2</v>
      </c>
      <c r="CD316" s="97">
        <f t="shared" si="174"/>
        <v>-6.5910023543367807E-3</v>
      </c>
      <c r="CE316" s="96">
        <f t="shared" si="175"/>
        <v>7.621951219512195E-2</v>
      </c>
      <c r="CF316" s="96">
        <f t="shared" si="176"/>
        <v>0.13</v>
      </c>
      <c r="CG316" s="96">
        <f t="shared" si="177"/>
        <v>-5.3780487804878055E-2</v>
      </c>
      <c r="CH316" s="95">
        <f t="shared" si="178"/>
        <v>7.8592362727351095E-2</v>
      </c>
      <c r="CI316" s="95">
        <f t="shared" si="179"/>
        <v>7.4102715674209674E-2</v>
      </c>
      <c r="CJ316" s="98">
        <f t="shared" si="180"/>
        <v>4.4896470531414212E-3</v>
      </c>
      <c r="CK316" s="95">
        <f t="shared" si="181"/>
        <v>8.9472358645006925E-2</v>
      </c>
      <c r="CL316" s="95">
        <f t="shared" si="182"/>
        <v>8.545691596539054E-2</v>
      </c>
      <c r="CM316" s="98">
        <f t="shared" si="183"/>
        <v>4.015442679616385E-3</v>
      </c>
      <c r="CN316" s="94">
        <f t="shared" si="184"/>
        <v>0.47155417636410657</v>
      </c>
      <c r="CO316" s="94">
        <f t="shared" si="185"/>
        <v>0.53683415187004158</v>
      </c>
    </row>
    <row r="317" spans="1:95" ht="24.5" x14ac:dyDescent="0.35">
      <c r="A317" s="103">
        <v>41019258</v>
      </c>
      <c r="B317" s="9" t="s">
        <v>380</v>
      </c>
      <c r="C317" s="47" t="s">
        <v>501</v>
      </c>
      <c r="D317" s="14" t="s">
        <v>281</v>
      </c>
      <c r="E317" s="10" t="s">
        <v>200</v>
      </c>
      <c r="F317" s="10" t="s">
        <v>244</v>
      </c>
      <c r="G317" s="12" t="s">
        <v>244</v>
      </c>
      <c r="H317" s="51" t="s">
        <v>172</v>
      </c>
      <c r="I317" s="25" t="s">
        <v>83</v>
      </c>
      <c r="J317" s="20">
        <v>126</v>
      </c>
      <c r="K317" s="20">
        <v>120.5</v>
      </c>
      <c r="L317" s="20">
        <v>198</v>
      </c>
      <c r="M317" s="20">
        <v>191.5</v>
      </c>
      <c r="N317" s="18">
        <v>139.5</v>
      </c>
      <c r="O317" s="18">
        <v>125</v>
      </c>
      <c r="P317" s="18">
        <v>238.5</v>
      </c>
      <c r="Q317" s="18">
        <v>205</v>
      </c>
      <c r="R317" s="20">
        <v>126.5</v>
      </c>
      <c r="S317" s="20">
        <v>126</v>
      </c>
      <c r="T317" s="20">
        <v>200.5</v>
      </c>
      <c r="U317" s="20">
        <v>216</v>
      </c>
      <c r="V317" s="20">
        <v>132.5</v>
      </c>
      <c r="W317" s="20">
        <v>130.5</v>
      </c>
      <c r="X317" s="20">
        <v>237.5</v>
      </c>
      <c r="Y317" s="20">
        <v>211.5</v>
      </c>
      <c r="Z317" s="20">
        <v>119.5</v>
      </c>
      <c r="AA317" s="20">
        <v>136</v>
      </c>
      <c r="AB317" s="20">
        <v>204.5</v>
      </c>
      <c r="AC317" s="20">
        <v>244</v>
      </c>
      <c r="AD317" s="20">
        <v>124</v>
      </c>
      <c r="AE317" s="20">
        <v>117</v>
      </c>
      <c r="AF317" s="20">
        <v>206</v>
      </c>
      <c r="AG317" s="20">
        <v>225</v>
      </c>
      <c r="AH317" s="20">
        <v>123</v>
      </c>
      <c r="AI317" s="20">
        <v>146.5</v>
      </c>
      <c r="AJ317" s="20">
        <v>161</v>
      </c>
      <c r="AK317" s="20">
        <v>262.5</v>
      </c>
      <c r="AL317" s="20">
        <v>124</v>
      </c>
      <c r="AM317" s="20">
        <v>129</v>
      </c>
      <c r="AN317" s="20">
        <v>160</v>
      </c>
      <c r="AO317" s="20">
        <v>205</v>
      </c>
      <c r="AP317" s="20">
        <v>134</v>
      </c>
      <c r="AQ317" s="20">
        <v>110</v>
      </c>
      <c r="AR317" s="20">
        <v>146</v>
      </c>
      <c r="AS317" s="20">
        <v>205</v>
      </c>
      <c r="AT317" s="20">
        <v>127</v>
      </c>
      <c r="AU317" s="20">
        <v>109.5</v>
      </c>
      <c r="AV317" s="20">
        <v>156</v>
      </c>
      <c r="AW317" s="20">
        <v>230.5</v>
      </c>
      <c r="AX317" s="20">
        <v>127.5</v>
      </c>
      <c r="AY317" s="20">
        <v>108.5</v>
      </c>
      <c r="AZ317" s="20">
        <v>166.5</v>
      </c>
      <c r="BA317" s="20">
        <v>222.5</v>
      </c>
      <c r="BB317" s="20">
        <v>145.5</v>
      </c>
      <c r="BC317" s="20">
        <v>123.5</v>
      </c>
      <c r="BD317" s="20">
        <v>181.5</v>
      </c>
      <c r="BE317" s="20">
        <v>219.5</v>
      </c>
      <c r="BF317" s="23">
        <v>28.723642000000002</v>
      </c>
      <c r="BG317" s="23">
        <v>77.164918</v>
      </c>
      <c r="BH317" s="31">
        <f t="shared" si="155"/>
        <v>145.5</v>
      </c>
      <c r="BI317" s="31">
        <f t="shared" si="156"/>
        <v>123.5</v>
      </c>
      <c r="BJ317" s="37">
        <f t="shared" si="157"/>
        <v>22</v>
      </c>
      <c r="BK317" s="37">
        <f t="shared" si="158"/>
        <v>17.813765182186234</v>
      </c>
      <c r="BL317" s="36">
        <f t="shared" si="159"/>
        <v>181.5</v>
      </c>
      <c r="BM317" s="36">
        <f t="shared" si="160"/>
        <v>219.5</v>
      </c>
      <c r="BN317" s="37">
        <f t="shared" si="161"/>
        <v>-38</v>
      </c>
      <c r="BO317" s="37">
        <f t="shared" si="162"/>
        <v>-17.312072892938495</v>
      </c>
      <c r="BP317" s="38">
        <f t="shared" si="163"/>
        <v>1529</v>
      </c>
      <c r="BQ317" s="39">
        <f>J317+N317+S317+W317+AA317+AE317+AI317+AM317+AQ317+AU317+Table1[[#This Row],[MS-0225]]+Table1[[#This Row],[MS-0325]]</f>
        <v>1502</v>
      </c>
      <c r="BR317" s="37">
        <f t="shared" si="164"/>
        <v>27</v>
      </c>
      <c r="BS317" s="37">
        <f t="shared" si="165"/>
        <v>1.7976031957390146</v>
      </c>
      <c r="BT317" s="36">
        <f t="shared" si="166"/>
        <v>2216</v>
      </c>
      <c r="BU317" s="36">
        <f t="shared" si="167"/>
        <v>2678</v>
      </c>
      <c r="BV317" s="37">
        <f t="shared" si="168"/>
        <v>-462</v>
      </c>
      <c r="BW317" s="37">
        <f t="shared" si="169"/>
        <v>-17.251680358476477</v>
      </c>
      <c r="BX317">
        <v>0</v>
      </c>
      <c r="BY317" s="83">
        <f t="shared" si="170"/>
        <v>0</v>
      </c>
      <c r="BZ317">
        <v>0</v>
      </c>
      <c r="CA317" s="83">
        <f t="shared" si="171"/>
        <v>0</v>
      </c>
      <c r="CB317" s="96">
        <f t="shared" si="172"/>
        <v>0.13318077803203662</v>
      </c>
      <c r="CC317" s="96">
        <f t="shared" si="173"/>
        <v>0.12718846549948506</v>
      </c>
      <c r="CD317" s="97">
        <f t="shared" si="174"/>
        <v>5.992312532551558E-3</v>
      </c>
      <c r="CE317" s="96">
        <f t="shared" si="175"/>
        <v>5.3202403634764764E-2</v>
      </c>
      <c r="CF317" s="96">
        <f t="shared" si="176"/>
        <v>5.8910359634997314E-2</v>
      </c>
      <c r="CG317" s="96">
        <f t="shared" si="177"/>
        <v>-5.7079560002325502E-3</v>
      </c>
      <c r="CH317" s="95">
        <f t="shared" si="178"/>
        <v>0.1248112321946043</v>
      </c>
      <c r="CI317" s="95">
        <f t="shared" si="179"/>
        <v>0.12892150551478476</v>
      </c>
      <c r="CJ317" s="98">
        <f t="shared" si="180"/>
        <v>-4.1102733201804631E-3</v>
      </c>
      <c r="CK317" s="95">
        <f t="shared" si="181"/>
        <v>5.4719427125131184E-2</v>
      </c>
      <c r="CL317" s="95">
        <f t="shared" si="182"/>
        <v>6.4941678589616122E-2</v>
      </c>
      <c r="CM317" s="98">
        <f t="shared" si="183"/>
        <v>-1.0222251464484938E-2</v>
      </c>
      <c r="CN317" s="94">
        <f t="shared" si="184"/>
        <v>0.62405616097302152</v>
      </c>
      <c r="CO317" s="94">
        <f t="shared" si="185"/>
        <v>0.27359713562565591</v>
      </c>
    </row>
    <row r="318" spans="1:95" ht="24.5" x14ac:dyDescent="0.35">
      <c r="A318" s="102">
        <v>131712</v>
      </c>
      <c r="B318" s="3" t="s">
        <v>72</v>
      </c>
      <c r="C318" s="43" t="s">
        <v>311</v>
      </c>
      <c r="D318" s="12" t="s">
        <v>312</v>
      </c>
      <c r="E318" s="4" t="s">
        <v>85</v>
      </c>
      <c r="F318" s="4" t="s">
        <v>192</v>
      </c>
      <c r="G318" s="12" t="s">
        <v>192</v>
      </c>
      <c r="H318" s="51" t="s">
        <v>178</v>
      </c>
      <c r="I318" s="23" t="s">
        <v>86</v>
      </c>
      <c r="J318" s="90">
        <v>151.5</v>
      </c>
      <c r="K318" s="90">
        <v>144.5</v>
      </c>
      <c r="L318" s="90">
        <v>94.5</v>
      </c>
      <c r="M318" s="90">
        <v>87.5</v>
      </c>
      <c r="N318" s="18">
        <v>147.5</v>
      </c>
      <c r="O318" s="18">
        <v>148</v>
      </c>
      <c r="P318" s="18">
        <v>152.5</v>
      </c>
      <c r="Q318" s="18">
        <v>110</v>
      </c>
      <c r="R318" s="90">
        <v>139.5</v>
      </c>
      <c r="S318" s="90">
        <v>153</v>
      </c>
      <c r="T318" s="90">
        <v>120.5</v>
      </c>
      <c r="U318" s="90">
        <v>135</v>
      </c>
      <c r="V318" s="90">
        <v>145.5</v>
      </c>
      <c r="W318" s="90">
        <v>139.5</v>
      </c>
      <c r="X318" s="90">
        <v>118.5</v>
      </c>
      <c r="Y318" s="90">
        <v>112.5</v>
      </c>
      <c r="Z318" s="90">
        <v>142</v>
      </c>
      <c r="AA318" s="90">
        <v>137.5</v>
      </c>
      <c r="AB318" s="90">
        <v>108</v>
      </c>
      <c r="AC318" s="90">
        <v>96.5</v>
      </c>
      <c r="AD318" s="90">
        <v>123.5</v>
      </c>
      <c r="AE318" s="90">
        <v>139.5</v>
      </c>
      <c r="AF318" s="90">
        <v>112.5</v>
      </c>
      <c r="AG318" s="90">
        <v>112.5</v>
      </c>
      <c r="AH318" s="90">
        <v>114</v>
      </c>
      <c r="AI318" s="90">
        <v>108</v>
      </c>
      <c r="AJ318" s="90">
        <v>100</v>
      </c>
      <c r="AK318" s="90">
        <v>126</v>
      </c>
      <c r="AL318" s="90">
        <v>144</v>
      </c>
      <c r="AM318" s="90">
        <v>134</v>
      </c>
      <c r="AN318" s="90">
        <v>96</v>
      </c>
      <c r="AO318" s="90">
        <v>76</v>
      </c>
      <c r="AP318" s="90">
        <v>114.5</v>
      </c>
      <c r="AQ318" s="90">
        <v>121.5</v>
      </c>
      <c r="AR318" s="90">
        <v>69.5</v>
      </c>
      <c r="AS318" s="90">
        <v>76.5</v>
      </c>
      <c r="AT318" s="90">
        <v>148</v>
      </c>
      <c r="AU318" s="90">
        <v>145</v>
      </c>
      <c r="AV318" s="90">
        <v>126</v>
      </c>
      <c r="AW318" s="90">
        <v>113</v>
      </c>
      <c r="AX318" s="90">
        <v>108</v>
      </c>
      <c r="AY318" s="90">
        <v>125.5</v>
      </c>
      <c r="AZ318" s="90">
        <v>118</v>
      </c>
      <c r="BA318" s="90">
        <v>116.5</v>
      </c>
      <c r="BB318" s="90">
        <v>140.5</v>
      </c>
      <c r="BC318" s="90">
        <v>140</v>
      </c>
      <c r="BD318" s="90">
        <v>107.5</v>
      </c>
      <c r="BE318" s="90">
        <v>108</v>
      </c>
      <c r="BF318" s="140">
        <v>28.686900000000001</v>
      </c>
      <c r="BG318" s="140">
        <v>76.980339999999998</v>
      </c>
      <c r="BH318" s="31">
        <f t="shared" si="155"/>
        <v>140.5</v>
      </c>
      <c r="BI318" s="31">
        <f t="shared" si="156"/>
        <v>140</v>
      </c>
      <c r="BJ318" s="37">
        <f t="shared" si="157"/>
        <v>0.5</v>
      </c>
      <c r="BK318" s="37">
        <f t="shared" si="158"/>
        <v>0.35714285714285715</v>
      </c>
      <c r="BL318" s="36">
        <f t="shared" si="159"/>
        <v>107.5</v>
      </c>
      <c r="BM318" s="36">
        <f t="shared" si="160"/>
        <v>108</v>
      </c>
      <c r="BN318" s="37">
        <f t="shared" si="161"/>
        <v>-0.5</v>
      </c>
      <c r="BO318" s="37">
        <f t="shared" si="162"/>
        <v>-0.46296296296296291</v>
      </c>
      <c r="BP318" s="38">
        <f t="shared" si="163"/>
        <v>1612</v>
      </c>
      <c r="BQ318" s="39">
        <f>J318+N318+S318+W318+AA318+AE318+AI318+AM318+AQ318+AU318+Table1[[#This Row],[MS-0225]]+Table1[[#This Row],[MS-0325]]</f>
        <v>1642.5</v>
      </c>
      <c r="BR318" s="37">
        <f t="shared" si="164"/>
        <v>-30.5</v>
      </c>
      <c r="BS318" s="37">
        <f t="shared" si="165"/>
        <v>-1.8569254185692541</v>
      </c>
      <c r="BT318" s="36">
        <f t="shared" si="166"/>
        <v>1274</v>
      </c>
      <c r="BU318" s="36">
        <f t="shared" si="167"/>
        <v>1319.5</v>
      </c>
      <c r="BV318" s="37">
        <f t="shared" si="168"/>
        <v>-45.5</v>
      </c>
      <c r="BW318" s="37">
        <f t="shared" si="169"/>
        <v>-3.4482758620689653</v>
      </c>
      <c r="BX318">
        <v>5</v>
      </c>
      <c r="BY318" s="83">
        <f t="shared" si="170"/>
        <v>3.5587188612099648E-2</v>
      </c>
      <c r="BZ318">
        <v>27.5</v>
      </c>
      <c r="CA318" s="83">
        <f t="shared" si="171"/>
        <v>1.7059553349875932E-2</v>
      </c>
      <c r="CB318" s="96">
        <f t="shared" si="172"/>
        <v>0.11474071049407922</v>
      </c>
      <c r="CC318" s="96">
        <f t="shared" si="173"/>
        <v>0.11489536315141567</v>
      </c>
      <c r="CD318" s="97">
        <f t="shared" si="174"/>
        <v>-1.5465265733645428E-4</v>
      </c>
      <c r="CE318" s="96">
        <f t="shared" si="175"/>
        <v>9.2552733534222983E-2</v>
      </c>
      <c r="CF318" s="96">
        <f t="shared" si="176"/>
        <v>0.11082606464853771</v>
      </c>
      <c r="CG318" s="96">
        <f t="shared" si="177"/>
        <v>-1.8273331114314728E-2</v>
      </c>
      <c r="CH318" s="95">
        <f t="shared" si="178"/>
        <v>0.10974198379739941</v>
      </c>
      <c r="CI318" s="95">
        <f t="shared" si="179"/>
        <v>0.11803384714886278</v>
      </c>
      <c r="CJ318" s="98">
        <f t="shared" si="180"/>
        <v>-8.2918633514633688E-3</v>
      </c>
      <c r="CK318" s="95">
        <f t="shared" si="181"/>
        <v>0.10810352142554094</v>
      </c>
      <c r="CL318" s="95">
        <f t="shared" si="182"/>
        <v>9.9716606839221608E-2</v>
      </c>
      <c r="CM318" s="98">
        <f t="shared" si="183"/>
        <v>8.3869145863193356E-3</v>
      </c>
      <c r="CN318" s="94">
        <f t="shared" si="184"/>
        <v>1.0974198379739941</v>
      </c>
      <c r="CO318" s="94">
        <f t="shared" si="185"/>
        <v>1.0810352142554094</v>
      </c>
    </row>
    <row r="319" spans="1:95" ht="24.5" x14ac:dyDescent="0.35">
      <c r="A319" s="104">
        <v>106291</v>
      </c>
      <c r="B319" s="5" t="s">
        <v>581</v>
      </c>
      <c r="C319" s="46" t="s">
        <v>679</v>
      </c>
      <c r="D319" s="13" t="s">
        <v>680</v>
      </c>
      <c r="E319" s="6" t="s">
        <v>89</v>
      </c>
      <c r="F319" s="6" t="s">
        <v>342</v>
      </c>
      <c r="G319" s="12" t="s">
        <v>342</v>
      </c>
      <c r="H319" s="51" t="s">
        <v>205</v>
      </c>
      <c r="I319" s="24" t="s">
        <v>86</v>
      </c>
      <c r="J319" s="19">
        <v>228</v>
      </c>
      <c r="K319" s="19">
        <v>260</v>
      </c>
      <c r="L319" s="19">
        <v>84</v>
      </c>
      <c r="M319" s="19">
        <v>88</v>
      </c>
      <c r="N319" s="18">
        <v>252</v>
      </c>
      <c r="O319" s="18">
        <v>270.5</v>
      </c>
      <c r="P319" s="18">
        <v>84</v>
      </c>
      <c r="Q319" s="18">
        <v>77.5</v>
      </c>
      <c r="R319" s="19">
        <v>275.5</v>
      </c>
      <c r="S319" s="19">
        <v>252</v>
      </c>
      <c r="T319" s="19">
        <v>72.5</v>
      </c>
      <c r="U319" s="19">
        <v>84</v>
      </c>
      <c r="V319" s="19">
        <v>266.5</v>
      </c>
      <c r="W319" s="19">
        <v>264</v>
      </c>
      <c r="X319" s="19">
        <v>69.5</v>
      </c>
      <c r="Y319" s="19">
        <v>84</v>
      </c>
      <c r="Z319" s="19">
        <v>278</v>
      </c>
      <c r="AA319" s="19">
        <v>284</v>
      </c>
      <c r="AB319" s="19">
        <v>64</v>
      </c>
      <c r="AC319" s="19">
        <v>76</v>
      </c>
      <c r="AD319" s="19">
        <v>268</v>
      </c>
      <c r="AE319" s="19">
        <v>261.5</v>
      </c>
      <c r="AF319" s="19">
        <v>68</v>
      </c>
      <c r="AG319" s="19">
        <v>68.5</v>
      </c>
      <c r="AH319" s="19">
        <v>286</v>
      </c>
      <c r="AI319" s="19">
        <v>271</v>
      </c>
      <c r="AJ319" s="19">
        <v>76</v>
      </c>
      <c r="AK319" s="19">
        <v>77</v>
      </c>
      <c r="AL319" s="19">
        <v>264</v>
      </c>
      <c r="AM319" s="19">
        <v>256</v>
      </c>
      <c r="AN319" s="19">
        <v>108</v>
      </c>
      <c r="AO319" s="19">
        <v>56</v>
      </c>
      <c r="AP319" s="19">
        <v>260</v>
      </c>
      <c r="AQ319" s="19">
        <v>240</v>
      </c>
      <c r="AR319" s="19">
        <v>100</v>
      </c>
      <c r="AS319" s="19">
        <v>48</v>
      </c>
      <c r="AT319" s="19">
        <v>248</v>
      </c>
      <c r="AU319" s="19">
        <v>242.5</v>
      </c>
      <c r="AV319" s="19">
        <v>100</v>
      </c>
      <c r="AW319" s="19">
        <v>89.5</v>
      </c>
      <c r="AX319" s="19">
        <v>240</v>
      </c>
      <c r="AY319" s="19">
        <v>223</v>
      </c>
      <c r="AZ319" s="19">
        <v>72</v>
      </c>
      <c r="BA319" s="19">
        <v>65</v>
      </c>
      <c r="BB319" s="19">
        <v>248</v>
      </c>
      <c r="BC319" s="19">
        <v>256</v>
      </c>
      <c r="BD319" s="19">
        <v>64</v>
      </c>
      <c r="BE319" s="19">
        <v>80</v>
      </c>
      <c r="BF319" s="23">
        <v>28.7392</v>
      </c>
      <c r="BG319" s="23">
        <v>77.1357</v>
      </c>
      <c r="BH319" s="31">
        <f t="shared" si="155"/>
        <v>248</v>
      </c>
      <c r="BI319" s="31">
        <f t="shared" si="156"/>
        <v>256</v>
      </c>
      <c r="BJ319" s="37">
        <f t="shared" si="157"/>
        <v>-8</v>
      </c>
      <c r="BK319" s="37">
        <f t="shared" si="158"/>
        <v>-3.125</v>
      </c>
      <c r="BL319" s="36">
        <f t="shared" si="159"/>
        <v>64</v>
      </c>
      <c r="BM319" s="36">
        <f t="shared" si="160"/>
        <v>80</v>
      </c>
      <c r="BN319" s="37">
        <f t="shared" si="161"/>
        <v>-16</v>
      </c>
      <c r="BO319" s="37">
        <f t="shared" si="162"/>
        <v>-20</v>
      </c>
      <c r="BP319" s="38">
        <f t="shared" si="163"/>
        <v>3164.5</v>
      </c>
      <c r="BQ319" s="39">
        <f>J319+N319+S319+W319+AA319+AE319+AI319+AM319+AQ319+AU319+Table1[[#This Row],[MS-0225]]+Table1[[#This Row],[MS-0325]]</f>
        <v>3030</v>
      </c>
      <c r="BR319" s="37">
        <f t="shared" si="164"/>
        <v>134.5</v>
      </c>
      <c r="BS319" s="37">
        <f t="shared" si="165"/>
        <v>4.438943894389439</v>
      </c>
      <c r="BT319" s="36">
        <f t="shared" si="166"/>
        <v>959.5</v>
      </c>
      <c r="BU319" s="36">
        <f t="shared" si="167"/>
        <v>896</v>
      </c>
      <c r="BV319" s="37">
        <f t="shared" si="168"/>
        <v>63.5</v>
      </c>
      <c r="BW319" s="37">
        <f t="shared" si="169"/>
        <v>7.0870535714285712</v>
      </c>
      <c r="BX319">
        <v>0</v>
      </c>
      <c r="BY319" s="83">
        <f t="shared" si="170"/>
        <v>0</v>
      </c>
      <c r="BZ319">
        <v>0</v>
      </c>
      <c r="CA319" s="83">
        <f t="shared" si="171"/>
        <v>0</v>
      </c>
      <c r="CB319" s="96">
        <f t="shared" si="172"/>
        <v>0.128099173553719</v>
      </c>
      <c r="CC319" s="96">
        <f t="shared" si="173"/>
        <v>0.13867822318526543</v>
      </c>
      <c r="CD319" s="97">
        <f t="shared" si="174"/>
        <v>-1.0579049631546433E-2</v>
      </c>
      <c r="CE319" s="96">
        <f t="shared" si="175"/>
        <v>0.15384615384615385</v>
      </c>
      <c r="CF319" s="96">
        <f t="shared" si="176"/>
        <v>0.17937219730941703</v>
      </c>
      <c r="CG319" s="96">
        <f t="shared" si="177"/>
        <v>-2.5526043463263176E-2</v>
      </c>
      <c r="CH319" s="95">
        <f t="shared" si="178"/>
        <v>0.13905916990749895</v>
      </c>
      <c r="CI319" s="95">
        <f t="shared" si="179"/>
        <v>0.13763655771706662</v>
      </c>
      <c r="CJ319" s="98">
        <f t="shared" si="180"/>
        <v>1.4226121904323263E-3</v>
      </c>
      <c r="CK319" s="95">
        <f t="shared" si="181"/>
        <v>0.18443056222969725</v>
      </c>
      <c r="CL319" s="95">
        <f t="shared" si="182"/>
        <v>0.16274634456452639</v>
      </c>
      <c r="CM319" s="98">
        <f t="shared" si="183"/>
        <v>2.1684217665170868E-2</v>
      </c>
      <c r="CN319" s="94">
        <f t="shared" si="184"/>
        <v>0.97341418935249258</v>
      </c>
      <c r="CO319" s="94">
        <f t="shared" si="185"/>
        <v>1.2910139356078807</v>
      </c>
    </row>
    <row r="320" spans="1:95" ht="24.5" x14ac:dyDescent="0.35">
      <c r="A320" s="102">
        <v>112407</v>
      </c>
      <c r="B320" s="3" t="s">
        <v>72</v>
      </c>
      <c r="C320" s="41" t="s">
        <v>349</v>
      </c>
      <c r="D320" s="12" t="s">
        <v>350</v>
      </c>
      <c r="E320" s="4" t="s">
        <v>89</v>
      </c>
      <c r="F320" s="4" t="s">
        <v>342</v>
      </c>
      <c r="G320" s="12" t="s">
        <v>342</v>
      </c>
      <c r="H320" s="51" t="s">
        <v>205</v>
      </c>
      <c r="I320" s="23" t="s">
        <v>86</v>
      </c>
      <c r="J320" s="90">
        <v>154.000001</v>
      </c>
      <c r="K320" s="90">
        <v>160.5</v>
      </c>
      <c r="L320" s="90">
        <v>8</v>
      </c>
      <c r="M320" s="90">
        <v>13.5</v>
      </c>
      <c r="N320" s="18">
        <v>168</v>
      </c>
      <c r="O320" s="18">
        <v>160.5</v>
      </c>
      <c r="P320" s="18">
        <v>24</v>
      </c>
      <c r="Q320" s="18">
        <v>19.5</v>
      </c>
      <c r="R320" s="90">
        <v>171.5</v>
      </c>
      <c r="S320" s="90">
        <v>156</v>
      </c>
      <c r="T320" s="90">
        <v>14.5</v>
      </c>
      <c r="U320" s="90">
        <v>24</v>
      </c>
      <c r="V320" s="90">
        <v>167</v>
      </c>
      <c r="W320" s="90">
        <v>166</v>
      </c>
      <c r="X320" s="90">
        <v>19</v>
      </c>
      <c r="Y320" s="90">
        <v>20</v>
      </c>
      <c r="Z320" s="90">
        <v>182</v>
      </c>
      <c r="AA320" s="90">
        <v>160</v>
      </c>
      <c r="AB320" s="90">
        <v>10</v>
      </c>
      <c r="AC320" s="90">
        <v>20</v>
      </c>
      <c r="AD320" s="90">
        <v>184.5</v>
      </c>
      <c r="AE320" s="90">
        <v>175.5</v>
      </c>
      <c r="AF320" s="90">
        <v>27.5</v>
      </c>
      <c r="AG320" s="90">
        <v>16.5</v>
      </c>
      <c r="AH320" s="90">
        <v>173.5</v>
      </c>
      <c r="AI320" s="90">
        <v>164</v>
      </c>
      <c r="AJ320" s="90">
        <v>22.5</v>
      </c>
      <c r="AK320" s="90">
        <v>16</v>
      </c>
      <c r="AL320" s="90">
        <v>157</v>
      </c>
      <c r="AM320" s="90">
        <v>156</v>
      </c>
      <c r="AN320" s="90">
        <v>27</v>
      </c>
      <c r="AO320" s="90">
        <v>12</v>
      </c>
      <c r="AP320" s="90">
        <v>144.5</v>
      </c>
      <c r="AQ320" s="90">
        <v>162</v>
      </c>
      <c r="AR320" s="90">
        <v>27.5</v>
      </c>
      <c r="AS320" s="90">
        <v>12</v>
      </c>
      <c r="AT320" s="90">
        <v>146.5</v>
      </c>
      <c r="AU320" s="90">
        <v>141</v>
      </c>
      <c r="AV320" s="90">
        <v>23.5</v>
      </c>
      <c r="AW320" s="90">
        <v>17</v>
      </c>
      <c r="AX320" s="90">
        <v>142</v>
      </c>
      <c r="AY320" s="90">
        <v>146</v>
      </c>
      <c r="AZ320" s="90">
        <v>22</v>
      </c>
      <c r="BA320" s="90">
        <v>16</v>
      </c>
      <c r="BB320" s="90">
        <v>140</v>
      </c>
      <c r="BC320" s="90">
        <v>157.5</v>
      </c>
      <c r="BD320" s="90">
        <v>14</v>
      </c>
      <c r="BE320" s="90">
        <v>12.5</v>
      </c>
      <c r="BF320" s="23">
        <v>28.739350000000002</v>
      </c>
      <c r="BG320" s="23">
        <v>77.118290000000002</v>
      </c>
      <c r="BH320" s="31">
        <f t="shared" si="155"/>
        <v>140</v>
      </c>
      <c r="BI320" s="31">
        <f t="shared" si="156"/>
        <v>157.5</v>
      </c>
      <c r="BJ320" s="37">
        <f t="shared" si="157"/>
        <v>-17.5</v>
      </c>
      <c r="BK320" s="37">
        <f t="shared" si="158"/>
        <v>-11.111111111111111</v>
      </c>
      <c r="BL320" s="36">
        <f t="shared" si="159"/>
        <v>14</v>
      </c>
      <c r="BM320" s="36">
        <f t="shared" si="160"/>
        <v>12.5</v>
      </c>
      <c r="BN320" s="37">
        <f t="shared" si="161"/>
        <v>1.5</v>
      </c>
      <c r="BO320" s="37">
        <f t="shared" si="162"/>
        <v>12</v>
      </c>
      <c r="BP320" s="38">
        <f t="shared" si="163"/>
        <v>1929.5</v>
      </c>
      <c r="BQ320" s="39">
        <f>J320+N320+S320+W320+AA320+AE320+AI320+AM320+AQ320+AU320+Table1[[#This Row],[MS-0225]]+Table1[[#This Row],[MS-0325]]</f>
        <v>1906.0000009999999</v>
      </c>
      <c r="BR320" s="37">
        <f t="shared" si="164"/>
        <v>23.499999000000116</v>
      </c>
      <c r="BS320" s="37">
        <f t="shared" si="165"/>
        <v>1.2329485303080079</v>
      </c>
      <c r="BT320" s="36">
        <f t="shared" si="166"/>
        <v>240.5</v>
      </c>
      <c r="BU320" s="36">
        <f t="shared" si="167"/>
        <v>198</v>
      </c>
      <c r="BV320" s="37">
        <f t="shared" si="168"/>
        <v>42.5</v>
      </c>
      <c r="BW320" s="37">
        <f t="shared" si="169"/>
        <v>21.464646464646464</v>
      </c>
      <c r="BX320">
        <v>34</v>
      </c>
      <c r="BY320" s="83">
        <f t="shared" si="170"/>
        <v>0.24285714285714285</v>
      </c>
      <c r="BZ320">
        <v>132</v>
      </c>
      <c r="CA320" s="83">
        <f t="shared" si="171"/>
        <v>6.8411505571391557E-2</v>
      </c>
      <c r="CB320" s="96">
        <f t="shared" si="172"/>
        <v>7.2314049586776855E-2</v>
      </c>
      <c r="CC320" s="96">
        <f t="shared" si="173"/>
        <v>8.5319609967497295E-2</v>
      </c>
      <c r="CD320" s="97">
        <f t="shared" si="174"/>
        <v>-1.3005560380720441E-2</v>
      </c>
      <c r="CE320" s="96">
        <f t="shared" si="175"/>
        <v>3.3653846153846152E-2</v>
      </c>
      <c r="CF320" s="96">
        <f t="shared" si="176"/>
        <v>2.8026905829596414E-2</v>
      </c>
      <c r="CG320" s="96">
        <f t="shared" si="177"/>
        <v>5.6269403242497386E-3</v>
      </c>
      <c r="CH320" s="95">
        <f t="shared" si="178"/>
        <v>8.4788961395645207E-2</v>
      </c>
      <c r="CI320" s="95">
        <f t="shared" si="179"/>
        <v>8.6579300048305455E-2</v>
      </c>
      <c r="CJ320" s="98">
        <f t="shared" si="180"/>
        <v>-1.7903386526602477E-3</v>
      </c>
      <c r="CK320" s="95">
        <f t="shared" si="181"/>
        <v>4.6227775108121094E-2</v>
      </c>
      <c r="CL320" s="95">
        <f t="shared" si="182"/>
        <v>3.5964035964035967E-2</v>
      </c>
      <c r="CM320" s="98">
        <f t="shared" si="183"/>
        <v>1.0263739144085127E-2</v>
      </c>
      <c r="CN320" s="94">
        <f t="shared" si="184"/>
        <v>0.59352272976951648</v>
      </c>
      <c r="CO320" s="94">
        <f t="shared" si="185"/>
        <v>0.32359442575684766</v>
      </c>
    </row>
    <row r="321" spans="1:95" x14ac:dyDescent="0.35">
      <c r="A321" s="104">
        <v>106322</v>
      </c>
      <c r="B321" s="5" t="s">
        <v>581</v>
      </c>
      <c r="C321" s="46" t="s">
        <v>851</v>
      </c>
      <c r="D321" s="13" t="s">
        <v>500</v>
      </c>
      <c r="E321" s="6" t="s">
        <v>103</v>
      </c>
      <c r="F321" s="6" t="s">
        <v>297</v>
      </c>
      <c r="G321" s="12" t="s">
        <v>297</v>
      </c>
      <c r="H321" s="51" t="s">
        <v>105</v>
      </c>
      <c r="I321" s="24" t="s">
        <v>78</v>
      </c>
      <c r="J321" s="19">
        <v>126</v>
      </c>
      <c r="K321" s="19">
        <v>167</v>
      </c>
      <c r="L321" s="19">
        <v>90</v>
      </c>
      <c r="M321" s="19">
        <v>81</v>
      </c>
      <c r="N321" s="18">
        <v>139.5</v>
      </c>
      <c r="O321" s="18">
        <v>149.5</v>
      </c>
      <c r="P321" s="18">
        <v>76.5</v>
      </c>
      <c r="Q321" s="18">
        <v>66.5</v>
      </c>
      <c r="R321" s="19">
        <v>131</v>
      </c>
      <c r="S321" s="19">
        <v>126</v>
      </c>
      <c r="T321" s="19">
        <v>49</v>
      </c>
      <c r="U321" s="19">
        <v>72</v>
      </c>
      <c r="V321" s="19">
        <v>162</v>
      </c>
      <c r="W321" s="19">
        <v>145</v>
      </c>
      <c r="X321" s="19">
        <v>50</v>
      </c>
      <c r="Y321" s="19">
        <v>67</v>
      </c>
      <c r="Z321" s="19">
        <v>165</v>
      </c>
      <c r="AA321" s="19">
        <v>145</v>
      </c>
      <c r="AB321" s="19">
        <v>63</v>
      </c>
      <c r="AC321" s="19">
        <v>71</v>
      </c>
      <c r="AD321" s="19">
        <v>163</v>
      </c>
      <c r="AE321" s="19">
        <v>133.5</v>
      </c>
      <c r="AF321" s="19">
        <v>69</v>
      </c>
      <c r="AG321" s="19">
        <v>86.5</v>
      </c>
      <c r="AH321" s="19">
        <v>174</v>
      </c>
      <c r="AI321" s="19">
        <v>137</v>
      </c>
      <c r="AJ321" s="19">
        <v>82</v>
      </c>
      <c r="AK321" s="19">
        <v>83</v>
      </c>
      <c r="AL321" s="19">
        <v>162</v>
      </c>
      <c r="AM321" s="19">
        <v>146</v>
      </c>
      <c r="AN321" s="19">
        <v>90</v>
      </c>
      <c r="AO321" s="19">
        <v>94</v>
      </c>
      <c r="AP321" s="19">
        <v>146</v>
      </c>
      <c r="AQ321" s="19">
        <v>148</v>
      </c>
      <c r="AR321" s="19">
        <v>62</v>
      </c>
      <c r="AS321" s="19">
        <v>82</v>
      </c>
      <c r="AT321" s="19">
        <v>144</v>
      </c>
      <c r="AU321" s="19">
        <v>151</v>
      </c>
      <c r="AV321" s="19">
        <v>72</v>
      </c>
      <c r="AW321" s="19">
        <v>83</v>
      </c>
      <c r="AX321" s="19">
        <v>125.5</v>
      </c>
      <c r="AY321" s="19">
        <v>120.5</v>
      </c>
      <c r="AZ321" s="19">
        <v>80.5</v>
      </c>
      <c r="BA321" s="19">
        <v>71.5</v>
      </c>
      <c r="BB321" s="19">
        <v>139</v>
      </c>
      <c r="BC321" s="19">
        <v>138</v>
      </c>
      <c r="BD321" s="19">
        <v>73</v>
      </c>
      <c r="BE321" s="19">
        <v>86</v>
      </c>
      <c r="BF321" s="23">
        <v>28.583400000000001</v>
      </c>
      <c r="BG321" s="23">
        <v>77.191400000000002</v>
      </c>
      <c r="BH321" s="31">
        <f t="shared" si="155"/>
        <v>139</v>
      </c>
      <c r="BI321" s="31">
        <f t="shared" si="156"/>
        <v>138</v>
      </c>
      <c r="BJ321" s="37">
        <f t="shared" si="157"/>
        <v>1</v>
      </c>
      <c r="BK321" s="37">
        <f t="shared" si="158"/>
        <v>0.72463768115942029</v>
      </c>
      <c r="BL321" s="36">
        <f t="shared" si="159"/>
        <v>73</v>
      </c>
      <c r="BM321" s="36">
        <f t="shared" si="160"/>
        <v>86</v>
      </c>
      <c r="BN321" s="37">
        <f t="shared" si="161"/>
        <v>-13</v>
      </c>
      <c r="BO321" s="37">
        <f t="shared" si="162"/>
        <v>-15.11627906976744</v>
      </c>
      <c r="BP321" s="38">
        <f t="shared" si="163"/>
        <v>1828</v>
      </c>
      <c r="BQ321" s="39">
        <f>J321+N321+S321+W321+AA321+AE321+AI321+AM321+AQ321+AU321+Table1[[#This Row],[MS-0225]]+Table1[[#This Row],[MS-0325]]</f>
        <v>1655.5</v>
      </c>
      <c r="BR321" s="37">
        <f t="shared" si="164"/>
        <v>172.5</v>
      </c>
      <c r="BS321" s="37">
        <f t="shared" si="165"/>
        <v>10.419812745394141</v>
      </c>
      <c r="BT321" s="36">
        <f t="shared" si="166"/>
        <v>838</v>
      </c>
      <c r="BU321" s="36">
        <f t="shared" si="167"/>
        <v>962.5</v>
      </c>
      <c r="BV321" s="37">
        <f t="shared" si="168"/>
        <v>-124.5</v>
      </c>
      <c r="BW321" s="37">
        <f t="shared" si="169"/>
        <v>-12.935064935064936</v>
      </c>
      <c r="BX321">
        <v>0</v>
      </c>
      <c r="BY321" s="83">
        <f t="shared" si="170"/>
        <v>0</v>
      </c>
      <c r="BZ321">
        <v>0</v>
      </c>
      <c r="CA321" s="83">
        <f t="shared" si="171"/>
        <v>0</v>
      </c>
      <c r="CB321" s="96">
        <f t="shared" si="172"/>
        <v>0.70202020202020199</v>
      </c>
      <c r="CC321" s="96">
        <f t="shared" si="173"/>
        <v>0.89610389610389607</v>
      </c>
      <c r="CD321" s="97">
        <f t="shared" si="174"/>
        <v>-0.19408369408369408</v>
      </c>
      <c r="CE321" s="96">
        <f t="shared" si="175"/>
        <v>0.77659574468085102</v>
      </c>
      <c r="CF321" s="96">
        <f t="shared" si="176"/>
        <v>0.91489361702127658</v>
      </c>
      <c r="CG321" s="96">
        <f t="shared" si="177"/>
        <v>-0.13829787234042556</v>
      </c>
      <c r="CH321" s="95">
        <f t="shared" si="178"/>
        <v>0.80884955752212384</v>
      </c>
      <c r="CI321" s="95">
        <f t="shared" si="179"/>
        <v>0.80014499758337365</v>
      </c>
      <c r="CJ321" s="98">
        <f t="shared" si="180"/>
        <v>8.7045599387501893E-3</v>
      </c>
      <c r="CK321" s="95">
        <f t="shared" si="181"/>
        <v>0.84646464646464648</v>
      </c>
      <c r="CL321" s="95">
        <f t="shared" si="182"/>
        <v>0.8465259454705365</v>
      </c>
      <c r="CM321" s="98">
        <f t="shared" si="183"/>
        <v>-6.1299005890025349E-5</v>
      </c>
      <c r="CN321" s="94">
        <f t="shared" si="184"/>
        <v>1.6176991150442477</v>
      </c>
      <c r="CO321" s="94">
        <f t="shared" si="185"/>
        <v>1.692929292929293</v>
      </c>
    </row>
    <row r="322" spans="1:95" x14ac:dyDescent="0.35">
      <c r="A322" s="104">
        <v>102096</v>
      </c>
      <c r="B322" s="5" t="s">
        <v>581</v>
      </c>
      <c r="C322" s="46" t="s">
        <v>809</v>
      </c>
      <c r="D322" s="13" t="s">
        <v>281</v>
      </c>
      <c r="E322" s="6" t="s">
        <v>200</v>
      </c>
      <c r="F322" s="6" t="s">
        <v>244</v>
      </c>
      <c r="G322" s="12" t="s">
        <v>244</v>
      </c>
      <c r="H322" s="51" t="s">
        <v>172</v>
      </c>
      <c r="I322" s="24" t="s">
        <v>83</v>
      </c>
      <c r="J322" s="19">
        <v>123.5</v>
      </c>
      <c r="K322" s="19">
        <v>148.5</v>
      </c>
      <c r="L322" s="19">
        <v>406.5</v>
      </c>
      <c r="M322" s="19">
        <v>409.5</v>
      </c>
      <c r="N322" s="18">
        <v>126</v>
      </c>
      <c r="O322" s="18">
        <v>135</v>
      </c>
      <c r="P322" s="18">
        <v>360</v>
      </c>
      <c r="Q322" s="18">
        <v>333</v>
      </c>
      <c r="R322" s="19">
        <v>139.5</v>
      </c>
      <c r="S322" s="19">
        <v>130.5</v>
      </c>
      <c r="T322" s="19">
        <v>328.5</v>
      </c>
      <c r="U322" s="19">
        <v>247.5</v>
      </c>
      <c r="V322" s="19">
        <v>135</v>
      </c>
      <c r="W322" s="19">
        <v>130.5</v>
      </c>
      <c r="X322" s="19">
        <v>387</v>
      </c>
      <c r="Y322" s="19">
        <v>337.5</v>
      </c>
      <c r="Z322" s="19">
        <v>142.5</v>
      </c>
      <c r="AA322" s="19">
        <v>135</v>
      </c>
      <c r="AB322" s="19">
        <v>435.5</v>
      </c>
      <c r="AC322" s="19">
        <v>369</v>
      </c>
      <c r="AD322" s="19">
        <v>130</v>
      </c>
      <c r="AE322" s="19">
        <v>130.5</v>
      </c>
      <c r="AF322" s="19">
        <v>420</v>
      </c>
      <c r="AG322" s="19">
        <v>373.5</v>
      </c>
      <c r="AH322" s="19">
        <v>144</v>
      </c>
      <c r="AI322" s="19">
        <v>144</v>
      </c>
      <c r="AJ322" s="19">
        <v>384</v>
      </c>
      <c r="AK322" s="19">
        <v>396</v>
      </c>
      <c r="AL322" s="19">
        <v>153.5</v>
      </c>
      <c r="AM322" s="19">
        <v>126</v>
      </c>
      <c r="AN322" s="19">
        <v>348.5</v>
      </c>
      <c r="AO322" s="19">
        <v>360</v>
      </c>
      <c r="AP322" s="19">
        <v>144</v>
      </c>
      <c r="AQ322" s="19">
        <v>126</v>
      </c>
      <c r="AR322" s="19">
        <v>358</v>
      </c>
      <c r="AS322" s="19">
        <v>360</v>
      </c>
      <c r="AT322" s="19">
        <v>145</v>
      </c>
      <c r="AU322" s="19">
        <v>126</v>
      </c>
      <c r="AV322" s="19">
        <v>405</v>
      </c>
      <c r="AW322" s="19">
        <v>378</v>
      </c>
      <c r="AX322" s="19">
        <v>145</v>
      </c>
      <c r="AY322" s="19">
        <v>121.5</v>
      </c>
      <c r="AZ322" s="19">
        <v>361</v>
      </c>
      <c r="BA322" s="19">
        <v>400.5</v>
      </c>
      <c r="BB322" s="19">
        <v>138.5</v>
      </c>
      <c r="BC322" s="19">
        <v>135</v>
      </c>
      <c r="BD322" s="19">
        <v>443.5</v>
      </c>
      <c r="BE322" s="19">
        <v>423</v>
      </c>
      <c r="BF322" s="23">
        <v>28.721800000000002</v>
      </c>
      <c r="BG322" s="23">
        <v>77.165499999999994</v>
      </c>
      <c r="BH322" s="31">
        <f t="shared" si="155"/>
        <v>138.5</v>
      </c>
      <c r="BI322" s="31">
        <f t="shared" si="156"/>
        <v>135</v>
      </c>
      <c r="BJ322" s="37">
        <f t="shared" si="157"/>
        <v>3.5</v>
      </c>
      <c r="BK322" s="37">
        <f t="shared" si="158"/>
        <v>2.5925925925925926</v>
      </c>
      <c r="BL322" s="36">
        <f t="shared" si="159"/>
        <v>443.5</v>
      </c>
      <c r="BM322" s="36">
        <f t="shared" si="160"/>
        <v>423</v>
      </c>
      <c r="BN322" s="37">
        <f t="shared" si="161"/>
        <v>20.5</v>
      </c>
      <c r="BO322" s="37">
        <f t="shared" si="162"/>
        <v>4.8463356973995273</v>
      </c>
      <c r="BP322" s="38">
        <f t="shared" si="163"/>
        <v>1700.5</v>
      </c>
      <c r="BQ322" s="39">
        <f>J322+N322+S322+W322+AA322+AE322+AI322+AM322+AQ322+AU322+Table1[[#This Row],[MS-0225]]+Table1[[#This Row],[MS-0325]]</f>
        <v>1554.5</v>
      </c>
      <c r="BR322" s="37">
        <f t="shared" si="164"/>
        <v>146</v>
      </c>
      <c r="BS322" s="37">
        <f t="shared" si="165"/>
        <v>9.3920874879382445</v>
      </c>
      <c r="BT322" s="36">
        <f t="shared" si="166"/>
        <v>4613.5</v>
      </c>
      <c r="BU322" s="36">
        <f t="shared" si="167"/>
        <v>4411.5</v>
      </c>
      <c r="BV322" s="37">
        <f t="shared" si="168"/>
        <v>202</v>
      </c>
      <c r="BW322" s="37">
        <f t="shared" si="169"/>
        <v>4.5789414031508562</v>
      </c>
      <c r="BX322">
        <v>0</v>
      </c>
      <c r="BY322" s="83">
        <f t="shared" si="170"/>
        <v>0</v>
      </c>
      <c r="BZ322">
        <v>0</v>
      </c>
      <c r="CA322" s="83">
        <f t="shared" si="171"/>
        <v>0</v>
      </c>
      <c r="CB322" s="96">
        <f t="shared" si="172"/>
        <v>0.12677345537757437</v>
      </c>
      <c r="CC322" s="96">
        <f t="shared" si="173"/>
        <v>0.13903192584963955</v>
      </c>
      <c r="CD322" s="97">
        <f t="shared" si="174"/>
        <v>-1.2258470472065186E-2</v>
      </c>
      <c r="CE322" s="96">
        <f t="shared" si="175"/>
        <v>0.13000146563095413</v>
      </c>
      <c r="CF322" s="96">
        <f t="shared" si="176"/>
        <v>0.11352657004830918</v>
      </c>
      <c r="CG322" s="96">
        <f t="shared" si="177"/>
        <v>1.6474895582644949E-2</v>
      </c>
      <c r="CH322" s="95">
        <f t="shared" si="178"/>
        <v>0.13881066078935553</v>
      </c>
      <c r="CI322" s="95">
        <f t="shared" si="179"/>
        <v>0.13342774988197931</v>
      </c>
      <c r="CJ322" s="98">
        <f t="shared" si="180"/>
        <v>5.3829109073762205E-3</v>
      </c>
      <c r="CK322" s="95">
        <f t="shared" si="181"/>
        <v>0.11392061238348046</v>
      </c>
      <c r="CL322" s="95">
        <f t="shared" si="182"/>
        <v>0.10697916919271527</v>
      </c>
      <c r="CM322" s="98">
        <f t="shared" si="183"/>
        <v>6.9414431907651869E-3</v>
      </c>
      <c r="CN322" s="94">
        <f t="shared" si="184"/>
        <v>0.69405330394677767</v>
      </c>
      <c r="CO322" s="94">
        <f t="shared" si="185"/>
        <v>0.56960306191740229</v>
      </c>
    </row>
    <row r="323" spans="1:95" x14ac:dyDescent="0.35">
      <c r="A323" s="104">
        <v>106226</v>
      </c>
      <c r="B323" s="5" t="s">
        <v>581</v>
      </c>
      <c r="C323" s="46" t="s">
        <v>593</v>
      </c>
      <c r="D323" s="13" t="s">
        <v>594</v>
      </c>
      <c r="E323" s="6" t="s">
        <v>85</v>
      </c>
      <c r="F323" s="6" t="s">
        <v>370</v>
      </c>
      <c r="G323" s="12" t="s">
        <v>370</v>
      </c>
      <c r="H323" s="51" t="s">
        <v>189</v>
      </c>
      <c r="I323" s="24" t="s">
        <v>86</v>
      </c>
      <c r="J323" s="19">
        <v>148.5</v>
      </c>
      <c r="K323" s="19">
        <v>202.5</v>
      </c>
      <c r="L323" s="19">
        <v>49.5</v>
      </c>
      <c r="M323" s="19">
        <v>67.5</v>
      </c>
      <c r="N323" s="18">
        <v>193.5</v>
      </c>
      <c r="O323" s="18">
        <v>204</v>
      </c>
      <c r="P323" s="18">
        <v>58.5</v>
      </c>
      <c r="Q323" s="18">
        <v>68</v>
      </c>
      <c r="R323" s="19">
        <v>215</v>
      </c>
      <c r="S323" s="19">
        <v>161</v>
      </c>
      <c r="T323" s="19">
        <v>59</v>
      </c>
      <c r="U323" s="19">
        <v>49</v>
      </c>
      <c r="V323" s="19">
        <v>226.5</v>
      </c>
      <c r="W323" s="19">
        <v>204.5</v>
      </c>
      <c r="X323" s="19">
        <v>75.5</v>
      </c>
      <c r="Y323" s="19">
        <v>53.5</v>
      </c>
      <c r="Z323" s="19">
        <v>232</v>
      </c>
      <c r="AA323" s="19">
        <v>183.5</v>
      </c>
      <c r="AB323" s="19">
        <v>96</v>
      </c>
      <c r="AC323" s="19">
        <v>44.5</v>
      </c>
      <c r="AD323" s="19">
        <v>238.5</v>
      </c>
      <c r="AE323" s="19">
        <v>177.5</v>
      </c>
      <c r="AF323" s="19">
        <v>65.5</v>
      </c>
      <c r="AG323" s="19">
        <v>44.5</v>
      </c>
      <c r="AH323" s="19">
        <v>232</v>
      </c>
      <c r="AI323" s="19">
        <v>165</v>
      </c>
      <c r="AJ323" s="19">
        <v>58</v>
      </c>
      <c r="AK323" s="19">
        <v>45</v>
      </c>
      <c r="AL323" s="19">
        <v>232.5</v>
      </c>
      <c r="AM323" s="19">
        <v>177.5</v>
      </c>
      <c r="AN323" s="19">
        <v>67.5</v>
      </c>
      <c r="AO323" s="19">
        <v>44.5</v>
      </c>
      <c r="AP323" s="19">
        <v>230.5</v>
      </c>
      <c r="AQ323" s="19">
        <v>189</v>
      </c>
      <c r="AR323" s="19">
        <v>71.5</v>
      </c>
      <c r="AS323" s="19">
        <v>63</v>
      </c>
      <c r="AT323" s="19">
        <v>147</v>
      </c>
      <c r="AU323" s="19">
        <v>174</v>
      </c>
      <c r="AV323" s="19">
        <v>47</v>
      </c>
      <c r="AW323" s="19">
        <v>64</v>
      </c>
      <c r="AX323" s="19">
        <v>192</v>
      </c>
      <c r="AY323" s="19">
        <v>169.5</v>
      </c>
      <c r="AZ323" s="19">
        <v>28</v>
      </c>
      <c r="BA323" s="19">
        <v>50.5</v>
      </c>
      <c r="BB323" s="19">
        <v>226.5</v>
      </c>
      <c r="BC323" s="19">
        <v>204</v>
      </c>
      <c r="BD323" s="19">
        <v>45.5</v>
      </c>
      <c r="BE323" s="19">
        <v>62</v>
      </c>
      <c r="BF323" s="23">
        <v>28.6524</v>
      </c>
      <c r="BG323" s="23">
        <v>77.156300000000002</v>
      </c>
      <c r="BH323" s="31">
        <f t="shared" si="155"/>
        <v>226.5</v>
      </c>
      <c r="BI323" s="31">
        <f t="shared" si="156"/>
        <v>204</v>
      </c>
      <c r="BJ323" s="37">
        <f t="shared" si="157"/>
        <v>22.5</v>
      </c>
      <c r="BK323" s="37">
        <f t="shared" si="158"/>
        <v>11.029411764705882</v>
      </c>
      <c r="BL323" s="36">
        <f t="shared" si="159"/>
        <v>45.5</v>
      </c>
      <c r="BM323" s="36">
        <f t="shared" si="160"/>
        <v>62</v>
      </c>
      <c r="BN323" s="37">
        <f t="shared" si="161"/>
        <v>-16.5</v>
      </c>
      <c r="BO323" s="37">
        <f t="shared" si="162"/>
        <v>-26.612903225806448</v>
      </c>
      <c r="BP323" s="38">
        <f t="shared" si="163"/>
        <v>2579</v>
      </c>
      <c r="BQ323" s="39">
        <f>J323+N323+S323+W323+AA323+AE323+AI323+AM323+AQ323+AU323+Table1[[#This Row],[MS-0225]]+Table1[[#This Row],[MS-0325]]</f>
        <v>2147.5</v>
      </c>
      <c r="BR323" s="37">
        <f t="shared" si="164"/>
        <v>431.5</v>
      </c>
      <c r="BS323" s="37">
        <f t="shared" si="165"/>
        <v>20.093131548311991</v>
      </c>
      <c r="BT323" s="36">
        <f t="shared" si="166"/>
        <v>749</v>
      </c>
      <c r="BU323" s="36">
        <f t="shared" si="167"/>
        <v>628.5</v>
      </c>
      <c r="BV323" s="37">
        <f t="shared" si="168"/>
        <v>120.5</v>
      </c>
      <c r="BW323" s="37">
        <f t="shared" si="169"/>
        <v>19.172633253778841</v>
      </c>
      <c r="BX323">
        <v>0</v>
      </c>
      <c r="BY323" s="83">
        <f t="shared" si="170"/>
        <v>0</v>
      </c>
      <c r="BZ323">
        <v>0</v>
      </c>
      <c r="CA323" s="83">
        <f t="shared" si="171"/>
        <v>0</v>
      </c>
      <c r="CB323" s="96">
        <f t="shared" si="172"/>
        <v>0.13268892794376097</v>
      </c>
      <c r="CC323" s="96">
        <f t="shared" si="173"/>
        <v>0.13010204081632654</v>
      </c>
      <c r="CD323" s="97">
        <f t="shared" si="174"/>
        <v>2.5868871274344341E-3</v>
      </c>
      <c r="CE323" s="96">
        <f t="shared" si="175"/>
        <v>0.157439446366782</v>
      </c>
      <c r="CF323" s="96">
        <f t="shared" si="176"/>
        <v>0.19375000000000001</v>
      </c>
      <c r="CG323" s="96">
        <f t="shared" si="177"/>
        <v>-3.6310553633218001E-2</v>
      </c>
      <c r="CH323" s="95">
        <f t="shared" si="178"/>
        <v>0.13087052495369547</v>
      </c>
      <c r="CI323" s="95">
        <f t="shared" si="179"/>
        <v>0.11336641493882371</v>
      </c>
      <c r="CJ323" s="98">
        <f t="shared" si="180"/>
        <v>1.750411001487176E-2</v>
      </c>
      <c r="CK323" s="95">
        <f t="shared" si="181"/>
        <v>0.2046727695040306</v>
      </c>
      <c r="CL323" s="95">
        <f t="shared" si="182"/>
        <v>0.15530022238695329</v>
      </c>
      <c r="CM323" s="98">
        <f t="shared" si="183"/>
        <v>4.9372547117077309E-2</v>
      </c>
      <c r="CN323" s="94">
        <f t="shared" si="184"/>
        <v>0.52348209981478189</v>
      </c>
      <c r="CO323" s="94">
        <f t="shared" si="185"/>
        <v>0.8186910780161224</v>
      </c>
    </row>
    <row r="324" spans="1:95" ht="24.5" x14ac:dyDescent="0.35">
      <c r="A324" s="102">
        <v>112401</v>
      </c>
      <c r="B324" s="3" t="s">
        <v>72</v>
      </c>
      <c r="C324" s="41" t="s">
        <v>269</v>
      </c>
      <c r="D324" s="12" t="s">
        <v>270</v>
      </c>
      <c r="E324" s="4" t="s">
        <v>111</v>
      </c>
      <c r="F324" s="4" t="s">
        <v>271</v>
      </c>
      <c r="G324" s="12" t="s">
        <v>271</v>
      </c>
      <c r="H324" s="51" t="s">
        <v>113</v>
      </c>
      <c r="I324" s="23" t="s">
        <v>78</v>
      </c>
      <c r="J324" s="90">
        <v>125.5</v>
      </c>
      <c r="K324" s="90">
        <v>122</v>
      </c>
      <c r="L324" s="90">
        <v>24.5</v>
      </c>
      <c r="M324" s="90">
        <v>32</v>
      </c>
      <c r="N324" s="18">
        <v>138.5</v>
      </c>
      <c r="O324" s="18">
        <v>134</v>
      </c>
      <c r="P324" s="18">
        <v>55.5</v>
      </c>
      <c r="Q324" s="18">
        <v>32</v>
      </c>
      <c r="R324" s="90">
        <v>141</v>
      </c>
      <c r="S324" s="90">
        <v>122</v>
      </c>
      <c r="T324" s="90">
        <v>35</v>
      </c>
      <c r="U324" s="90">
        <v>46</v>
      </c>
      <c r="V324" s="90">
        <v>138</v>
      </c>
      <c r="W324" s="90">
        <v>138</v>
      </c>
      <c r="X324" s="90">
        <v>16</v>
      </c>
      <c r="Y324" s="90">
        <v>30</v>
      </c>
      <c r="Z324" s="90">
        <v>144</v>
      </c>
      <c r="AA324" s="90">
        <v>128.5</v>
      </c>
      <c r="AB324" s="90">
        <v>24</v>
      </c>
      <c r="AC324" s="90">
        <v>33.5</v>
      </c>
      <c r="AD324" s="90">
        <v>142</v>
      </c>
      <c r="AE324" s="90">
        <v>148</v>
      </c>
      <c r="AF324" s="90">
        <v>24</v>
      </c>
      <c r="AG324" s="90">
        <v>20</v>
      </c>
      <c r="AH324" s="90">
        <v>140</v>
      </c>
      <c r="AI324" s="90">
        <v>129</v>
      </c>
      <c r="AJ324" s="90">
        <v>20</v>
      </c>
      <c r="AK324" s="90">
        <v>41</v>
      </c>
      <c r="AL324" s="90">
        <v>140</v>
      </c>
      <c r="AM324" s="90">
        <v>133.5</v>
      </c>
      <c r="AN324" s="90">
        <v>26</v>
      </c>
      <c r="AO324" s="90">
        <v>24.5</v>
      </c>
      <c r="AP324" s="90">
        <v>129</v>
      </c>
      <c r="AQ324" s="90">
        <v>148</v>
      </c>
      <c r="AR324" s="90">
        <v>17</v>
      </c>
      <c r="AS324" s="90">
        <v>32</v>
      </c>
      <c r="AT324" s="90">
        <v>120</v>
      </c>
      <c r="AU324" s="90">
        <v>105</v>
      </c>
      <c r="AV324" s="90">
        <v>20</v>
      </c>
      <c r="AW324" s="90">
        <v>35</v>
      </c>
      <c r="AX324" s="90">
        <v>138</v>
      </c>
      <c r="AY324" s="90">
        <v>121</v>
      </c>
      <c r="AZ324" s="90">
        <v>30</v>
      </c>
      <c r="BA324" s="90">
        <v>19</v>
      </c>
      <c r="BB324" s="90">
        <v>133</v>
      </c>
      <c r="BC324" s="90">
        <v>147</v>
      </c>
      <c r="BD324" s="90">
        <v>21</v>
      </c>
      <c r="BE324" s="90">
        <v>33</v>
      </c>
      <c r="BF324" s="23">
        <v>28.57432</v>
      </c>
      <c r="BG324" s="23">
        <v>77.257419999999996</v>
      </c>
      <c r="BH324" s="31">
        <f t="shared" si="155"/>
        <v>133</v>
      </c>
      <c r="BI324" s="31">
        <f t="shared" si="156"/>
        <v>147</v>
      </c>
      <c r="BJ324" s="37">
        <f t="shared" si="157"/>
        <v>-14</v>
      </c>
      <c r="BK324" s="37">
        <f t="shared" si="158"/>
        <v>-9.5238095238095237</v>
      </c>
      <c r="BL324" s="36">
        <f t="shared" si="159"/>
        <v>21</v>
      </c>
      <c r="BM324" s="36">
        <f t="shared" si="160"/>
        <v>33</v>
      </c>
      <c r="BN324" s="37">
        <f t="shared" si="161"/>
        <v>-12</v>
      </c>
      <c r="BO324" s="37">
        <f t="shared" si="162"/>
        <v>-36.363636363636367</v>
      </c>
      <c r="BP324" s="38">
        <f t="shared" si="163"/>
        <v>1621</v>
      </c>
      <c r="BQ324" s="39">
        <f>J324+N324+S324+W324+AA324+AE324+AI324+AM324+AQ324+AU324+Table1[[#This Row],[MS-0225]]+Table1[[#This Row],[MS-0325]]</f>
        <v>1584</v>
      </c>
      <c r="BR324" s="37">
        <f t="shared" si="164"/>
        <v>37</v>
      </c>
      <c r="BS324" s="37">
        <f t="shared" si="165"/>
        <v>2.3358585858585861</v>
      </c>
      <c r="BT324" s="36">
        <f t="shared" si="166"/>
        <v>297</v>
      </c>
      <c r="BU324" s="36">
        <f t="shared" si="167"/>
        <v>394</v>
      </c>
      <c r="BV324" s="37">
        <f t="shared" si="168"/>
        <v>-97</v>
      </c>
      <c r="BW324" s="37">
        <f t="shared" si="169"/>
        <v>-24.61928934010152</v>
      </c>
      <c r="BX324">
        <v>0</v>
      </c>
      <c r="BY324" s="83">
        <f t="shared" si="170"/>
        <v>0</v>
      </c>
      <c r="BZ324">
        <v>0</v>
      </c>
      <c r="CA324" s="83">
        <f t="shared" si="171"/>
        <v>0</v>
      </c>
      <c r="CB324" s="96">
        <f t="shared" si="172"/>
        <v>0.25478927203065133</v>
      </c>
      <c r="CC324" s="96">
        <f t="shared" si="173"/>
        <v>0.26273458445040215</v>
      </c>
      <c r="CD324" s="97">
        <f t="shared" si="174"/>
        <v>-7.9453124197508274E-3</v>
      </c>
      <c r="CE324" s="96">
        <f t="shared" si="175"/>
        <v>0.11290322580645161</v>
      </c>
      <c r="CF324" s="96">
        <f t="shared" si="176"/>
        <v>0.16541353383458646</v>
      </c>
      <c r="CG324" s="96">
        <f t="shared" si="177"/>
        <v>-5.2510308028134847E-2</v>
      </c>
      <c r="CH324" s="95">
        <f t="shared" si="178"/>
        <v>0.23450271247739601</v>
      </c>
      <c r="CI324" s="95">
        <f t="shared" si="179"/>
        <v>0.23611835730789296</v>
      </c>
      <c r="CJ324" s="98">
        <f t="shared" si="180"/>
        <v>-1.6156448304969484E-3</v>
      </c>
      <c r="CK324" s="95">
        <f t="shared" si="181"/>
        <v>0.13496932515337423</v>
      </c>
      <c r="CL324" s="95">
        <f t="shared" si="182"/>
        <v>0.16084915288834456</v>
      </c>
      <c r="CM324" s="98">
        <f t="shared" si="183"/>
        <v>-2.5879827734970329E-2</v>
      </c>
      <c r="CN324" s="94">
        <f t="shared" si="184"/>
        <v>0.7035081374321881</v>
      </c>
      <c r="CO324" s="94">
        <f t="shared" si="185"/>
        <v>0.40490797546012269</v>
      </c>
    </row>
    <row r="325" spans="1:95" ht="24.5" x14ac:dyDescent="0.35">
      <c r="A325" s="103">
        <v>41056820</v>
      </c>
      <c r="B325" s="9" t="s">
        <v>380</v>
      </c>
      <c r="C325" s="48" t="s">
        <v>415</v>
      </c>
      <c r="D325" s="14" t="s">
        <v>416</v>
      </c>
      <c r="E325" s="10" t="s">
        <v>200</v>
      </c>
      <c r="F325" s="10" t="s">
        <v>223</v>
      </c>
      <c r="G325" s="12" t="s">
        <v>223</v>
      </c>
      <c r="H325" s="51" t="s">
        <v>172</v>
      </c>
      <c r="I325" s="25" t="s">
        <v>83</v>
      </c>
      <c r="J325" s="20">
        <v>108</v>
      </c>
      <c r="K325" s="20">
        <v>110</v>
      </c>
      <c r="L325" s="20">
        <v>432</v>
      </c>
      <c r="M325" s="20">
        <v>392</v>
      </c>
      <c r="N325" s="18">
        <v>112.5</v>
      </c>
      <c r="O325" s="18">
        <v>110</v>
      </c>
      <c r="P325" s="18">
        <v>481.5</v>
      </c>
      <c r="Q325" s="18">
        <v>418</v>
      </c>
      <c r="R325" s="20">
        <v>110</v>
      </c>
      <c r="S325" s="20">
        <v>99</v>
      </c>
      <c r="T325" s="20">
        <v>344</v>
      </c>
      <c r="U325" s="20">
        <v>423</v>
      </c>
      <c r="V325" s="20">
        <v>121</v>
      </c>
      <c r="W325" s="20">
        <v>103.5</v>
      </c>
      <c r="X325" s="20">
        <v>385</v>
      </c>
      <c r="Y325" s="20">
        <v>454.5</v>
      </c>
      <c r="Z325" s="20">
        <v>121.5</v>
      </c>
      <c r="AA325" s="20">
        <v>99</v>
      </c>
      <c r="AB325" s="20">
        <v>354.5</v>
      </c>
      <c r="AC325" s="20">
        <v>369</v>
      </c>
      <c r="AD325" s="20">
        <v>120</v>
      </c>
      <c r="AE325" s="20">
        <v>103.5</v>
      </c>
      <c r="AF325" s="20">
        <v>342</v>
      </c>
      <c r="AG325" s="20">
        <v>418.5</v>
      </c>
      <c r="AH325" s="20">
        <v>127</v>
      </c>
      <c r="AI325" s="20">
        <v>108</v>
      </c>
      <c r="AJ325" s="20">
        <v>357</v>
      </c>
      <c r="AK325" s="20">
        <v>432</v>
      </c>
      <c r="AL325" s="20">
        <v>117</v>
      </c>
      <c r="AM325" s="20">
        <v>103.5</v>
      </c>
      <c r="AN325" s="20">
        <v>323</v>
      </c>
      <c r="AO325" s="20">
        <v>400.5</v>
      </c>
      <c r="AP325" s="20">
        <v>120</v>
      </c>
      <c r="AQ325" s="20">
        <v>99</v>
      </c>
      <c r="AR325" s="20">
        <v>338</v>
      </c>
      <c r="AS325" s="20">
        <v>387</v>
      </c>
      <c r="AT325" s="20">
        <v>113.5</v>
      </c>
      <c r="AU325" s="20">
        <v>94.5</v>
      </c>
      <c r="AV325" s="20">
        <v>411.5</v>
      </c>
      <c r="AW325" s="20">
        <v>391.5</v>
      </c>
      <c r="AX325" s="20">
        <v>114</v>
      </c>
      <c r="AY325" s="20">
        <v>93.5</v>
      </c>
      <c r="AZ325" s="20">
        <v>238</v>
      </c>
      <c r="BA325" s="20">
        <v>377.5</v>
      </c>
      <c r="BB325" s="20">
        <v>131</v>
      </c>
      <c r="BC325" s="20">
        <v>101</v>
      </c>
      <c r="BD325" s="20">
        <v>221</v>
      </c>
      <c r="BE325" s="20">
        <v>405</v>
      </c>
      <c r="BF325" s="23">
        <v>28.704160000000002</v>
      </c>
      <c r="BG325" s="23">
        <v>77.181340000000006</v>
      </c>
      <c r="BH325" s="31">
        <f t="shared" si="155"/>
        <v>131</v>
      </c>
      <c r="BI325" s="31">
        <f t="shared" si="156"/>
        <v>101</v>
      </c>
      <c r="BJ325" s="37">
        <f t="shared" si="157"/>
        <v>30</v>
      </c>
      <c r="BK325" s="37">
        <f t="shared" si="158"/>
        <v>29.702970297029701</v>
      </c>
      <c r="BL325" s="36">
        <f t="shared" si="159"/>
        <v>221</v>
      </c>
      <c r="BM325" s="36">
        <f t="shared" si="160"/>
        <v>405</v>
      </c>
      <c r="BN325" s="37">
        <f t="shared" si="161"/>
        <v>-184</v>
      </c>
      <c r="BO325" s="37">
        <f t="shared" si="162"/>
        <v>-45.432098765432102</v>
      </c>
      <c r="BP325" s="38">
        <f t="shared" si="163"/>
        <v>1415</v>
      </c>
      <c r="BQ325" s="39">
        <f>J325+N325+S325+W325+AA325+AE325+AI325+AM325+AQ325+AU325+Table1[[#This Row],[MS-0225]]+Table1[[#This Row],[MS-0325]]</f>
        <v>1225</v>
      </c>
      <c r="BR325" s="37">
        <f t="shared" si="164"/>
        <v>190</v>
      </c>
      <c r="BS325" s="37">
        <f t="shared" si="165"/>
        <v>15.510204081632653</v>
      </c>
      <c r="BT325" s="36">
        <f t="shared" si="166"/>
        <v>4124</v>
      </c>
      <c r="BU325" s="36">
        <f t="shared" si="167"/>
        <v>4972</v>
      </c>
      <c r="BV325" s="37">
        <f t="shared" si="168"/>
        <v>-848</v>
      </c>
      <c r="BW325" s="37">
        <f t="shared" si="169"/>
        <v>-17.055510860820593</v>
      </c>
      <c r="BX325">
        <v>0</v>
      </c>
      <c r="BY325" s="83">
        <f t="shared" si="170"/>
        <v>0</v>
      </c>
      <c r="BZ325">
        <v>0</v>
      </c>
      <c r="CA325" s="83">
        <f t="shared" si="171"/>
        <v>0</v>
      </c>
      <c r="CB325" s="96">
        <f t="shared" si="172"/>
        <v>0.1866096866096866</v>
      </c>
      <c r="CC325" s="96">
        <f t="shared" si="173"/>
        <v>0.17176870748299319</v>
      </c>
      <c r="CD325" s="97">
        <f t="shared" si="174"/>
        <v>1.484097912669341E-2</v>
      </c>
      <c r="CE325" s="96">
        <f t="shared" si="175"/>
        <v>0.57253886010362698</v>
      </c>
      <c r="CF325" s="96">
        <f t="shared" si="176"/>
        <v>0.7130281690140845</v>
      </c>
      <c r="CG325" s="96">
        <f t="shared" si="177"/>
        <v>-0.14048930891045752</v>
      </c>
      <c r="CH325" s="95">
        <f t="shared" si="178"/>
        <v>0.18602511010320122</v>
      </c>
      <c r="CI325" s="95">
        <f t="shared" si="179"/>
        <v>0.18009408997353721</v>
      </c>
      <c r="CJ325" s="98">
        <f t="shared" si="180"/>
        <v>5.9310201296640108E-3</v>
      </c>
      <c r="CK325" s="95">
        <f t="shared" si="181"/>
        <v>0.66986112239096884</v>
      </c>
      <c r="CL325" s="95">
        <f t="shared" si="182"/>
        <v>0.71283154121863801</v>
      </c>
      <c r="CM325" s="98">
        <f t="shared" si="183"/>
        <v>-4.2970418827669166E-2</v>
      </c>
      <c r="CN325" s="94">
        <f t="shared" si="184"/>
        <v>0.74410044041280488</v>
      </c>
      <c r="CO325" s="94">
        <f t="shared" si="185"/>
        <v>2.6794444895638754</v>
      </c>
    </row>
    <row r="326" spans="1:95" ht="24.5" x14ac:dyDescent="0.35">
      <c r="A326" s="104">
        <v>234811</v>
      </c>
      <c r="B326" s="5" t="s">
        <v>581</v>
      </c>
      <c r="C326" s="46" t="s">
        <v>852</v>
      </c>
      <c r="D326" s="13" t="s">
        <v>853</v>
      </c>
      <c r="E326" s="6" t="s">
        <v>200</v>
      </c>
      <c r="F326" s="6" t="s">
        <v>268</v>
      </c>
      <c r="G326" s="12" t="s">
        <v>268</v>
      </c>
      <c r="H326" s="51" t="s">
        <v>91</v>
      </c>
      <c r="I326" s="24" t="s">
        <v>83</v>
      </c>
      <c r="J326" s="19">
        <v>110.5</v>
      </c>
      <c r="K326" s="19">
        <v>112.5</v>
      </c>
      <c r="L326" s="19">
        <v>71.5</v>
      </c>
      <c r="M326" s="19">
        <v>49.5</v>
      </c>
      <c r="N326" s="18">
        <v>135</v>
      </c>
      <c r="O326" s="18">
        <v>135</v>
      </c>
      <c r="P326" s="18">
        <v>63</v>
      </c>
      <c r="Q326" s="18">
        <v>45</v>
      </c>
      <c r="R326" s="19">
        <v>136.5</v>
      </c>
      <c r="S326" s="19">
        <v>129.5</v>
      </c>
      <c r="T326" s="19">
        <v>45.5</v>
      </c>
      <c r="U326" s="19">
        <v>62.5</v>
      </c>
      <c r="V326" s="19">
        <v>130.5</v>
      </c>
      <c r="W326" s="19">
        <v>130.5</v>
      </c>
      <c r="X326" s="19">
        <v>49.5</v>
      </c>
      <c r="Y326" s="19">
        <v>67.5</v>
      </c>
      <c r="Z326" s="19">
        <v>145.5</v>
      </c>
      <c r="AA326" s="19">
        <v>126</v>
      </c>
      <c r="AB326" s="19">
        <v>54.5</v>
      </c>
      <c r="AC326" s="19">
        <v>72</v>
      </c>
      <c r="AD326" s="19">
        <v>126</v>
      </c>
      <c r="AE326" s="19">
        <v>137</v>
      </c>
      <c r="AF326" s="19">
        <v>54</v>
      </c>
      <c r="AG326" s="19">
        <v>65</v>
      </c>
      <c r="AH326" s="19">
        <v>135</v>
      </c>
      <c r="AI326" s="19">
        <v>123</v>
      </c>
      <c r="AJ326" s="19">
        <v>45</v>
      </c>
      <c r="AK326" s="19">
        <v>59</v>
      </c>
      <c r="AL326" s="19">
        <v>103.5</v>
      </c>
      <c r="AM326" s="19">
        <v>121.5</v>
      </c>
      <c r="AN326" s="19">
        <v>40.5</v>
      </c>
      <c r="AO326" s="19">
        <v>58.5</v>
      </c>
      <c r="AP326" s="19">
        <v>130.5</v>
      </c>
      <c r="AQ326" s="19">
        <v>117</v>
      </c>
      <c r="AR326" s="19">
        <v>49.5</v>
      </c>
      <c r="AS326" s="19">
        <v>45</v>
      </c>
      <c r="AT326" s="19">
        <v>129</v>
      </c>
      <c r="AU326" s="19">
        <v>130</v>
      </c>
      <c r="AV326" s="19">
        <v>45</v>
      </c>
      <c r="AW326" s="19">
        <v>58</v>
      </c>
      <c r="AX326" s="19">
        <v>103.5</v>
      </c>
      <c r="AY326" s="19">
        <v>106.5</v>
      </c>
      <c r="AZ326" s="19">
        <v>40.5</v>
      </c>
      <c r="BA326" s="19">
        <v>49.5</v>
      </c>
      <c r="BB326" s="19">
        <v>130.5</v>
      </c>
      <c r="BC326" s="19">
        <v>127</v>
      </c>
      <c r="BD326" s="19">
        <v>67.5</v>
      </c>
      <c r="BE326" s="19">
        <v>45</v>
      </c>
      <c r="BF326" s="23">
        <v>28.778400000000001</v>
      </c>
      <c r="BG326" s="23">
        <v>77.045000000000002</v>
      </c>
      <c r="BH326" s="31">
        <f t="shared" si="155"/>
        <v>130.5</v>
      </c>
      <c r="BI326" s="31">
        <f t="shared" si="156"/>
        <v>127</v>
      </c>
      <c r="BJ326" s="37">
        <f t="shared" si="157"/>
        <v>3.5</v>
      </c>
      <c r="BK326" s="37">
        <f t="shared" si="158"/>
        <v>2.7559055118110236</v>
      </c>
      <c r="BL326" s="36">
        <f t="shared" si="159"/>
        <v>67.5</v>
      </c>
      <c r="BM326" s="36">
        <f t="shared" si="160"/>
        <v>45</v>
      </c>
      <c r="BN326" s="37">
        <f t="shared" si="161"/>
        <v>22.5</v>
      </c>
      <c r="BO326" s="37">
        <f t="shared" si="162"/>
        <v>50</v>
      </c>
      <c r="BP326" s="38">
        <f t="shared" si="163"/>
        <v>1518</v>
      </c>
      <c r="BQ326" s="39">
        <f>J326+N326+S326+W326+AA326+AE326+AI326+AM326+AQ326+AU326+Table1[[#This Row],[MS-0225]]+Table1[[#This Row],[MS-0325]]</f>
        <v>1493.5</v>
      </c>
      <c r="BR326" s="37">
        <f t="shared" si="164"/>
        <v>24.5</v>
      </c>
      <c r="BS326" s="37">
        <f t="shared" si="165"/>
        <v>1.6404419149648477</v>
      </c>
      <c r="BT326" s="36">
        <f t="shared" si="166"/>
        <v>586</v>
      </c>
      <c r="BU326" s="36">
        <f t="shared" si="167"/>
        <v>716.5</v>
      </c>
      <c r="BV326" s="37">
        <f t="shared" si="168"/>
        <v>-130.5</v>
      </c>
      <c r="BW326" s="37">
        <f t="shared" si="169"/>
        <v>-18.213538032100487</v>
      </c>
      <c r="BX326">
        <v>0</v>
      </c>
      <c r="BY326" s="83">
        <f t="shared" si="170"/>
        <v>0</v>
      </c>
      <c r="BZ326">
        <v>0</v>
      </c>
      <c r="CA326" s="83">
        <f t="shared" si="171"/>
        <v>0</v>
      </c>
      <c r="CB326" s="96">
        <f t="shared" si="172"/>
        <v>0.25315227934044615</v>
      </c>
      <c r="CC326" s="96">
        <f t="shared" si="173"/>
        <v>0.26051282051282049</v>
      </c>
      <c r="CD326" s="97">
        <f t="shared" si="174"/>
        <v>-7.3605411723743353E-3</v>
      </c>
      <c r="CE326" s="96">
        <f t="shared" si="175"/>
        <v>0.26732673267326734</v>
      </c>
      <c r="CF326" s="96">
        <f t="shared" si="176"/>
        <v>0.22443890274314215</v>
      </c>
      <c r="CG326" s="96">
        <f t="shared" si="177"/>
        <v>4.2887829930125188E-2</v>
      </c>
      <c r="CH326" s="95">
        <f t="shared" si="178"/>
        <v>0.2521594684385382</v>
      </c>
      <c r="CI326" s="95">
        <f t="shared" si="179"/>
        <v>0.26861510791366905</v>
      </c>
      <c r="CJ326" s="98">
        <f t="shared" si="180"/>
        <v>-1.6455639475130845E-2</v>
      </c>
      <c r="CK326" s="95">
        <f t="shared" si="181"/>
        <v>0.21882001493651979</v>
      </c>
      <c r="CL326" s="95">
        <f t="shared" si="182"/>
        <v>0.26035610465116277</v>
      </c>
      <c r="CM326" s="98">
        <f t="shared" si="183"/>
        <v>-4.1536089714642982E-2</v>
      </c>
      <c r="CN326" s="94">
        <f t="shared" si="184"/>
        <v>1.260797342192691</v>
      </c>
      <c r="CO326" s="94">
        <f t="shared" si="185"/>
        <v>1.0941000746825988</v>
      </c>
    </row>
    <row r="327" spans="1:95" ht="24.5" x14ac:dyDescent="0.35">
      <c r="A327" s="102">
        <v>152706</v>
      </c>
      <c r="B327" s="3" t="s">
        <v>72</v>
      </c>
      <c r="C327" s="40" t="s">
        <v>276</v>
      </c>
      <c r="D327" s="12" t="s">
        <v>277</v>
      </c>
      <c r="E327" s="4" t="s">
        <v>200</v>
      </c>
      <c r="F327" s="4" t="s">
        <v>260</v>
      </c>
      <c r="G327" s="12" t="s">
        <v>260</v>
      </c>
      <c r="H327" s="51" t="s">
        <v>261</v>
      </c>
      <c r="I327" s="23" t="s">
        <v>83</v>
      </c>
      <c r="J327" s="90">
        <v>94</v>
      </c>
      <c r="K327" s="90">
        <v>110</v>
      </c>
      <c r="L327" s="90">
        <v>94</v>
      </c>
      <c r="M327" s="90">
        <v>130</v>
      </c>
      <c r="N327" s="18">
        <v>103</v>
      </c>
      <c r="O327" s="18">
        <v>115</v>
      </c>
      <c r="P327" s="18">
        <v>143</v>
      </c>
      <c r="Q327" s="18">
        <v>165</v>
      </c>
      <c r="R327" s="90">
        <v>125</v>
      </c>
      <c r="S327" s="90">
        <v>103.5</v>
      </c>
      <c r="T327" s="90">
        <v>115</v>
      </c>
      <c r="U327" s="90">
        <v>124.5</v>
      </c>
      <c r="V327" s="90">
        <v>125</v>
      </c>
      <c r="W327" s="90">
        <v>110</v>
      </c>
      <c r="X327" s="90">
        <v>115</v>
      </c>
      <c r="Y327" s="90">
        <v>130</v>
      </c>
      <c r="Z327" s="90">
        <v>155</v>
      </c>
      <c r="AA327" s="90">
        <v>115</v>
      </c>
      <c r="AB327" s="90">
        <v>105</v>
      </c>
      <c r="AC327" s="90">
        <v>146</v>
      </c>
      <c r="AD327" s="90">
        <v>135</v>
      </c>
      <c r="AE327" s="90">
        <v>101</v>
      </c>
      <c r="AF327" s="90">
        <v>145</v>
      </c>
      <c r="AG327" s="90">
        <v>125</v>
      </c>
      <c r="AH327" s="90">
        <v>140</v>
      </c>
      <c r="AI327" s="90">
        <v>110</v>
      </c>
      <c r="AJ327" s="90">
        <v>120</v>
      </c>
      <c r="AK327" s="90">
        <v>130</v>
      </c>
      <c r="AL327" s="90">
        <v>140</v>
      </c>
      <c r="AM327" s="90">
        <v>117</v>
      </c>
      <c r="AN327" s="90">
        <v>140</v>
      </c>
      <c r="AO327" s="90">
        <v>113</v>
      </c>
      <c r="AP327" s="90">
        <v>120</v>
      </c>
      <c r="AQ327" s="90">
        <v>101</v>
      </c>
      <c r="AR327" s="90">
        <v>120</v>
      </c>
      <c r="AS327" s="90">
        <v>91</v>
      </c>
      <c r="AT327" s="90">
        <v>120</v>
      </c>
      <c r="AU327" s="90">
        <v>100</v>
      </c>
      <c r="AV327" s="90">
        <v>100</v>
      </c>
      <c r="AW327" s="90">
        <v>120</v>
      </c>
      <c r="AX327" s="90">
        <v>120</v>
      </c>
      <c r="AY327" s="90">
        <v>95</v>
      </c>
      <c r="AZ327" s="90">
        <v>120</v>
      </c>
      <c r="BA327" s="90">
        <v>145</v>
      </c>
      <c r="BB327" s="90">
        <v>130</v>
      </c>
      <c r="BC327" s="90">
        <v>110</v>
      </c>
      <c r="BD327" s="90">
        <v>190</v>
      </c>
      <c r="BE327" s="90">
        <v>150</v>
      </c>
      <c r="BF327" s="23">
        <v>28.82028</v>
      </c>
      <c r="BG327" s="23">
        <v>77.134349999999998</v>
      </c>
      <c r="BH327" s="31">
        <f t="shared" si="155"/>
        <v>130</v>
      </c>
      <c r="BI327" s="31">
        <f t="shared" si="156"/>
        <v>110</v>
      </c>
      <c r="BJ327" s="37">
        <f t="shared" si="157"/>
        <v>20</v>
      </c>
      <c r="BK327" s="37">
        <f t="shared" si="158"/>
        <v>18.181818181818183</v>
      </c>
      <c r="BL327" s="36">
        <f t="shared" si="159"/>
        <v>190</v>
      </c>
      <c r="BM327" s="36">
        <f t="shared" si="160"/>
        <v>150</v>
      </c>
      <c r="BN327" s="37">
        <f t="shared" si="161"/>
        <v>40</v>
      </c>
      <c r="BO327" s="37">
        <f t="shared" si="162"/>
        <v>26.666666666666668</v>
      </c>
      <c r="BP327" s="38">
        <f t="shared" si="163"/>
        <v>1535</v>
      </c>
      <c r="BQ327" s="39">
        <f>J327+N327+S327+W327+AA327+AE327+AI327+AM327+AQ327+AU327+Table1[[#This Row],[MS-0225]]+Table1[[#This Row],[MS-0325]]</f>
        <v>1259.5</v>
      </c>
      <c r="BR327" s="37">
        <f t="shared" si="164"/>
        <v>275.5</v>
      </c>
      <c r="BS327" s="37">
        <f t="shared" si="165"/>
        <v>21.873759428344581</v>
      </c>
      <c r="BT327" s="36">
        <f t="shared" si="166"/>
        <v>1565</v>
      </c>
      <c r="BU327" s="36">
        <f t="shared" si="167"/>
        <v>1511.5</v>
      </c>
      <c r="BV327" s="37">
        <f t="shared" si="168"/>
        <v>53.5</v>
      </c>
      <c r="BW327" s="37">
        <f t="shared" si="169"/>
        <v>3.5395302679457492</v>
      </c>
      <c r="BX327">
        <v>0</v>
      </c>
      <c r="BY327" s="83">
        <f t="shared" si="170"/>
        <v>0</v>
      </c>
      <c r="BZ327">
        <v>0</v>
      </c>
      <c r="CA327" s="83">
        <f t="shared" si="171"/>
        <v>0</v>
      </c>
      <c r="CB327" s="96">
        <f t="shared" si="172"/>
        <v>0.23941068139963168</v>
      </c>
      <c r="CC327" s="96">
        <f t="shared" si="173"/>
        <v>0.21526418786692758</v>
      </c>
      <c r="CD327" s="97">
        <f t="shared" si="174"/>
        <v>2.4146493532704094E-2</v>
      </c>
      <c r="CE327" s="96">
        <f t="shared" si="175"/>
        <v>0.25503355704697989</v>
      </c>
      <c r="CF327" s="96">
        <f t="shared" si="176"/>
        <v>0.21676300578034682</v>
      </c>
      <c r="CG327" s="96">
        <f t="shared" si="177"/>
        <v>3.8270551266633063E-2</v>
      </c>
      <c r="CH327" s="95">
        <f t="shared" si="178"/>
        <v>0.23699243476918327</v>
      </c>
      <c r="CI327" s="95">
        <f t="shared" si="179"/>
        <v>0.20937577923697115</v>
      </c>
      <c r="CJ327" s="98">
        <f t="shared" si="180"/>
        <v>2.7616655532212125E-2</v>
      </c>
      <c r="CK327" s="95">
        <f t="shared" si="181"/>
        <v>0.19511282882433612</v>
      </c>
      <c r="CL327" s="95">
        <f t="shared" si="182"/>
        <v>0.19471819645732688</v>
      </c>
      <c r="CM327" s="98">
        <f t="shared" si="183"/>
        <v>3.9463236700923443E-4</v>
      </c>
      <c r="CN327" s="94">
        <f t="shared" si="184"/>
        <v>0.7109773043075498</v>
      </c>
      <c r="CO327" s="94">
        <f t="shared" si="185"/>
        <v>0.58533848647300835</v>
      </c>
    </row>
    <row r="328" spans="1:95" ht="24.5" x14ac:dyDescent="0.35">
      <c r="A328" s="104">
        <v>106308</v>
      </c>
      <c r="B328" s="5" t="s">
        <v>581</v>
      </c>
      <c r="C328" s="46" t="s">
        <v>954</v>
      </c>
      <c r="D328" s="13" t="s">
        <v>955</v>
      </c>
      <c r="E328" s="6" t="s">
        <v>85</v>
      </c>
      <c r="F328" s="6" t="s">
        <v>192</v>
      </c>
      <c r="G328" s="12" t="s">
        <v>192</v>
      </c>
      <c r="H328" s="51" t="s">
        <v>178</v>
      </c>
      <c r="I328" s="24" t="s">
        <v>86</v>
      </c>
      <c r="J328" s="19">
        <v>22.5</v>
      </c>
      <c r="K328" s="19">
        <v>27</v>
      </c>
      <c r="L328" s="19">
        <v>13.5</v>
      </c>
      <c r="M328" s="19">
        <v>9</v>
      </c>
      <c r="N328" s="18">
        <v>22.5</v>
      </c>
      <c r="O328" s="18">
        <v>13.5</v>
      </c>
      <c r="P328" s="18">
        <v>31.5</v>
      </c>
      <c r="Q328" s="18">
        <v>22.5</v>
      </c>
      <c r="R328" s="19">
        <v>17.5</v>
      </c>
      <c r="S328" s="19">
        <v>13</v>
      </c>
      <c r="T328" s="19">
        <v>12.5</v>
      </c>
      <c r="U328" s="19">
        <v>17</v>
      </c>
      <c r="V328" s="19">
        <v>18</v>
      </c>
      <c r="W328" s="19">
        <v>17.5</v>
      </c>
      <c r="X328" s="19">
        <v>18</v>
      </c>
      <c r="Y328" s="19">
        <v>12.5</v>
      </c>
      <c r="Z328" s="19">
        <v>12</v>
      </c>
      <c r="AA328" s="19">
        <v>18</v>
      </c>
      <c r="AB328" s="19">
        <v>12</v>
      </c>
      <c r="AC328" s="19">
        <v>18</v>
      </c>
      <c r="AD328" s="19">
        <v>0</v>
      </c>
      <c r="AE328" s="19">
        <v>13.5</v>
      </c>
      <c r="AF328" s="19">
        <v>0</v>
      </c>
      <c r="AG328" s="19">
        <v>22.5</v>
      </c>
      <c r="AH328" s="19">
        <v>0</v>
      </c>
      <c r="AI328" s="19">
        <v>18</v>
      </c>
      <c r="AJ328" s="19">
        <v>0</v>
      </c>
      <c r="AK328" s="19">
        <v>18</v>
      </c>
      <c r="AL328" s="19">
        <v>0</v>
      </c>
      <c r="AM328" s="19">
        <v>26</v>
      </c>
      <c r="AN328" s="19">
        <v>0</v>
      </c>
      <c r="AO328" s="19">
        <v>22</v>
      </c>
      <c r="AP328" s="19">
        <v>0</v>
      </c>
      <c r="AQ328" s="19">
        <v>28.5</v>
      </c>
      <c r="AR328" s="19">
        <v>0</v>
      </c>
      <c r="AS328" s="19">
        <v>25.5</v>
      </c>
      <c r="AT328" s="19">
        <v>0</v>
      </c>
      <c r="AU328" s="19">
        <v>16</v>
      </c>
      <c r="AV328" s="19">
        <v>0</v>
      </c>
      <c r="AW328" s="19">
        <v>20</v>
      </c>
      <c r="AX328" s="19">
        <v>0</v>
      </c>
      <c r="AY328" s="19">
        <v>26</v>
      </c>
      <c r="AZ328" s="19">
        <v>0</v>
      </c>
      <c r="BA328" s="19">
        <v>22</v>
      </c>
      <c r="BB328" s="19">
        <v>0</v>
      </c>
      <c r="BC328" s="19">
        <v>25.5</v>
      </c>
      <c r="BD328" s="19">
        <v>0</v>
      </c>
      <c r="BE328" s="19">
        <v>16.5</v>
      </c>
      <c r="BF328" s="140">
        <v>28.687999999999999</v>
      </c>
      <c r="BG328" s="140">
        <v>76.960999999999999</v>
      </c>
      <c r="BH328" s="31">
        <f t="shared" ref="BH328:BH396" si="186">BB328</f>
        <v>0</v>
      </c>
      <c r="BI328" s="31">
        <f t="shared" ref="BI328:BI396" si="187">BC328</f>
        <v>25.5</v>
      </c>
      <c r="BJ328" s="37">
        <f t="shared" ref="BJ328:BJ391" si="188">(BH328-BI328)</f>
        <v>-25.5</v>
      </c>
      <c r="BK328" s="37">
        <f t="shared" ref="BK328:BK391" si="189">(BJ328)/BI328*100</f>
        <v>-100</v>
      </c>
      <c r="BL328" s="36">
        <f t="shared" ref="BL328:BL396" si="190">BD328</f>
        <v>0</v>
      </c>
      <c r="BM328" s="36">
        <f t="shared" ref="BM328:BM396" si="191">BE328</f>
        <v>16.5</v>
      </c>
      <c r="BN328" s="37">
        <f t="shared" ref="BN328:BN391" si="192">(BL328-BM328)</f>
        <v>-16.5</v>
      </c>
      <c r="BO328" s="37">
        <f t="shared" ref="BO328:BO391" si="193">(BN328)/BM328*100</f>
        <v>-100</v>
      </c>
      <c r="BP328" s="38">
        <f t="shared" ref="BP328:BP396" si="194">K328+O328+R328+V328+Z328+AD328+AH328+AL328+AP328+AT328+AX328+BB328</f>
        <v>88</v>
      </c>
      <c r="BQ328" s="39">
        <f>J328+N328+S328+W328+AA328+AE328+AI328+AM328+AQ328+AU328+Table1[[#This Row],[MS-0225]]+Table1[[#This Row],[MS-0325]]</f>
        <v>247</v>
      </c>
      <c r="BR328" s="37">
        <f t="shared" ref="BR328:BR391" si="195">(BP328-BQ328)</f>
        <v>-159</v>
      </c>
      <c r="BS328" s="37">
        <f t="shared" ref="BS328:BS391" si="196">(BR328)/BQ328*100</f>
        <v>-64.372469635627525</v>
      </c>
      <c r="BT328" s="36">
        <f t="shared" ref="BT328:BT396" si="197">M328+Q328+T328+X328+AB328+AF328+AJ328+AN328+AR328+AV328+AZ328+BD328</f>
        <v>74</v>
      </c>
      <c r="BU328" s="36">
        <f t="shared" ref="BU328:BU396" si="198">L328+P328+U328+Y328+AC328+AG328+AK328+AO328+AS328+AW328+BA328+BE328</f>
        <v>239</v>
      </c>
      <c r="BV328" s="37">
        <f t="shared" ref="BV328:BV391" si="199">(BT328-BU328)</f>
        <v>-165</v>
      </c>
      <c r="BW328" s="37">
        <f t="shared" ref="BW328:BW391" si="200">(BV328)/BU328*100</f>
        <v>-69.037656903765694</v>
      </c>
      <c r="BX328">
        <v>0</v>
      </c>
      <c r="BY328" s="83" t="e">
        <f t="shared" ref="BY328:BY391" si="201">BX328/BH328</f>
        <v>#DIV/0!</v>
      </c>
      <c r="BZ328">
        <v>0</v>
      </c>
      <c r="CA328" s="83">
        <f t="shared" ref="CA328:CA391" si="202">BZ328/BP328</f>
        <v>0</v>
      </c>
      <c r="CB328" s="96">
        <f t="shared" ref="CB328:CB396" si="203">BH328/SUMIFS(BH$2:BH$398,G$2:G$398,G328)</f>
        <v>0</v>
      </c>
      <c r="CC328" s="96">
        <f t="shared" ref="CC328:CC396" si="204">BI328/SUMIFS(BI$2:BI$398,G$2:G$398,G328)</f>
        <v>2.0927369716864999E-2</v>
      </c>
      <c r="CD328" s="97">
        <f t="shared" ref="CD328:CD391" si="205">CB328-CC328</f>
        <v>-2.0927369716864999E-2</v>
      </c>
      <c r="CE328" s="96">
        <f t="shared" ref="CE328:CE396" si="206">BL328/SUMIFS(BL$2:BL$398,G$2:G$398,G328)</f>
        <v>0</v>
      </c>
      <c r="CF328" s="96">
        <f t="shared" ref="CF328:CF358" si="207">BM328/SUMIFS(BM$2:BM$398,G$2:G$398,G328)</f>
        <v>1.693175987685993E-2</v>
      </c>
      <c r="CG328" s="96">
        <f t="shared" ref="CG328:CG391" si="208">CE328-CF328</f>
        <v>-1.693175987685993E-2</v>
      </c>
      <c r="CH328" s="95">
        <f t="shared" ref="CH328:CH396" si="209">BP328/SUMIFS(BP$2:BP$398,G$2:G$398,G328)</f>
        <v>5.9908775274014571E-3</v>
      </c>
      <c r="CI328" s="95">
        <f t="shared" ref="CI328:CI396" si="210">BQ328/SUMIFS(BQ$2:BQ$398,G$2:G$398,G328)</f>
        <v>1.7749991017211024E-2</v>
      </c>
      <c r="CJ328" s="98">
        <f t="shared" ref="CJ328:CJ391" si="211">CH328-CI328</f>
        <v>-1.1759113489809566E-2</v>
      </c>
      <c r="CK328" s="95">
        <f t="shared" ref="CK328:CK396" si="212">BT328/SUMIFS(BT$2:BT$398,G$2:G$398,G328)</f>
        <v>6.2791684344505726E-3</v>
      </c>
      <c r="CL328" s="95">
        <f t="shared" ref="CL328:CL396" si="213">BU328/SUMIFS(BU$2:BU$398,G$2:G$398,G328)</f>
        <v>1.8061590780275836E-2</v>
      </c>
      <c r="CM328" s="98">
        <f t="shared" ref="CM328:CM391" si="214">CK328-CL328</f>
        <v>-1.1782422345825263E-2</v>
      </c>
      <c r="CN328" s="94">
        <f t="shared" ref="CN328:CN396" si="215">COUNTIFS(G$2:G$398,G328)*CH328</f>
        <v>5.9908775274014572E-2</v>
      </c>
      <c r="CO328" s="94">
        <f t="shared" ref="CO328:CO396" si="216">COUNTIFS(G$2:G$398,G328)*CK328</f>
        <v>6.279168434450573E-2</v>
      </c>
    </row>
    <row r="329" spans="1:95" ht="24.5" x14ac:dyDescent="0.35">
      <c r="A329" s="103">
        <v>41056997</v>
      </c>
      <c r="B329" s="9" t="s">
        <v>380</v>
      </c>
      <c r="C329" s="47" t="s">
        <v>573</v>
      </c>
      <c r="D329" s="14" t="s">
        <v>387</v>
      </c>
      <c r="E329" s="10" t="s">
        <v>85</v>
      </c>
      <c r="F329" s="10" t="s">
        <v>192</v>
      </c>
      <c r="G329" s="12" t="s">
        <v>192</v>
      </c>
      <c r="H329" s="51" t="s">
        <v>178</v>
      </c>
      <c r="I329" s="25" t="s">
        <v>86</v>
      </c>
      <c r="J329" s="20">
        <v>20</v>
      </c>
      <c r="K329" s="20">
        <v>40</v>
      </c>
      <c r="L329" s="20">
        <v>88</v>
      </c>
      <c r="M329" s="20">
        <v>68</v>
      </c>
      <c r="N329" s="18">
        <v>64</v>
      </c>
      <c r="O329" s="18">
        <v>44</v>
      </c>
      <c r="P329" s="18">
        <v>140</v>
      </c>
      <c r="Q329" s="18">
        <v>88</v>
      </c>
      <c r="R329" s="20">
        <v>44</v>
      </c>
      <c r="S329" s="20">
        <v>44</v>
      </c>
      <c r="T329" s="20">
        <v>64</v>
      </c>
      <c r="U329" s="20">
        <v>160</v>
      </c>
      <c r="V329" s="20">
        <v>39</v>
      </c>
      <c r="W329" s="20">
        <v>44</v>
      </c>
      <c r="X329" s="20">
        <v>73</v>
      </c>
      <c r="Y329" s="20">
        <v>136</v>
      </c>
      <c r="Z329" s="20">
        <v>28</v>
      </c>
      <c r="AA329" s="20">
        <v>40</v>
      </c>
      <c r="AB329" s="20">
        <v>44</v>
      </c>
      <c r="AC329" s="20">
        <v>128</v>
      </c>
      <c r="AD329" s="20">
        <v>28</v>
      </c>
      <c r="AE329" s="20">
        <v>36</v>
      </c>
      <c r="AF329" s="20">
        <v>58</v>
      </c>
      <c r="AG329" s="20">
        <v>144</v>
      </c>
      <c r="AH329" s="20">
        <v>32</v>
      </c>
      <c r="AI329" s="20">
        <v>36</v>
      </c>
      <c r="AJ329" s="20">
        <v>64</v>
      </c>
      <c r="AK329" s="20">
        <v>120</v>
      </c>
      <c r="AL329" s="20">
        <v>47.5</v>
      </c>
      <c r="AM329" s="20">
        <v>51</v>
      </c>
      <c r="AN329" s="20">
        <v>76.5</v>
      </c>
      <c r="AO329" s="20">
        <v>109</v>
      </c>
      <c r="AP329" s="20">
        <v>44.5</v>
      </c>
      <c r="AQ329" s="20">
        <v>12</v>
      </c>
      <c r="AR329" s="20">
        <v>81.5</v>
      </c>
      <c r="AS329" s="20">
        <v>29</v>
      </c>
      <c r="AT329" s="20">
        <v>32</v>
      </c>
      <c r="AU329" s="20">
        <v>28.5</v>
      </c>
      <c r="AV329" s="20">
        <v>76</v>
      </c>
      <c r="AW329" s="20">
        <v>85.5</v>
      </c>
      <c r="AX329" s="20">
        <v>32.5</v>
      </c>
      <c r="AY329" s="20">
        <v>32</v>
      </c>
      <c r="AZ329" s="20">
        <v>69.5</v>
      </c>
      <c r="BA329" s="20">
        <v>62</v>
      </c>
      <c r="BB329" s="20">
        <v>20</v>
      </c>
      <c r="BC329" s="20">
        <v>41</v>
      </c>
      <c r="BD329" s="20">
        <v>40</v>
      </c>
      <c r="BE329" s="20">
        <v>49</v>
      </c>
      <c r="BF329" s="140">
        <v>28.687930000000001</v>
      </c>
      <c r="BG329" s="140">
        <v>76.961179999999999</v>
      </c>
      <c r="BH329" s="31">
        <f t="shared" si="186"/>
        <v>20</v>
      </c>
      <c r="BI329" s="31">
        <f t="shared" si="187"/>
        <v>41</v>
      </c>
      <c r="BJ329" s="37">
        <f t="shared" si="188"/>
        <v>-21</v>
      </c>
      <c r="BK329" s="37">
        <f t="shared" si="189"/>
        <v>-51.219512195121951</v>
      </c>
      <c r="BL329" s="36">
        <f t="shared" si="190"/>
        <v>40</v>
      </c>
      <c r="BM329" s="36">
        <f t="shared" si="191"/>
        <v>49</v>
      </c>
      <c r="BN329" s="37">
        <f t="shared" si="192"/>
        <v>-9</v>
      </c>
      <c r="BO329" s="37">
        <f t="shared" si="193"/>
        <v>-18.367346938775512</v>
      </c>
      <c r="BP329" s="38">
        <f t="shared" si="194"/>
        <v>431.5</v>
      </c>
      <c r="BQ329" s="39">
        <f>J329+N329+S329+W329+AA329+AE329+AI329+AM329+AQ329+AU329+Table1[[#This Row],[MS-0225]]+Table1[[#This Row],[MS-0325]]</f>
        <v>448.5</v>
      </c>
      <c r="BR329" s="37">
        <f t="shared" si="195"/>
        <v>-17</v>
      </c>
      <c r="BS329" s="37">
        <f t="shared" si="196"/>
        <v>-3.79041248606466</v>
      </c>
      <c r="BT329" s="36">
        <f t="shared" si="197"/>
        <v>802.5</v>
      </c>
      <c r="BU329" s="36">
        <f t="shared" si="198"/>
        <v>1250.5</v>
      </c>
      <c r="BV329" s="37">
        <f t="shared" si="199"/>
        <v>-448</v>
      </c>
      <c r="BW329" s="37">
        <f t="shared" si="200"/>
        <v>-35.825669732107158</v>
      </c>
      <c r="BX329">
        <v>0</v>
      </c>
      <c r="BY329" s="83">
        <f t="shared" si="201"/>
        <v>0</v>
      </c>
      <c r="BZ329">
        <v>0</v>
      </c>
      <c r="CA329" s="83">
        <f t="shared" si="202"/>
        <v>0</v>
      </c>
      <c r="CB329" s="96">
        <f t="shared" si="203"/>
        <v>1.6333197223356473E-2</v>
      </c>
      <c r="CC329" s="96">
        <f t="shared" si="204"/>
        <v>3.364792778005745E-2</v>
      </c>
      <c r="CD329" s="97">
        <f t="shared" si="205"/>
        <v>-1.7314730556700977E-2</v>
      </c>
      <c r="CE329" s="96">
        <f t="shared" si="206"/>
        <v>3.4438226431338786E-2</v>
      </c>
      <c r="CF329" s="96">
        <f t="shared" si="207"/>
        <v>5.0282195997947664E-2</v>
      </c>
      <c r="CG329" s="96">
        <f t="shared" si="208"/>
        <v>-1.5843969566608877E-2</v>
      </c>
      <c r="CH329" s="95">
        <f t="shared" si="209"/>
        <v>2.9375723330383279E-2</v>
      </c>
      <c r="CI329" s="95">
        <f t="shared" si="210"/>
        <v>3.2230246847041066E-2</v>
      </c>
      <c r="CJ329" s="98">
        <f t="shared" si="211"/>
        <v>-2.8545235166577872E-3</v>
      </c>
      <c r="CK329" s="95">
        <f t="shared" si="212"/>
        <v>6.8095036062791686E-2</v>
      </c>
      <c r="CL329" s="95">
        <f t="shared" si="213"/>
        <v>9.4502172680899305E-2</v>
      </c>
      <c r="CM329" s="98">
        <f t="shared" si="214"/>
        <v>-2.6407136618107618E-2</v>
      </c>
      <c r="CN329" s="94">
        <f t="shared" si="215"/>
        <v>0.2937572333038328</v>
      </c>
      <c r="CO329" s="94">
        <f t="shared" si="216"/>
        <v>0.68095036062791681</v>
      </c>
      <c r="CP329" s="141">
        <f>BD329-AZ329</f>
        <v>-29.5</v>
      </c>
      <c r="CQ329" t="s">
        <v>1087</v>
      </c>
    </row>
    <row r="330" spans="1:95" ht="24.5" x14ac:dyDescent="0.35">
      <c r="A330" s="102">
        <v>142009</v>
      </c>
      <c r="B330" s="3" t="s">
        <v>72</v>
      </c>
      <c r="C330" s="40" t="s">
        <v>280</v>
      </c>
      <c r="D330" s="12" t="s">
        <v>281</v>
      </c>
      <c r="E330" s="4" t="s">
        <v>200</v>
      </c>
      <c r="F330" s="4" t="s">
        <v>244</v>
      </c>
      <c r="G330" s="12" t="s">
        <v>244</v>
      </c>
      <c r="H330" s="51" t="s">
        <v>172</v>
      </c>
      <c r="I330" s="23" t="s">
        <v>83</v>
      </c>
      <c r="J330" s="90">
        <v>108</v>
      </c>
      <c r="K330" s="90">
        <v>123</v>
      </c>
      <c r="L330" s="90">
        <v>54</v>
      </c>
      <c r="M330" s="90">
        <v>41</v>
      </c>
      <c r="N330" s="18">
        <v>135</v>
      </c>
      <c r="O330" s="18">
        <v>126</v>
      </c>
      <c r="P330" s="18">
        <v>80</v>
      </c>
      <c r="Q330" s="18">
        <v>54</v>
      </c>
      <c r="R330" s="90">
        <v>121.5</v>
      </c>
      <c r="S330" s="90">
        <v>134</v>
      </c>
      <c r="T330" s="90">
        <v>58.5</v>
      </c>
      <c r="U330" s="90">
        <v>105</v>
      </c>
      <c r="V330" s="90">
        <v>117</v>
      </c>
      <c r="W330" s="90">
        <v>123.5</v>
      </c>
      <c r="X330" s="90">
        <v>63</v>
      </c>
      <c r="Y330" s="90">
        <v>78.5</v>
      </c>
      <c r="Z330" s="90">
        <v>129.5</v>
      </c>
      <c r="AA330" s="90">
        <v>131.5</v>
      </c>
      <c r="AB330" s="90">
        <v>62.5</v>
      </c>
      <c r="AC330" s="90">
        <v>86.5</v>
      </c>
      <c r="AD330" s="90">
        <v>110.5</v>
      </c>
      <c r="AE330" s="90">
        <v>124</v>
      </c>
      <c r="AF330" s="90">
        <v>65.5</v>
      </c>
      <c r="AG330" s="90">
        <v>60</v>
      </c>
      <c r="AH330" s="90">
        <v>132</v>
      </c>
      <c r="AI330" s="90">
        <v>128</v>
      </c>
      <c r="AJ330" s="90">
        <v>50</v>
      </c>
      <c r="AK330" s="90">
        <v>54.5</v>
      </c>
      <c r="AL330" s="90">
        <v>117</v>
      </c>
      <c r="AM330" s="90">
        <v>145.5</v>
      </c>
      <c r="AN330" s="90">
        <v>45</v>
      </c>
      <c r="AO330" s="90">
        <v>54.5</v>
      </c>
      <c r="AP330" s="90">
        <v>114</v>
      </c>
      <c r="AQ330" s="90">
        <v>114</v>
      </c>
      <c r="AR330" s="90">
        <v>50</v>
      </c>
      <c r="AS330" s="90">
        <v>50</v>
      </c>
      <c r="AT330" s="90">
        <v>113.5</v>
      </c>
      <c r="AU330" s="90">
        <v>117</v>
      </c>
      <c r="AV330" s="90">
        <v>50.5</v>
      </c>
      <c r="AW330" s="90">
        <v>69</v>
      </c>
      <c r="AX330" s="90">
        <v>112.5</v>
      </c>
      <c r="AY330" s="90">
        <v>111</v>
      </c>
      <c r="AZ330" s="90">
        <v>67.5</v>
      </c>
      <c r="BA330" s="90">
        <v>55</v>
      </c>
      <c r="BB330" s="90">
        <v>127.5</v>
      </c>
      <c r="BC330" s="90">
        <v>122</v>
      </c>
      <c r="BD330" s="90">
        <v>78.5</v>
      </c>
      <c r="BE330" s="90">
        <v>66</v>
      </c>
      <c r="BF330" s="23">
        <v>28.710349999999998</v>
      </c>
      <c r="BG330" s="23">
        <v>77.175039999999996</v>
      </c>
      <c r="BH330" s="31">
        <f t="shared" si="186"/>
        <v>127.5</v>
      </c>
      <c r="BI330" s="31">
        <f t="shared" si="187"/>
        <v>122</v>
      </c>
      <c r="BJ330" s="37">
        <f t="shared" si="188"/>
        <v>5.5</v>
      </c>
      <c r="BK330" s="37">
        <f t="shared" si="189"/>
        <v>4.5081967213114753</v>
      </c>
      <c r="BL330" s="36">
        <f t="shared" si="190"/>
        <v>78.5</v>
      </c>
      <c r="BM330" s="36">
        <f t="shared" si="191"/>
        <v>66</v>
      </c>
      <c r="BN330" s="37">
        <f t="shared" si="192"/>
        <v>12.5</v>
      </c>
      <c r="BO330" s="37">
        <f t="shared" si="193"/>
        <v>18.939393939393938</v>
      </c>
      <c r="BP330" s="38">
        <f t="shared" si="194"/>
        <v>1444</v>
      </c>
      <c r="BQ330" s="39">
        <f>J330+N330+S330+W330+AA330+AE330+AI330+AM330+AQ330+AU330+Table1[[#This Row],[MS-0225]]+Table1[[#This Row],[MS-0325]]</f>
        <v>1493.5</v>
      </c>
      <c r="BR330" s="37">
        <f t="shared" si="195"/>
        <v>-49.5</v>
      </c>
      <c r="BS330" s="37">
        <f t="shared" si="196"/>
        <v>-3.3143622363575496</v>
      </c>
      <c r="BT330" s="36">
        <f t="shared" si="197"/>
        <v>686</v>
      </c>
      <c r="BU330" s="36">
        <f t="shared" si="198"/>
        <v>813</v>
      </c>
      <c r="BV330" s="37">
        <f t="shared" si="199"/>
        <v>-127</v>
      </c>
      <c r="BW330" s="37">
        <f t="shared" si="200"/>
        <v>-15.621156211562115</v>
      </c>
      <c r="BX330">
        <v>0</v>
      </c>
      <c r="BY330" s="83">
        <f t="shared" si="201"/>
        <v>0</v>
      </c>
      <c r="BZ330">
        <v>0</v>
      </c>
      <c r="CA330" s="83">
        <f t="shared" si="202"/>
        <v>0</v>
      </c>
      <c r="CB330" s="96">
        <f t="shared" si="203"/>
        <v>0.11670480549199085</v>
      </c>
      <c r="CC330" s="96">
        <f t="shared" si="204"/>
        <v>0.12564366632337795</v>
      </c>
      <c r="CD330" s="97">
        <f t="shared" si="205"/>
        <v>-8.9388608313871049E-3</v>
      </c>
      <c r="CE330" s="96">
        <f t="shared" si="206"/>
        <v>2.3010405979774294E-2</v>
      </c>
      <c r="CF330" s="96">
        <f t="shared" si="207"/>
        <v>1.7713365539452495E-2</v>
      </c>
      <c r="CG330" s="96">
        <f t="shared" si="208"/>
        <v>5.2970404403217992E-3</v>
      </c>
      <c r="CH330" s="95">
        <f t="shared" si="209"/>
        <v>0.11787273988816784</v>
      </c>
      <c r="CI330" s="95">
        <f t="shared" si="210"/>
        <v>0.12819192309342947</v>
      </c>
      <c r="CJ330" s="98">
        <f t="shared" si="211"/>
        <v>-1.0319183205261637E-2</v>
      </c>
      <c r="CK330" s="95">
        <f t="shared" si="212"/>
        <v>1.6939317241805051E-2</v>
      </c>
      <c r="CL330" s="95">
        <f t="shared" si="213"/>
        <v>1.9715304217086598E-2</v>
      </c>
      <c r="CM330" s="98">
        <f t="shared" si="214"/>
        <v>-2.7759869752815476E-3</v>
      </c>
      <c r="CN330" s="94">
        <f t="shared" si="215"/>
        <v>0.58936369944083922</v>
      </c>
      <c r="CO330" s="94">
        <f t="shared" si="216"/>
        <v>8.469658620902526E-2</v>
      </c>
    </row>
    <row r="331" spans="1:95" ht="48.5" x14ac:dyDescent="0.35">
      <c r="A331" s="104">
        <v>190056</v>
      </c>
      <c r="B331" s="5" t="s">
        <v>581</v>
      </c>
      <c r="C331" s="46" t="s">
        <v>691</v>
      </c>
      <c r="D331" s="13" t="s">
        <v>692</v>
      </c>
      <c r="E331" s="6" t="s">
        <v>81</v>
      </c>
      <c r="F331" s="6" t="s">
        <v>693</v>
      </c>
      <c r="G331" s="12" t="s">
        <v>693</v>
      </c>
      <c r="H331" s="51" t="s">
        <v>135</v>
      </c>
      <c r="I331" s="24" t="s">
        <v>83</v>
      </c>
      <c r="J331" s="19">
        <v>143.5</v>
      </c>
      <c r="K331" s="19">
        <v>202</v>
      </c>
      <c r="L331" s="19">
        <v>68.5</v>
      </c>
      <c r="M331" s="19">
        <v>72</v>
      </c>
      <c r="N331" s="18">
        <v>156</v>
      </c>
      <c r="O331" s="18">
        <v>190</v>
      </c>
      <c r="P331" s="18">
        <v>70</v>
      </c>
      <c r="Q331" s="18">
        <v>62</v>
      </c>
      <c r="R331" s="19">
        <v>157</v>
      </c>
      <c r="S331" s="19">
        <v>157.5</v>
      </c>
      <c r="T331" s="19">
        <v>47</v>
      </c>
      <c r="U331" s="19">
        <v>64.5</v>
      </c>
      <c r="V331" s="19">
        <v>162</v>
      </c>
      <c r="W331" s="19">
        <v>177</v>
      </c>
      <c r="X331" s="19">
        <v>48</v>
      </c>
      <c r="Y331" s="19">
        <v>59</v>
      </c>
      <c r="Z331" s="19">
        <v>169</v>
      </c>
      <c r="AA331" s="19">
        <v>174</v>
      </c>
      <c r="AB331" s="19">
        <v>49</v>
      </c>
      <c r="AC331" s="19">
        <v>72</v>
      </c>
      <c r="AD331" s="19">
        <v>170.5</v>
      </c>
      <c r="AE331" s="19">
        <v>166.5</v>
      </c>
      <c r="AF331" s="19">
        <v>45.5</v>
      </c>
      <c r="AG331" s="19">
        <v>67.5</v>
      </c>
      <c r="AH331" s="19">
        <v>170</v>
      </c>
      <c r="AI331" s="19">
        <v>179</v>
      </c>
      <c r="AJ331" s="19">
        <v>46</v>
      </c>
      <c r="AK331" s="19">
        <v>69</v>
      </c>
      <c r="AL331" s="19">
        <v>160.5</v>
      </c>
      <c r="AM331" s="19">
        <v>164</v>
      </c>
      <c r="AN331" s="19">
        <v>45.5</v>
      </c>
      <c r="AO331" s="19">
        <v>54</v>
      </c>
      <c r="AP331" s="19">
        <v>151.5</v>
      </c>
      <c r="AQ331" s="19">
        <v>163</v>
      </c>
      <c r="AR331" s="19">
        <v>44.5</v>
      </c>
      <c r="AS331" s="19">
        <v>53</v>
      </c>
      <c r="AT331" s="19">
        <v>147.5</v>
      </c>
      <c r="AU331" s="19">
        <v>180.5</v>
      </c>
      <c r="AV331" s="19">
        <v>36.5</v>
      </c>
      <c r="AW331" s="19">
        <v>65.5</v>
      </c>
      <c r="AX331" s="19">
        <v>149.5</v>
      </c>
      <c r="AY331" s="19">
        <v>158</v>
      </c>
      <c r="AZ331" s="19">
        <v>36.5</v>
      </c>
      <c r="BA331" s="19">
        <v>54</v>
      </c>
      <c r="BB331" s="19">
        <v>126.5</v>
      </c>
      <c r="BC331" s="19">
        <v>174</v>
      </c>
      <c r="BD331" s="19">
        <v>39.5</v>
      </c>
      <c r="BE331" s="19">
        <v>68</v>
      </c>
      <c r="BF331" s="23">
        <v>28.543600000000001</v>
      </c>
      <c r="BG331" s="23">
        <v>77.066500000000005</v>
      </c>
      <c r="BH331" s="31">
        <f t="shared" si="186"/>
        <v>126.5</v>
      </c>
      <c r="BI331" s="31">
        <f t="shared" si="187"/>
        <v>174</v>
      </c>
      <c r="BJ331" s="37">
        <f t="shared" si="188"/>
        <v>-47.5</v>
      </c>
      <c r="BK331" s="37">
        <f t="shared" si="189"/>
        <v>-27.298850574712645</v>
      </c>
      <c r="BL331" s="36">
        <f t="shared" si="190"/>
        <v>39.5</v>
      </c>
      <c r="BM331" s="36">
        <f t="shared" si="191"/>
        <v>68</v>
      </c>
      <c r="BN331" s="37">
        <f t="shared" si="192"/>
        <v>-28.5</v>
      </c>
      <c r="BO331" s="37">
        <f t="shared" si="193"/>
        <v>-41.911764705882355</v>
      </c>
      <c r="BP331" s="38">
        <f t="shared" si="194"/>
        <v>1956</v>
      </c>
      <c r="BQ331" s="39">
        <f>J331+N331+S331+W331+AA331+AE331+AI331+AM331+AQ331+AU331+Table1[[#This Row],[MS-0225]]+Table1[[#This Row],[MS-0325]]</f>
        <v>1993</v>
      </c>
      <c r="BR331" s="37">
        <f t="shared" si="195"/>
        <v>-37</v>
      </c>
      <c r="BS331" s="37">
        <f t="shared" si="196"/>
        <v>-1.8564977420973405</v>
      </c>
      <c r="BT331" s="36">
        <f t="shared" si="197"/>
        <v>572</v>
      </c>
      <c r="BU331" s="36">
        <f t="shared" si="198"/>
        <v>765</v>
      </c>
      <c r="BV331" s="37">
        <f t="shared" si="199"/>
        <v>-193</v>
      </c>
      <c r="BW331" s="37">
        <f t="shared" si="200"/>
        <v>-25.22875816993464</v>
      </c>
      <c r="BX331">
        <v>0</v>
      </c>
      <c r="BY331" s="83">
        <f t="shared" si="201"/>
        <v>0</v>
      </c>
      <c r="BZ331">
        <v>0</v>
      </c>
      <c r="CA331" s="83">
        <f t="shared" si="202"/>
        <v>0</v>
      </c>
      <c r="CB331" s="96">
        <f t="shared" si="203"/>
        <v>1</v>
      </c>
      <c r="CC331" s="96">
        <f t="shared" si="204"/>
        <v>1</v>
      </c>
      <c r="CD331" s="97">
        <f t="shared" si="205"/>
        <v>0</v>
      </c>
      <c r="CE331" s="96">
        <f t="shared" si="206"/>
        <v>1</v>
      </c>
      <c r="CF331" s="96">
        <f t="shared" si="207"/>
        <v>1</v>
      </c>
      <c r="CG331" s="96">
        <f t="shared" si="208"/>
        <v>0</v>
      </c>
      <c r="CH331" s="95">
        <f t="shared" si="209"/>
        <v>1</v>
      </c>
      <c r="CI331" s="95">
        <f t="shared" si="210"/>
        <v>1</v>
      </c>
      <c r="CJ331" s="98">
        <f t="shared" si="211"/>
        <v>0</v>
      </c>
      <c r="CK331" s="95">
        <f t="shared" si="212"/>
        <v>1</v>
      </c>
      <c r="CL331" s="95">
        <f t="shared" si="213"/>
        <v>1</v>
      </c>
      <c r="CM331" s="98">
        <f t="shared" si="214"/>
        <v>0</v>
      </c>
      <c r="CN331" s="94">
        <f t="shared" si="215"/>
        <v>1</v>
      </c>
      <c r="CO331" s="94">
        <f t="shared" si="216"/>
        <v>1</v>
      </c>
    </row>
    <row r="332" spans="1:95" ht="24.5" x14ac:dyDescent="0.35">
      <c r="A332" s="104">
        <v>156756</v>
      </c>
      <c r="B332" s="5" t="s">
        <v>581</v>
      </c>
      <c r="C332" s="46" t="s">
        <v>866</v>
      </c>
      <c r="D332" s="13" t="s">
        <v>699</v>
      </c>
      <c r="E332" s="6" t="s">
        <v>103</v>
      </c>
      <c r="F332" s="6" t="s">
        <v>145</v>
      </c>
      <c r="G332" s="12" t="s">
        <v>145</v>
      </c>
      <c r="H332" s="51" t="s">
        <v>96</v>
      </c>
      <c r="I332" s="24" t="s">
        <v>83</v>
      </c>
      <c r="J332" s="19">
        <v>92</v>
      </c>
      <c r="K332" s="19">
        <v>108</v>
      </c>
      <c r="L332" s="19">
        <v>16</v>
      </c>
      <c r="M332" s="19">
        <v>24</v>
      </c>
      <c r="N332" s="18">
        <v>104</v>
      </c>
      <c r="O332" s="18">
        <v>102</v>
      </c>
      <c r="P332" s="18">
        <v>28</v>
      </c>
      <c r="Q332" s="18">
        <v>20</v>
      </c>
      <c r="R332" s="19">
        <v>105.5</v>
      </c>
      <c r="S332" s="19">
        <v>108</v>
      </c>
      <c r="T332" s="19">
        <v>20.5</v>
      </c>
      <c r="U332" s="19">
        <v>24</v>
      </c>
      <c r="V332" s="19">
        <v>127</v>
      </c>
      <c r="W332" s="19">
        <v>107.5</v>
      </c>
      <c r="X332" s="19">
        <v>25</v>
      </c>
      <c r="Y332" s="19">
        <v>26.5</v>
      </c>
      <c r="Z332" s="19">
        <v>109.5</v>
      </c>
      <c r="AA332" s="19">
        <v>109</v>
      </c>
      <c r="AB332" s="19">
        <v>16.5</v>
      </c>
      <c r="AC332" s="19">
        <v>31</v>
      </c>
      <c r="AD332" s="19">
        <v>96</v>
      </c>
      <c r="AE332" s="19">
        <v>109.5</v>
      </c>
      <c r="AF332" s="19">
        <v>20</v>
      </c>
      <c r="AG332" s="19">
        <v>30.5</v>
      </c>
      <c r="AH332" s="19">
        <v>108</v>
      </c>
      <c r="AI332" s="19">
        <v>113</v>
      </c>
      <c r="AJ332" s="19">
        <v>24</v>
      </c>
      <c r="AK332" s="19">
        <v>17</v>
      </c>
      <c r="AL332" s="19">
        <v>91.5</v>
      </c>
      <c r="AM332" s="19">
        <v>102</v>
      </c>
      <c r="AN332" s="19">
        <v>24.5</v>
      </c>
      <c r="AO332" s="19">
        <v>24</v>
      </c>
      <c r="AP332" s="19">
        <v>103</v>
      </c>
      <c r="AQ332" s="19">
        <v>108</v>
      </c>
      <c r="AR332" s="19">
        <v>21</v>
      </c>
      <c r="AS332" s="19">
        <v>20</v>
      </c>
      <c r="AT332" s="19">
        <v>93</v>
      </c>
      <c r="AU332" s="19">
        <v>96.5</v>
      </c>
      <c r="AV332" s="19">
        <v>13</v>
      </c>
      <c r="AW332" s="19">
        <v>21.5</v>
      </c>
      <c r="AX332" s="19">
        <v>80</v>
      </c>
      <c r="AY332" s="19">
        <v>90.5</v>
      </c>
      <c r="AZ332" s="19">
        <v>16</v>
      </c>
      <c r="BA332" s="19">
        <v>25.5</v>
      </c>
      <c r="BB332" s="19">
        <v>126.5</v>
      </c>
      <c r="BC332" s="19">
        <v>97.5</v>
      </c>
      <c r="BD332" s="19">
        <v>29.5</v>
      </c>
      <c r="BE332" s="19">
        <v>16.5</v>
      </c>
      <c r="BF332" s="23">
        <v>28.541</v>
      </c>
      <c r="BG332" s="23">
        <v>77.153899999999993</v>
      </c>
      <c r="BH332" s="31">
        <f t="shared" si="186"/>
        <v>126.5</v>
      </c>
      <c r="BI332" s="31">
        <f t="shared" si="187"/>
        <v>97.5</v>
      </c>
      <c r="BJ332" s="37">
        <f t="shared" si="188"/>
        <v>29</v>
      </c>
      <c r="BK332" s="37">
        <f t="shared" si="189"/>
        <v>29.743589743589745</v>
      </c>
      <c r="BL332" s="36">
        <f t="shared" si="190"/>
        <v>29.5</v>
      </c>
      <c r="BM332" s="36">
        <f t="shared" si="191"/>
        <v>16.5</v>
      </c>
      <c r="BN332" s="37">
        <f t="shared" si="192"/>
        <v>13</v>
      </c>
      <c r="BO332" s="37">
        <f t="shared" si="193"/>
        <v>78.787878787878782</v>
      </c>
      <c r="BP332" s="38">
        <f t="shared" si="194"/>
        <v>1250</v>
      </c>
      <c r="BQ332" s="39">
        <f>J332+N332+S332+W332+AA332+AE332+AI332+AM332+AQ332+AU332+Table1[[#This Row],[MS-0225]]+Table1[[#This Row],[MS-0325]]</f>
        <v>1237.5</v>
      </c>
      <c r="BR332" s="37">
        <f t="shared" si="195"/>
        <v>12.5</v>
      </c>
      <c r="BS332" s="37">
        <f t="shared" si="196"/>
        <v>1.0101010101010102</v>
      </c>
      <c r="BT332" s="36">
        <f t="shared" si="197"/>
        <v>254</v>
      </c>
      <c r="BU332" s="36">
        <f t="shared" si="198"/>
        <v>280.5</v>
      </c>
      <c r="BV332" s="37">
        <f t="shared" si="199"/>
        <v>-26.5</v>
      </c>
      <c r="BW332" s="37">
        <f t="shared" si="200"/>
        <v>-9.4474153297682708</v>
      </c>
      <c r="BX332">
        <v>0</v>
      </c>
      <c r="BY332" s="83">
        <f t="shared" si="201"/>
        <v>0</v>
      </c>
      <c r="BZ332">
        <v>0</v>
      </c>
      <c r="CA332" s="83">
        <f t="shared" si="202"/>
        <v>0</v>
      </c>
      <c r="CB332" s="96">
        <f t="shared" si="203"/>
        <v>8.4277148567621585E-2</v>
      </c>
      <c r="CC332" s="96">
        <f t="shared" si="204"/>
        <v>7.1717543214417062E-2</v>
      </c>
      <c r="CD332" s="97">
        <f t="shared" si="205"/>
        <v>1.2559605353204523E-2</v>
      </c>
      <c r="CE332" s="96">
        <f t="shared" si="206"/>
        <v>7.3566084788029923E-2</v>
      </c>
      <c r="CF332" s="96">
        <f t="shared" si="207"/>
        <v>3.7800687285223365E-2</v>
      </c>
      <c r="CG332" s="96">
        <f t="shared" si="208"/>
        <v>3.5765397502806558E-2</v>
      </c>
      <c r="CH332" s="95">
        <f t="shared" si="209"/>
        <v>7.4475691134413727E-2</v>
      </c>
      <c r="CI332" s="95">
        <f t="shared" si="210"/>
        <v>7.6618270653972365E-2</v>
      </c>
      <c r="CJ332" s="98">
        <f t="shared" si="211"/>
        <v>-2.1425795195586378E-3</v>
      </c>
      <c r="CK332" s="95">
        <f t="shared" si="212"/>
        <v>5.3699788583509517E-2</v>
      </c>
      <c r="CL332" s="95">
        <f t="shared" si="213"/>
        <v>5.2959501557632398E-2</v>
      </c>
      <c r="CM332" s="98">
        <f t="shared" si="214"/>
        <v>7.4028702587711909E-4</v>
      </c>
      <c r="CN332" s="94">
        <f t="shared" si="215"/>
        <v>0.29790276453765491</v>
      </c>
      <c r="CO332" s="94">
        <f t="shared" si="216"/>
        <v>0.21479915433403807</v>
      </c>
    </row>
    <row r="333" spans="1:95" ht="24.5" x14ac:dyDescent="0.35">
      <c r="A333" s="104">
        <v>186871</v>
      </c>
      <c r="B333" s="5" t="s">
        <v>581</v>
      </c>
      <c r="C333" s="46" t="s">
        <v>854</v>
      </c>
      <c r="D333" s="13" t="s">
        <v>855</v>
      </c>
      <c r="E333" s="6" t="s">
        <v>200</v>
      </c>
      <c r="F333" s="6" t="s">
        <v>856</v>
      </c>
      <c r="G333" s="12" t="s">
        <v>856</v>
      </c>
      <c r="H333" s="51" t="s">
        <v>205</v>
      </c>
      <c r="I333" s="24" t="s">
        <v>83</v>
      </c>
      <c r="J333" s="19">
        <v>117</v>
      </c>
      <c r="K333" s="19">
        <v>93</v>
      </c>
      <c r="L333" s="19">
        <v>1395</v>
      </c>
      <c r="M333" s="19">
        <v>1269</v>
      </c>
      <c r="N333" s="18">
        <v>94.5</v>
      </c>
      <c r="O333" s="18">
        <v>122</v>
      </c>
      <c r="P333" s="18">
        <v>1489.5</v>
      </c>
      <c r="Q333" s="18">
        <v>1366</v>
      </c>
      <c r="R333" s="19">
        <v>125</v>
      </c>
      <c r="S333" s="19">
        <v>36</v>
      </c>
      <c r="T333" s="19">
        <v>1269</v>
      </c>
      <c r="U333" s="19">
        <v>1306</v>
      </c>
      <c r="V333" s="19">
        <v>137</v>
      </c>
      <c r="W333" s="19">
        <v>58.5</v>
      </c>
      <c r="X333" s="19">
        <v>1313</v>
      </c>
      <c r="Y333" s="19">
        <v>1329.5</v>
      </c>
      <c r="Z333" s="19">
        <v>118</v>
      </c>
      <c r="AA333" s="19">
        <v>28</v>
      </c>
      <c r="AB333" s="19">
        <v>1082</v>
      </c>
      <c r="AC333" s="19">
        <v>1352</v>
      </c>
      <c r="AD333" s="19">
        <v>130</v>
      </c>
      <c r="AE333" s="19">
        <v>67.5</v>
      </c>
      <c r="AF333" s="19">
        <v>1064</v>
      </c>
      <c r="AG333" s="19">
        <v>1326.5</v>
      </c>
      <c r="AH333" s="19">
        <v>141</v>
      </c>
      <c r="AI333" s="19">
        <v>100.5</v>
      </c>
      <c r="AJ333" s="19">
        <v>1059</v>
      </c>
      <c r="AK333" s="19">
        <v>1461.5</v>
      </c>
      <c r="AL333" s="19">
        <v>110</v>
      </c>
      <c r="AM333" s="19">
        <v>94</v>
      </c>
      <c r="AN333" s="19">
        <v>1058</v>
      </c>
      <c r="AO333" s="19">
        <v>1106</v>
      </c>
      <c r="AP333" s="19">
        <v>151</v>
      </c>
      <c r="AQ333" s="19">
        <v>113</v>
      </c>
      <c r="AR333" s="19">
        <v>929</v>
      </c>
      <c r="AS333" s="19">
        <v>1169</v>
      </c>
      <c r="AT333" s="19">
        <v>128</v>
      </c>
      <c r="AU333" s="19">
        <v>100</v>
      </c>
      <c r="AV333" s="19">
        <v>968</v>
      </c>
      <c r="AW333" s="19">
        <v>1290</v>
      </c>
      <c r="AX333" s="19">
        <v>108</v>
      </c>
      <c r="AY333" s="19">
        <v>108</v>
      </c>
      <c r="AZ333" s="19">
        <v>962</v>
      </c>
      <c r="BA333" s="19">
        <v>1136</v>
      </c>
      <c r="BB333" s="19">
        <v>122</v>
      </c>
      <c r="BC333" s="19">
        <v>124.5</v>
      </c>
      <c r="BD333" s="19">
        <v>1048</v>
      </c>
      <c r="BE333" s="19">
        <v>1151.5</v>
      </c>
      <c r="BF333" s="23">
        <v>28.742567000000001</v>
      </c>
      <c r="BG333" s="23">
        <v>77.150591000000006</v>
      </c>
      <c r="BH333" s="31">
        <f t="shared" si="186"/>
        <v>122</v>
      </c>
      <c r="BI333" s="31">
        <f t="shared" si="187"/>
        <v>124.5</v>
      </c>
      <c r="BJ333" s="37">
        <f t="shared" si="188"/>
        <v>-2.5</v>
      </c>
      <c r="BK333" s="37">
        <f t="shared" si="189"/>
        <v>-2.0080321285140563</v>
      </c>
      <c r="BL333" s="36">
        <f t="shared" si="190"/>
        <v>1048</v>
      </c>
      <c r="BM333" s="36">
        <f t="shared" si="191"/>
        <v>1151.5</v>
      </c>
      <c r="BN333" s="37">
        <f t="shared" si="192"/>
        <v>-103.5</v>
      </c>
      <c r="BO333" s="37">
        <f t="shared" si="193"/>
        <v>-8.9882761615284412</v>
      </c>
      <c r="BP333" s="38">
        <f t="shared" si="194"/>
        <v>1485</v>
      </c>
      <c r="BQ333" s="39">
        <f>J333+N333+S333+W333+AA333+AE333+AI333+AM333+AQ333+AU333+Table1[[#This Row],[MS-0225]]+Table1[[#This Row],[MS-0325]]</f>
        <v>1041.5</v>
      </c>
      <c r="BR333" s="37">
        <f t="shared" si="195"/>
        <v>443.5</v>
      </c>
      <c r="BS333" s="37">
        <f t="shared" si="196"/>
        <v>42.582813250120019</v>
      </c>
      <c r="BT333" s="36">
        <f t="shared" si="197"/>
        <v>13387</v>
      </c>
      <c r="BU333" s="36">
        <f t="shared" si="198"/>
        <v>15512.5</v>
      </c>
      <c r="BV333" s="37">
        <f t="shared" si="199"/>
        <v>-2125.5</v>
      </c>
      <c r="BW333" s="37">
        <f t="shared" si="200"/>
        <v>-13.701853344077358</v>
      </c>
      <c r="BX333">
        <v>0</v>
      </c>
      <c r="BY333" s="83">
        <f t="shared" si="201"/>
        <v>0</v>
      </c>
      <c r="BZ333">
        <v>0</v>
      </c>
      <c r="CA333" s="83">
        <f t="shared" si="202"/>
        <v>0</v>
      </c>
      <c r="CB333" s="96">
        <f t="shared" si="203"/>
        <v>0.67590027700831024</v>
      </c>
      <c r="CC333" s="96">
        <f t="shared" si="204"/>
        <v>0.66756032171581769</v>
      </c>
      <c r="CD333" s="97">
        <f t="shared" si="205"/>
        <v>8.3399552924925402E-3</v>
      </c>
      <c r="CE333" s="96">
        <f t="shared" si="206"/>
        <v>0.62548492987168014</v>
      </c>
      <c r="CF333" s="96">
        <f t="shared" si="207"/>
        <v>0.6074914270640992</v>
      </c>
      <c r="CG333" s="96">
        <f t="shared" si="208"/>
        <v>1.7993502807580941E-2</v>
      </c>
      <c r="CH333" s="95">
        <f t="shared" si="209"/>
        <v>0.68181818181818177</v>
      </c>
      <c r="CI333" s="95">
        <f t="shared" si="210"/>
        <v>0.58380044843049328</v>
      </c>
      <c r="CJ333" s="98">
        <f t="shared" si="211"/>
        <v>9.8017733387688488E-2</v>
      </c>
      <c r="CK333" s="95">
        <f t="shared" si="212"/>
        <v>0.62051543524612962</v>
      </c>
      <c r="CL333" s="95">
        <f t="shared" si="213"/>
        <v>0.71099550829590241</v>
      </c>
      <c r="CM333" s="98">
        <f t="shared" si="214"/>
        <v>-9.0480073049772791E-2</v>
      </c>
      <c r="CN333" s="94">
        <f t="shared" si="215"/>
        <v>1.3636363636363635</v>
      </c>
      <c r="CO333" s="94">
        <f t="shared" si="216"/>
        <v>1.2410308704922592</v>
      </c>
    </row>
    <row r="334" spans="1:95" ht="24.5" x14ac:dyDescent="0.35">
      <c r="A334" s="104">
        <v>102091</v>
      </c>
      <c r="B334" s="5" t="s">
        <v>581</v>
      </c>
      <c r="C334" s="46" t="s">
        <v>595</v>
      </c>
      <c r="D334" s="13" t="s">
        <v>596</v>
      </c>
      <c r="E334" s="6" t="s">
        <v>89</v>
      </c>
      <c r="F334" s="6" t="s">
        <v>307</v>
      </c>
      <c r="G334" s="12" t="s">
        <v>395</v>
      </c>
      <c r="H334" s="51" t="s">
        <v>248</v>
      </c>
      <c r="I334" s="24" t="s">
        <v>86</v>
      </c>
      <c r="J334" s="19">
        <v>174</v>
      </c>
      <c r="K334" s="19">
        <v>216</v>
      </c>
      <c r="L334" s="19">
        <v>66</v>
      </c>
      <c r="M334" s="19">
        <v>72</v>
      </c>
      <c r="N334" s="18">
        <v>183.5</v>
      </c>
      <c r="O334" s="18">
        <v>210</v>
      </c>
      <c r="P334" s="18">
        <v>62.5</v>
      </c>
      <c r="Q334" s="18">
        <v>46</v>
      </c>
      <c r="R334" s="19">
        <v>212.5</v>
      </c>
      <c r="S334" s="19">
        <v>189</v>
      </c>
      <c r="T334" s="19">
        <v>71.5</v>
      </c>
      <c r="U334" s="19">
        <v>63</v>
      </c>
      <c r="V334" s="19">
        <v>248</v>
      </c>
      <c r="W334" s="19">
        <v>199.5</v>
      </c>
      <c r="X334" s="19">
        <v>64</v>
      </c>
      <c r="Y334" s="19">
        <v>72.5</v>
      </c>
      <c r="Z334" s="19">
        <v>221.5</v>
      </c>
      <c r="AA334" s="19">
        <v>198</v>
      </c>
      <c r="AB334" s="19">
        <v>62.5</v>
      </c>
      <c r="AC334" s="19">
        <v>72</v>
      </c>
      <c r="AD334" s="19">
        <v>208.5</v>
      </c>
      <c r="AE334" s="19">
        <v>184.5</v>
      </c>
      <c r="AF334" s="19">
        <v>61.5</v>
      </c>
      <c r="AG334" s="19">
        <v>67.5</v>
      </c>
      <c r="AH334" s="19">
        <v>204</v>
      </c>
      <c r="AI334" s="19">
        <v>184.5</v>
      </c>
      <c r="AJ334" s="19">
        <v>48</v>
      </c>
      <c r="AK334" s="19">
        <v>67.5</v>
      </c>
      <c r="AL334" s="19">
        <v>237</v>
      </c>
      <c r="AM334" s="19">
        <v>184.5</v>
      </c>
      <c r="AN334" s="19">
        <v>47</v>
      </c>
      <c r="AO334" s="19">
        <v>49.5</v>
      </c>
      <c r="AP334" s="19">
        <v>200</v>
      </c>
      <c r="AQ334" s="19">
        <v>189</v>
      </c>
      <c r="AR334" s="19">
        <v>42</v>
      </c>
      <c r="AS334" s="19">
        <v>45</v>
      </c>
      <c r="AT334" s="19">
        <v>191</v>
      </c>
      <c r="AU334" s="19">
        <v>174.5</v>
      </c>
      <c r="AV334" s="19">
        <v>37</v>
      </c>
      <c r="AW334" s="19">
        <v>53.5</v>
      </c>
      <c r="AX334" s="19">
        <v>185</v>
      </c>
      <c r="AY334" s="19">
        <v>175.5</v>
      </c>
      <c r="AZ334" s="19">
        <v>51</v>
      </c>
      <c r="BA334" s="19">
        <v>40.5</v>
      </c>
      <c r="BB334" s="19">
        <v>192</v>
      </c>
      <c r="BC334" s="19">
        <v>202.5</v>
      </c>
      <c r="BD334" s="19">
        <v>50</v>
      </c>
      <c r="BE334" s="19">
        <v>67.5</v>
      </c>
      <c r="BF334" s="23">
        <v>28.686599999999999</v>
      </c>
      <c r="BG334" s="23">
        <v>77.151899999999998</v>
      </c>
      <c r="BH334" s="31">
        <f t="shared" si="186"/>
        <v>192</v>
      </c>
      <c r="BI334" s="31">
        <f t="shared" si="187"/>
        <v>202.5</v>
      </c>
      <c r="BJ334" s="37">
        <f t="shared" si="188"/>
        <v>-10.5</v>
      </c>
      <c r="BK334" s="37">
        <f t="shared" si="189"/>
        <v>-5.1851851851851851</v>
      </c>
      <c r="BL334" s="36">
        <f t="shared" si="190"/>
        <v>50</v>
      </c>
      <c r="BM334" s="36">
        <f t="shared" si="191"/>
        <v>67.5</v>
      </c>
      <c r="BN334" s="37">
        <f t="shared" si="192"/>
        <v>-17.5</v>
      </c>
      <c r="BO334" s="37">
        <f t="shared" si="193"/>
        <v>-25.925925925925924</v>
      </c>
      <c r="BP334" s="38">
        <f t="shared" si="194"/>
        <v>2525.5</v>
      </c>
      <c r="BQ334" s="39">
        <f>J334+N334+S334+W334+AA334+AE334+AI334+AM334+AQ334+AU334+Table1[[#This Row],[MS-0225]]+Table1[[#This Row],[MS-0325]]</f>
        <v>2239</v>
      </c>
      <c r="BR334" s="37">
        <f t="shared" si="195"/>
        <v>286.5</v>
      </c>
      <c r="BS334" s="37">
        <f t="shared" si="196"/>
        <v>12.795891022778024</v>
      </c>
      <c r="BT334" s="36">
        <f t="shared" si="197"/>
        <v>652.5</v>
      </c>
      <c r="BU334" s="36">
        <f t="shared" si="198"/>
        <v>727</v>
      </c>
      <c r="BV334" s="37">
        <f t="shared" si="199"/>
        <v>-74.5</v>
      </c>
      <c r="BW334" s="37">
        <f t="shared" si="200"/>
        <v>-10.247592847317744</v>
      </c>
      <c r="BX334">
        <v>0</v>
      </c>
      <c r="BY334" s="83">
        <f t="shared" si="201"/>
        <v>0</v>
      </c>
      <c r="BZ334">
        <v>0</v>
      </c>
      <c r="CA334" s="83">
        <f t="shared" si="202"/>
        <v>0</v>
      </c>
      <c r="CB334" s="96">
        <f t="shared" si="203"/>
        <v>7.9240610813041679E-2</v>
      </c>
      <c r="CC334" s="96">
        <f t="shared" si="204"/>
        <v>8.376421923474664E-2</v>
      </c>
      <c r="CD334" s="97">
        <f t="shared" si="205"/>
        <v>-4.523608421704961E-3</v>
      </c>
      <c r="CE334" s="96">
        <f t="shared" si="206"/>
        <v>5.159958720330237E-2</v>
      </c>
      <c r="CF334" s="96">
        <f t="shared" si="207"/>
        <v>6.4194008559201141E-2</v>
      </c>
      <c r="CG334" s="96">
        <f t="shared" si="208"/>
        <v>-1.259442135589877E-2</v>
      </c>
      <c r="CH334" s="95">
        <f t="shared" si="209"/>
        <v>8.3987362820086467E-2</v>
      </c>
      <c r="CI334" s="95">
        <f t="shared" si="210"/>
        <v>7.886024232178078E-2</v>
      </c>
      <c r="CJ334" s="98">
        <f t="shared" si="211"/>
        <v>5.1271204983056873E-3</v>
      </c>
      <c r="CK334" s="95">
        <f t="shared" si="212"/>
        <v>5.2037642555227692E-2</v>
      </c>
      <c r="CL334" s="95">
        <f t="shared" si="213"/>
        <v>5.740682248894504E-2</v>
      </c>
      <c r="CM334" s="98">
        <f t="shared" si="214"/>
        <v>-5.3691799337173482E-3</v>
      </c>
      <c r="CN334" s="94">
        <f t="shared" si="215"/>
        <v>0.50392417692051883</v>
      </c>
      <c r="CO334" s="94">
        <f t="shared" si="216"/>
        <v>0.31222585533136615</v>
      </c>
    </row>
    <row r="335" spans="1:95" ht="36.5" x14ac:dyDescent="0.35">
      <c r="A335" s="102">
        <v>112413</v>
      </c>
      <c r="B335" s="3" t="s">
        <v>72</v>
      </c>
      <c r="C335" s="41" t="s">
        <v>221</v>
      </c>
      <c r="D335" s="12" t="s">
        <v>222</v>
      </c>
      <c r="E335" s="4" t="s">
        <v>200</v>
      </c>
      <c r="F335" s="4" t="s">
        <v>223</v>
      </c>
      <c r="G335" s="12" t="s">
        <v>223</v>
      </c>
      <c r="H335" s="51" t="s">
        <v>172</v>
      </c>
      <c r="I335" s="23" t="s">
        <v>83</v>
      </c>
      <c r="J335" s="90">
        <v>66</v>
      </c>
      <c r="K335" s="90">
        <v>121</v>
      </c>
      <c r="L335" s="90">
        <v>12</v>
      </c>
      <c r="M335" s="90">
        <v>13</v>
      </c>
      <c r="N335" s="18">
        <v>94</v>
      </c>
      <c r="O335" s="18">
        <v>97.5</v>
      </c>
      <c r="P335" s="18">
        <v>26</v>
      </c>
      <c r="Q335" s="18">
        <v>12.5</v>
      </c>
      <c r="R335" s="90">
        <v>107</v>
      </c>
      <c r="S335" s="90">
        <v>121.5</v>
      </c>
      <c r="T335" s="90">
        <v>13</v>
      </c>
      <c r="U335" s="90">
        <v>28.5</v>
      </c>
      <c r="V335" s="90">
        <v>107</v>
      </c>
      <c r="W335" s="90">
        <v>112</v>
      </c>
      <c r="X335" s="90">
        <v>13</v>
      </c>
      <c r="Y335" s="90">
        <v>26</v>
      </c>
      <c r="Z335" s="90">
        <v>118</v>
      </c>
      <c r="AA335" s="90">
        <v>111</v>
      </c>
      <c r="AB335" s="90">
        <v>22</v>
      </c>
      <c r="AC335" s="90">
        <v>19</v>
      </c>
      <c r="AD335" s="90">
        <v>103.5</v>
      </c>
      <c r="AE335" s="90">
        <v>48</v>
      </c>
      <c r="AF335" s="90">
        <v>12.5</v>
      </c>
      <c r="AG335" s="90">
        <v>12</v>
      </c>
      <c r="AH335" s="90">
        <v>98</v>
      </c>
      <c r="AI335" s="90">
        <v>128</v>
      </c>
      <c r="AJ335" s="90">
        <v>14</v>
      </c>
      <c r="AK335" s="90">
        <v>28</v>
      </c>
      <c r="AL335" s="90">
        <v>20</v>
      </c>
      <c r="AM335" s="90">
        <v>101.5</v>
      </c>
      <c r="AN335" s="90">
        <v>0</v>
      </c>
      <c r="AO335" s="90">
        <v>12.5</v>
      </c>
      <c r="AP335" s="90">
        <v>145</v>
      </c>
      <c r="AQ335" s="90">
        <v>126</v>
      </c>
      <c r="AR335" s="90">
        <v>17</v>
      </c>
      <c r="AS335" s="90">
        <v>20</v>
      </c>
      <c r="AT335" s="90">
        <v>108</v>
      </c>
      <c r="AU335" s="90">
        <v>114.5</v>
      </c>
      <c r="AV335" s="90">
        <v>12</v>
      </c>
      <c r="AW335" s="90">
        <v>23.5</v>
      </c>
      <c r="AX335" s="90">
        <v>93</v>
      </c>
      <c r="AY335" s="90">
        <v>97.5</v>
      </c>
      <c r="AZ335" s="90">
        <v>17</v>
      </c>
      <c r="BA335" s="90">
        <v>12.5</v>
      </c>
      <c r="BB335" s="90">
        <v>116</v>
      </c>
      <c r="BC335" s="90">
        <v>107.5</v>
      </c>
      <c r="BD335" s="90">
        <v>16</v>
      </c>
      <c r="BE335" s="90">
        <v>24.5</v>
      </c>
      <c r="BF335" s="23">
        <v>28.69153</v>
      </c>
      <c r="BG335" s="23">
        <v>77.190910000000002</v>
      </c>
      <c r="BH335" s="31">
        <f t="shared" si="186"/>
        <v>116</v>
      </c>
      <c r="BI335" s="31">
        <f t="shared" si="187"/>
        <v>107.5</v>
      </c>
      <c r="BJ335" s="37">
        <f t="shared" si="188"/>
        <v>8.5</v>
      </c>
      <c r="BK335" s="37">
        <f t="shared" si="189"/>
        <v>7.9069767441860463</v>
      </c>
      <c r="BL335" s="36">
        <f t="shared" si="190"/>
        <v>16</v>
      </c>
      <c r="BM335" s="36">
        <f t="shared" si="191"/>
        <v>24.5</v>
      </c>
      <c r="BN335" s="37">
        <f t="shared" si="192"/>
        <v>-8.5</v>
      </c>
      <c r="BO335" s="37">
        <f t="shared" si="193"/>
        <v>-34.693877551020407</v>
      </c>
      <c r="BP335" s="38">
        <f t="shared" si="194"/>
        <v>1234</v>
      </c>
      <c r="BQ335" s="39">
        <f>J335+N335+S335+W335+AA335+AE335+AI335+AM335+AQ335+AU335+Table1[[#This Row],[MS-0225]]+Table1[[#This Row],[MS-0325]]</f>
        <v>1227.5</v>
      </c>
      <c r="BR335" s="37">
        <f t="shared" si="195"/>
        <v>6.5</v>
      </c>
      <c r="BS335" s="37">
        <f t="shared" si="196"/>
        <v>0.52953156822810588</v>
      </c>
      <c r="BT335" s="36">
        <f t="shared" si="197"/>
        <v>162</v>
      </c>
      <c r="BU335" s="36">
        <f t="shared" si="198"/>
        <v>244.5</v>
      </c>
      <c r="BV335" s="37">
        <f t="shared" si="199"/>
        <v>-82.5</v>
      </c>
      <c r="BW335" s="37">
        <f t="shared" si="200"/>
        <v>-33.742331288343557</v>
      </c>
      <c r="BX335">
        <v>4</v>
      </c>
      <c r="BY335" s="83">
        <f t="shared" si="201"/>
        <v>3.4482758620689655E-2</v>
      </c>
      <c r="BZ335">
        <v>96</v>
      </c>
      <c r="CA335" s="83">
        <f t="shared" si="202"/>
        <v>7.7795786061588337E-2</v>
      </c>
      <c r="CB335" s="96">
        <f t="shared" si="203"/>
        <v>0.16524216524216523</v>
      </c>
      <c r="CC335" s="96">
        <f t="shared" si="204"/>
        <v>0.18282312925170069</v>
      </c>
      <c r="CD335" s="97">
        <f t="shared" si="205"/>
        <v>-1.758096400953546E-2</v>
      </c>
      <c r="CE335" s="96">
        <f t="shared" si="206"/>
        <v>4.145077720207254E-2</v>
      </c>
      <c r="CF335" s="96">
        <f t="shared" si="207"/>
        <v>4.3133802816901406E-2</v>
      </c>
      <c r="CG335" s="96">
        <f t="shared" si="208"/>
        <v>-1.6830256148288661E-3</v>
      </c>
      <c r="CH335" s="95">
        <f t="shared" si="209"/>
        <v>0.16222967199106028</v>
      </c>
      <c r="CI335" s="95">
        <f t="shared" si="210"/>
        <v>0.18046162893266687</v>
      </c>
      <c r="CJ335" s="98">
        <f t="shared" si="211"/>
        <v>-1.8231956941606592E-2</v>
      </c>
      <c r="CK335" s="95">
        <f t="shared" si="212"/>
        <v>2.631365223747259E-2</v>
      </c>
      <c r="CL335" s="95">
        <f t="shared" si="213"/>
        <v>3.5053763440860218E-2</v>
      </c>
      <c r="CM335" s="98">
        <f t="shared" si="214"/>
        <v>-8.740111203387628E-3</v>
      </c>
      <c r="CN335" s="94">
        <f t="shared" si="215"/>
        <v>0.64891868796424113</v>
      </c>
      <c r="CO335" s="94">
        <f t="shared" si="216"/>
        <v>0.10525460894989036</v>
      </c>
    </row>
    <row r="336" spans="1:95" x14ac:dyDescent="0.35">
      <c r="A336" s="102">
        <v>157172</v>
      </c>
      <c r="B336" s="3" t="s">
        <v>72</v>
      </c>
      <c r="C336" s="42" t="s">
        <v>272</v>
      </c>
      <c r="D336" s="12" t="s">
        <v>273</v>
      </c>
      <c r="E336" s="4" t="s">
        <v>111</v>
      </c>
      <c r="F336" s="4" t="s">
        <v>274</v>
      </c>
      <c r="G336" s="12" t="s">
        <v>274</v>
      </c>
      <c r="H336" s="51" t="s">
        <v>275</v>
      </c>
      <c r="I336" s="23" t="s">
        <v>78</v>
      </c>
      <c r="J336" s="90">
        <v>97.5</v>
      </c>
      <c r="K336" s="90">
        <v>130.5</v>
      </c>
      <c r="L336" s="90">
        <v>94.5</v>
      </c>
      <c r="M336" s="90">
        <v>121.5</v>
      </c>
      <c r="N336" s="18">
        <v>128.5</v>
      </c>
      <c r="O336" s="18">
        <v>108</v>
      </c>
      <c r="P336" s="18">
        <v>137.5</v>
      </c>
      <c r="Q336" s="18">
        <v>144</v>
      </c>
      <c r="R336" s="90">
        <v>126</v>
      </c>
      <c r="S336" s="90">
        <v>110</v>
      </c>
      <c r="T336" s="90">
        <v>156</v>
      </c>
      <c r="U336" s="90">
        <v>96</v>
      </c>
      <c r="V336" s="90">
        <v>134</v>
      </c>
      <c r="W336" s="90">
        <v>129.5</v>
      </c>
      <c r="X336" s="90">
        <v>130</v>
      </c>
      <c r="Y336" s="90">
        <v>116.5</v>
      </c>
      <c r="Z336" s="90">
        <v>134</v>
      </c>
      <c r="AA336" s="90">
        <v>122</v>
      </c>
      <c r="AB336" s="90">
        <v>142</v>
      </c>
      <c r="AC336" s="90">
        <v>106</v>
      </c>
      <c r="AD336" s="90">
        <v>121.5</v>
      </c>
      <c r="AE336" s="90">
        <v>135.5</v>
      </c>
      <c r="AF336" s="90">
        <v>140.5</v>
      </c>
      <c r="AG336" s="90">
        <v>98.5</v>
      </c>
      <c r="AH336" s="90">
        <v>147</v>
      </c>
      <c r="AI336" s="90">
        <v>120.5</v>
      </c>
      <c r="AJ336" s="90">
        <v>129</v>
      </c>
      <c r="AK336" s="90">
        <v>121.5</v>
      </c>
      <c r="AL336" s="90">
        <v>126.5</v>
      </c>
      <c r="AM336" s="90">
        <v>122</v>
      </c>
      <c r="AN336" s="90">
        <v>149.5</v>
      </c>
      <c r="AO336" s="90">
        <v>96</v>
      </c>
      <c r="AP336" s="90">
        <v>95</v>
      </c>
      <c r="AQ336" s="90">
        <v>130.5</v>
      </c>
      <c r="AR336" s="90">
        <v>149</v>
      </c>
      <c r="AS336" s="90">
        <v>91.5</v>
      </c>
      <c r="AT336" s="90">
        <v>130</v>
      </c>
      <c r="AU336" s="90">
        <v>106.5</v>
      </c>
      <c r="AV336" s="90">
        <v>110</v>
      </c>
      <c r="AW336" s="90">
        <v>129.5</v>
      </c>
      <c r="AX336" s="90">
        <v>131</v>
      </c>
      <c r="AY336" s="90">
        <v>114</v>
      </c>
      <c r="AZ336" s="90">
        <v>175</v>
      </c>
      <c r="BA336" s="90">
        <v>122</v>
      </c>
      <c r="BB336" s="90">
        <v>115</v>
      </c>
      <c r="BC336" s="90">
        <v>108.5</v>
      </c>
      <c r="BD336" s="90">
        <v>143</v>
      </c>
      <c r="BE336" s="90">
        <v>115.5</v>
      </c>
      <c r="BF336" s="23">
        <v>28.52327</v>
      </c>
      <c r="BG336" s="23">
        <v>77.281530000000004</v>
      </c>
      <c r="BH336" s="31">
        <f t="shared" si="186"/>
        <v>115</v>
      </c>
      <c r="BI336" s="31">
        <f t="shared" si="187"/>
        <v>108.5</v>
      </c>
      <c r="BJ336" s="37">
        <f t="shared" si="188"/>
        <v>6.5</v>
      </c>
      <c r="BK336" s="37">
        <f t="shared" si="189"/>
        <v>5.9907834101382482</v>
      </c>
      <c r="BL336" s="36">
        <f t="shared" si="190"/>
        <v>143</v>
      </c>
      <c r="BM336" s="36">
        <f t="shared" si="191"/>
        <v>115.5</v>
      </c>
      <c r="BN336" s="37">
        <f t="shared" si="192"/>
        <v>27.5</v>
      </c>
      <c r="BO336" s="37">
        <f t="shared" si="193"/>
        <v>23.809523809523807</v>
      </c>
      <c r="BP336" s="38">
        <f t="shared" si="194"/>
        <v>1498.5</v>
      </c>
      <c r="BQ336" s="39">
        <f>J336+N336+S336+W336+AA336+AE336+AI336+AM336+AQ336+AU336+Table1[[#This Row],[MS-0225]]+Table1[[#This Row],[MS-0325]]</f>
        <v>1425</v>
      </c>
      <c r="BR336" s="37">
        <f t="shared" si="195"/>
        <v>73.5</v>
      </c>
      <c r="BS336" s="37">
        <f t="shared" si="196"/>
        <v>5.1578947368421053</v>
      </c>
      <c r="BT336" s="36">
        <f t="shared" si="197"/>
        <v>1689.5</v>
      </c>
      <c r="BU336" s="36">
        <f t="shared" si="198"/>
        <v>1325</v>
      </c>
      <c r="BV336" s="37">
        <f t="shared" si="199"/>
        <v>364.5</v>
      </c>
      <c r="BW336" s="37">
        <f t="shared" si="200"/>
        <v>27.509433962264151</v>
      </c>
      <c r="BX336">
        <v>0</v>
      </c>
      <c r="BY336" s="83">
        <f t="shared" si="201"/>
        <v>0</v>
      </c>
      <c r="BZ336">
        <v>0</v>
      </c>
      <c r="CA336" s="83">
        <f t="shared" si="202"/>
        <v>0</v>
      </c>
      <c r="CB336" s="96">
        <f t="shared" si="203"/>
        <v>0.31944444444444442</v>
      </c>
      <c r="CC336" s="96">
        <f t="shared" si="204"/>
        <v>0.31044349070100141</v>
      </c>
      <c r="CD336" s="97">
        <f t="shared" si="205"/>
        <v>9.0009537434430076E-3</v>
      </c>
      <c r="CE336" s="96">
        <f t="shared" si="206"/>
        <v>0.38440860215053763</v>
      </c>
      <c r="CF336" s="96">
        <f t="shared" si="207"/>
        <v>0.48427672955974843</v>
      </c>
      <c r="CG336" s="96">
        <f t="shared" si="208"/>
        <v>-9.9868127409210805E-2</v>
      </c>
      <c r="CH336" s="95">
        <f t="shared" si="209"/>
        <v>0.33995009074410165</v>
      </c>
      <c r="CI336" s="95">
        <f t="shared" si="210"/>
        <v>0.31954254961318534</v>
      </c>
      <c r="CJ336" s="98">
        <f t="shared" si="211"/>
        <v>2.0407541130916307E-2</v>
      </c>
      <c r="CK336" s="95">
        <f t="shared" si="212"/>
        <v>0.39529714553111839</v>
      </c>
      <c r="CL336" s="95">
        <f t="shared" si="213"/>
        <v>0.55242860120908899</v>
      </c>
      <c r="CM336" s="98">
        <f t="shared" si="214"/>
        <v>-0.1571314556779706</v>
      </c>
      <c r="CN336" s="94">
        <f t="shared" si="215"/>
        <v>0.6799001814882033</v>
      </c>
      <c r="CO336" s="94">
        <f t="shared" si="216"/>
        <v>0.79059429106223678</v>
      </c>
    </row>
    <row r="337" spans="1:93" ht="24.5" x14ac:dyDescent="0.35">
      <c r="A337" s="104">
        <v>106325</v>
      </c>
      <c r="B337" s="5" t="s">
        <v>581</v>
      </c>
      <c r="C337" s="46" t="s">
        <v>859</v>
      </c>
      <c r="D337" s="13" t="s">
        <v>279</v>
      </c>
      <c r="E337" s="6" t="s">
        <v>81</v>
      </c>
      <c r="F337" s="6" t="s">
        <v>140</v>
      </c>
      <c r="G337" s="12" t="s">
        <v>140</v>
      </c>
      <c r="H337" s="51" t="s">
        <v>135</v>
      </c>
      <c r="I337" s="24" t="s">
        <v>83</v>
      </c>
      <c r="J337" s="19">
        <v>86</v>
      </c>
      <c r="K337" s="19">
        <v>100</v>
      </c>
      <c r="L337" s="19">
        <v>338</v>
      </c>
      <c r="M337" s="19">
        <v>414</v>
      </c>
      <c r="N337" s="18">
        <v>95.5</v>
      </c>
      <c r="O337" s="18">
        <v>104</v>
      </c>
      <c r="P337" s="18">
        <v>556.5</v>
      </c>
      <c r="Q337" s="18">
        <v>496</v>
      </c>
      <c r="R337" s="19">
        <v>105</v>
      </c>
      <c r="S337" s="19">
        <v>99</v>
      </c>
      <c r="T337" s="19">
        <v>337</v>
      </c>
      <c r="U337" s="19">
        <v>679</v>
      </c>
      <c r="V337" s="19">
        <v>105</v>
      </c>
      <c r="W337" s="19">
        <v>100</v>
      </c>
      <c r="X337" s="19">
        <v>275</v>
      </c>
      <c r="Y337" s="19">
        <v>556</v>
      </c>
      <c r="Z337" s="19">
        <v>110</v>
      </c>
      <c r="AA337" s="19">
        <v>108</v>
      </c>
      <c r="AB337" s="19">
        <v>224</v>
      </c>
      <c r="AC337" s="19">
        <v>414</v>
      </c>
      <c r="AD337" s="19">
        <v>110</v>
      </c>
      <c r="AE337" s="19">
        <v>99.5</v>
      </c>
      <c r="AF337" s="19">
        <v>222</v>
      </c>
      <c r="AG337" s="19">
        <v>420.5</v>
      </c>
      <c r="AH337" s="19">
        <v>100</v>
      </c>
      <c r="AI337" s="19">
        <v>112.5</v>
      </c>
      <c r="AJ337" s="19">
        <v>236</v>
      </c>
      <c r="AK337" s="19">
        <v>361.5</v>
      </c>
      <c r="AL337" s="19">
        <v>105</v>
      </c>
      <c r="AM337" s="19">
        <v>91</v>
      </c>
      <c r="AN337" s="19">
        <v>253</v>
      </c>
      <c r="AO337" s="19">
        <v>279</v>
      </c>
      <c r="AP337" s="19">
        <v>105</v>
      </c>
      <c r="AQ337" s="19">
        <v>95</v>
      </c>
      <c r="AR337" s="19">
        <v>175</v>
      </c>
      <c r="AS337" s="19">
        <v>225</v>
      </c>
      <c r="AT337" s="19">
        <v>115</v>
      </c>
      <c r="AU337" s="19">
        <v>85</v>
      </c>
      <c r="AV337" s="19">
        <v>223</v>
      </c>
      <c r="AW337" s="19">
        <v>237</v>
      </c>
      <c r="AX337" s="19">
        <v>90</v>
      </c>
      <c r="AY337" s="19">
        <v>95</v>
      </c>
      <c r="AZ337" s="19">
        <v>228</v>
      </c>
      <c r="BA337" s="19">
        <v>305</v>
      </c>
      <c r="BB337" s="19">
        <v>115</v>
      </c>
      <c r="BC337" s="19">
        <v>105</v>
      </c>
      <c r="BD337" s="19">
        <v>445</v>
      </c>
      <c r="BE337" s="19">
        <v>255</v>
      </c>
      <c r="BF337" s="23">
        <v>28.524899999999999</v>
      </c>
      <c r="BG337" s="23">
        <v>77.101100000000002</v>
      </c>
      <c r="BH337" s="31">
        <f t="shared" si="186"/>
        <v>115</v>
      </c>
      <c r="BI337" s="31">
        <f t="shared" si="187"/>
        <v>105</v>
      </c>
      <c r="BJ337" s="37">
        <f t="shared" si="188"/>
        <v>10</v>
      </c>
      <c r="BK337" s="37">
        <f t="shared" si="189"/>
        <v>9.5238095238095237</v>
      </c>
      <c r="BL337" s="36">
        <f t="shared" si="190"/>
        <v>445</v>
      </c>
      <c r="BM337" s="36">
        <f t="shared" si="191"/>
        <v>255</v>
      </c>
      <c r="BN337" s="37">
        <f t="shared" si="192"/>
        <v>190</v>
      </c>
      <c r="BO337" s="37">
        <f t="shared" si="193"/>
        <v>74.509803921568633</v>
      </c>
      <c r="BP337" s="38">
        <f t="shared" si="194"/>
        <v>1264</v>
      </c>
      <c r="BQ337" s="39">
        <f>J337+N337+S337+W337+AA337+AE337+AI337+AM337+AQ337+AU337+Table1[[#This Row],[MS-0225]]+Table1[[#This Row],[MS-0325]]</f>
        <v>1171.5</v>
      </c>
      <c r="BR337" s="37">
        <f t="shared" si="195"/>
        <v>92.5</v>
      </c>
      <c r="BS337" s="37">
        <f t="shared" si="196"/>
        <v>7.8958600085360651</v>
      </c>
      <c r="BT337" s="36">
        <f t="shared" si="197"/>
        <v>3528</v>
      </c>
      <c r="BU337" s="36">
        <f t="shared" si="198"/>
        <v>4626.5</v>
      </c>
      <c r="BV337" s="37">
        <f t="shared" si="199"/>
        <v>-1098.5</v>
      </c>
      <c r="BW337" s="37">
        <f t="shared" si="200"/>
        <v>-23.743650707878526</v>
      </c>
      <c r="BX337">
        <v>0</v>
      </c>
      <c r="BY337" s="83">
        <f t="shared" si="201"/>
        <v>0</v>
      </c>
      <c r="BZ337">
        <v>0</v>
      </c>
      <c r="CA337" s="83">
        <f t="shared" si="202"/>
        <v>0</v>
      </c>
      <c r="CB337" s="96">
        <f t="shared" si="203"/>
        <v>0.13333333333333333</v>
      </c>
      <c r="CC337" s="96">
        <f t="shared" si="204"/>
        <v>0.13333333333333333</v>
      </c>
      <c r="CD337" s="97">
        <f t="shared" si="205"/>
        <v>0</v>
      </c>
      <c r="CE337" s="96">
        <f t="shared" si="206"/>
        <v>0.41725269573370838</v>
      </c>
      <c r="CF337" s="96">
        <f t="shared" si="207"/>
        <v>0.29530978575564565</v>
      </c>
      <c r="CG337" s="96">
        <f t="shared" si="208"/>
        <v>0.12194290997806273</v>
      </c>
      <c r="CH337" s="95">
        <f t="shared" si="209"/>
        <v>0.1315296566077003</v>
      </c>
      <c r="CI337" s="95">
        <f t="shared" si="210"/>
        <v>0.1286655683548967</v>
      </c>
      <c r="CJ337" s="98">
        <f t="shared" si="211"/>
        <v>2.8640882528035982E-3</v>
      </c>
      <c r="CK337" s="95">
        <f t="shared" si="212"/>
        <v>0.3454082631682005</v>
      </c>
      <c r="CL337" s="95">
        <f t="shared" si="213"/>
        <v>0.37699641460234679</v>
      </c>
      <c r="CM337" s="98">
        <f t="shared" si="214"/>
        <v>-3.1588151434146283E-2</v>
      </c>
      <c r="CN337" s="94">
        <f t="shared" si="215"/>
        <v>0.78917793964620175</v>
      </c>
      <c r="CO337" s="94">
        <f t="shared" si="216"/>
        <v>2.072449579009203</v>
      </c>
    </row>
    <row r="338" spans="1:93" ht="24.5" x14ac:dyDescent="0.35">
      <c r="A338" s="103">
        <v>41076270</v>
      </c>
      <c r="B338" s="9" t="s">
        <v>380</v>
      </c>
      <c r="C338" s="47" t="s">
        <v>381</v>
      </c>
      <c r="D338" s="14" t="s">
        <v>382</v>
      </c>
      <c r="E338" s="10" t="s">
        <v>85</v>
      </c>
      <c r="F338" s="10" t="s">
        <v>383</v>
      </c>
      <c r="G338" s="12" t="s">
        <v>383</v>
      </c>
      <c r="H338" s="51" t="s">
        <v>141</v>
      </c>
      <c r="I338" s="25" t="s">
        <v>83</v>
      </c>
      <c r="J338" s="20"/>
      <c r="K338" s="20">
        <v>62</v>
      </c>
      <c r="L338" s="20">
        <v>0</v>
      </c>
      <c r="M338" s="20">
        <v>48</v>
      </c>
      <c r="N338" s="18">
        <v>0</v>
      </c>
      <c r="O338" s="18">
        <v>99</v>
      </c>
      <c r="P338" s="18">
        <v>0</v>
      </c>
      <c r="Q338" s="18">
        <v>58</v>
      </c>
      <c r="R338" s="20">
        <v>85</v>
      </c>
      <c r="S338" s="20">
        <v>0</v>
      </c>
      <c r="T338" s="20">
        <v>56</v>
      </c>
      <c r="U338" s="20">
        <v>0</v>
      </c>
      <c r="V338" s="20">
        <v>92.5</v>
      </c>
      <c r="W338" s="20">
        <v>0</v>
      </c>
      <c r="X338" s="20">
        <v>36.5</v>
      </c>
      <c r="Y338" s="20">
        <v>0</v>
      </c>
      <c r="Z338" s="20">
        <v>108</v>
      </c>
      <c r="AA338" s="20">
        <v>0</v>
      </c>
      <c r="AB338" s="20">
        <v>39</v>
      </c>
      <c r="AC338" s="20">
        <v>0</v>
      </c>
      <c r="AD338" s="20">
        <v>95</v>
      </c>
      <c r="AE338" s="20">
        <v>0</v>
      </c>
      <c r="AF338" s="20">
        <v>67</v>
      </c>
      <c r="AG338" s="20">
        <v>3</v>
      </c>
      <c r="AH338" s="20">
        <v>112</v>
      </c>
      <c r="AI338" s="20">
        <v>0</v>
      </c>
      <c r="AJ338" s="20">
        <v>68</v>
      </c>
      <c r="AK338" s="20">
        <v>0</v>
      </c>
      <c r="AL338" s="20">
        <v>92.5</v>
      </c>
      <c r="AM338" s="20">
        <v>0</v>
      </c>
      <c r="AN338" s="20">
        <v>65.5</v>
      </c>
      <c r="AO338" s="20">
        <v>0</v>
      </c>
      <c r="AP338" s="20">
        <v>100</v>
      </c>
      <c r="AQ338" s="20">
        <v>0</v>
      </c>
      <c r="AR338" s="20">
        <v>47</v>
      </c>
      <c r="AS338" s="20">
        <v>0</v>
      </c>
      <c r="AT338" s="20">
        <v>92</v>
      </c>
      <c r="AU338" s="20">
        <v>0</v>
      </c>
      <c r="AV338" s="20">
        <v>34</v>
      </c>
      <c r="AW338" s="20">
        <v>0</v>
      </c>
      <c r="AX338" s="20">
        <v>96</v>
      </c>
      <c r="AY338" s="20">
        <v>0</v>
      </c>
      <c r="AZ338" s="20">
        <v>42</v>
      </c>
      <c r="BA338" s="20">
        <v>0</v>
      </c>
      <c r="BB338" s="20">
        <v>112</v>
      </c>
      <c r="BC338" s="20">
        <v>18</v>
      </c>
      <c r="BD338" s="20">
        <v>68</v>
      </c>
      <c r="BE338" s="20">
        <v>4</v>
      </c>
      <c r="BF338" s="23">
        <v>28.5431059</v>
      </c>
      <c r="BG338" s="23">
        <v>76.970380300000002</v>
      </c>
      <c r="BH338" s="31">
        <f t="shared" si="186"/>
        <v>112</v>
      </c>
      <c r="BI338" s="31">
        <f t="shared" si="187"/>
        <v>18</v>
      </c>
      <c r="BJ338" s="37">
        <f t="shared" si="188"/>
        <v>94</v>
      </c>
      <c r="BK338" s="37">
        <f t="shared" si="189"/>
        <v>522.22222222222229</v>
      </c>
      <c r="BL338" s="36">
        <f t="shared" si="190"/>
        <v>68</v>
      </c>
      <c r="BM338" s="36">
        <f t="shared" si="191"/>
        <v>4</v>
      </c>
      <c r="BN338" s="37">
        <f t="shared" si="192"/>
        <v>64</v>
      </c>
      <c r="BO338" s="37">
        <f t="shared" si="193"/>
        <v>1600</v>
      </c>
      <c r="BP338" s="38">
        <f t="shared" si="194"/>
        <v>1146</v>
      </c>
      <c r="BQ338" s="39">
        <f>J338+N338+S338+W338+AA338+AE338+AI338+AM338+AQ338+AU338+Table1[[#This Row],[MS-0225]]+Table1[[#This Row],[MS-0325]]</f>
        <v>18</v>
      </c>
      <c r="BR338" s="37">
        <f t="shared" si="195"/>
        <v>1128</v>
      </c>
      <c r="BS338" s="37">
        <f t="shared" si="196"/>
        <v>6266.6666666666661</v>
      </c>
      <c r="BT338" s="36">
        <f t="shared" si="197"/>
        <v>629</v>
      </c>
      <c r="BU338" s="36">
        <f t="shared" si="198"/>
        <v>7</v>
      </c>
      <c r="BV338" s="37">
        <f t="shared" si="199"/>
        <v>622</v>
      </c>
      <c r="BW338" s="37">
        <f t="shared" si="200"/>
        <v>8885.7142857142862</v>
      </c>
      <c r="BX338">
        <v>0</v>
      </c>
      <c r="BY338" s="83">
        <f t="shared" si="201"/>
        <v>0</v>
      </c>
      <c r="BZ338">
        <v>0</v>
      </c>
      <c r="CA338" s="83">
        <f t="shared" si="202"/>
        <v>0</v>
      </c>
      <c r="CB338" s="96">
        <f t="shared" si="203"/>
        <v>1</v>
      </c>
      <c r="CC338" s="96">
        <f t="shared" si="204"/>
        <v>1</v>
      </c>
      <c r="CD338" s="97">
        <f t="shared" si="205"/>
        <v>0</v>
      </c>
      <c r="CE338" s="96">
        <f t="shared" si="206"/>
        <v>1</v>
      </c>
      <c r="CF338" s="96">
        <f t="shared" si="207"/>
        <v>1</v>
      </c>
      <c r="CG338" s="96">
        <f t="shared" si="208"/>
        <v>0</v>
      </c>
      <c r="CH338" s="95">
        <f t="shared" si="209"/>
        <v>1</v>
      </c>
      <c r="CI338" s="95">
        <f t="shared" si="210"/>
        <v>1</v>
      </c>
      <c r="CJ338" s="98">
        <f t="shared" si="211"/>
        <v>0</v>
      </c>
      <c r="CK338" s="95">
        <f t="shared" si="212"/>
        <v>1</v>
      </c>
      <c r="CL338" s="95">
        <f t="shared" si="213"/>
        <v>1</v>
      </c>
      <c r="CM338" s="98">
        <f t="shared" si="214"/>
        <v>0</v>
      </c>
      <c r="CN338" s="94">
        <f t="shared" si="215"/>
        <v>1</v>
      </c>
      <c r="CO338" s="94">
        <f t="shared" si="216"/>
        <v>1</v>
      </c>
    </row>
    <row r="339" spans="1:93" ht="24.5" x14ac:dyDescent="0.35">
      <c r="A339" s="104">
        <v>106301</v>
      </c>
      <c r="B339" s="5" t="s">
        <v>581</v>
      </c>
      <c r="C339" s="46" t="s">
        <v>827</v>
      </c>
      <c r="D339" s="13" t="s">
        <v>279</v>
      </c>
      <c r="E339" s="6" t="s">
        <v>81</v>
      </c>
      <c r="F339" s="6" t="s">
        <v>140</v>
      </c>
      <c r="G339" s="12" t="s">
        <v>140</v>
      </c>
      <c r="H339" s="51" t="s">
        <v>141</v>
      </c>
      <c r="I339" s="24" t="s">
        <v>83</v>
      </c>
      <c r="J339" s="19">
        <v>72</v>
      </c>
      <c r="K339" s="19">
        <v>91</v>
      </c>
      <c r="L339" s="19">
        <v>36</v>
      </c>
      <c r="M339" s="19">
        <v>35</v>
      </c>
      <c r="N339" s="18">
        <v>81.5</v>
      </c>
      <c r="O339" s="18">
        <v>88</v>
      </c>
      <c r="P339" s="18">
        <v>48.5</v>
      </c>
      <c r="Q339" s="18">
        <v>36</v>
      </c>
      <c r="R339" s="19">
        <v>90</v>
      </c>
      <c r="S339" s="19">
        <v>84</v>
      </c>
      <c r="T339" s="19">
        <v>40</v>
      </c>
      <c r="U339" s="19">
        <v>56</v>
      </c>
      <c r="V339" s="19">
        <v>91.5</v>
      </c>
      <c r="W339" s="19">
        <v>88</v>
      </c>
      <c r="X339" s="19">
        <v>44.5</v>
      </c>
      <c r="Y339" s="19">
        <v>46</v>
      </c>
      <c r="Z339" s="19">
        <v>93.5</v>
      </c>
      <c r="AA339" s="19">
        <v>88</v>
      </c>
      <c r="AB339" s="19">
        <v>28.5</v>
      </c>
      <c r="AC339" s="19">
        <v>44</v>
      </c>
      <c r="AD339" s="19">
        <v>90.5</v>
      </c>
      <c r="AE339" s="19">
        <v>78</v>
      </c>
      <c r="AF339" s="19">
        <v>37.5</v>
      </c>
      <c r="AG339" s="19">
        <v>46</v>
      </c>
      <c r="AH339" s="19">
        <v>94</v>
      </c>
      <c r="AI339" s="19">
        <v>81</v>
      </c>
      <c r="AJ339" s="19">
        <v>40</v>
      </c>
      <c r="AK339" s="19">
        <v>39</v>
      </c>
      <c r="AL339" s="19">
        <v>82</v>
      </c>
      <c r="AM339" s="19">
        <v>88.5</v>
      </c>
      <c r="AN339" s="19">
        <v>36</v>
      </c>
      <c r="AO339" s="19">
        <v>37.5</v>
      </c>
      <c r="AP339" s="19">
        <v>97.5</v>
      </c>
      <c r="AQ339" s="19">
        <v>84</v>
      </c>
      <c r="AR339" s="19">
        <v>32.5</v>
      </c>
      <c r="AS339" s="19">
        <v>34</v>
      </c>
      <c r="AT339" s="19">
        <v>88.5</v>
      </c>
      <c r="AU339" s="19">
        <v>80.5</v>
      </c>
      <c r="AV339" s="19">
        <v>29.5</v>
      </c>
      <c r="AW339" s="19">
        <v>35.5</v>
      </c>
      <c r="AX339" s="19">
        <v>87</v>
      </c>
      <c r="AY339" s="19">
        <v>82</v>
      </c>
      <c r="AZ339" s="19">
        <v>27</v>
      </c>
      <c r="BA339" s="19">
        <v>34</v>
      </c>
      <c r="BB339" s="19">
        <v>112</v>
      </c>
      <c r="BC339" s="19">
        <v>83.5</v>
      </c>
      <c r="BD339" s="19">
        <v>40</v>
      </c>
      <c r="BE339" s="19">
        <v>36.5</v>
      </c>
      <c r="BF339" s="23">
        <v>28.5183</v>
      </c>
      <c r="BG339" s="23">
        <v>77.080299999999994</v>
      </c>
      <c r="BH339" s="31">
        <f t="shared" si="186"/>
        <v>112</v>
      </c>
      <c r="BI339" s="31">
        <f t="shared" si="187"/>
        <v>83.5</v>
      </c>
      <c r="BJ339" s="37">
        <f t="shared" si="188"/>
        <v>28.5</v>
      </c>
      <c r="BK339" s="37">
        <f t="shared" si="189"/>
        <v>34.131736526946113</v>
      </c>
      <c r="BL339" s="36">
        <f t="shared" si="190"/>
        <v>40</v>
      </c>
      <c r="BM339" s="36">
        <f t="shared" si="191"/>
        <v>36.5</v>
      </c>
      <c r="BN339" s="37">
        <f t="shared" si="192"/>
        <v>3.5</v>
      </c>
      <c r="BO339" s="37">
        <f t="shared" si="193"/>
        <v>9.5890410958904102</v>
      </c>
      <c r="BP339" s="38">
        <f t="shared" si="194"/>
        <v>1105.5</v>
      </c>
      <c r="BQ339" s="39">
        <f>J339+N339+S339+W339+AA339+AE339+AI339+AM339+AQ339+AU339+Table1[[#This Row],[MS-0225]]+Table1[[#This Row],[MS-0325]]</f>
        <v>991</v>
      </c>
      <c r="BR339" s="37">
        <f t="shared" si="195"/>
        <v>114.5</v>
      </c>
      <c r="BS339" s="37">
        <f t="shared" si="196"/>
        <v>11.553985872855701</v>
      </c>
      <c r="BT339" s="36">
        <f t="shared" si="197"/>
        <v>426.5</v>
      </c>
      <c r="BU339" s="36">
        <f t="shared" si="198"/>
        <v>493</v>
      </c>
      <c r="BV339" s="37">
        <f t="shared" si="199"/>
        <v>-66.5</v>
      </c>
      <c r="BW339" s="37">
        <f t="shared" si="200"/>
        <v>-13.488843813387424</v>
      </c>
      <c r="BX339">
        <v>0</v>
      </c>
      <c r="BY339" s="83">
        <f t="shared" si="201"/>
        <v>0</v>
      </c>
      <c r="BZ339">
        <v>0</v>
      </c>
      <c r="CA339" s="83">
        <f t="shared" si="202"/>
        <v>0</v>
      </c>
      <c r="CB339" s="96">
        <f t="shared" si="203"/>
        <v>0.12985507246376812</v>
      </c>
      <c r="CC339" s="96">
        <f t="shared" si="204"/>
        <v>0.10603174603174603</v>
      </c>
      <c r="CD339" s="97">
        <f t="shared" si="205"/>
        <v>2.3823326432022091E-2</v>
      </c>
      <c r="CE339" s="96">
        <f t="shared" si="206"/>
        <v>3.750586029067042E-2</v>
      </c>
      <c r="CF339" s="96">
        <f t="shared" si="207"/>
        <v>4.2269832078749278E-2</v>
      </c>
      <c r="CG339" s="96">
        <f t="shared" si="208"/>
        <v>-4.7639717880788579E-3</v>
      </c>
      <c r="CH339" s="95">
        <f t="shared" si="209"/>
        <v>0.11503642039542143</v>
      </c>
      <c r="CI339" s="95">
        <f t="shared" si="210"/>
        <v>0.10884129597925959</v>
      </c>
      <c r="CJ339" s="98">
        <f t="shared" si="211"/>
        <v>6.1951244161618374E-3</v>
      </c>
      <c r="CK339" s="95">
        <f t="shared" si="212"/>
        <v>4.1756412766790679E-2</v>
      </c>
      <c r="CL339" s="95">
        <f t="shared" si="213"/>
        <v>4.0172750977835722E-2</v>
      </c>
      <c r="CM339" s="98">
        <f t="shared" si="214"/>
        <v>1.583661788954957E-3</v>
      </c>
      <c r="CN339" s="94">
        <f t="shared" si="215"/>
        <v>0.69021852237252856</v>
      </c>
      <c r="CO339" s="94">
        <f t="shared" si="216"/>
        <v>0.25053847660074408</v>
      </c>
    </row>
    <row r="340" spans="1:93" ht="24.5" x14ac:dyDescent="0.35">
      <c r="A340" s="104">
        <v>196392</v>
      </c>
      <c r="B340" s="5" t="s">
        <v>581</v>
      </c>
      <c r="C340" s="46" t="s">
        <v>896</v>
      </c>
      <c r="D340" s="13" t="s">
        <v>600</v>
      </c>
      <c r="E340" s="6" t="s">
        <v>89</v>
      </c>
      <c r="F340" s="6" t="s">
        <v>342</v>
      </c>
      <c r="G340" s="12" t="s">
        <v>342</v>
      </c>
      <c r="H340" s="51" t="s">
        <v>205</v>
      </c>
      <c r="I340" s="24" t="s">
        <v>86</v>
      </c>
      <c r="J340" s="19">
        <v>144</v>
      </c>
      <c r="K340" s="19">
        <v>164.5</v>
      </c>
      <c r="L340" s="19">
        <v>44</v>
      </c>
      <c r="M340" s="19">
        <v>41.5</v>
      </c>
      <c r="N340" s="18">
        <v>155</v>
      </c>
      <c r="O340" s="18">
        <v>168</v>
      </c>
      <c r="P340" s="18">
        <v>49</v>
      </c>
      <c r="Q340" s="18">
        <v>48</v>
      </c>
      <c r="R340" s="19">
        <v>162</v>
      </c>
      <c r="S340" s="19">
        <v>174.5</v>
      </c>
      <c r="T340" s="19">
        <v>30</v>
      </c>
      <c r="U340" s="19">
        <v>41.5</v>
      </c>
      <c r="V340" s="19">
        <v>158.5</v>
      </c>
      <c r="W340" s="19">
        <v>170</v>
      </c>
      <c r="X340" s="19">
        <v>35.5</v>
      </c>
      <c r="Y340" s="19">
        <v>48</v>
      </c>
      <c r="Z340" s="19">
        <v>160.5</v>
      </c>
      <c r="AA340" s="19">
        <v>165.5</v>
      </c>
      <c r="AB340" s="19">
        <v>39.5</v>
      </c>
      <c r="AC340" s="19">
        <v>44.5</v>
      </c>
      <c r="AD340" s="19">
        <v>142.5</v>
      </c>
      <c r="AE340" s="19">
        <v>161.5</v>
      </c>
      <c r="AF340" s="19">
        <v>31.5</v>
      </c>
      <c r="AG340" s="19">
        <v>40.5</v>
      </c>
      <c r="AH340" s="19">
        <v>159.5</v>
      </c>
      <c r="AI340" s="19">
        <v>151</v>
      </c>
      <c r="AJ340" s="19">
        <v>32.5</v>
      </c>
      <c r="AK340" s="19">
        <v>43</v>
      </c>
      <c r="AL340" s="19">
        <v>146</v>
      </c>
      <c r="AM340" s="19">
        <v>158.5</v>
      </c>
      <c r="AN340" s="19">
        <v>30</v>
      </c>
      <c r="AO340" s="19">
        <v>33.5</v>
      </c>
      <c r="AP340" s="19">
        <v>143.5</v>
      </c>
      <c r="AQ340" s="19">
        <v>147.5</v>
      </c>
      <c r="AR340" s="19">
        <v>26.5</v>
      </c>
      <c r="AS340" s="19">
        <v>34.5</v>
      </c>
      <c r="AT340" s="19">
        <v>140.5</v>
      </c>
      <c r="AU340" s="19">
        <v>138</v>
      </c>
      <c r="AV340" s="19">
        <v>29.5</v>
      </c>
      <c r="AW340" s="19">
        <v>26</v>
      </c>
      <c r="AX340" s="19">
        <v>125</v>
      </c>
      <c r="AY340" s="19">
        <v>135.5</v>
      </c>
      <c r="AZ340" s="19">
        <v>25</v>
      </c>
      <c r="BA340" s="19">
        <v>34.5</v>
      </c>
      <c r="BB340" s="19">
        <v>138.5</v>
      </c>
      <c r="BC340" s="19">
        <v>157</v>
      </c>
      <c r="BD340" s="19">
        <v>27.5</v>
      </c>
      <c r="BE340" s="19">
        <v>45</v>
      </c>
      <c r="BF340" s="23">
        <v>28.724900000000002</v>
      </c>
      <c r="BG340" s="23">
        <v>77.125699999999995</v>
      </c>
      <c r="BH340" s="31">
        <f t="shared" si="186"/>
        <v>138.5</v>
      </c>
      <c r="BI340" s="31">
        <f t="shared" si="187"/>
        <v>157</v>
      </c>
      <c r="BJ340" s="37">
        <f t="shared" si="188"/>
        <v>-18.5</v>
      </c>
      <c r="BK340" s="37">
        <f t="shared" si="189"/>
        <v>-11.783439490445859</v>
      </c>
      <c r="BL340" s="36">
        <f t="shared" si="190"/>
        <v>27.5</v>
      </c>
      <c r="BM340" s="36">
        <f t="shared" si="191"/>
        <v>45</v>
      </c>
      <c r="BN340" s="37">
        <f t="shared" si="192"/>
        <v>-17.5</v>
      </c>
      <c r="BO340" s="37">
        <f t="shared" si="193"/>
        <v>-38.888888888888893</v>
      </c>
      <c r="BP340" s="38">
        <f t="shared" si="194"/>
        <v>1809</v>
      </c>
      <c r="BQ340" s="39">
        <f>J340+N340+S340+W340+AA340+AE340+AI340+AM340+AQ340+AU340+Table1[[#This Row],[MS-0225]]+Table1[[#This Row],[MS-0325]]</f>
        <v>1858</v>
      </c>
      <c r="BR340" s="37">
        <f t="shared" si="195"/>
        <v>-49</v>
      </c>
      <c r="BS340" s="37">
        <f t="shared" si="196"/>
        <v>-2.6372443487621098</v>
      </c>
      <c r="BT340" s="36">
        <f t="shared" si="197"/>
        <v>397</v>
      </c>
      <c r="BU340" s="36">
        <f t="shared" si="198"/>
        <v>484</v>
      </c>
      <c r="BV340" s="37">
        <f t="shared" si="199"/>
        <v>-87</v>
      </c>
      <c r="BW340" s="37">
        <f t="shared" si="200"/>
        <v>-17.97520661157025</v>
      </c>
      <c r="BX340">
        <v>0</v>
      </c>
      <c r="BY340" s="83">
        <f t="shared" si="201"/>
        <v>0</v>
      </c>
      <c r="BZ340">
        <v>0</v>
      </c>
      <c r="CA340" s="83">
        <f t="shared" si="202"/>
        <v>0</v>
      </c>
      <c r="CB340" s="96">
        <f t="shared" si="203"/>
        <v>7.1539256198347112E-2</v>
      </c>
      <c r="CC340" s="96">
        <f t="shared" si="204"/>
        <v>8.5048754062838572E-2</v>
      </c>
      <c r="CD340" s="97">
        <f t="shared" si="205"/>
        <v>-1.350949786449146E-2</v>
      </c>
      <c r="CE340" s="96">
        <f t="shared" si="206"/>
        <v>6.6105769230769232E-2</v>
      </c>
      <c r="CF340" s="96">
        <f t="shared" si="207"/>
        <v>0.10089686098654709</v>
      </c>
      <c r="CG340" s="96">
        <f t="shared" si="208"/>
        <v>-3.4791091755777853E-2</v>
      </c>
      <c r="CH340" s="95">
        <f t="shared" si="209"/>
        <v>7.9493771010480524E-2</v>
      </c>
      <c r="CI340" s="95">
        <f t="shared" si="210"/>
        <v>8.4398918890531291E-2</v>
      </c>
      <c r="CJ340" s="98">
        <f t="shared" si="211"/>
        <v>-4.905147880050767E-3</v>
      </c>
      <c r="CK340" s="95">
        <f t="shared" si="212"/>
        <v>7.6309466602594911E-2</v>
      </c>
      <c r="CL340" s="95">
        <f t="shared" si="213"/>
        <v>8.7912087912087919E-2</v>
      </c>
      <c r="CM340" s="98">
        <f t="shared" si="214"/>
        <v>-1.1602621309493008E-2</v>
      </c>
      <c r="CN340" s="94">
        <f t="shared" si="215"/>
        <v>0.5564563970733637</v>
      </c>
      <c r="CO340" s="94">
        <f t="shared" si="216"/>
        <v>0.53416626621816432</v>
      </c>
    </row>
    <row r="341" spans="1:93" ht="24.5" x14ac:dyDescent="0.35">
      <c r="A341" s="103">
        <v>41056985</v>
      </c>
      <c r="B341" s="9" t="s">
        <v>380</v>
      </c>
      <c r="C341" s="48" t="s">
        <v>450</v>
      </c>
      <c r="D341" s="14" t="s">
        <v>451</v>
      </c>
      <c r="E341" s="10" t="s">
        <v>81</v>
      </c>
      <c r="F341" s="10" t="s">
        <v>140</v>
      </c>
      <c r="G341" s="12" t="s">
        <v>140</v>
      </c>
      <c r="H341" s="51" t="s">
        <v>141</v>
      </c>
      <c r="I341" s="25" t="s">
        <v>83</v>
      </c>
      <c r="J341" s="20">
        <v>81</v>
      </c>
      <c r="K341" s="20">
        <v>108.5</v>
      </c>
      <c r="L341" s="20">
        <v>189</v>
      </c>
      <c r="M341" s="20">
        <v>152.5</v>
      </c>
      <c r="N341" s="18">
        <v>99</v>
      </c>
      <c r="O341" s="18">
        <v>111</v>
      </c>
      <c r="P341" s="18">
        <v>219</v>
      </c>
      <c r="Q341" s="18">
        <v>193</v>
      </c>
      <c r="R341" s="20">
        <v>96</v>
      </c>
      <c r="S341" s="20">
        <v>94</v>
      </c>
      <c r="T341" s="20">
        <v>127</v>
      </c>
      <c r="U341" s="20">
        <v>260</v>
      </c>
      <c r="V341" s="20">
        <v>105</v>
      </c>
      <c r="W341" s="20">
        <v>90</v>
      </c>
      <c r="X341" s="20">
        <v>165</v>
      </c>
      <c r="Y341" s="20">
        <v>180</v>
      </c>
      <c r="Z341" s="20">
        <v>119.5</v>
      </c>
      <c r="AA341" s="20">
        <v>99</v>
      </c>
      <c r="AB341" s="20">
        <v>205.5</v>
      </c>
      <c r="AC341" s="20">
        <v>189</v>
      </c>
      <c r="AD341" s="20">
        <v>116.5</v>
      </c>
      <c r="AE341" s="20">
        <v>90</v>
      </c>
      <c r="AF341" s="20">
        <v>198.5</v>
      </c>
      <c r="AG341" s="20">
        <v>144</v>
      </c>
      <c r="AH341" s="20">
        <v>112</v>
      </c>
      <c r="AI341" s="20">
        <v>112.5</v>
      </c>
      <c r="AJ341" s="20">
        <v>181</v>
      </c>
      <c r="AK341" s="20">
        <v>157.5</v>
      </c>
      <c r="AL341" s="20">
        <v>105</v>
      </c>
      <c r="AM341" s="20">
        <v>95.5</v>
      </c>
      <c r="AN341" s="20">
        <v>190</v>
      </c>
      <c r="AO341" s="20">
        <v>109.5</v>
      </c>
      <c r="AP341" s="20">
        <v>113.5</v>
      </c>
      <c r="AQ341" s="20">
        <v>94.5</v>
      </c>
      <c r="AR341" s="20">
        <v>150.5</v>
      </c>
      <c r="AS341" s="20">
        <v>103.5</v>
      </c>
      <c r="AT341" s="20">
        <v>104</v>
      </c>
      <c r="AU341" s="20">
        <v>88</v>
      </c>
      <c r="AV341" s="20">
        <v>165</v>
      </c>
      <c r="AW341" s="20">
        <v>123</v>
      </c>
      <c r="AX341" s="20">
        <v>105</v>
      </c>
      <c r="AY341" s="20">
        <v>96</v>
      </c>
      <c r="AZ341" s="20">
        <v>153</v>
      </c>
      <c r="BA341" s="20">
        <v>112</v>
      </c>
      <c r="BB341" s="20">
        <v>111</v>
      </c>
      <c r="BC341" s="20">
        <v>99</v>
      </c>
      <c r="BD341" s="20">
        <v>168</v>
      </c>
      <c r="BE341" s="20">
        <v>144</v>
      </c>
      <c r="BF341" s="23">
        <v>28.520792</v>
      </c>
      <c r="BG341" s="23">
        <v>77.082396000000003</v>
      </c>
      <c r="BH341" s="31">
        <f t="shared" si="186"/>
        <v>111</v>
      </c>
      <c r="BI341" s="31">
        <f t="shared" si="187"/>
        <v>99</v>
      </c>
      <c r="BJ341" s="37">
        <f t="shared" si="188"/>
        <v>12</v>
      </c>
      <c r="BK341" s="37">
        <f t="shared" si="189"/>
        <v>12.121212121212121</v>
      </c>
      <c r="BL341" s="36">
        <f t="shared" si="190"/>
        <v>168</v>
      </c>
      <c r="BM341" s="36">
        <f t="shared" si="191"/>
        <v>144</v>
      </c>
      <c r="BN341" s="37">
        <f t="shared" si="192"/>
        <v>24</v>
      </c>
      <c r="BO341" s="37">
        <f t="shared" si="193"/>
        <v>16.666666666666664</v>
      </c>
      <c r="BP341" s="38">
        <f t="shared" si="194"/>
        <v>1307</v>
      </c>
      <c r="BQ341" s="39">
        <f>J341+N341+S341+W341+AA341+AE341+AI341+AM341+AQ341+AU341+Table1[[#This Row],[MS-0225]]+Table1[[#This Row],[MS-0325]]</f>
        <v>1138.5</v>
      </c>
      <c r="BR341" s="37">
        <f t="shared" si="195"/>
        <v>168.5</v>
      </c>
      <c r="BS341" s="37">
        <f t="shared" si="196"/>
        <v>14.800175669740886</v>
      </c>
      <c r="BT341" s="36">
        <f t="shared" si="197"/>
        <v>2049</v>
      </c>
      <c r="BU341" s="36">
        <f t="shared" si="198"/>
        <v>1930.5</v>
      </c>
      <c r="BV341" s="37">
        <f t="shared" si="199"/>
        <v>118.5</v>
      </c>
      <c r="BW341" s="37">
        <f t="shared" si="200"/>
        <v>6.1383061383061381</v>
      </c>
      <c r="BX341">
        <v>0</v>
      </c>
      <c r="BY341" s="83">
        <f t="shared" si="201"/>
        <v>0</v>
      </c>
      <c r="BZ341">
        <v>0</v>
      </c>
      <c r="CA341" s="83">
        <f t="shared" si="202"/>
        <v>0</v>
      </c>
      <c r="CB341" s="96">
        <f t="shared" si="203"/>
        <v>0.12869565217391304</v>
      </c>
      <c r="CC341" s="96">
        <f t="shared" si="204"/>
        <v>0.12571428571428572</v>
      </c>
      <c r="CD341" s="97">
        <f t="shared" si="205"/>
        <v>2.9813664596273215E-3</v>
      </c>
      <c r="CE341" s="96">
        <f t="shared" si="206"/>
        <v>0.15752461322081576</v>
      </c>
      <c r="CF341" s="96">
        <f t="shared" si="207"/>
        <v>0.16676317313259989</v>
      </c>
      <c r="CG341" s="96">
        <f t="shared" si="208"/>
        <v>-9.2385599117841277E-3</v>
      </c>
      <c r="CH341" s="95">
        <f t="shared" si="209"/>
        <v>0.13600416233090531</v>
      </c>
      <c r="CI341" s="95">
        <f t="shared" si="210"/>
        <v>0.1250411861477165</v>
      </c>
      <c r="CJ341" s="98">
        <f t="shared" si="211"/>
        <v>1.0962976183188811E-2</v>
      </c>
      <c r="CK341" s="95">
        <f t="shared" si="212"/>
        <v>0.20060700998629333</v>
      </c>
      <c r="CL341" s="95">
        <f t="shared" si="213"/>
        <v>0.1573093220338983</v>
      </c>
      <c r="CM341" s="98">
        <f t="shared" si="214"/>
        <v>4.3297687952395025E-2</v>
      </c>
      <c r="CN341" s="94">
        <f t="shared" si="215"/>
        <v>0.81602497398543195</v>
      </c>
      <c r="CO341" s="94">
        <f t="shared" si="216"/>
        <v>1.20364205991776</v>
      </c>
    </row>
    <row r="342" spans="1:93" ht="24.5" x14ac:dyDescent="0.35">
      <c r="A342" s="103">
        <v>41056995</v>
      </c>
      <c r="B342" s="9" t="s">
        <v>380</v>
      </c>
      <c r="C342" s="47" t="s">
        <v>534</v>
      </c>
      <c r="D342" s="14" t="s">
        <v>535</v>
      </c>
      <c r="E342" s="10" t="s">
        <v>169</v>
      </c>
      <c r="F342" s="10" t="s">
        <v>170</v>
      </c>
      <c r="G342" s="12" t="s">
        <v>170</v>
      </c>
      <c r="H342" s="51" t="s">
        <v>172</v>
      </c>
      <c r="I342" s="25" t="s">
        <v>78</v>
      </c>
      <c r="J342" s="20">
        <v>85</v>
      </c>
      <c r="K342" s="20">
        <v>117</v>
      </c>
      <c r="L342" s="20">
        <v>124</v>
      </c>
      <c r="M342" s="20">
        <v>100</v>
      </c>
      <c r="N342" s="18">
        <v>112</v>
      </c>
      <c r="O342" s="18">
        <v>107</v>
      </c>
      <c r="P342" s="18">
        <v>194</v>
      </c>
      <c r="Q342" s="18">
        <v>119</v>
      </c>
      <c r="R342" s="20">
        <v>120</v>
      </c>
      <c r="S342" s="20">
        <v>108</v>
      </c>
      <c r="T342" s="20">
        <v>79</v>
      </c>
      <c r="U342" s="20">
        <v>144</v>
      </c>
      <c r="V342" s="20">
        <v>120</v>
      </c>
      <c r="W342" s="20">
        <v>103.5</v>
      </c>
      <c r="X342" s="20">
        <v>74</v>
      </c>
      <c r="Y342" s="20">
        <v>130.5</v>
      </c>
      <c r="Z342" s="20">
        <v>99</v>
      </c>
      <c r="AA342" s="20">
        <v>104.5</v>
      </c>
      <c r="AB342" s="20">
        <v>51</v>
      </c>
      <c r="AC342" s="20">
        <v>136.5</v>
      </c>
      <c r="AD342" s="20">
        <v>132</v>
      </c>
      <c r="AE342" s="20">
        <v>118</v>
      </c>
      <c r="AF342" s="20">
        <v>63</v>
      </c>
      <c r="AG342" s="20">
        <v>141</v>
      </c>
      <c r="AH342" s="20">
        <v>114</v>
      </c>
      <c r="AI342" s="20">
        <v>118.5</v>
      </c>
      <c r="AJ342" s="20">
        <v>34</v>
      </c>
      <c r="AK342" s="20">
        <v>116.5</v>
      </c>
      <c r="AL342" s="20">
        <v>129</v>
      </c>
      <c r="AM342" s="20">
        <v>129</v>
      </c>
      <c r="AN342" s="20">
        <v>62</v>
      </c>
      <c r="AO342" s="20">
        <v>125</v>
      </c>
      <c r="AP342" s="20">
        <v>114</v>
      </c>
      <c r="AQ342" s="20">
        <v>111</v>
      </c>
      <c r="AR342" s="20">
        <v>74</v>
      </c>
      <c r="AS342" s="20">
        <v>119</v>
      </c>
      <c r="AT342" s="20">
        <v>101</v>
      </c>
      <c r="AU342" s="20">
        <v>108</v>
      </c>
      <c r="AV342" s="20">
        <v>58</v>
      </c>
      <c r="AW342" s="20">
        <v>138</v>
      </c>
      <c r="AX342" s="20">
        <v>112</v>
      </c>
      <c r="AY342" s="20">
        <v>102</v>
      </c>
      <c r="AZ342" s="20">
        <v>83</v>
      </c>
      <c r="BA342" s="20">
        <v>97</v>
      </c>
      <c r="BB342" s="20">
        <v>111</v>
      </c>
      <c r="BC342" s="20">
        <v>111.5</v>
      </c>
      <c r="BD342" s="20">
        <v>26</v>
      </c>
      <c r="BE342" s="20">
        <v>112.5</v>
      </c>
      <c r="BF342" s="23">
        <v>28.676389</v>
      </c>
      <c r="BG342" s="23">
        <v>77.323611</v>
      </c>
      <c r="BH342" s="31">
        <f t="shared" si="186"/>
        <v>111</v>
      </c>
      <c r="BI342" s="31">
        <f t="shared" si="187"/>
        <v>111.5</v>
      </c>
      <c r="BJ342" s="37">
        <f t="shared" si="188"/>
        <v>-0.5</v>
      </c>
      <c r="BK342" s="37">
        <f t="shared" si="189"/>
        <v>-0.44843049327354262</v>
      </c>
      <c r="BL342" s="36">
        <f t="shared" si="190"/>
        <v>26</v>
      </c>
      <c r="BM342" s="36">
        <f t="shared" si="191"/>
        <v>112.5</v>
      </c>
      <c r="BN342" s="37">
        <f t="shared" si="192"/>
        <v>-86.5</v>
      </c>
      <c r="BO342" s="37">
        <f t="shared" si="193"/>
        <v>-76.888888888888886</v>
      </c>
      <c r="BP342" s="38">
        <f t="shared" si="194"/>
        <v>1376</v>
      </c>
      <c r="BQ342" s="39">
        <f>J342+N342+S342+W342+AA342+AE342+AI342+AM342+AQ342+AU342+Table1[[#This Row],[MS-0225]]+Table1[[#This Row],[MS-0325]]</f>
        <v>1311</v>
      </c>
      <c r="BR342" s="37">
        <f t="shared" si="195"/>
        <v>65</v>
      </c>
      <c r="BS342" s="37">
        <f t="shared" si="196"/>
        <v>4.9580472921434016</v>
      </c>
      <c r="BT342" s="36">
        <f t="shared" si="197"/>
        <v>823</v>
      </c>
      <c r="BU342" s="36">
        <f t="shared" si="198"/>
        <v>1578</v>
      </c>
      <c r="BV342" s="37">
        <f t="shared" si="199"/>
        <v>-755</v>
      </c>
      <c r="BW342" s="37">
        <f t="shared" si="200"/>
        <v>-47.845373891001266</v>
      </c>
      <c r="BX342">
        <v>0</v>
      </c>
      <c r="BY342" s="83">
        <f t="shared" si="201"/>
        <v>0</v>
      </c>
      <c r="BZ342">
        <v>0</v>
      </c>
      <c r="CA342" s="83">
        <f t="shared" si="202"/>
        <v>0</v>
      </c>
      <c r="CB342" s="96">
        <f t="shared" si="203"/>
        <v>7.7003121748178985E-2</v>
      </c>
      <c r="CC342" s="96">
        <f t="shared" si="204"/>
        <v>7.8300561797752813E-2</v>
      </c>
      <c r="CD342" s="97">
        <f t="shared" si="205"/>
        <v>-1.2974400495738281E-3</v>
      </c>
      <c r="CE342" s="96">
        <f t="shared" si="206"/>
        <v>3.7275985663082441E-2</v>
      </c>
      <c r="CF342" s="96">
        <f t="shared" si="207"/>
        <v>0.1173096976016684</v>
      </c>
      <c r="CG342" s="96">
        <f t="shared" si="208"/>
        <v>-8.0033711938585966E-2</v>
      </c>
      <c r="CH342" s="95">
        <f t="shared" si="209"/>
        <v>7.8880990598486592E-2</v>
      </c>
      <c r="CI342" s="95">
        <f t="shared" si="210"/>
        <v>7.6975016880486163E-2</v>
      </c>
      <c r="CJ342" s="98">
        <f t="shared" si="211"/>
        <v>1.9059737180004283E-3</v>
      </c>
      <c r="CK342" s="95">
        <f t="shared" si="212"/>
        <v>8.149321715021289E-2</v>
      </c>
      <c r="CL342" s="95">
        <f t="shared" si="213"/>
        <v>0.12655892849981953</v>
      </c>
      <c r="CM342" s="98">
        <f t="shared" si="214"/>
        <v>-4.5065711349606644E-2</v>
      </c>
      <c r="CN342" s="94">
        <f t="shared" si="215"/>
        <v>0.39440495299243294</v>
      </c>
      <c r="CO342" s="94">
        <f t="shared" si="216"/>
        <v>0.40746608575106447</v>
      </c>
    </row>
    <row r="343" spans="1:93" ht="24.5" x14ac:dyDescent="0.35">
      <c r="A343" s="104">
        <v>208231</v>
      </c>
      <c r="B343" s="5" t="s">
        <v>581</v>
      </c>
      <c r="C343" s="46" t="s">
        <v>616</v>
      </c>
      <c r="D343" s="13" t="s">
        <v>617</v>
      </c>
      <c r="E343" s="6" t="s">
        <v>89</v>
      </c>
      <c r="F343" s="6" t="s">
        <v>603</v>
      </c>
      <c r="G343" s="12" t="s">
        <v>603</v>
      </c>
      <c r="H343" s="51" t="s">
        <v>120</v>
      </c>
      <c r="I343" s="24" t="s">
        <v>86</v>
      </c>
      <c r="J343" s="19">
        <v>372</v>
      </c>
      <c r="K343" s="19">
        <v>436</v>
      </c>
      <c r="L343" s="19">
        <v>132</v>
      </c>
      <c r="M343" s="19">
        <v>128</v>
      </c>
      <c r="N343" s="18">
        <v>404</v>
      </c>
      <c r="O343" s="18">
        <v>464</v>
      </c>
      <c r="P343" s="18">
        <v>148</v>
      </c>
      <c r="Q343" s="18">
        <v>124</v>
      </c>
      <c r="R343" s="19">
        <v>440</v>
      </c>
      <c r="S343" s="19">
        <v>392</v>
      </c>
      <c r="T343" s="19">
        <v>124</v>
      </c>
      <c r="U343" s="19">
        <v>136</v>
      </c>
      <c r="V343" s="19">
        <v>488</v>
      </c>
      <c r="W343" s="19">
        <v>404</v>
      </c>
      <c r="X343" s="19">
        <v>124</v>
      </c>
      <c r="Y343" s="19">
        <v>136</v>
      </c>
      <c r="Z343" s="19">
        <v>464</v>
      </c>
      <c r="AA343" s="19">
        <v>392</v>
      </c>
      <c r="AB343" s="19">
        <v>124</v>
      </c>
      <c r="AC343" s="19">
        <v>124</v>
      </c>
      <c r="AD343" s="19">
        <v>414</v>
      </c>
      <c r="AE343" s="19">
        <v>368</v>
      </c>
      <c r="AF343" s="19">
        <v>108</v>
      </c>
      <c r="AG343" s="19">
        <v>112</v>
      </c>
      <c r="AH343" s="19">
        <v>448</v>
      </c>
      <c r="AI343" s="19">
        <v>416</v>
      </c>
      <c r="AJ343" s="19">
        <v>116</v>
      </c>
      <c r="AK343" s="19">
        <v>124</v>
      </c>
      <c r="AL343" s="19">
        <v>432</v>
      </c>
      <c r="AM343" s="19">
        <v>384</v>
      </c>
      <c r="AN343" s="19">
        <v>96</v>
      </c>
      <c r="AO343" s="19">
        <v>108</v>
      </c>
      <c r="AP343" s="19">
        <v>420</v>
      </c>
      <c r="AQ343" s="19">
        <v>401.5</v>
      </c>
      <c r="AR343" s="19">
        <v>96</v>
      </c>
      <c r="AS343" s="19">
        <v>72.5</v>
      </c>
      <c r="AT343" s="19">
        <v>376</v>
      </c>
      <c r="AU343" s="19">
        <v>356</v>
      </c>
      <c r="AV343" s="19">
        <v>92</v>
      </c>
      <c r="AW343" s="19">
        <v>100</v>
      </c>
      <c r="AX343" s="19">
        <v>395</v>
      </c>
      <c r="AY343" s="19">
        <v>344</v>
      </c>
      <c r="AZ343" s="19">
        <v>95</v>
      </c>
      <c r="BA343" s="19">
        <v>100</v>
      </c>
      <c r="BB343" s="19">
        <v>432</v>
      </c>
      <c r="BC343" s="19">
        <v>412</v>
      </c>
      <c r="BD343" s="19">
        <v>96</v>
      </c>
      <c r="BE343" s="19">
        <v>116</v>
      </c>
      <c r="BF343" s="23">
        <v>28.716799999999999</v>
      </c>
      <c r="BG343" s="23">
        <v>77.139399999999995</v>
      </c>
      <c r="BH343" s="31">
        <f t="shared" si="186"/>
        <v>432</v>
      </c>
      <c r="BI343" s="31">
        <f t="shared" si="187"/>
        <v>412</v>
      </c>
      <c r="BJ343" s="37">
        <f t="shared" si="188"/>
        <v>20</v>
      </c>
      <c r="BK343" s="37">
        <f t="shared" si="189"/>
        <v>4.8543689320388346</v>
      </c>
      <c r="BL343" s="36">
        <f t="shared" si="190"/>
        <v>96</v>
      </c>
      <c r="BM343" s="36">
        <f t="shared" si="191"/>
        <v>116</v>
      </c>
      <c r="BN343" s="37">
        <f t="shared" si="192"/>
        <v>-20</v>
      </c>
      <c r="BO343" s="37">
        <f t="shared" si="193"/>
        <v>-17.241379310344829</v>
      </c>
      <c r="BP343" s="38">
        <f t="shared" si="194"/>
        <v>5209</v>
      </c>
      <c r="BQ343" s="39">
        <f>J343+N343+S343+W343+AA343+AE343+AI343+AM343+AQ343+AU343+Table1[[#This Row],[MS-0225]]+Table1[[#This Row],[MS-0325]]</f>
        <v>4645.5</v>
      </c>
      <c r="BR343" s="37">
        <f t="shared" si="195"/>
        <v>563.5</v>
      </c>
      <c r="BS343" s="37">
        <f t="shared" si="196"/>
        <v>12.130018297276933</v>
      </c>
      <c r="BT343" s="36">
        <f t="shared" si="197"/>
        <v>1323</v>
      </c>
      <c r="BU343" s="36">
        <f t="shared" si="198"/>
        <v>1408.5</v>
      </c>
      <c r="BV343" s="37">
        <f t="shared" si="199"/>
        <v>-85.5</v>
      </c>
      <c r="BW343" s="37">
        <f t="shared" si="200"/>
        <v>-6.0702875399361016</v>
      </c>
      <c r="BX343">
        <v>0</v>
      </c>
      <c r="BY343" s="83">
        <f t="shared" si="201"/>
        <v>0</v>
      </c>
      <c r="BZ343">
        <v>0</v>
      </c>
      <c r="CA343" s="83">
        <f t="shared" si="202"/>
        <v>0</v>
      </c>
      <c r="CB343" s="96">
        <f t="shared" si="203"/>
        <v>0.32714880726997347</v>
      </c>
      <c r="CC343" s="96">
        <f t="shared" si="204"/>
        <v>0.31295100645651347</v>
      </c>
      <c r="CD343" s="97">
        <f t="shared" si="205"/>
        <v>1.4197800813460004E-2</v>
      </c>
      <c r="CE343" s="96">
        <f t="shared" si="206"/>
        <v>0.12443292287751134</v>
      </c>
      <c r="CF343" s="96">
        <f t="shared" si="207"/>
        <v>0.15193189259986903</v>
      </c>
      <c r="CG343" s="96">
        <f t="shared" si="208"/>
        <v>-2.7498969722357686E-2</v>
      </c>
      <c r="CH343" s="95">
        <f t="shared" si="209"/>
        <v>0.30840734162226169</v>
      </c>
      <c r="CI343" s="95">
        <f t="shared" si="210"/>
        <v>0.30162646495471218</v>
      </c>
      <c r="CJ343" s="98">
        <f t="shared" si="211"/>
        <v>6.7808766675495069E-3</v>
      </c>
      <c r="CK343" s="95">
        <f t="shared" si="212"/>
        <v>0.13563666188230469</v>
      </c>
      <c r="CL343" s="95">
        <f t="shared" si="213"/>
        <v>0.14772667680528606</v>
      </c>
      <c r="CM343" s="98">
        <f t="shared" si="214"/>
        <v>-1.2090014922981368E-2</v>
      </c>
      <c r="CN343" s="94">
        <f t="shared" si="215"/>
        <v>1.2336293664890468</v>
      </c>
      <c r="CO343" s="94">
        <f t="shared" si="216"/>
        <v>0.54254664752921877</v>
      </c>
    </row>
    <row r="344" spans="1:93" ht="24.5" x14ac:dyDescent="0.35">
      <c r="A344" s="103">
        <v>41057001</v>
      </c>
      <c r="B344" s="9" t="s">
        <v>380</v>
      </c>
      <c r="C344" s="47" t="s">
        <v>435</v>
      </c>
      <c r="D344" s="14" t="s">
        <v>436</v>
      </c>
      <c r="E344" s="10" t="s">
        <v>103</v>
      </c>
      <c r="F344" s="10" t="s">
        <v>104</v>
      </c>
      <c r="G344" s="12" t="s">
        <v>104</v>
      </c>
      <c r="H344" s="51" t="s">
        <v>105</v>
      </c>
      <c r="I344" s="25" t="s">
        <v>78</v>
      </c>
      <c r="J344" s="20">
        <v>113.5</v>
      </c>
      <c r="K344" s="20">
        <v>132</v>
      </c>
      <c r="L344" s="20">
        <v>84.5</v>
      </c>
      <c r="M344" s="20">
        <v>117</v>
      </c>
      <c r="N344" s="18">
        <v>135</v>
      </c>
      <c r="O344" s="18">
        <v>135.5</v>
      </c>
      <c r="P344" s="18">
        <v>110</v>
      </c>
      <c r="Q344" s="18">
        <v>129.5</v>
      </c>
      <c r="R344" s="20">
        <v>125</v>
      </c>
      <c r="S344" s="20">
        <v>131</v>
      </c>
      <c r="T344" s="20">
        <v>103</v>
      </c>
      <c r="U344" s="20">
        <v>83</v>
      </c>
      <c r="V344" s="20">
        <v>110.5</v>
      </c>
      <c r="W344" s="20">
        <v>127.5</v>
      </c>
      <c r="X344" s="20">
        <v>79.5</v>
      </c>
      <c r="Y344" s="20">
        <v>108.5</v>
      </c>
      <c r="Z344" s="20">
        <v>147.5</v>
      </c>
      <c r="AA344" s="20">
        <v>146.5</v>
      </c>
      <c r="AB344" s="20">
        <v>73.5</v>
      </c>
      <c r="AC344" s="20">
        <v>87.5</v>
      </c>
      <c r="AD344" s="20">
        <v>146.5</v>
      </c>
      <c r="AE344" s="20">
        <v>134.5</v>
      </c>
      <c r="AF344" s="20">
        <v>113.5</v>
      </c>
      <c r="AG344" s="20">
        <v>80.5</v>
      </c>
      <c r="AH344" s="20">
        <v>118</v>
      </c>
      <c r="AI344" s="20">
        <v>124</v>
      </c>
      <c r="AJ344" s="20">
        <v>98</v>
      </c>
      <c r="AK344" s="20">
        <v>89</v>
      </c>
      <c r="AL344" s="20">
        <v>131.5</v>
      </c>
      <c r="AM344" s="20">
        <v>115</v>
      </c>
      <c r="AN344" s="20">
        <v>101.5</v>
      </c>
      <c r="AO344" s="20">
        <v>55</v>
      </c>
      <c r="AP344" s="20">
        <v>111.5</v>
      </c>
      <c r="AQ344" s="20">
        <v>120</v>
      </c>
      <c r="AR344" s="20">
        <v>91.5</v>
      </c>
      <c r="AS344" s="20">
        <v>51</v>
      </c>
      <c r="AT344" s="20">
        <v>111</v>
      </c>
      <c r="AU344" s="20">
        <v>126</v>
      </c>
      <c r="AV344" s="20">
        <v>99</v>
      </c>
      <c r="AW344" s="20">
        <v>94</v>
      </c>
      <c r="AX344" s="20">
        <v>134.5</v>
      </c>
      <c r="AY344" s="20">
        <v>120</v>
      </c>
      <c r="AZ344" s="20">
        <v>111.5</v>
      </c>
      <c r="BA344" s="20">
        <v>94</v>
      </c>
      <c r="BB344" s="20">
        <v>110</v>
      </c>
      <c r="BC344" s="20">
        <v>124.5</v>
      </c>
      <c r="BD344" s="20">
        <v>91</v>
      </c>
      <c r="BE344" s="20">
        <v>92.5</v>
      </c>
      <c r="BF344" s="23">
        <v>28.59629</v>
      </c>
      <c r="BG344" s="23">
        <v>77.204459999999997</v>
      </c>
      <c r="BH344" s="31">
        <f t="shared" si="186"/>
        <v>110</v>
      </c>
      <c r="BI344" s="31">
        <f t="shared" si="187"/>
        <v>124.5</v>
      </c>
      <c r="BJ344" s="37">
        <f t="shared" si="188"/>
        <v>-14.5</v>
      </c>
      <c r="BK344" s="37">
        <f t="shared" si="189"/>
        <v>-11.646586345381527</v>
      </c>
      <c r="BL344" s="36">
        <f t="shared" si="190"/>
        <v>91</v>
      </c>
      <c r="BM344" s="36">
        <f t="shared" si="191"/>
        <v>92.5</v>
      </c>
      <c r="BN344" s="37">
        <f t="shared" si="192"/>
        <v>-1.5</v>
      </c>
      <c r="BO344" s="37">
        <f t="shared" si="193"/>
        <v>-1.6216216216216217</v>
      </c>
      <c r="BP344" s="38">
        <f t="shared" si="194"/>
        <v>1513.5</v>
      </c>
      <c r="BQ344" s="39">
        <f>J344+N344+S344+W344+AA344+AE344+AI344+AM344+AQ344+AU344+Table1[[#This Row],[MS-0225]]+Table1[[#This Row],[MS-0325]]</f>
        <v>1517.5</v>
      </c>
      <c r="BR344" s="37">
        <f t="shared" si="195"/>
        <v>-4</v>
      </c>
      <c r="BS344" s="37">
        <f t="shared" si="196"/>
        <v>-0.26359143327841844</v>
      </c>
      <c r="BT344" s="36">
        <f t="shared" si="197"/>
        <v>1208.5</v>
      </c>
      <c r="BU344" s="36">
        <f t="shared" si="198"/>
        <v>1029.5</v>
      </c>
      <c r="BV344" s="37">
        <f t="shared" si="199"/>
        <v>179</v>
      </c>
      <c r="BW344" s="37">
        <f t="shared" si="200"/>
        <v>17.387081107333657</v>
      </c>
      <c r="BX344">
        <v>0</v>
      </c>
      <c r="BY344" s="83">
        <f t="shared" si="201"/>
        <v>0</v>
      </c>
      <c r="BZ344">
        <v>0</v>
      </c>
      <c r="CA344" s="83">
        <f t="shared" si="202"/>
        <v>0</v>
      </c>
      <c r="CB344" s="96">
        <f t="shared" si="203"/>
        <v>8.0845396489306304E-2</v>
      </c>
      <c r="CC344" s="96">
        <f t="shared" si="204"/>
        <v>9.3248508398357605E-2</v>
      </c>
      <c r="CD344" s="97">
        <f t="shared" si="205"/>
        <v>-1.2403111909051301E-2</v>
      </c>
      <c r="CE344" s="96">
        <f t="shared" si="206"/>
        <v>0.19818108960398634</v>
      </c>
      <c r="CF344" s="96">
        <f t="shared" si="207"/>
        <v>0.18417599659125075</v>
      </c>
      <c r="CG344" s="96">
        <f t="shared" si="208"/>
        <v>1.4005093012735587E-2</v>
      </c>
      <c r="CH344" s="95">
        <f t="shared" si="209"/>
        <v>9.0121921007642602E-2</v>
      </c>
      <c r="CI344" s="95">
        <f t="shared" si="210"/>
        <v>9.3384929611973311E-2</v>
      </c>
      <c r="CJ344" s="98">
        <f t="shared" si="211"/>
        <v>-3.2630086043307083E-3</v>
      </c>
      <c r="CK344" s="95">
        <f t="shared" si="212"/>
        <v>0.21513832224522708</v>
      </c>
      <c r="CL344" s="95">
        <f t="shared" si="213"/>
        <v>0.167334274889192</v>
      </c>
      <c r="CM344" s="98">
        <f t="shared" si="214"/>
        <v>4.7804047356035079E-2</v>
      </c>
      <c r="CN344" s="94">
        <f t="shared" si="215"/>
        <v>0.54073152604585561</v>
      </c>
      <c r="CO344" s="94">
        <f t="shared" si="216"/>
        <v>1.2908299334713624</v>
      </c>
    </row>
    <row r="345" spans="1:93" ht="24.5" x14ac:dyDescent="0.35">
      <c r="A345" s="102">
        <v>198868</v>
      </c>
      <c r="B345" s="3" t="s">
        <v>72</v>
      </c>
      <c r="C345" s="41" t="s">
        <v>1006</v>
      </c>
      <c r="D345" s="12" t="s">
        <v>176</v>
      </c>
      <c r="E345" s="4" t="s">
        <v>89</v>
      </c>
      <c r="F345" s="4" t="s">
        <v>177</v>
      </c>
      <c r="G345" s="12" t="s">
        <v>177</v>
      </c>
      <c r="H345" s="51" t="s">
        <v>178</v>
      </c>
      <c r="I345" s="23" t="s">
        <v>86</v>
      </c>
      <c r="J345" s="90">
        <v>95</v>
      </c>
      <c r="K345" s="90">
        <v>103</v>
      </c>
      <c r="L345" s="90">
        <v>277</v>
      </c>
      <c r="M345" s="90">
        <v>219</v>
      </c>
      <c r="N345" s="18">
        <v>100.5</v>
      </c>
      <c r="O345" s="18">
        <v>97</v>
      </c>
      <c r="P345" s="18">
        <v>379.5</v>
      </c>
      <c r="Q345" s="18">
        <v>277</v>
      </c>
      <c r="R345" s="90">
        <v>102</v>
      </c>
      <c r="S345" s="90">
        <v>92.5</v>
      </c>
      <c r="T345" s="90">
        <v>288</v>
      </c>
      <c r="U345" s="90">
        <v>365.5</v>
      </c>
      <c r="V345" s="90">
        <v>112</v>
      </c>
      <c r="W345" s="90">
        <v>102</v>
      </c>
      <c r="X345" s="90">
        <v>210</v>
      </c>
      <c r="Y345" s="90">
        <v>348</v>
      </c>
      <c r="Z345" s="90">
        <v>114</v>
      </c>
      <c r="AA345" s="90">
        <v>99</v>
      </c>
      <c r="AB345" s="90">
        <v>168</v>
      </c>
      <c r="AC345" s="90">
        <v>263</v>
      </c>
      <c r="AD345" s="90">
        <v>115</v>
      </c>
      <c r="AE345" s="90">
        <v>90.5</v>
      </c>
      <c r="AF345" s="90">
        <v>137</v>
      </c>
      <c r="AG345" s="90">
        <v>269.5</v>
      </c>
      <c r="AH345" s="90">
        <v>123</v>
      </c>
      <c r="AI345" s="90">
        <v>100.5</v>
      </c>
      <c r="AJ345" s="90">
        <v>157</v>
      </c>
      <c r="AK345" s="90">
        <v>237.5</v>
      </c>
      <c r="AL345" s="90">
        <v>108</v>
      </c>
      <c r="AM345" s="90">
        <v>84</v>
      </c>
      <c r="AN345" s="90">
        <v>152</v>
      </c>
      <c r="AO345" s="90">
        <v>154</v>
      </c>
      <c r="AP345" s="90">
        <v>112</v>
      </c>
      <c r="AQ345" s="90">
        <v>90</v>
      </c>
      <c r="AR345" s="90">
        <v>140</v>
      </c>
      <c r="AS345" s="90">
        <v>120</v>
      </c>
      <c r="AT345" s="90">
        <v>117</v>
      </c>
      <c r="AU345" s="90">
        <v>99</v>
      </c>
      <c r="AV345" s="90">
        <v>149</v>
      </c>
      <c r="AW345" s="90">
        <v>181</v>
      </c>
      <c r="AX345" s="90">
        <v>104</v>
      </c>
      <c r="AY345" s="90">
        <v>91</v>
      </c>
      <c r="AZ345" s="90">
        <v>134</v>
      </c>
      <c r="BA345" s="90">
        <v>203</v>
      </c>
      <c r="BB345" s="90">
        <v>108</v>
      </c>
      <c r="BC345" s="90">
        <v>96</v>
      </c>
      <c r="BD345" s="90">
        <v>306</v>
      </c>
      <c r="BE345" s="90">
        <v>212</v>
      </c>
      <c r="BF345" s="23">
        <v>28.123000000000001</v>
      </c>
      <c r="BG345" s="23">
        <v>71.653000000000006</v>
      </c>
      <c r="BH345" s="31">
        <f t="shared" si="186"/>
        <v>108</v>
      </c>
      <c r="BI345" s="31">
        <f t="shared" si="187"/>
        <v>96</v>
      </c>
      <c r="BJ345" s="37">
        <f t="shared" si="188"/>
        <v>12</v>
      </c>
      <c r="BK345" s="37">
        <f t="shared" si="189"/>
        <v>12.5</v>
      </c>
      <c r="BL345" s="36">
        <f t="shared" si="190"/>
        <v>306</v>
      </c>
      <c r="BM345" s="36">
        <f t="shared" si="191"/>
        <v>212</v>
      </c>
      <c r="BN345" s="37">
        <f t="shared" si="192"/>
        <v>94</v>
      </c>
      <c r="BO345" s="37">
        <f t="shared" si="193"/>
        <v>44.339622641509436</v>
      </c>
      <c r="BP345" s="38">
        <f t="shared" si="194"/>
        <v>1315</v>
      </c>
      <c r="BQ345" s="39">
        <f>J345+N345+S345+W345+AA345+AE345+AI345+AM345+AQ345+AU345+Table1[[#This Row],[MS-0225]]+Table1[[#This Row],[MS-0325]]</f>
        <v>1140</v>
      </c>
      <c r="BR345" s="37">
        <f t="shared" si="195"/>
        <v>175</v>
      </c>
      <c r="BS345" s="37">
        <f t="shared" si="196"/>
        <v>15.350877192982457</v>
      </c>
      <c r="BT345" s="36">
        <f t="shared" si="197"/>
        <v>2337</v>
      </c>
      <c r="BU345" s="36">
        <f t="shared" si="198"/>
        <v>3010</v>
      </c>
      <c r="BV345" s="37">
        <f t="shared" si="199"/>
        <v>-673</v>
      </c>
      <c r="BW345" s="37">
        <f t="shared" si="200"/>
        <v>-22.358803986710964</v>
      </c>
      <c r="BX345">
        <v>0</v>
      </c>
      <c r="BY345" s="83">
        <f t="shared" si="201"/>
        <v>0</v>
      </c>
      <c r="BZ345">
        <v>0</v>
      </c>
      <c r="CA345" s="83">
        <f t="shared" si="202"/>
        <v>0</v>
      </c>
      <c r="CB345" s="96">
        <f t="shared" si="203"/>
        <v>0.18927710167685491</v>
      </c>
      <c r="CC345" s="96">
        <f t="shared" si="204"/>
        <v>0.17906138261500495</v>
      </c>
      <c r="CD345" s="97">
        <f t="shared" si="205"/>
        <v>1.0215719061849954E-2</v>
      </c>
      <c r="CE345" s="96">
        <f t="shared" si="206"/>
        <v>0.3013697550829062</v>
      </c>
      <c r="CF345" s="96">
        <f t="shared" si="207"/>
        <v>0.22426600487038059</v>
      </c>
      <c r="CG345" s="96">
        <f t="shared" si="208"/>
        <v>7.7103750212525607E-2</v>
      </c>
      <c r="CH345" s="95">
        <f t="shared" si="209"/>
        <v>0.1934359745311752</v>
      </c>
      <c r="CI345" s="95">
        <f t="shared" si="210"/>
        <v>0.18219043727143289</v>
      </c>
      <c r="CJ345" s="98">
        <f t="shared" si="211"/>
        <v>1.1245537259742311E-2</v>
      </c>
      <c r="CK345" s="95">
        <f t="shared" si="212"/>
        <v>0.2093410540201141</v>
      </c>
      <c r="CL345" s="95">
        <f t="shared" si="213"/>
        <v>0.24286285768414045</v>
      </c>
      <c r="CM345" s="98">
        <f t="shared" si="214"/>
        <v>-3.3521803664026351E-2</v>
      </c>
      <c r="CN345" s="94">
        <f t="shared" si="215"/>
        <v>0.96717987265587602</v>
      </c>
      <c r="CO345" s="94">
        <f t="shared" si="216"/>
        <v>1.0467052701005706</v>
      </c>
    </row>
    <row r="346" spans="1:93" ht="36.5" x14ac:dyDescent="0.35">
      <c r="A346" s="102">
        <v>112455</v>
      </c>
      <c r="B346" s="3" t="s">
        <v>72</v>
      </c>
      <c r="C346" s="43" t="s">
        <v>282</v>
      </c>
      <c r="D346" s="12" t="s">
        <v>283</v>
      </c>
      <c r="E346" s="4" t="s">
        <v>103</v>
      </c>
      <c r="F346" s="4" t="s">
        <v>208</v>
      </c>
      <c r="G346" s="12" t="s">
        <v>208</v>
      </c>
      <c r="H346" s="51" t="s">
        <v>105</v>
      </c>
      <c r="I346" s="23" t="s">
        <v>83</v>
      </c>
      <c r="J346" s="90">
        <v>92.5</v>
      </c>
      <c r="K346" s="90">
        <v>100</v>
      </c>
      <c r="L346" s="90">
        <v>21.5</v>
      </c>
      <c r="M346" s="90">
        <v>12</v>
      </c>
      <c r="N346" s="18">
        <v>96.5</v>
      </c>
      <c r="O346" s="18">
        <v>106</v>
      </c>
      <c r="P346" s="18">
        <v>17.5</v>
      </c>
      <c r="Q346" s="18">
        <v>20</v>
      </c>
      <c r="R346" s="90">
        <v>100</v>
      </c>
      <c r="S346" s="90">
        <v>102</v>
      </c>
      <c r="T346" s="90">
        <v>12</v>
      </c>
      <c r="U346" s="90">
        <v>18</v>
      </c>
      <c r="V346" s="90">
        <v>109</v>
      </c>
      <c r="W346" s="90">
        <v>99</v>
      </c>
      <c r="X346" s="90">
        <v>17</v>
      </c>
      <c r="Y346" s="90">
        <v>21</v>
      </c>
      <c r="Z346" s="90">
        <v>98</v>
      </c>
      <c r="AA346" s="90">
        <v>108.5</v>
      </c>
      <c r="AB346" s="90">
        <v>14</v>
      </c>
      <c r="AC346" s="90">
        <v>17.5</v>
      </c>
      <c r="AD346" s="90">
        <v>109</v>
      </c>
      <c r="AE346" s="90">
        <v>101.5</v>
      </c>
      <c r="AF346" s="90">
        <v>17</v>
      </c>
      <c r="AG346" s="90">
        <v>21.5</v>
      </c>
      <c r="AH346" s="90">
        <v>105</v>
      </c>
      <c r="AI346" s="90">
        <v>104</v>
      </c>
      <c r="AJ346" s="90">
        <v>21</v>
      </c>
      <c r="AK346" s="90">
        <v>18</v>
      </c>
      <c r="AL346" s="90">
        <v>96</v>
      </c>
      <c r="AM346" s="90">
        <v>98</v>
      </c>
      <c r="AN346" s="90">
        <v>16</v>
      </c>
      <c r="AO346" s="90">
        <v>12</v>
      </c>
      <c r="AP346" s="90">
        <v>96</v>
      </c>
      <c r="AQ346" s="90">
        <v>92</v>
      </c>
      <c r="AR346" s="90">
        <v>16</v>
      </c>
      <c r="AS346" s="90">
        <v>16</v>
      </c>
      <c r="AT346" s="90">
        <v>95</v>
      </c>
      <c r="AU346" s="90">
        <v>95</v>
      </c>
      <c r="AV346" s="90">
        <v>17</v>
      </c>
      <c r="AW346" s="90">
        <v>17</v>
      </c>
      <c r="AX346" s="90">
        <v>84</v>
      </c>
      <c r="AY346" s="90">
        <v>85</v>
      </c>
      <c r="AZ346" s="90">
        <v>14</v>
      </c>
      <c r="BA346" s="90">
        <v>13</v>
      </c>
      <c r="BB346" s="90">
        <v>103</v>
      </c>
      <c r="BC346" s="90">
        <v>96</v>
      </c>
      <c r="BD346" s="90">
        <v>9</v>
      </c>
      <c r="BE346" s="90">
        <v>16</v>
      </c>
      <c r="BF346" s="23">
        <v>28.634460000000001</v>
      </c>
      <c r="BG346" s="23">
        <v>77.22072</v>
      </c>
      <c r="BH346" s="31">
        <f t="shared" si="186"/>
        <v>103</v>
      </c>
      <c r="BI346" s="31">
        <f t="shared" si="187"/>
        <v>96</v>
      </c>
      <c r="BJ346" s="37">
        <f t="shared" si="188"/>
        <v>7</v>
      </c>
      <c r="BK346" s="37">
        <f t="shared" si="189"/>
        <v>7.291666666666667</v>
      </c>
      <c r="BL346" s="36">
        <f t="shared" si="190"/>
        <v>9</v>
      </c>
      <c r="BM346" s="36">
        <f t="shared" si="191"/>
        <v>16</v>
      </c>
      <c r="BN346" s="37">
        <f t="shared" si="192"/>
        <v>-7</v>
      </c>
      <c r="BO346" s="37">
        <f t="shared" si="193"/>
        <v>-43.75</v>
      </c>
      <c r="BP346" s="38">
        <f t="shared" si="194"/>
        <v>1201</v>
      </c>
      <c r="BQ346" s="39">
        <f>J346+N346+S346+W346+AA346+AE346+AI346+AM346+AQ346+AU346+Table1[[#This Row],[MS-0225]]+Table1[[#This Row],[MS-0325]]</f>
        <v>1170</v>
      </c>
      <c r="BR346" s="37">
        <f t="shared" si="195"/>
        <v>31</v>
      </c>
      <c r="BS346" s="37">
        <f t="shared" si="196"/>
        <v>2.6495726495726495</v>
      </c>
      <c r="BT346" s="36">
        <f t="shared" si="197"/>
        <v>185</v>
      </c>
      <c r="BU346" s="36">
        <f t="shared" si="198"/>
        <v>209</v>
      </c>
      <c r="BV346" s="37">
        <f t="shared" si="199"/>
        <v>-24</v>
      </c>
      <c r="BW346" s="37">
        <f t="shared" si="200"/>
        <v>-11.483253588516746</v>
      </c>
      <c r="BX346">
        <v>0</v>
      </c>
      <c r="BY346" s="83">
        <f t="shared" si="201"/>
        <v>0</v>
      </c>
      <c r="BZ346">
        <v>0</v>
      </c>
      <c r="CA346" s="83">
        <f t="shared" si="202"/>
        <v>0</v>
      </c>
      <c r="CB346" s="96">
        <f t="shared" si="203"/>
        <v>8.7622288387920036E-2</v>
      </c>
      <c r="CC346" s="96">
        <f t="shared" si="204"/>
        <v>8.5752568110763733E-2</v>
      </c>
      <c r="CD346" s="97">
        <f t="shared" si="205"/>
        <v>1.8697202771563032E-3</v>
      </c>
      <c r="CE346" s="96">
        <f t="shared" si="206"/>
        <v>3.1195840554592721E-2</v>
      </c>
      <c r="CF346" s="96">
        <f t="shared" si="207"/>
        <v>5.1036682615629984E-2</v>
      </c>
      <c r="CG346" s="96">
        <f t="shared" si="208"/>
        <v>-1.9840842061037263E-2</v>
      </c>
      <c r="CH346" s="95">
        <f t="shared" si="209"/>
        <v>8.5056657223796031E-2</v>
      </c>
      <c r="CI346" s="95">
        <f t="shared" si="210"/>
        <v>8.8218661480320607E-2</v>
      </c>
      <c r="CJ346" s="98">
        <f t="shared" si="211"/>
        <v>-3.1620042565245754E-3</v>
      </c>
      <c r="CK346" s="95">
        <f t="shared" si="212"/>
        <v>5.3998832457676588E-2</v>
      </c>
      <c r="CL346" s="95">
        <f t="shared" si="213"/>
        <v>5.2691289549981091E-2</v>
      </c>
      <c r="CM346" s="98">
        <f t="shared" si="214"/>
        <v>1.307542907695497E-3</v>
      </c>
      <c r="CN346" s="94">
        <f t="shared" si="215"/>
        <v>0.85056657223796028</v>
      </c>
      <c r="CO346" s="94">
        <f t="shared" si="216"/>
        <v>0.53998832457676582</v>
      </c>
    </row>
    <row r="347" spans="1:93" ht="24.5" x14ac:dyDescent="0.35">
      <c r="A347" s="104">
        <v>289183</v>
      </c>
      <c r="B347" s="5" t="s">
        <v>581</v>
      </c>
      <c r="C347" s="46" t="s">
        <v>623</v>
      </c>
      <c r="D347" s="13" t="s">
        <v>387</v>
      </c>
      <c r="E347" s="6" t="s">
        <v>85</v>
      </c>
      <c r="F347" s="6" t="s">
        <v>192</v>
      </c>
      <c r="G347" s="12" t="s">
        <v>192</v>
      </c>
      <c r="H347" s="51" t="s">
        <v>178</v>
      </c>
      <c r="I347" s="24" t="s">
        <v>86</v>
      </c>
      <c r="J347" s="19">
        <v>104</v>
      </c>
      <c r="K347" s="19">
        <v>104</v>
      </c>
      <c r="L347" s="19">
        <v>136</v>
      </c>
      <c r="M347" s="19">
        <v>136</v>
      </c>
      <c r="N347" s="18">
        <v>92</v>
      </c>
      <c r="O347" s="18">
        <v>101</v>
      </c>
      <c r="P347" s="18">
        <v>112</v>
      </c>
      <c r="Q347" s="18">
        <v>135</v>
      </c>
      <c r="R347" s="19">
        <v>100</v>
      </c>
      <c r="S347" s="19">
        <v>104</v>
      </c>
      <c r="T347" s="19">
        <v>128</v>
      </c>
      <c r="U347" s="19">
        <v>124</v>
      </c>
      <c r="V347" s="19">
        <v>100</v>
      </c>
      <c r="W347" s="19">
        <v>96</v>
      </c>
      <c r="X347" s="19">
        <v>104</v>
      </c>
      <c r="Y347" s="19">
        <v>120</v>
      </c>
      <c r="Z347" s="19">
        <v>96</v>
      </c>
      <c r="AA347" s="19">
        <v>80</v>
      </c>
      <c r="AB347" s="19">
        <v>120</v>
      </c>
      <c r="AC347" s="19">
        <v>112</v>
      </c>
      <c r="AD347" s="19">
        <v>96</v>
      </c>
      <c r="AE347" s="19">
        <v>68</v>
      </c>
      <c r="AF347" s="19">
        <v>132</v>
      </c>
      <c r="AG347" s="19">
        <v>124</v>
      </c>
      <c r="AH347" s="19">
        <v>84</v>
      </c>
      <c r="AI347" s="19">
        <v>84</v>
      </c>
      <c r="AJ347" s="19">
        <v>96</v>
      </c>
      <c r="AK347" s="19">
        <v>120</v>
      </c>
      <c r="AL347" s="19">
        <v>101</v>
      </c>
      <c r="AM347" s="19">
        <v>92</v>
      </c>
      <c r="AN347" s="19">
        <v>109</v>
      </c>
      <c r="AO347" s="19">
        <v>124</v>
      </c>
      <c r="AP347" s="19">
        <v>100</v>
      </c>
      <c r="AQ347" s="19">
        <v>88</v>
      </c>
      <c r="AR347" s="19">
        <v>128</v>
      </c>
      <c r="AS347" s="19">
        <v>116</v>
      </c>
      <c r="AT347" s="19">
        <v>100</v>
      </c>
      <c r="AU347" s="19">
        <v>84</v>
      </c>
      <c r="AV347" s="19">
        <v>104</v>
      </c>
      <c r="AW347" s="19">
        <v>132</v>
      </c>
      <c r="AX347" s="19">
        <v>89</v>
      </c>
      <c r="AY347" s="19">
        <v>96</v>
      </c>
      <c r="AZ347" s="19">
        <v>97</v>
      </c>
      <c r="BA347" s="19">
        <v>144</v>
      </c>
      <c r="BB347" s="19">
        <v>112</v>
      </c>
      <c r="BC347" s="19">
        <v>92</v>
      </c>
      <c r="BD347" s="19">
        <v>116</v>
      </c>
      <c r="BE347" s="19">
        <v>136</v>
      </c>
      <c r="BF347" s="140">
        <v>28.686202999999999</v>
      </c>
      <c r="BG347" s="140">
        <v>76.985449000000003</v>
      </c>
      <c r="BH347" s="31">
        <f t="shared" si="186"/>
        <v>112</v>
      </c>
      <c r="BI347" s="31">
        <f t="shared" si="187"/>
        <v>92</v>
      </c>
      <c r="BJ347" s="37">
        <f t="shared" si="188"/>
        <v>20</v>
      </c>
      <c r="BK347" s="37">
        <f t="shared" si="189"/>
        <v>21.739130434782609</v>
      </c>
      <c r="BL347" s="36">
        <f t="shared" si="190"/>
        <v>116</v>
      </c>
      <c r="BM347" s="36">
        <f t="shared" si="191"/>
        <v>136</v>
      </c>
      <c r="BN347" s="37">
        <f t="shared" si="192"/>
        <v>-20</v>
      </c>
      <c r="BO347" s="37">
        <f t="shared" si="193"/>
        <v>-14.705882352941178</v>
      </c>
      <c r="BP347" s="38">
        <f t="shared" si="194"/>
        <v>1183</v>
      </c>
      <c r="BQ347" s="39">
        <f>J347+N347+S347+W347+AA347+AE347+AI347+AM347+AQ347+AU347+Table1[[#This Row],[MS-0225]]+Table1[[#This Row],[MS-0325]]</f>
        <v>1080</v>
      </c>
      <c r="BR347" s="37">
        <f t="shared" si="195"/>
        <v>103</v>
      </c>
      <c r="BS347" s="37">
        <f t="shared" si="196"/>
        <v>9.5370370370370363</v>
      </c>
      <c r="BT347" s="36">
        <f t="shared" si="197"/>
        <v>1405</v>
      </c>
      <c r="BU347" s="36">
        <f t="shared" si="198"/>
        <v>1500</v>
      </c>
      <c r="BV347" s="37">
        <f t="shared" si="199"/>
        <v>-95</v>
      </c>
      <c r="BW347" s="37">
        <f t="shared" si="200"/>
        <v>-6.3333333333333339</v>
      </c>
      <c r="BX347">
        <v>0</v>
      </c>
      <c r="BY347" s="83">
        <f t="shared" si="201"/>
        <v>0</v>
      </c>
      <c r="BZ347">
        <v>0</v>
      </c>
      <c r="CA347" s="83">
        <f t="shared" si="202"/>
        <v>0</v>
      </c>
      <c r="CB347" s="96">
        <f t="shared" si="203"/>
        <v>9.1465904450796248E-2</v>
      </c>
      <c r="CC347" s="96">
        <f t="shared" si="204"/>
        <v>7.5502667213787442E-2</v>
      </c>
      <c r="CD347" s="97">
        <f t="shared" si="205"/>
        <v>1.5963237237008807E-2</v>
      </c>
      <c r="CE347" s="96">
        <f t="shared" si="206"/>
        <v>9.9870856650882481E-2</v>
      </c>
      <c r="CF347" s="96">
        <f t="shared" si="207"/>
        <v>0.13955874807593638</v>
      </c>
      <c r="CG347" s="96">
        <f t="shared" si="208"/>
        <v>-3.9687891425053898E-2</v>
      </c>
      <c r="CH347" s="95">
        <f t="shared" si="209"/>
        <v>8.0536455851317315E-2</v>
      </c>
      <c r="CI347" s="95">
        <f t="shared" si="210"/>
        <v>7.7611296755416628E-2</v>
      </c>
      <c r="CJ347" s="98">
        <f t="shared" si="211"/>
        <v>2.9251590959006868E-3</v>
      </c>
      <c r="CK347" s="95">
        <f t="shared" si="212"/>
        <v>0.1192193466270683</v>
      </c>
      <c r="CL347" s="95">
        <f t="shared" si="213"/>
        <v>0.11335726431135462</v>
      </c>
      <c r="CM347" s="98">
        <f t="shared" si="214"/>
        <v>5.862082315713682E-3</v>
      </c>
      <c r="CN347" s="94">
        <f t="shared" si="215"/>
        <v>0.80536455851317312</v>
      </c>
      <c r="CO347" s="94">
        <f t="shared" si="216"/>
        <v>1.192193466270683</v>
      </c>
    </row>
    <row r="348" spans="1:93" x14ac:dyDescent="0.35">
      <c r="A348" s="104">
        <v>186830</v>
      </c>
      <c r="B348" s="5" t="s">
        <v>581</v>
      </c>
      <c r="C348" s="46" t="s">
        <v>844</v>
      </c>
      <c r="D348" s="13" t="s">
        <v>845</v>
      </c>
      <c r="E348" s="6" t="s">
        <v>103</v>
      </c>
      <c r="F348" s="6" t="s">
        <v>181</v>
      </c>
      <c r="G348" s="12" t="s">
        <v>181</v>
      </c>
      <c r="H348" s="51" t="s">
        <v>105</v>
      </c>
      <c r="I348" s="24" t="s">
        <v>83</v>
      </c>
      <c r="J348" s="19">
        <v>79.5</v>
      </c>
      <c r="K348" s="19">
        <v>85.5</v>
      </c>
      <c r="L348" s="19">
        <v>40.5</v>
      </c>
      <c r="M348" s="19">
        <v>40.5</v>
      </c>
      <c r="N348" s="18">
        <v>81.5</v>
      </c>
      <c r="O348" s="18">
        <v>103.5</v>
      </c>
      <c r="P348" s="18">
        <v>38.5</v>
      </c>
      <c r="Q348" s="18">
        <v>40.5</v>
      </c>
      <c r="R348" s="19">
        <v>111.5</v>
      </c>
      <c r="S348" s="19">
        <v>107.5</v>
      </c>
      <c r="T348" s="19">
        <v>40.5</v>
      </c>
      <c r="U348" s="19">
        <v>54.5</v>
      </c>
      <c r="V348" s="19">
        <v>103.5</v>
      </c>
      <c r="W348" s="19">
        <v>93</v>
      </c>
      <c r="X348" s="19">
        <v>40.5</v>
      </c>
      <c r="Y348" s="19">
        <v>57</v>
      </c>
      <c r="Z348" s="19">
        <v>127</v>
      </c>
      <c r="AA348" s="19">
        <v>101</v>
      </c>
      <c r="AB348" s="19">
        <v>49</v>
      </c>
      <c r="AC348" s="19">
        <v>57</v>
      </c>
      <c r="AD348" s="19">
        <v>103.5</v>
      </c>
      <c r="AE348" s="19">
        <v>83.5</v>
      </c>
      <c r="AF348" s="19">
        <v>40.5</v>
      </c>
      <c r="AG348" s="19">
        <v>48.5</v>
      </c>
      <c r="AH348" s="19">
        <v>94.5</v>
      </c>
      <c r="AI348" s="19">
        <v>103.5</v>
      </c>
      <c r="AJ348" s="19">
        <v>31.5</v>
      </c>
      <c r="AK348" s="19">
        <v>40.5</v>
      </c>
      <c r="AL348" s="19">
        <v>85.5</v>
      </c>
      <c r="AM348" s="19">
        <v>90</v>
      </c>
      <c r="AN348" s="19">
        <v>40.5</v>
      </c>
      <c r="AO348" s="19">
        <v>36</v>
      </c>
      <c r="AP348" s="19">
        <v>103.5</v>
      </c>
      <c r="AQ348" s="19">
        <v>94.5</v>
      </c>
      <c r="AR348" s="19">
        <v>40.5</v>
      </c>
      <c r="AS348" s="19">
        <v>37.5</v>
      </c>
      <c r="AT348" s="19">
        <v>90</v>
      </c>
      <c r="AU348" s="19">
        <v>76.5</v>
      </c>
      <c r="AV348" s="19">
        <v>36</v>
      </c>
      <c r="AW348" s="19">
        <v>31.5</v>
      </c>
      <c r="AX348" s="19">
        <v>82</v>
      </c>
      <c r="AY348" s="19">
        <v>91.5</v>
      </c>
      <c r="AZ348" s="19">
        <v>40</v>
      </c>
      <c r="BA348" s="19">
        <v>36.5</v>
      </c>
      <c r="BB348" s="19">
        <v>99</v>
      </c>
      <c r="BC348" s="19">
        <v>99</v>
      </c>
      <c r="BD348" s="19">
        <v>45</v>
      </c>
      <c r="BE348" s="19">
        <v>45</v>
      </c>
      <c r="BF348" s="23">
        <v>28.617599999999999</v>
      </c>
      <c r="BG348" s="23">
        <v>77.205100000000002</v>
      </c>
      <c r="BH348" s="31">
        <f t="shared" si="186"/>
        <v>99</v>
      </c>
      <c r="BI348" s="31">
        <f t="shared" si="187"/>
        <v>99</v>
      </c>
      <c r="BJ348" s="37">
        <f t="shared" si="188"/>
        <v>0</v>
      </c>
      <c r="BK348" s="37">
        <f t="shared" si="189"/>
        <v>0</v>
      </c>
      <c r="BL348" s="36">
        <f t="shared" si="190"/>
        <v>45</v>
      </c>
      <c r="BM348" s="36">
        <f t="shared" si="191"/>
        <v>45</v>
      </c>
      <c r="BN348" s="37">
        <f t="shared" si="192"/>
        <v>0</v>
      </c>
      <c r="BO348" s="37">
        <f t="shared" si="193"/>
        <v>0</v>
      </c>
      <c r="BP348" s="38">
        <f t="shared" si="194"/>
        <v>1189</v>
      </c>
      <c r="BQ348" s="39">
        <f>J348+N348+S348+W348+AA348+AE348+AI348+AM348+AQ348+AU348+Table1[[#This Row],[MS-0225]]+Table1[[#This Row],[MS-0325]]</f>
        <v>1101</v>
      </c>
      <c r="BR348" s="37">
        <f t="shared" si="195"/>
        <v>88</v>
      </c>
      <c r="BS348" s="37">
        <f t="shared" si="196"/>
        <v>7.9927338782924613</v>
      </c>
      <c r="BT348" s="36">
        <f t="shared" si="197"/>
        <v>485</v>
      </c>
      <c r="BU348" s="36">
        <f t="shared" si="198"/>
        <v>523</v>
      </c>
      <c r="BV348" s="37">
        <f t="shared" si="199"/>
        <v>-38</v>
      </c>
      <c r="BW348" s="37">
        <f t="shared" si="200"/>
        <v>-7.2657743785850863</v>
      </c>
      <c r="BX348">
        <v>0</v>
      </c>
      <c r="BY348" s="83">
        <f t="shared" si="201"/>
        <v>0</v>
      </c>
      <c r="BZ348">
        <v>0</v>
      </c>
      <c r="CA348" s="83">
        <f t="shared" si="202"/>
        <v>0</v>
      </c>
      <c r="CB348" s="96">
        <f t="shared" si="203"/>
        <v>0.11970979443772672</v>
      </c>
      <c r="CC348" s="96">
        <f t="shared" si="204"/>
        <v>0.12267657992565056</v>
      </c>
      <c r="CD348" s="97">
        <f t="shared" si="205"/>
        <v>-2.9667854879238398E-3</v>
      </c>
      <c r="CE348" s="96">
        <f t="shared" si="206"/>
        <v>0.18218623481781376</v>
      </c>
      <c r="CF348" s="96">
        <f t="shared" si="207"/>
        <v>0.18672199170124482</v>
      </c>
      <c r="CG348" s="96">
        <f t="shared" si="208"/>
        <v>-4.5357568834310524E-3</v>
      </c>
      <c r="CH348" s="95">
        <f t="shared" si="209"/>
        <v>0.12269115674337014</v>
      </c>
      <c r="CI348" s="95">
        <f t="shared" si="210"/>
        <v>0.11145416813165418</v>
      </c>
      <c r="CJ348" s="98">
        <f t="shared" si="211"/>
        <v>1.1236988611715959E-2</v>
      </c>
      <c r="CK348" s="95">
        <f t="shared" si="212"/>
        <v>0.19438877755511022</v>
      </c>
      <c r="CL348" s="95">
        <f t="shared" si="213"/>
        <v>0.16835667149525188</v>
      </c>
      <c r="CM348" s="98">
        <f t="shared" si="214"/>
        <v>2.603210605985834E-2</v>
      </c>
      <c r="CN348" s="94">
        <f t="shared" si="215"/>
        <v>0.49076462697348056</v>
      </c>
      <c r="CO348" s="94">
        <f t="shared" si="216"/>
        <v>0.77755511022044088</v>
      </c>
    </row>
    <row r="349" spans="1:93" ht="24.5" x14ac:dyDescent="0.35">
      <c r="A349" s="102">
        <v>112410</v>
      </c>
      <c r="B349" s="3" t="s">
        <v>72</v>
      </c>
      <c r="C349" s="41" t="s">
        <v>138</v>
      </c>
      <c r="D349" s="12" t="s">
        <v>139</v>
      </c>
      <c r="E349" s="4" t="s">
        <v>81</v>
      </c>
      <c r="F349" s="4" t="s">
        <v>140</v>
      </c>
      <c r="G349" s="12" t="s">
        <v>140</v>
      </c>
      <c r="H349" s="51" t="s">
        <v>141</v>
      </c>
      <c r="I349" s="23" t="s">
        <v>83</v>
      </c>
      <c r="J349" s="90">
        <v>75</v>
      </c>
      <c r="K349" s="90">
        <v>96</v>
      </c>
      <c r="L349" s="90">
        <v>27</v>
      </c>
      <c r="M349" s="90">
        <v>42</v>
      </c>
      <c r="N349" s="18">
        <v>104</v>
      </c>
      <c r="O349" s="18">
        <v>77</v>
      </c>
      <c r="P349" s="18">
        <v>40</v>
      </c>
      <c r="Q349" s="18">
        <v>23</v>
      </c>
      <c r="R349" s="90">
        <v>102</v>
      </c>
      <c r="S349" s="90">
        <v>127</v>
      </c>
      <c r="T349" s="90">
        <v>30</v>
      </c>
      <c r="U349" s="90">
        <v>53</v>
      </c>
      <c r="V349" s="90">
        <v>82.5</v>
      </c>
      <c r="W349" s="90">
        <v>115</v>
      </c>
      <c r="X349" s="90">
        <v>13.5</v>
      </c>
      <c r="Y349" s="90">
        <v>71</v>
      </c>
      <c r="Z349" s="90">
        <v>99</v>
      </c>
      <c r="AA349" s="90">
        <v>104.5</v>
      </c>
      <c r="AB349" s="90">
        <v>27</v>
      </c>
      <c r="AC349" s="90">
        <v>51.5</v>
      </c>
      <c r="AD349" s="90">
        <v>121.5</v>
      </c>
      <c r="AE349" s="90">
        <v>105.000001</v>
      </c>
      <c r="AF349" s="90">
        <v>76.5</v>
      </c>
      <c r="AG349" s="90">
        <v>33</v>
      </c>
      <c r="AH349" s="90">
        <v>90</v>
      </c>
      <c r="AI349" s="90">
        <v>108</v>
      </c>
      <c r="AJ349" s="90">
        <v>22</v>
      </c>
      <c r="AK349" s="90">
        <v>72</v>
      </c>
      <c r="AL349" s="90">
        <v>90</v>
      </c>
      <c r="AM349" s="90">
        <v>84</v>
      </c>
      <c r="AN349" s="90">
        <v>10</v>
      </c>
      <c r="AO349" s="90">
        <v>48</v>
      </c>
      <c r="AP349" s="90">
        <v>99</v>
      </c>
      <c r="AQ349" s="90">
        <v>106</v>
      </c>
      <c r="AR349" s="90">
        <v>19</v>
      </c>
      <c r="AS349" s="90">
        <v>20</v>
      </c>
      <c r="AT349" s="90">
        <v>88</v>
      </c>
      <c r="AU349" s="90">
        <v>92.5</v>
      </c>
      <c r="AV349" s="90">
        <v>28</v>
      </c>
      <c r="AW349" s="90">
        <v>47.5</v>
      </c>
      <c r="AX349" s="90">
        <v>87</v>
      </c>
      <c r="AY349" s="90">
        <v>92</v>
      </c>
      <c r="AZ349" s="90">
        <v>21</v>
      </c>
      <c r="BA349" s="90">
        <v>38</v>
      </c>
      <c r="BB349" s="90">
        <v>98</v>
      </c>
      <c r="BC349" s="90">
        <v>99</v>
      </c>
      <c r="BD349" s="90">
        <v>48</v>
      </c>
      <c r="BE349" s="90">
        <v>41</v>
      </c>
      <c r="BF349" s="23">
        <v>28.522200000000002</v>
      </c>
      <c r="BG349" s="23">
        <v>77.08202</v>
      </c>
      <c r="BH349" s="31">
        <f t="shared" si="186"/>
        <v>98</v>
      </c>
      <c r="BI349" s="31">
        <f t="shared" si="187"/>
        <v>99</v>
      </c>
      <c r="BJ349" s="37">
        <f t="shared" si="188"/>
        <v>-1</v>
      </c>
      <c r="BK349" s="37">
        <f t="shared" si="189"/>
        <v>-1.0101010101010102</v>
      </c>
      <c r="BL349" s="36">
        <f t="shared" si="190"/>
        <v>48</v>
      </c>
      <c r="BM349" s="36">
        <f t="shared" si="191"/>
        <v>41</v>
      </c>
      <c r="BN349" s="37">
        <f t="shared" si="192"/>
        <v>7</v>
      </c>
      <c r="BO349" s="37">
        <f t="shared" si="193"/>
        <v>17.073170731707318</v>
      </c>
      <c r="BP349" s="38">
        <f t="shared" si="194"/>
        <v>1130</v>
      </c>
      <c r="BQ349" s="39">
        <f>J349+N349+S349+W349+AA349+AE349+AI349+AM349+AQ349+AU349+Table1[[#This Row],[MS-0225]]+Table1[[#This Row],[MS-0325]]</f>
        <v>1212.0000009999999</v>
      </c>
      <c r="BR349" s="37">
        <f t="shared" si="195"/>
        <v>-82.000000999999884</v>
      </c>
      <c r="BS349" s="37">
        <f t="shared" si="196"/>
        <v>-6.7656766445827659</v>
      </c>
      <c r="BT349" s="36">
        <f t="shared" si="197"/>
        <v>360</v>
      </c>
      <c r="BU349" s="36">
        <f t="shared" si="198"/>
        <v>542</v>
      </c>
      <c r="BV349" s="37">
        <f t="shared" si="199"/>
        <v>-182</v>
      </c>
      <c r="BW349" s="37">
        <f t="shared" si="200"/>
        <v>-33.579335793357934</v>
      </c>
      <c r="BX349">
        <v>9</v>
      </c>
      <c r="BY349" s="83">
        <f t="shared" si="201"/>
        <v>9.1836734693877556E-2</v>
      </c>
      <c r="BZ349">
        <v>65.5</v>
      </c>
      <c r="CA349" s="83">
        <f t="shared" si="202"/>
        <v>5.7964601769911507E-2</v>
      </c>
      <c r="CB349" s="96">
        <f t="shared" si="203"/>
        <v>0.1136231884057971</v>
      </c>
      <c r="CC349" s="96">
        <f t="shared" si="204"/>
        <v>0.12571428571428572</v>
      </c>
      <c r="CD349" s="97">
        <f t="shared" si="205"/>
        <v>-1.2091097308488619E-2</v>
      </c>
      <c r="CE349" s="96">
        <f t="shared" si="206"/>
        <v>4.5007032348804502E-2</v>
      </c>
      <c r="CF349" s="96">
        <f t="shared" si="207"/>
        <v>4.7481181239143022E-2</v>
      </c>
      <c r="CG349" s="96">
        <f t="shared" si="208"/>
        <v>-2.4741488903385206E-3</v>
      </c>
      <c r="CH349" s="95">
        <f t="shared" si="209"/>
        <v>0.11758584807492195</v>
      </c>
      <c r="CI349" s="95">
        <f t="shared" si="210"/>
        <v>0.13311367390081122</v>
      </c>
      <c r="CJ349" s="98">
        <f t="shared" si="211"/>
        <v>-1.5527825825889269E-2</v>
      </c>
      <c r="CK349" s="95">
        <f t="shared" si="212"/>
        <v>3.5245741139612298E-2</v>
      </c>
      <c r="CL349" s="95">
        <f t="shared" si="213"/>
        <v>4.4165580182529335E-2</v>
      </c>
      <c r="CM349" s="98">
        <f t="shared" si="214"/>
        <v>-8.9198390429170368E-3</v>
      </c>
      <c r="CN349" s="94">
        <f t="shared" si="215"/>
        <v>0.7055150884495317</v>
      </c>
      <c r="CO349" s="94">
        <f t="shared" si="216"/>
        <v>0.2114744468376738</v>
      </c>
    </row>
    <row r="350" spans="1:93" ht="36.5" x14ac:dyDescent="0.35">
      <c r="A350" s="102">
        <v>112412</v>
      </c>
      <c r="B350" s="3" t="s">
        <v>72</v>
      </c>
      <c r="C350" s="41" t="s">
        <v>284</v>
      </c>
      <c r="D350" s="12" t="s">
        <v>285</v>
      </c>
      <c r="E350" s="4" t="s">
        <v>103</v>
      </c>
      <c r="F350" s="4" t="s">
        <v>208</v>
      </c>
      <c r="G350" s="12" t="s">
        <v>208</v>
      </c>
      <c r="H350" s="51" t="s">
        <v>105</v>
      </c>
      <c r="I350" s="23" t="s">
        <v>83</v>
      </c>
      <c r="J350" s="90">
        <v>76</v>
      </c>
      <c r="K350" s="90">
        <v>88</v>
      </c>
      <c r="L350" s="90">
        <v>20</v>
      </c>
      <c r="M350" s="90">
        <v>20</v>
      </c>
      <c r="N350" s="18">
        <v>80</v>
      </c>
      <c r="O350" s="18">
        <v>94</v>
      </c>
      <c r="P350" s="18">
        <v>28</v>
      </c>
      <c r="Q350" s="18">
        <v>24</v>
      </c>
      <c r="R350" s="90">
        <v>84</v>
      </c>
      <c r="S350" s="90">
        <v>80</v>
      </c>
      <c r="T350" s="90">
        <v>20</v>
      </c>
      <c r="U350" s="90">
        <v>28</v>
      </c>
      <c r="V350" s="90">
        <v>104</v>
      </c>
      <c r="W350" s="90">
        <v>89.5</v>
      </c>
      <c r="X350" s="90">
        <v>24</v>
      </c>
      <c r="Y350" s="90">
        <v>24.5</v>
      </c>
      <c r="Z350" s="90">
        <v>106</v>
      </c>
      <c r="AA350" s="90">
        <v>84</v>
      </c>
      <c r="AB350" s="90">
        <v>20</v>
      </c>
      <c r="AC350" s="90">
        <v>24</v>
      </c>
      <c r="AD350" s="90">
        <v>108</v>
      </c>
      <c r="AE350" s="90">
        <v>97</v>
      </c>
      <c r="AF350" s="90">
        <v>36</v>
      </c>
      <c r="AG350" s="90">
        <v>28</v>
      </c>
      <c r="AH350" s="90">
        <v>100</v>
      </c>
      <c r="AI350" s="90">
        <v>101.5</v>
      </c>
      <c r="AJ350" s="90">
        <v>20</v>
      </c>
      <c r="AK350" s="90">
        <v>24.5</v>
      </c>
      <c r="AL350" s="90">
        <v>92</v>
      </c>
      <c r="AM350" s="90">
        <v>80</v>
      </c>
      <c r="AN350" s="90">
        <v>16</v>
      </c>
      <c r="AO350" s="90">
        <v>16</v>
      </c>
      <c r="AP350" s="90">
        <v>112</v>
      </c>
      <c r="AQ350" s="90">
        <v>84</v>
      </c>
      <c r="AR350" s="90">
        <v>20</v>
      </c>
      <c r="AS350" s="90">
        <v>16</v>
      </c>
      <c r="AT350" s="90">
        <v>92</v>
      </c>
      <c r="AU350" s="90">
        <v>85</v>
      </c>
      <c r="AV350" s="90">
        <v>16</v>
      </c>
      <c r="AW350" s="90">
        <v>16</v>
      </c>
      <c r="AX350" s="90">
        <v>92</v>
      </c>
      <c r="AY350" s="90">
        <v>76</v>
      </c>
      <c r="AZ350" s="90">
        <v>16</v>
      </c>
      <c r="BA350" s="90">
        <v>20</v>
      </c>
      <c r="BB350" s="90">
        <v>96</v>
      </c>
      <c r="BC350" s="90">
        <v>86</v>
      </c>
      <c r="BD350" s="90">
        <v>24</v>
      </c>
      <c r="BE350" s="90">
        <v>20</v>
      </c>
      <c r="BF350" s="23">
        <v>28.629650000000002</v>
      </c>
      <c r="BG350" s="23">
        <v>77.221320000000006</v>
      </c>
      <c r="BH350" s="31">
        <f t="shared" si="186"/>
        <v>96</v>
      </c>
      <c r="BI350" s="31">
        <f t="shared" si="187"/>
        <v>86</v>
      </c>
      <c r="BJ350" s="37">
        <f t="shared" si="188"/>
        <v>10</v>
      </c>
      <c r="BK350" s="37">
        <f t="shared" si="189"/>
        <v>11.627906976744185</v>
      </c>
      <c r="BL350" s="36">
        <f t="shared" si="190"/>
        <v>24</v>
      </c>
      <c r="BM350" s="36">
        <f t="shared" si="191"/>
        <v>20</v>
      </c>
      <c r="BN350" s="37">
        <f t="shared" si="192"/>
        <v>4</v>
      </c>
      <c r="BO350" s="37">
        <f t="shared" si="193"/>
        <v>20</v>
      </c>
      <c r="BP350" s="38">
        <f t="shared" si="194"/>
        <v>1168</v>
      </c>
      <c r="BQ350" s="39">
        <f>J350+N350+S350+W350+AA350+AE350+AI350+AM350+AQ350+AU350+Table1[[#This Row],[MS-0225]]+Table1[[#This Row],[MS-0325]]</f>
        <v>1019</v>
      </c>
      <c r="BR350" s="37">
        <f t="shared" si="195"/>
        <v>149</v>
      </c>
      <c r="BS350" s="37">
        <f t="shared" si="196"/>
        <v>14.622178606476938</v>
      </c>
      <c r="BT350" s="36">
        <f t="shared" si="197"/>
        <v>256</v>
      </c>
      <c r="BU350" s="36">
        <f t="shared" si="198"/>
        <v>265</v>
      </c>
      <c r="BV350" s="37">
        <f t="shared" si="199"/>
        <v>-9</v>
      </c>
      <c r="BW350" s="37">
        <f t="shared" si="200"/>
        <v>-3.3962264150943398</v>
      </c>
      <c r="BX350">
        <v>0</v>
      </c>
      <c r="BY350" s="83">
        <f t="shared" si="201"/>
        <v>0</v>
      </c>
      <c r="BZ350">
        <v>0</v>
      </c>
      <c r="CA350" s="83">
        <f t="shared" si="202"/>
        <v>0</v>
      </c>
      <c r="CB350" s="96">
        <f t="shared" si="203"/>
        <v>8.166737558485751E-2</v>
      </c>
      <c r="CC350" s="96">
        <f t="shared" si="204"/>
        <v>7.6820008932559178E-2</v>
      </c>
      <c r="CD350" s="97">
        <f t="shared" si="205"/>
        <v>4.8473666522983322E-3</v>
      </c>
      <c r="CE350" s="96">
        <f t="shared" si="206"/>
        <v>8.3188908145580595E-2</v>
      </c>
      <c r="CF350" s="96">
        <f t="shared" si="207"/>
        <v>6.3795853269537475E-2</v>
      </c>
      <c r="CG350" s="96">
        <f t="shared" si="208"/>
        <v>1.939305487604312E-2</v>
      </c>
      <c r="CH350" s="95">
        <f t="shared" si="209"/>
        <v>8.2719546742209632E-2</v>
      </c>
      <c r="CI350" s="95">
        <f t="shared" si="210"/>
        <v>7.6833176109783505E-2</v>
      </c>
      <c r="CJ350" s="98">
        <f t="shared" si="211"/>
        <v>5.8863706324261272E-3</v>
      </c>
      <c r="CK350" s="95">
        <f t="shared" si="212"/>
        <v>7.472270869819031E-2</v>
      </c>
      <c r="CL350" s="95">
        <f t="shared" si="213"/>
        <v>6.6809529812176985E-2</v>
      </c>
      <c r="CM350" s="98">
        <f t="shared" si="214"/>
        <v>7.9131788860133251E-3</v>
      </c>
      <c r="CN350" s="94">
        <f t="shared" si="215"/>
        <v>0.82719546742209626</v>
      </c>
      <c r="CO350" s="94">
        <f t="shared" si="216"/>
        <v>0.7472270869819031</v>
      </c>
    </row>
    <row r="351" spans="1:93" ht="36.5" x14ac:dyDescent="0.35">
      <c r="A351" s="104">
        <v>106314</v>
      </c>
      <c r="B351" s="5" t="s">
        <v>581</v>
      </c>
      <c r="C351" s="46" t="s">
        <v>842</v>
      </c>
      <c r="D351" s="13" t="s">
        <v>843</v>
      </c>
      <c r="E351" s="6" t="s">
        <v>103</v>
      </c>
      <c r="F351" s="6" t="s">
        <v>208</v>
      </c>
      <c r="G351" s="12" t="s">
        <v>208</v>
      </c>
      <c r="H351" s="51" t="s">
        <v>105</v>
      </c>
      <c r="I351" s="24" t="s">
        <v>83</v>
      </c>
      <c r="J351" s="19">
        <v>84</v>
      </c>
      <c r="K351" s="19">
        <v>98</v>
      </c>
      <c r="L351" s="19">
        <v>0</v>
      </c>
      <c r="M351" s="19">
        <v>0</v>
      </c>
      <c r="N351" s="18">
        <v>96</v>
      </c>
      <c r="O351" s="18">
        <v>100</v>
      </c>
      <c r="P351" s="18">
        <v>0</v>
      </c>
      <c r="Q351" s="18">
        <v>0</v>
      </c>
      <c r="R351" s="19">
        <v>98</v>
      </c>
      <c r="S351" s="19">
        <v>96</v>
      </c>
      <c r="T351" s="19">
        <v>0</v>
      </c>
      <c r="U351" s="19">
        <v>0</v>
      </c>
      <c r="V351" s="19">
        <v>104</v>
      </c>
      <c r="W351" s="19">
        <v>96</v>
      </c>
      <c r="X351" s="19">
        <v>0</v>
      </c>
      <c r="Y351" s="19">
        <v>0</v>
      </c>
      <c r="Z351" s="19">
        <v>103</v>
      </c>
      <c r="AA351" s="19">
        <v>96</v>
      </c>
      <c r="AB351" s="19">
        <v>0</v>
      </c>
      <c r="AC351" s="19">
        <v>0</v>
      </c>
      <c r="AD351" s="19">
        <v>100</v>
      </c>
      <c r="AE351" s="19">
        <v>96</v>
      </c>
      <c r="AF351" s="19">
        <v>0</v>
      </c>
      <c r="AG351" s="19">
        <v>0</v>
      </c>
      <c r="AH351" s="19">
        <v>82</v>
      </c>
      <c r="AI351" s="19">
        <v>96</v>
      </c>
      <c r="AJ351" s="19">
        <v>0</v>
      </c>
      <c r="AK351" s="19">
        <v>0</v>
      </c>
      <c r="AL351" s="19">
        <v>91</v>
      </c>
      <c r="AM351" s="19">
        <v>84</v>
      </c>
      <c r="AN351" s="19">
        <v>0</v>
      </c>
      <c r="AO351" s="19">
        <v>0</v>
      </c>
      <c r="AP351" s="19">
        <v>94</v>
      </c>
      <c r="AQ351" s="19">
        <v>96</v>
      </c>
      <c r="AR351" s="19">
        <v>0</v>
      </c>
      <c r="AS351" s="19">
        <v>0</v>
      </c>
      <c r="AT351" s="19">
        <v>90</v>
      </c>
      <c r="AU351" s="19">
        <v>89</v>
      </c>
      <c r="AV351" s="19">
        <v>0</v>
      </c>
      <c r="AW351" s="19">
        <v>0</v>
      </c>
      <c r="AX351" s="19">
        <v>89</v>
      </c>
      <c r="AY351" s="19">
        <v>81</v>
      </c>
      <c r="AZ351" s="19">
        <v>0</v>
      </c>
      <c r="BA351" s="19">
        <v>0</v>
      </c>
      <c r="BB351" s="19">
        <v>95</v>
      </c>
      <c r="BC351" s="19">
        <v>82</v>
      </c>
      <c r="BD351" s="19">
        <v>0</v>
      </c>
      <c r="BE351" s="19">
        <v>0</v>
      </c>
      <c r="BF351" s="23">
        <v>28.6266</v>
      </c>
      <c r="BG351" s="23">
        <v>77.219700000000003</v>
      </c>
      <c r="BH351" s="31">
        <f t="shared" si="186"/>
        <v>95</v>
      </c>
      <c r="BI351" s="31">
        <f t="shared" si="187"/>
        <v>82</v>
      </c>
      <c r="BJ351" s="37">
        <f t="shared" si="188"/>
        <v>13</v>
      </c>
      <c r="BK351" s="37">
        <f t="shared" si="189"/>
        <v>15.853658536585366</v>
      </c>
      <c r="BL351" s="36">
        <f t="shared" si="190"/>
        <v>0</v>
      </c>
      <c r="BM351" s="36">
        <f t="shared" si="191"/>
        <v>0</v>
      </c>
      <c r="BN351" s="37">
        <f t="shared" si="192"/>
        <v>0</v>
      </c>
      <c r="BO351" s="37" t="e">
        <f t="shared" si="193"/>
        <v>#DIV/0!</v>
      </c>
      <c r="BP351" s="38">
        <f t="shared" si="194"/>
        <v>1144</v>
      </c>
      <c r="BQ351" s="39">
        <f>J351+N351+S351+W351+AA351+AE351+AI351+AM351+AQ351+AU351+Table1[[#This Row],[MS-0225]]+Table1[[#This Row],[MS-0325]]</f>
        <v>1092</v>
      </c>
      <c r="BR351" s="37">
        <f t="shared" si="195"/>
        <v>52</v>
      </c>
      <c r="BS351" s="37">
        <f t="shared" si="196"/>
        <v>4.7619047619047619</v>
      </c>
      <c r="BT351" s="36">
        <f t="shared" si="197"/>
        <v>0</v>
      </c>
      <c r="BU351" s="36">
        <f t="shared" si="198"/>
        <v>0</v>
      </c>
      <c r="BV351" s="37">
        <f t="shared" si="199"/>
        <v>0</v>
      </c>
      <c r="BW351" s="37" t="e">
        <f t="shared" si="200"/>
        <v>#DIV/0!</v>
      </c>
      <c r="BX351">
        <v>0</v>
      </c>
      <c r="BY351" s="83">
        <f t="shared" si="201"/>
        <v>0</v>
      </c>
      <c r="BZ351">
        <v>0</v>
      </c>
      <c r="CA351" s="83">
        <f t="shared" si="202"/>
        <v>0</v>
      </c>
      <c r="CB351" s="96">
        <f t="shared" si="203"/>
        <v>8.081667375584857E-2</v>
      </c>
      <c r="CC351" s="96">
        <f t="shared" si="204"/>
        <v>7.3246985261277361E-2</v>
      </c>
      <c r="CD351" s="97">
        <f t="shared" si="205"/>
        <v>7.5696884945712084E-3</v>
      </c>
      <c r="CE351" s="96">
        <f t="shared" si="206"/>
        <v>0</v>
      </c>
      <c r="CF351" s="96">
        <f t="shared" si="207"/>
        <v>0</v>
      </c>
      <c r="CG351" s="96">
        <f t="shared" si="208"/>
        <v>0</v>
      </c>
      <c r="CH351" s="95">
        <f t="shared" si="209"/>
        <v>8.1019830028328618E-2</v>
      </c>
      <c r="CI351" s="95">
        <f t="shared" si="210"/>
        <v>8.2337417381632569E-2</v>
      </c>
      <c r="CJ351" s="98">
        <f t="shared" si="211"/>
        <v>-1.3175873533039506E-3</v>
      </c>
      <c r="CK351" s="95">
        <f t="shared" si="212"/>
        <v>0</v>
      </c>
      <c r="CL351" s="95">
        <f t="shared" si="213"/>
        <v>0</v>
      </c>
      <c r="CM351" s="98">
        <f t="shared" si="214"/>
        <v>0</v>
      </c>
      <c r="CN351" s="94">
        <f t="shared" si="215"/>
        <v>0.81019830028328621</v>
      </c>
      <c r="CO351" s="94">
        <f t="shared" si="216"/>
        <v>0</v>
      </c>
    </row>
    <row r="352" spans="1:93" x14ac:dyDescent="0.35">
      <c r="A352" s="104">
        <v>186834</v>
      </c>
      <c r="B352" s="5" t="s">
        <v>581</v>
      </c>
      <c r="C352" s="46" t="s">
        <v>631</v>
      </c>
      <c r="D352" s="13" t="s">
        <v>550</v>
      </c>
      <c r="E352" s="6" t="s">
        <v>85</v>
      </c>
      <c r="F352" s="6" t="s">
        <v>303</v>
      </c>
      <c r="G352" s="12" t="s">
        <v>303</v>
      </c>
      <c r="H352" s="51" t="s">
        <v>304</v>
      </c>
      <c r="I352" s="24" t="s">
        <v>86</v>
      </c>
      <c r="J352" s="19">
        <v>315.5</v>
      </c>
      <c r="K352" s="19">
        <v>306</v>
      </c>
      <c r="L352" s="19">
        <v>42.5</v>
      </c>
      <c r="M352" s="19">
        <v>36</v>
      </c>
      <c r="N352" s="18">
        <v>330</v>
      </c>
      <c r="O352" s="18">
        <v>342</v>
      </c>
      <c r="P352" s="18">
        <v>48</v>
      </c>
      <c r="Q352" s="18">
        <v>36</v>
      </c>
      <c r="R352" s="19">
        <v>326</v>
      </c>
      <c r="S352" s="19">
        <v>305.5</v>
      </c>
      <c r="T352" s="19">
        <v>36</v>
      </c>
      <c r="U352" s="19">
        <v>50.5</v>
      </c>
      <c r="V352" s="19">
        <v>360</v>
      </c>
      <c r="W352" s="19">
        <v>339</v>
      </c>
      <c r="X352" s="19">
        <v>36</v>
      </c>
      <c r="Y352" s="19">
        <v>45</v>
      </c>
      <c r="Z352" s="19">
        <v>387</v>
      </c>
      <c r="AA352" s="19">
        <v>341.5</v>
      </c>
      <c r="AB352" s="19">
        <v>39</v>
      </c>
      <c r="AC352" s="19">
        <v>40.5</v>
      </c>
      <c r="AD352" s="19">
        <v>338</v>
      </c>
      <c r="AE352" s="19">
        <v>307</v>
      </c>
      <c r="AF352" s="19">
        <v>36</v>
      </c>
      <c r="AG352" s="19">
        <v>37</v>
      </c>
      <c r="AH352" s="19">
        <v>377</v>
      </c>
      <c r="AI352" s="19">
        <v>340.5</v>
      </c>
      <c r="AJ352" s="19">
        <v>41</v>
      </c>
      <c r="AK352" s="19">
        <v>43.5</v>
      </c>
      <c r="AL352" s="19">
        <v>360</v>
      </c>
      <c r="AM352" s="19">
        <v>328.5</v>
      </c>
      <c r="AN352" s="19">
        <v>24</v>
      </c>
      <c r="AO352" s="19">
        <v>31.5</v>
      </c>
      <c r="AP352" s="19">
        <v>300</v>
      </c>
      <c r="AQ352" s="19">
        <v>320.5</v>
      </c>
      <c r="AR352" s="19">
        <v>28</v>
      </c>
      <c r="AS352" s="19">
        <v>35.5</v>
      </c>
      <c r="AT352" s="19">
        <v>324</v>
      </c>
      <c r="AU352" s="19">
        <v>305</v>
      </c>
      <c r="AV352" s="19">
        <v>28</v>
      </c>
      <c r="AW352" s="19">
        <v>27</v>
      </c>
      <c r="AX352" s="19">
        <v>316</v>
      </c>
      <c r="AY352" s="19">
        <v>274.5</v>
      </c>
      <c r="AZ352" s="19">
        <v>36</v>
      </c>
      <c r="BA352" s="19">
        <v>31.5</v>
      </c>
      <c r="BB352" s="19">
        <v>354</v>
      </c>
      <c r="BC352" s="19">
        <v>333</v>
      </c>
      <c r="BD352" s="19">
        <v>20</v>
      </c>
      <c r="BE352" s="19">
        <v>45</v>
      </c>
      <c r="BF352" s="23">
        <v>28.627500000000001</v>
      </c>
      <c r="BG352" s="23">
        <v>77.1006</v>
      </c>
      <c r="BH352" s="31">
        <f t="shared" si="186"/>
        <v>354</v>
      </c>
      <c r="BI352" s="31">
        <f t="shared" si="187"/>
        <v>333</v>
      </c>
      <c r="BJ352" s="37">
        <f t="shared" si="188"/>
        <v>21</v>
      </c>
      <c r="BK352" s="37">
        <f t="shared" si="189"/>
        <v>6.3063063063063058</v>
      </c>
      <c r="BL352" s="36">
        <f t="shared" si="190"/>
        <v>20</v>
      </c>
      <c r="BM352" s="36">
        <f t="shared" si="191"/>
        <v>45</v>
      </c>
      <c r="BN352" s="37">
        <f t="shared" si="192"/>
        <v>-25</v>
      </c>
      <c r="BO352" s="37">
        <f t="shared" si="193"/>
        <v>-55.555555555555557</v>
      </c>
      <c r="BP352" s="38">
        <f t="shared" si="194"/>
        <v>4090</v>
      </c>
      <c r="BQ352" s="39">
        <f>J352+N352+S352+W352+AA352+AE352+AI352+AM352+AQ352+AU352+Table1[[#This Row],[MS-0225]]+Table1[[#This Row],[MS-0325]]</f>
        <v>3840.5</v>
      </c>
      <c r="BR352" s="37">
        <f t="shared" si="195"/>
        <v>249.5</v>
      </c>
      <c r="BS352" s="37">
        <f t="shared" si="196"/>
        <v>6.4965499283947405</v>
      </c>
      <c r="BT352" s="36">
        <f t="shared" si="197"/>
        <v>396</v>
      </c>
      <c r="BU352" s="36">
        <f t="shared" si="198"/>
        <v>477.5</v>
      </c>
      <c r="BV352" s="37">
        <f t="shared" si="199"/>
        <v>-81.5</v>
      </c>
      <c r="BW352" s="37">
        <f t="shared" si="200"/>
        <v>-17.06806282722513</v>
      </c>
      <c r="BX352">
        <v>0</v>
      </c>
      <c r="BY352" s="83">
        <f t="shared" si="201"/>
        <v>0</v>
      </c>
      <c r="BZ352">
        <v>0</v>
      </c>
      <c r="CA352" s="83">
        <f t="shared" si="202"/>
        <v>0</v>
      </c>
      <c r="CB352" s="96">
        <f t="shared" si="203"/>
        <v>0.22714148219441771</v>
      </c>
      <c r="CC352" s="96">
        <f t="shared" si="204"/>
        <v>0.2268392370572207</v>
      </c>
      <c r="CD352" s="97">
        <f t="shared" si="205"/>
        <v>3.0224513719701029E-4</v>
      </c>
      <c r="CE352" s="96">
        <f t="shared" si="206"/>
        <v>6.7681895093062605E-2</v>
      </c>
      <c r="CF352" s="96">
        <f t="shared" si="207"/>
        <v>0.13313609467455623</v>
      </c>
      <c r="CG352" s="96">
        <f t="shared" si="208"/>
        <v>-6.5454199581493622E-2</v>
      </c>
      <c r="CH352" s="95">
        <f t="shared" si="209"/>
        <v>0.22253053673930193</v>
      </c>
      <c r="CI352" s="95">
        <f t="shared" si="210"/>
        <v>0.22078817998149863</v>
      </c>
      <c r="CJ352" s="98">
        <f t="shared" si="211"/>
        <v>1.7423567578032928E-3</v>
      </c>
      <c r="CK352" s="95">
        <f t="shared" si="212"/>
        <v>0.10709939148073022</v>
      </c>
      <c r="CL352" s="95">
        <f t="shared" si="213"/>
        <v>0.12620589401347959</v>
      </c>
      <c r="CM352" s="98">
        <f t="shared" si="214"/>
        <v>-1.910650253274937E-2</v>
      </c>
      <c r="CN352" s="94">
        <f t="shared" si="215"/>
        <v>1.1126526836965096</v>
      </c>
      <c r="CO352" s="94">
        <f t="shared" si="216"/>
        <v>0.53549695740365111</v>
      </c>
    </row>
    <row r="353" spans="1:93" ht="24.5" x14ac:dyDescent="0.35">
      <c r="A353" s="104">
        <v>283795</v>
      </c>
      <c r="B353" s="5" t="s">
        <v>581</v>
      </c>
      <c r="C353" s="46" t="s">
        <v>831</v>
      </c>
      <c r="D353" s="13" t="s">
        <v>832</v>
      </c>
      <c r="E353" s="6" t="s">
        <v>200</v>
      </c>
      <c r="F353" s="6" t="s">
        <v>268</v>
      </c>
      <c r="G353" s="12" t="s">
        <v>268</v>
      </c>
      <c r="H353" s="51" t="s">
        <v>91</v>
      </c>
      <c r="I353" s="24" t="s">
        <v>83</v>
      </c>
      <c r="J353" s="19">
        <v>56</v>
      </c>
      <c r="K353" s="19">
        <v>68</v>
      </c>
      <c r="L353" s="19">
        <v>64</v>
      </c>
      <c r="M353" s="19">
        <v>52</v>
      </c>
      <c r="N353" s="18">
        <v>60</v>
      </c>
      <c r="O353" s="18">
        <v>68</v>
      </c>
      <c r="P353" s="18">
        <v>72</v>
      </c>
      <c r="Q353" s="18">
        <v>52</v>
      </c>
      <c r="R353" s="19">
        <v>76</v>
      </c>
      <c r="S353" s="19">
        <v>68</v>
      </c>
      <c r="T353" s="19">
        <v>56</v>
      </c>
      <c r="U353" s="19">
        <v>64</v>
      </c>
      <c r="V353" s="19">
        <v>72</v>
      </c>
      <c r="W353" s="19">
        <v>60</v>
      </c>
      <c r="X353" s="19">
        <v>48</v>
      </c>
      <c r="Y353" s="19">
        <v>60</v>
      </c>
      <c r="Z353" s="19">
        <v>84</v>
      </c>
      <c r="AA353" s="19">
        <v>68</v>
      </c>
      <c r="AB353" s="19">
        <v>48</v>
      </c>
      <c r="AC353" s="19">
        <v>64</v>
      </c>
      <c r="AD353" s="19">
        <v>84</v>
      </c>
      <c r="AE353" s="19">
        <v>63</v>
      </c>
      <c r="AF353" s="19">
        <v>48</v>
      </c>
      <c r="AG353" s="19">
        <v>45</v>
      </c>
      <c r="AH353" s="19">
        <v>88</v>
      </c>
      <c r="AI353" s="19">
        <v>72</v>
      </c>
      <c r="AJ353" s="19">
        <v>44</v>
      </c>
      <c r="AK353" s="19">
        <v>54</v>
      </c>
      <c r="AL353" s="19">
        <v>88</v>
      </c>
      <c r="AM353" s="19">
        <v>72.5</v>
      </c>
      <c r="AN353" s="19">
        <v>44</v>
      </c>
      <c r="AO353" s="19">
        <v>49.5</v>
      </c>
      <c r="AP353" s="19">
        <v>76</v>
      </c>
      <c r="AQ353" s="19">
        <v>63</v>
      </c>
      <c r="AR353" s="19">
        <v>44</v>
      </c>
      <c r="AS353" s="19">
        <v>41</v>
      </c>
      <c r="AT353" s="19">
        <v>72</v>
      </c>
      <c r="AU353" s="19">
        <v>66</v>
      </c>
      <c r="AV353" s="19">
        <v>36</v>
      </c>
      <c r="AW353" s="19">
        <v>54</v>
      </c>
      <c r="AX353" s="19">
        <v>76</v>
      </c>
      <c r="AY353" s="19">
        <v>60</v>
      </c>
      <c r="AZ353" s="19">
        <v>44</v>
      </c>
      <c r="BA353" s="19">
        <v>48</v>
      </c>
      <c r="BB353" s="19">
        <v>92</v>
      </c>
      <c r="BC353" s="19">
        <v>72</v>
      </c>
      <c r="BD353" s="19">
        <v>52</v>
      </c>
      <c r="BE353" s="19">
        <v>48</v>
      </c>
      <c r="BF353" s="23">
        <v>28.786079999999998</v>
      </c>
      <c r="BG353" s="23">
        <v>77.040610000000001</v>
      </c>
      <c r="BH353" s="31">
        <f t="shared" si="186"/>
        <v>92</v>
      </c>
      <c r="BI353" s="31">
        <f t="shared" si="187"/>
        <v>72</v>
      </c>
      <c r="BJ353" s="37">
        <f t="shared" si="188"/>
        <v>20</v>
      </c>
      <c r="BK353" s="37">
        <f t="shared" si="189"/>
        <v>27.777777777777779</v>
      </c>
      <c r="BL353" s="36">
        <f t="shared" si="190"/>
        <v>52</v>
      </c>
      <c r="BM353" s="36">
        <f t="shared" si="191"/>
        <v>48</v>
      </c>
      <c r="BN353" s="37">
        <f t="shared" si="192"/>
        <v>4</v>
      </c>
      <c r="BO353" s="37">
        <f t="shared" si="193"/>
        <v>8.3333333333333321</v>
      </c>
      <c r="BP353" s="38">
        <f t="shared" si="194"/>
        <v>944</v>
      </c>
      <c r="BQ353" s="39">
        <f>J353+N353+S353+W353+AA353+AE353+AI353+AM353+AQ353+AU353+Table1[[#This Row],[MS-0225]]+Table1[[#This Row],[MS-0325]]</f>
        <v>780.5</v>
      </c>
      <c r="BR353" s="37">
        <f t="shared" si="195"/>
        <v>163.5</v>
      </c>
      <c r="BS353" s="37">
        <f t="shared" si="196"/>
        <v>20.948110185778347</v>
      </c>
      <c r="BT353" s="36">
        <f t="shared" si="197"/>
        <v>568</v>
      </c>
      <c r="BU353" s="36">
        <f t="shared" si="198"/>
        <v>663.5</v>
      </c>
      <c r="BV353" s="37">
        <f t="shared" si="199"/>
        <v>-95.5</v>
      </c>
      <c r="BW353" s="37">
        <f t="shared" si="200"/>
        <v>-14.393368500376791</v>
      </c>
      <c r="BX353">
        <v>0</v>
      </c>
      <c r="BY353" s="83">
        <f t="shared" si="201"/>
        <v>0</v>
      </c>
      <c r="BZ353">
        <v>0</v>
      </c>
      <c r="CA353" s="83">
        <f t="shared" si="202"/>
        <v>0</v>
      </c>
      <c r="CB353" s="96">
        <f t="shared" si="203"/>
        <v>0.17846750727449079</v>
      </c>
      <c r="CC353" s="96">
        <f t="shared" si="204"/>
        <v>0.14769230769230771</v>
      </c>
      <c r="CD353" s="97">
        <f t="shared" si="205"/>
        <v>3.0775199582183083E-2</v>
      </c>
      <c r="CE353" s="96">
        <f t="shared" si="206"/>
        <v>0.20594059405940593</v>
      </c>
      <c r="CF353" s="96">
        <f t="shared" si="207"/>
        <v>0.23940149625935161</v>
      </c>
      <c r="CG353" s="96">
        <f t="shared" si="208"/>
        <v>-3.3460902199945686E-2</v>
      </c>
      <c r="CH353" s="95">
        <f t="shared" si="209"/>
        <v>0.15681063122923589</v>
      </c>
      <c r="CI353" s="95">
        <f t="shared" si="210"/>
        <v>0.14037769784172663</v>
      </c>
      <c r="CJ353" s="98">
        <f t="shared" si="211"/>
        <v>1.6432933387509258E-2</v>
      </c>
      <c r="CK353" s="95">
        <f t="shared" si="212"/>
        <v>0.21209858103061988</v>
      </c>
      <c r="CL353" s="95">
        <f t="shared" si="213"/>
        <v>0.24109738372093023</v>
      </c>
      <c r="CM353" s="98">
        <f t="shared" si="214"/>
        <v>-2.8998802690310355E-2</v>
      </c>
      <c r="CN353" s="94">
        <f t="shared" si="215"/>
        <v>0.78405315614617943</v>
      </c>
      <c r="CO353" s="94">
        <f t="shared" si="216"/>
        <v>1.0604929051530994</v>
      </c>
    </row>
    <row r="354" spans="1:93" ht="24.5" x14ac:dyDescent="0.35">
      <c r="A354" s="102">
        <v>167171</v>
      </c>
      <c r="B354" s="3" t="s">
        <v>72</v>
      </c>
      <c r="C354" s="42" t="s">
        <v>333</v>
      </c>
      <c r="D354" s="12" t="s">
        <v>334</v>
      </c>
      <c r="E354" s="4" t="s">
        <v>187</v>
      </c>
      <c r="F354" s="4" t="s">
        <v>321</v>
      </c>
      <c r="G354" s="12" t="s">
        <v>321</v>
      </c>
      <c r="H354" s="51" t="s">
        <v>189</v>
      </c>
      <c r="I354" s="23" t="s">
        <v>86</v>
      </c>
      <c r="J354" s="90">
        <v>83</v>
      </c>
      <c r="K354" s="90">
        <v>66</v>
      </c>
      <c r="L354" s="90">
        <v>36</v>
      </c>
      <c r="M354" s="90">
        <v>0</v>
      </c>
      <c r="N354" s="18">
        <v>100</v>
      </c>
      <c r="O354" s="18">
        <v>104</v>
      </c>
      <c r="P354" s="18">
        <v>32</v>
      </c>
      <c r="Q354" s="18">
        <v>36</v>
      </c>
      <c r="R354" s="90">
        <v>101</v>
      </c>
      <c r="S354" s="90">
        <v>102</v>
      </c>
      <c r="T354" s="90">
        <v>39</v>
      </c>
      <c r="U354" s="90">
        <v>36</v>
      </c>
      <c r="V354" s="90">
        <v>93</v>
      </c>
      <c r="W354" s="90">
        <v>86</v>
      </c>
      <c r="X354" s="90">
        <v>33</v>
      </c>
      <c r="Y354" s="90">
        <v>28</v>
      </c>
      <c r="Z354" s="90">
        <v>108</v>
      </c>
      <c r="AA354" s="90">
        <v>106</v>
      </c>
      <c r="AB354" s="90">
        <v>32</v>
      </c>
      <c r="AC354" s="90">
        <v>40</v>
      </c>
      <c r="AD354" s="90">
        <v>101</v>
      </c>
      <c r="AE354" s="90">
        <v>100</v>
      </c>
      <c r="AF354" s="90">
        <v>25</v>
      </c>
      <c r="AG354" s="90">
        <v>8</v>
      </c>
      <c r="AH354" s="90">
        <v>106</v>
      </c>
      <c r="AI354" s="90">
        <v>99.5</v>
      </c>
      <c r="AJ354" s="90">
        <v>34</v>
      </c>
      <c r="AK354" s="90">
        <v>52.5</v>
      </c>
      <c r="AL354" s="90">
        <v>92</v>
      </c>
      <c r="AM354" s="90">
        <v>90</v>
      </c>
      <c r="AN354" s="90">
        <v>20</v>
      </c>
      <c r="AO354" s="90">
        <v>20</v>
      </c>
      <c r="AP354" s="90">
        <v>96</v>
      </c>
      <c r="AQ354" s="90">
        <v>94</v>
      </c>
      <c r="AR354" s="90">
        <v>44</v>
      </c>
      <c r="AS354" s="90">
        <v>16</v>
      </c>
      <c r="AT354" s="90">
        <v>81</v>
      </c>
      <c r="AU354" s="90">
        <v>91</v>
      </c>
      <c r="AV354" s="90">
        <v>57</v>
      </c>
      <c r="AW354" s="90">
        <v>17</v>
      </c>
      <c r="AX354" s="90">
        <v>92</v>
      </c>
      <c r="AY354" s="90">
        <v>84.5</v>
      </c>
      <c r="AZ354" s="90">
        <v>48</v>
      </c>
      <c r="BA354" s="90">
        <v>13.5</v>
      </c>
      <c r="BB354" s="90">
        <v>91</v>
      </c>
      <c r="BC354" s="90">
        <v>93.5</v>
      </c>
      <c r="BD354" s="90">
        <v>35</v>
      </c>
      <c r="BE354" s="90">
        <v>34.5</v>
      </c>
      <c r="BF354" s="23">
        <v>28.641449999999999</v>
      </c>
      <c r="BG354" s="23">
        <v>77.225880000000004</v>
      </c>
      <c r="BH354" s="31">
        <f t="shared" si="186"/>
        <v>91</v>
      </c>
      <c r="BI354" s="31">
        <f t="shared" si="187"/>
        <v>93.5</v>
      </c>
      <c r="BJ354" s="37">
        <f t="shared" si="188"/>
        <v>-2.5</v>
      </c>
      <c r="BK354" s="37">
        <f t="shared" si="189"/>
        <v>-2.6737967914438503</v>
      </c>
      <c r="BL354" s="36">
        <f t="shared" si="190"/>
        <v>35</v>
      </c>
      <c r="BM354" s="36">
        <f t="shared" si="191"/>
        <v>34.5</v>
      </c>
      <c r="BN354" s="37">
        <f t="shared" si="192"/>
        <v>0.5</v>
      </c>
      <c r="BO354" s="37">
        <f t="shared" si="193"/>
        <v>1.4492753623188406</v>
      </c>
      <c r="BP354" s="38">
        <f t="shared" si="194"/>
        <v>1131</v>
      </c>
      <c r="BQ354" s="39">
        <f>J354+N354+S354+W354+AA354+AE354+AI354+AM354+AQ354+AU354+Table1[[#This Row],[MS-0225]]+Table1[[#This Row],[MS-0325]]</f>
        <v>1129.5</v>
      </c>
      <c r="BR354" s="37">
        <f t="shared" si="195"/>
        <v>1.5</v>
      </c>
      <c r="BS354" s="37">
        <f t="shared" si="196"/>
        <v>0.13280212483399734</v>
      </c>
      <c r="BT354" s="36">
        <f t="shared" si="197"/>
        <v>403</v>
      </c>
      <c r="BU354" s="36">
        <f t="shared" si="198"/>
        <v>333.5</v>
      </c>
      <c r="BV354" s="37">
        <f t="shared" si="199"/>
        <v>69.5</v>
      </c>
      <c r="BW354" s="37">
        <f t="shared" si="200"/>
        <v>20.839580209895054</v>
      </c>
      <c r="BX354">
        <v>0</v>
      </c>
      <c r="BY354" s="83">
        <f t="shared" si="201"/>
        <v>0</v>
      </c>
      <c r="BZ354">
        <v>0</v>
      </c>
      <c r="CA354" s="83">
        <f t="shared" si="202"/>
        <v>0</v>
      </c>
      <c r="CB354" s="96">
        <f t="shared" si="203"/>
        <v>6.3338848221326863E-2</v>
      </c>
      <c r="CC354" s="96">
        <f t="shared" si="204"/>
        <v>6.6347159561015973E-2</v>
      </c>
      <c r="CD354" s="97">
        <f t="shared" si="205"/>
        <v>-3.0083113396891098E-3</v>
      </c>
      <c r="CE354" s="96">
        <f t="shared" si="206"/>
        <v>9.1067809090648891E-2</v>
      </c>
      <c r="CF354" s="96">
        <f t="shared" si="207"/>
        <v>0.10498639741459588</v>
      </c>
      <c r="CG354" s="96">
        <f t="shared" si="208"/>
        <v>-1.391858832394699E-2</v>
      </c>
      <c r="CH354" s="95">
        <f t="shared" si="209"/>
        <v>6.5572082503246448E-2</v>
      </c>
      <c r="CI354" s="95">
        <f t="shared" si="210"/>
        <v>6.9009106815099336E-2</v>
      </c>
      <c r="CJ354" s="98">
        <f t="shared" si="211"/>
        <v>-3.4370243118528876E-3</v>
      </c>
      <c r="CK354" s="95">
        <f t="shared" si="212"/>
        <v>9.9121044750569154E-2</v>
      </c>
      <c r="CL354" s="95">
        <f t="shared" si="213"/>
        <v>8.372871194360576E-2</v>
      </c>
      <c r="CM354" s="98">
        <f t="shared" si="214"/>
        <v>1.5392332806963394E-2</v>
      </c>
      <c r="CN354" s="94">
        <f t="shared" si="215"/>
        <v>0.39343249501947869</v>
      </c>
      <c r="CO354" s="94">
        <f t="shared" si="216"/>
        <v>0.59472626850341492</v>
      </c>
    </row>
    <row r="355" spans="1:93" ht="24.5" x14ac:dyDescent="0.35">
      <c r="A355" s="104">
        <v>311776</v>
      </c>
      <c r="B355" s="5" t="s">
        <v>581</v>
      </c>
      <c r="C355" s="46" t="s">
        <v>700</v>
      </c>
      <c r="D355" s="13" t="s">
        <v>701</v>
      </c>
      <c r="E355" s="6" t="s">
        <v>187</v>
      </c>
      <c r="F355" s="6" t="s">
        <v>395</v>
      </c>
      <c r="G355" s="12" t="s">
        <v>395</v>
      </c>
      <c r="H355" s="51" t="s">
        <v>248</v>
      </c>
      <c r="I355" s="24" t="s">
        <v>86</v>
      </c>
      <c r="J355" s="19">
        <v>332.5</v>
      </c>
      <c r="K355" s="19">
        <v>338</v>
      </c>
      <c r="L355" s="19">
        <v>105.5</v>
      </c>
      <c r="M355" s="19">
        <v>100</v>
      </c>
      <c r="N355" s="18">
        <v>363</v>
      </c>
      <c r="O355" s="18">
        <v>360</v>
      </c>
      <c r="P355" s="18">
        <v>127</v>
      </c>
      <c r="Q355" s="18">
        <v>90</v>
      </c>
      <c r="R355" s="19">
        <v>344.5</v>
      </c>
      <c r="S355" s="19">
        <v>348</v>
      </c>
      <c r="T355" s="19">
        <v>91.5</v>
      </c>
      <c r="U355" s="19">
        <v>104</v>
      </c>
      <c r="V355" s="19">
        <v>372</v>
      </c>
      <c r="W355" s="19">
        <v>351</v>
      </c>
      <c r="X355" s="19">
        <v>82</v>
      </c>
      <c r="Y355" s="19">
        <v>113</v>
      </c>
      <c r="Z355" s="19">
        <v>356</v>
      </c>
      <c r="AA355" s="19">
        <v>362</v>
      </c>
      <c r="AB355" s="19">
        <v>82</v>
      </c>
      <c r="AC355" s="19">
        <v>108</v>
      </c>
      <c r="AD355" s="19">
        <v>352.5</v>
      </c>
      <c r="AE355" s="19">
        <v>352</v>
      </c>
      <c r="AF355" s="19">
        <v>99.5</v>
      </c>
      <c r="AG355" s="19">
        <v>106</v>
      </c>
      <c r="AH355" s="19">
        <v>359</v>
      </c>
      <c r="AI355" s="19">
        <v>366</v>
      </c>
      <c r="AJ355" s="19">
        <v>95</v>
      </c>
      <c r="AK355" s="19">
        <v>110</v>
      </c>
      <c r="AL355" s="19">
        <v>344</v>
      </c>
      <c r="AM355" s="19">
        <v>335.5</v>
      </c>
      <c r="AN355" s="19">
        <v>78</v>
      </c>
      <c r="AO355" s="19">
        <v>82.5</v>
      </c>
      <c r="AP355" s="19">
        <v>360</v>
      </c>
      <c r="AQ355" s="19">
        <v>320</v>
      </c>
      <c r="AR355" s="19">
        <v>80</v>
      </c>
      <c r="AS355" s="19">
        <v>82</v>
      </c>
      <c r="AT355" s="19">
        <v>335</v>
      </c>
      <c r="AU355" s="19">
        <v>332</v>
      </c>
      <c r="AV355" s="19">
        <v>65</v>
      </c>
      <c r="AW355" s="19">
        <v>82</v>
      </c>
      <c r="AX355" s="19">
        <v>348.5</v>
      </c>
      <c r="AY355" s="19">
        <v>313</v>
      </c>
      <c r="AZ355" s="19">
        <v>89.5</v>
      </c>
      <c r="BA355" s="19">
        <v>87</v>
      </c>
      <c r="BB355" s="19">
        <v>345</v>
      </c>
      <c r="BC355" s="19">
        <v>336</v>
      </c>
      <c r="BD355" s="19">
        <v>75</v>
      </c>
      <c r="BE355" s="19">
        <v>100</v>
      </c>
      <c r="BF355" s="23">
        <v>28.618120000000001</v>
      </c>
      <c r="BG355" s="23">
        <v>77.248656999999994</v>
      </c>
      <c r="BH355" s="31">
        <f t="shared" si="186"/>
        <v>345</v>
      </c>
      <c r="BI355" s="31">
        <f t="shared" si="187"/>
        <v>336</v>
      </c>
      <c r="BJ355" s="37">
        <f t="shared" si="188"/>
        <v>9</v>
      </c>
      <c r="BK355" s="37">
        <f t="shared" si="189"/>
        <v>2.6785714285714284</v>
      </c>
      <c r="BL355" s="36">
        <f t="shared" si="190"/>
        <v>75</v>
      </c>
      <c r="BM355" s="36">
        <f t="shared" si="191"/>
        <v>100</v>
      </c>
      <c r="BN355" s="37">
        <f t="shared" si="192"/>
        <v>-25</v>
      </c>
      <c r="BO355" s="37">
        <f t="shared" si="193"/>
        <v>-25</v>
      </c>
      <c r="BP355" s="38">
        <f t="shared" si="194"/>
        <v>4214.5</v>
      </c>
      <c r="BQ355" s="39">
        <f>J355+N355+S355+W355+AA355+AE355+AI355+AM355+AQ355+AU355+Table1[[#This Row],[MS-0225]]+Table1[[#This Row],[MS-0325]]</f>
        <v>4111</v>
      </c>
      <c r="BR355" s="37">
        <f t="shared" si="195"/>
        <v>103.5</v>
      </c>
      <c r="BS355" s="37">
        <f t="shared" si="196"/>
        <v>2.517635611773291</v>
      </c>
      <c r="BT355" s="36">
        <f t="shared" si="197"/>
        <v>1027.5</v>
      </c>
      <c r="BU355" s="36">
        <f t="shared" si="198"/>
        <v>1207</v>
      </c>
      <c r="BV355" s="37">
        <f t="shared" si="199"/>
        <v>-179.5</v>
      </c>
      <c r="BW355" s="37">
        <f t="shared" si="200"/>
        <v>-14.871582435791217</v>
      </c>
      <c r="BX355">
        <v>0</v>
      </c>
      <c r="BY355" s="83">
        <f t="shared" si="201"/>
        <v>0</v>
      </c>
      <c r="BZ355">
        <v>0</v>
      </c>
      <c r="CA355" s="83">
        <f t="shared" si="202"/>
        <v>0</v>
      </c>
      <c r="CB355" s="96">
        <f t="shared" si="203"/>
        <v>0.14238547255468428</v>
      </c>
      <c r="CC355" s="96">
        <f t="shared" si="204"/>
        <v>0.13898655635987592</v>
      </c>
      <c r="CD355" s="97">
        <f t="shared" si="205"/>
        <v>3.3989161948083657E-3</v>
      </c>
      <c r="CE355" s="96">
        <f t="shared" si="206"/>
        <v>7.7399380804953566E-2</v>
      </c>
      <c r="CF355" s="96">
        <f t="shared" si="207"/>
        <v>9.5102234902520205E-2</v>
      </c>
      <c r="CG355" s="96">
        <f t="shared" si="208"/>
        <v>-1.7702854097566639E-2</v>
      </c>
      <c r="CH355" s="95">
        <f t="shared" si="209"/>
        <v>0.14015630196208845</v>
      </c>
      <c r="CI355" s="95">
        <f t="shared" si="210"/>
        <v>0.14479430825584672</v>
      </c>
      <c r="CJ355" s="98">
        <f t="shared" si="211"/>
        <v>-4.6380062937582678E-3</v>
      </c>
      <c r="CK355" s="95">
        <f t="shared" si="212"/>
        <v>8.194433367892176E-2</v>
      </c>
      <c r="CL355" s="95">
        <f t="shared" si="213"/>
        <v>9.5309538850284273E-2</v>
      </c>
      <c r="CM355" s="98">
        <f t="shared" si="214"/>
        <v>-1.3365205171362513E-2</v>
      </c>
      <c r="CN355" s="94">
        <f t="shared" si="215"/>
        <v>0.84093781177253069</v>
      </c>
      <c r="CO355" s="94">
        <f t="shared" si="216"/>
        <v>0.49166600207353056</v>
      </c>
    </row>
    <row r="356" spans="1:93" ht="36.5" x14ac:dyDescent="0.35">
      <c r="A356" s="103">
        <v>41056530</v>
      </c>
      <c r="B356" s="9" t="s">
        <v>380</v>
      </c>
      <c r="C356" s="47" t="s">
        <v>446</v>
      </c>
      <c r="D356" s="14" t="s">
        <v>447</v>
      </c>
      <c r="E356" s="10" t="s">
        <v>103</v>
      </c>
      <c r="F356" s="10" t="s">
        <v>208</v>
      </c>
      <c r="G356" s="12" t="s">
        <v>208</v>
      </c>
      <c r="H356" s="51" t="s">
        <v>105</v>
      </c>
      <c r="I356" s="25" t="s">
        <v>83</v>
      </c>
      <c r="J356" s="20">
        <v>76.5</v>
      </c>
      <c r="K356" s="20">
        <v>82.5</v>
      </c>
      <c r="L356" s="20">
        <v>31.5</v>
      </c>
      <c r="M356" s="20">
        <v>32.5</v>
      </c>
      <c r="N356" s="18">
        <v>91.5</v>
      </c>
      <c r="O356" s="18">
        <v>101</v>
      </c>
      <c r="P356" s="18">
        <v>41.5</v>
      </c>
      <c r="Q356" s="18">
        <v>31</v>
      </c>
      <c r="R356" s="20">
        <v>93.5</v>
      </c>
      <c r="S356" s="20">
        <v>90</v>
      </c>
      <c r="T356" s="20">
        <v>37.5</v>
      </c>
      <c r="U356" s="20">
        <v>36</v>
      </c>
      <c r="V356" s="20">
        <v>97</v>
      </c>
      <c r="W356" s="20">
        <v>96.5</v>
      </c>
      <c r="X356" s="20">
        <v>32</v>
      </c>
      <c r="Y356" s="20">
        <v>36.5</v>
      </c>
      <c r="Z356" s="20">
        <v>101</v>
      </c>
      <c r="AA356" s="20">
        <v>96.5</v>
      </c>
      <c r="AB356" s="20">
        <v>39</v>
      </c>
      <c r="AC356" s="20">
        <v>36.5</v>
      </c>
      <c r="AD356" s="20">
        <v>100</v>
      </c>
      <c r="AE356" s="20">
        <v>96.5</v>
      </c>
      <c r="AF356" s="20">
        <v>26</v>
      </c>
      <c r="AG356" s="20">
        <v>36.5</v>
      </c>
      <c r="AH356" s="20">
        <v>97.5</v>
      </c>
      <c r="AI356" s="20">
        <v>93</v>
      </c>
      <c r="AJ356" s="20">
        <v>29.5</v>
      </c>
      <c r="AK356" s="20">
        <v>75</v>
      </c>
      <c r="AL356" s="20">
        <v>84</v>
      </c>
      <c r="AM356" s="20">
        <v>86.5</v>
      </c>
      <c r="AN356" s="20">
        <v>27</v>
      </c>
      <c r="AO356" s="20">
        <v>58.5</v>
      </c>
      <c r="AP356" s="20">
        <v>85</v>
      </c>
      <c r="AQ356" s="20">
        <v>91.5</v>
      </c>
      <c r="AR356" s="20">
        <v>27</v>
      </c>
      <c r="AS356" s="20">
        <v>59.5</v>
      </c>
      <c r="AT356" s="20">
        <v>85.5</v>
      </c>
      <c r="AU356" s="20">
        <v>76.5</v>
      </c>
      <c r="AV356" s="20">
        <v>22.5</v>
      </c>
      <c r="AW356" s="20">
        <v>48.5</v>
      </c>
      <c r="AX356" s="20">
        <v>80.5</v>
      </c>
      <c r="AY356" s="20">
        <v>76</v>
      </c>
      <c r="AZ356" s="20">
        <v>26.5</v>
      </c>
      <c r="BA356" s="20">
        <v>26</v>
      </c>
      <c r="BB356" s="20">
        <v>86.5</v>
      </c>
      <c r="BC356" s="20">
        <v>84</v>
      </c>
      <c r="BD356" s="20">
        <v>35.5</v>
      </c>
      <c r="BE356" s="20">
        <v>35</v>
      </c>
      <c r="BF356" s="23">
        <v>28.631837999999998</v>
      </c>
      <c r="BG356" s="23">
        <v>77.221492999999995</v>
      </c>
      <c r="BH356" s="31">
        <f t="shared" si="186"/>
        <v>86.5</v>
      </c>
      <c r="BI356" s="31">
        <f t="shared" si="187"/>
        <v>84</v>
      </c>
      <c r="BJ356" s="37">
        <f t="shared" si="188"/>
        <v>2.5</v>
      </c>
      <c r="BK356" s="37">
        <f t="shared" si="189"/>
        <v>2.9761904761904758</v>
      </c>
      <c r="BL356" s="36">
        <f t="shared" si="190"/>
        <v>35.5</v>
      </c>
      <c r="BM356" s="36">
        <f t="shared" si="191"/>
        <v>35</v>
      </c>
      <c r="BN356" s="37">
        <f t="shared" si="192"/>
        <v>0.5</v>
      </c>
      <c r="BO356" s="37">
        <f t="shared" si="193"/>
        <v>1.4285714285714286</v>
      </c>
      <c r="BP356" s="38">
        <f t="shared" si="194"/>
        <v>1094</v>
      </c>
      <c r="BQ356" s="39">
        <f>J356+N356+S356+W356+AA356+AE356+AI356+AM356+AQ356+AU356+Table1[[#This Row],[MS-0225]]+Table1[[#This Row],[MS-0325]]</f>
        <v>1055</v>
      </c>
      <c r="BR356" s="37">
        <f t="shared" si="195"/>
        <v>39</v>
      </c>
      <c r="BS356" s="37">
        <f t="shared" si="196"/>
        <v>3.6966824644549763</v>
      </c>
      <c r="BT356" s="36">
        <f t="shared" si="197"/>
        <v>366</v>
      </c>
      <c r="BU356" s="36">
        <f t="shared" si="198"/>
        <v>521</v>
      </c>
      <c r="BV356" s="37">
        <f t="shared" si="199"/>
        <v>-155</v>
      </c>
      <c r="BW356" s="37">
        <f t="shared" si="200"/>
        <v>-29.750479846449135</v>
      </c>
      <c r="BX356">
        <v>0</v>
      </c>
      <c r="BY356" s="83">
        <f t="shared" si="201"/>
        <v>0</v>
      </c>
      <c r="BZ356">
        <v>0</v>
      </c>
      <c r="CA356" s="83">
        <f t="shared" si="202"/>
        <v>0</v>
      </c>
      <c r="CB356" s="96">
        <f t="shared" si="203"/>
        <v>7.3585708209272654E-2</v>
      </c>
      <c r="CC356" s="96">
        <f t="shared" si="204"/>
        <v>7.503349709691827E-2</v>
      </c>
      <c r="CD356" s="97">
        <f t="shared" si="205"/>
        <v>-1.4477888876456152E-3</v>
      </c>
      <c r="CE356" s="96">
        <f t="shared" si="206"/>
        <v>0.12305025996533796</v>
      </c>
      <c r="CF356" s="96">
        <f t="shared" si="207"/>
        <v>0.11164274322169059</v>
      </c>
      <c r="CG356" s="96">
        <f t="shared" si="208"/>
        <v>1.1407516743647372E-2</v>
      </c>
      <c r="CH356" s="95">
        <f t="shared" si="209"/>
        <v>7.7478753541076487E-2</v>
      </c>
      <c r="CI356" s="95">
        <f t="shared" si="210"/>
        <v>7.9547596463024131E-2</v>
      </c>
      <c r="CJ356" s="98">
        <f t="shared" si="211"/>
        <v>-2.0688429219476445E-3</v>
      </c>
      <c r="CK356" s="95">
        <f t="shared" si="212"/>
        <v>0.10683012259194395</v>
      </c>
      <c r="CL356" s="95">
        <f t="shared" si="213"/>
        <v>0.13135005672507249</v>
      </c>
      <c r="CM356" s="98">
        <f t="shared" si="214"/>
        <v>-2.4519934133128543E-2</v>
      </c>
      <c r="CN356" s="94">
        <f t="shared" si="215"/>
        <v>0.77478753541076484</v>
      </c>
      <c r="CO356" s="94">
        <f t="shared" si="216"/>
        <v>1.0683012259194395</v>
      </c>
    </row>
    <row r="357" spans="1:93" ht="36.5" x14ac:dyDescent="0.35">
      <c r="A357" s="102">
        <v>146411</v>
      </c>
      <c r="B357" s="3" t="s">
        <v>72</v>
      </c>
      <c r="C357" s="43" t="s">
        <v>196</v>
      </c>
      <c r="D357" s="12" t="s">
        <v>197</v>
      </c>
      <c r="E357" s="4" t="s">
        <v>81</v>
      </c>
      <c r="F357" s="4" t="s">
        <v>184</v>
      </c>
      <c r="G357" s="12" t="s">
        <v>184</v>
      </c>
      <c r="H357" s="51" t="s">
        <v>141</v>
      </c>
      <c r="I357" s="23" t="s">
        <v>83</v>
      </c>
      <c r="J357" s="90">
        <v>81.000000999999997</v>
      </c>
      <c r="K357" s="90">
        <v>85</v>
      </c>
      <c r="L357" s="90">
        <v>45</v>
      </c>
      <c r="M357" s="90">
        <v>55</v>
      </c>
      <c r="N357" s="18">
        <v>76.5</v>
      </c>
      <c r="O357" s="18">
        <v>90</v>
      </c>
      <c r="P357" s="18">
        <v>49.5</v>
      </c>
      <c r="Q357" s="18">
        <v>50</v>
      </c>
      <c r="R357" s="90">
        <v>85</v>
      </c>
      <c r="S357" s="90">
        <v>90.000000999999997</v>
      </c>
      <c r="T357" s="90">
        <v>55</v>
      </c>
      <c r="U357" s="90">
        <v>54</v>
      </c>
      <c r="V357" s="90">
        <v>85</v>
      </c>
      <c r="W357" s="90">
        <v>79.5</v>
      </c>
      <c r="X357" s="90">
        <v>35</v>
      </c>
      <c r="Y357" s="90">
        <v>58.5</v>
      </c>
      <c r="Z357" s="90">
        <v>80</v>
      </c>
      <c r="AA357" s="90">
        <v>77.000000999999997</v>
      </c>
      <c r="AB357" s="90">
        <v>40</v>
      </c>
      <c r="AC357" s="90">
        <v>45</v>
      </c>
      <c r="AD357" s="90">
        <v>80</v>
      </c>
      <c r="AE357" s="90">
        <v>76.500000999999997</v>
      </c>
      <c r="AF357" s="90">
        <v>80</v>
      </c>
      <c r="AG357" s="90">
        <v>49.5</v>
      </c>
      <c r="AH357" s="90">
        <v>85</v>
      </c>
      <c r="AI357" s="90">
        <v>94.5</v>
      </c>
      <c r="AJ357" s="90">
        <v>55</v>
      </c>
      <c r="AK357" s="90">
        <v>67.5</v>
      </c>
      <c r="AL357" s="90">
        <v>75</v>
      </c>
      <c r="AM357" s="90">
        <v>85.5</v>
      </c>
      <c r="AN357" s="90">
        <v>45</v>
      </c>
      <c r="AO357" s="90">
        <v>44.5</v>
      </c>
      <c r="AP357" s="90">
        <v>85</v>
      </c>
      <c r="AQ357" s="90">
        <v>75</v>
      </c>
      <c r="AR357" s="90">
        <v>35</v>
      </c>
      <c r="AS357" s="90">
        <v>45</v>
      </c>
      <c r="AT357" s="90">
        <v>75</v>
      </c>
      <c r="AU357" s="90">
        <v>81.5</v>
      </c>
      <c r="AV357" s="90">
        <v>45</v>
      </c>
      <c r="AW357" s="90">
        <v>48.5</v>
      </c>
      <c r="AX357" s="90">
        <v>75</v>
      </c>
      <c r="AY357" s="90">
        <v>73</v>
      </c>
      <c r="AZ357" s="90">
        <v>45</v>
      </c>
      <c r="BA357" s="90">
        <v>39</v>
      </c>
      <c r="BB357" s="90">
        <v>85</v>
      </c>
      <c r="BC357" s="90">
        <v>93</v>
      </c>
      <c r="BD357" s="90">
        <v>55</v>
      </c>
      <c r="BE357" s="90">
        <v>53</v>
      </c>
      <c r="BF357" s="23">
        <v>28.6101165</v>
      </c>
      <c r="BG357" s="23">
        <v>76.946491100000003</v>
      </c>
      <c r="BH357" s="31">
        <f t="shared" si="186"/>
        <v>85</v>
      </c>
      <c r="BI357" s="31">
        <f t="shared" si="187"/>
        <v>93</v>
      </c>
      <c r="BJ357" s="37">
        <f t="shared" si="188"/>
        <v>-8</v>
      </c>
      <c r="BK357" s="37">
        <f t="shared" si="189"/>
        <v>-8.6021505376344098</v>
      </c>
      <c r="BL357" s="36">
        <f t="shared" si="190"/>
        <v>55</v>
      </c>
      <c r="BM357" s="36">
        <f t="shared" si="191"/>
        <v>53</v>
      </c>
      <c r="BN357" s="37">
        <f t="shared" si="192"/>
        <v>2</v>
      </c>
      <c r="BO357" s="37">
        <f t="shared" si="193"/>
        <v>3.7735849056603774</v>
      </c>
      <c r="BP357" s="38">
        <f t="shared" si="194"/>
        <v>985</v>
      </c>
      <c r="BQ357" s="39">
        <f>J357+N357+S357+W357+AA357+AE357+AI357+AM357+AQ357+AU357+Table1[[#This Row],[MS-0225]]+Table1[[#This Row],[MS-0325]]</f>
        <v>983.00000399999999</v>
      </c>
      <c r="BR357" s="37">
        <f t="shared" si="195"/>
        <v>1.9999960000000101</v>
      </c>
      <c r="BS357" s="37">
        <f t="shared" si="196"/>
        <v>0.20345839184757625</v>
      </c>
      <c r="BT357" s="36">
        <f t="shared" si="197"/>
        <v>595</v>
      </c>
      <c r="BU357" s="36">
        <f t="shared" si="198"/>
        <v>599</v>
      </c>
      <c r="BV357" s="37">
        <f t="shared" si="199"/>
        <v>-4</v>
      </c>
      <c r="BW357" s="37">
        <f t="shared" si="200"/>
        <v>-0.667779632721202</v>
      </c>
      <c r="BX357">
        <v>5</v>
      </c>
      <c r="BY357" s="83">
        <f t="shared" si="201"/>
        <v>5.8823529411764705E-2</v>
      </c>
      <c r="BZ357">
        <v>20</v>
      </c>
      <c r="CA357" s="83">
        <f t="shared" si="202"/>
        <v>2.030456852791878E-2</v>
      </c>
      <c r="CB357" s="96">
        <f t="shared" si="203"/>
        <v>6.2134502923976605E-2</v>
      </c>
      <c r="CC357" s="96">
        <f t="shared" si="204"/>
        <v>6.9480762047067615E-2</v>
      </c>
      <c r="CD357" s="97">
        <f t="shared" si="205"/>
        <v>-7.3462591230910104E-3</v>
      </c>
      <c r="CE357" s="96">
        <f t="shared" si="206"/>
        <v>0.1354679802955665</v>
      </c>
      <c r="CF357" s="96">
        <f t="shared" si="207"/>
        <v>0.11169652265542676</v>
      </c>
      <c r="CG357" s="96">
        <f t="shared" si="208"/>
        <v>2.3771457640139743E-2</v>
      </c>
      <c r="CH357" s="95">
        <f t="shared" si="209"/>
        <v>6.2905131398282077E-2</v>
      </c>
      <c r="CI357" s="95">
        <f t="shared" si="210"/>
        <v>6.0710867018632035E-2</v>
      </c>
      <c r="CJ357" s="98">
        <f t="shared" si="211"/>
        <v>2.1942643796500419E-3</v>
      </c>
      <c r="CK357" s="95">
        <f t="shared" si="212"/>
        <v>0.13072613424145885</v>
      </c>
      <c r="CL357" s="95">
        <f t="shared" si="213"/>
        <v>0.10981758181318178</v>
      </c>
      <c r="CM357" s="98">
        <f t="shared" si="214"/>
        <v>2.0908552428277064E-2</v>
      </c>
      <c r="CN357" s="94">
        <f t="shared" si="215"/>
        <v>0.44033591978797454</v>
      </c>
      <c r="CO357" s="94">
        <f t="shared" si="216"/>
        <v>0.91508293969021193</v>
      </c>
    </row>
    <row r="358" spans="1:93" x14ac:dyDescent="0.35">
      <c r="A358" s="103">
        <v>41019306</v>
      </c>
      <c r="B358" s="9" t="s">
        <v>380</v>
      </c>
      <c r="C358" s="47" t="s">
        <v>499</v>
      </c>
      <c r="D358" s="14" t="s">
        <v>500</v>
      </c>
      <c r="E358" s="10" t="s">
        <v>103</v>
      </c>
      <c r="F358" s="10" t="s">
        <v>104</v>
      </c>
      <c r="G358" s="12" t="s">
        <v>104</v>
      </c>
      <c r="H358" s="51" t="s">
        <v>105</v>
      </c>
      <c r="I358" s="25" t="s">
        <v>78</v>
      </c>
      <c r="J358" s="20">
        <v>63.5</v>
      </c>
      <c r="K358" s="20">
        <v>58.5</v>
      </c>
      <c r="L358" s="20">
        <v>8.5</v>
      </c>
      <c r="M358" s="20">
        <v>13.5</v>
      </c>
      <c r="N358" s="18">
        <v>74.5</v>
      </c>
      <c r="O358" s="18">
        <v>85.5</v>
      </c>
      <c r="P358" s="18">
        <v>21.5</v>
      </c>
      <c r="Q358" s="18">
        <v>22.5</v>
      </c>
      <c r="R358" s="20">
        <v>79.5</v>
      </c>
      <c r="S358" s="20">
        <v>70</v>
      </c>
      <c r="T358" s="20">
        <v>18.5</v>
      </c>
      <c r="U358" s="20">
        <v>26</v>
      </c>
      <c r="V358" s="20">
        <v>86.5</v>
      </c>
      <c r="W358" s="20">
        <v>77.5</v>
      </c>
      <c r="X358" s="20">
        <v>13.5</v>
      </c>
      <c r="Y358" s="20">
        <v>24.5</v>
      </c>
      <c r="Z358" s="20">
        <v>87</v>
      </c>
      <c r="AA358" s="20">
        <v>73.5</v>
      </c>
      <c r="AB358" s="20">
        <v>19</v>
      </c>
      <c r="AC358" s="20">
        <v>16.5</v>
      </c>
      <c r="AD358" s="20">
        <v>76.5</v>
      </c>
      <c r="AE358" s="20">
        <v>72</v>
      </c>
      <c r="AF358" s="20">
        <v>13.5</v>
      </c>
      <c r="AG358" s="20">
        <v>18</v>
      </c>
      <c r="AH358" s="20">
        <v>74</v>
      </c>
      <c r="AI358" s="20">
        <v>73.5</v>
      </c>
      <c r="AJ358" s="20">
        <v>18</v>
      </c>
      <c r="AK358" s="20">
        <v>22.5</v>
      </c>
      <c r="AL358" s="20">
        <v>86.5</v>
      </c>
      <c r="AM358" s="20">
        <v>67</v>
      </c>
      <c r="AN358" s="20">
        <v>13.5</v>
      </c>
      <c r="AO358" s="20">
        <v>17</v>
      </c>
      <c r="AP358" s="20">
        <v>68.5</v>
      </c>
      <c r="AQ358" s="20">
        <v>65</v>
      </c>
      <c r="AR358" s="20">
        <v>13.5</v>
      </c>
      <c r="AS358" s="20">
        <v>13</v>
      </c>
      <c r="AT358" s="20">
        <v>81</v>
      </c>
      <c r="AU358" s="20">
        <v>75.5</v>
      </c>
      <c r="AV358" s="20">
        <v>19</v>
      </c>
      <c r="AW358" s="20">
        <v>26.5</v>
      </c>
      <c r="AX358" s="20">
        <v>68.5</v>
      </c>
      <c r="AY358" s="20">
        <v>61.5</v>
      </c>
      <c r="AZ358" s="20">
        <v>9.5</v>
      </c>
      <c r="BA358" s="20">
        <v>16.5</v>
      </c>
      <c r="BB358" s="20">
        <v>81.5</v>
      </c>
      <c r="BC358" s="20">
        <v>71</v>
      </c>
      <c r="BD358" s="20">
        <v>22.5</v>
      </c>
      <c r="BE358" s="20">
        <v>13</v>
      </c>
      <c r="BF358" s="23">
        <v>28.590914000000001</v>
      </c>
      <c r="BG358" s="23">
        <v>77.195981000000003</v>
      </c>
      <c r="BH358" s="31">
        <f t="shared" si="186"/>
        <v>81.5</v>
      </c>
      <c r="BI358" s="31">
        <f t="shared" si="187"/>
        <v>71</v>
      </c>
      <c r="BJ358" s="37">
        <f t="shared" si="188"/>
        <v>10.5</v>
      </c>
      <c r="BK358" s="37">
        <f t="shared" si="189"/>
        <v>14.788732394366196</v>
      </c>
      <c r="BL358" s="36">
        <f t="shared" si="190"/>
        <v>22.5</v>
      </c>
      <c r="BM358" s="36">
        <f t="shared" si="191"/>
        <v>13</v>
      </c>
      <c r="BN358" s="37">
        <f t="shared" si="192"/>
        <v>9.5</v>
      </c>
      <c r="BO358" s="37">
        <f t="shared" si="193"/>
        <v>73.076923076923066</v>
      </c>
      <c r="BP358" s="38">
        <f t="shared" si="194"/>
        <v>933.5</v>
      </c>
      <c r="BQ358" s="39">
        <f>J358+N358+S358+W358+AA358+AE358+AI358+AM358+AQ358+AU358+Table1[[#This Row],[MS-0225]]+Table1[[#This Row],[MS-0325]]</f>
        <v>844.5</v>
      </c>
      <c r="BR358" s="37">
        <f t="shared" si="195"/>
        <v>89</v>
      </c>
      <c r="BS358" s="37">
        <f t="shared" si="196"/>
        <v>10.538780343398461</v>
      </c>
      <c r="BT358" s="36">
        <f t="shared" si="197"/>
        <v>196.5</v>
      </c>
      <c r="BU358" s="36">
        <f t="shared" si="198"/>
        <v>223.5</v>
      </c>
      <c r="BV358" s="37">
        <f t="shared" si="199"/>
        <v>-27</v>
      </c>
      <c r="BW358" s="37">
        <f t="shared" si="200"/>
        <v>-12.080536912751679</v>
      </c>
      <c r="BX358">
        <v>0</v>
      </c>
      <c r="BY358" s="83">
        <f t="shared" si="201"/>
        <v>0</v>
      </c>
      <c r="BZ358">
        <v>0</v>
      </c>
      <c r="CA358" s="83">
        <f t="shared" si="202"/>
        <v>0</v>
      </c>
      <c r="CB358" s="96">
        <f t="shared" si="203"/>
        <v>5.9899089217076942E-2</v>
      </c>
      <c r="CC358" s="96">
        <f t="shared" si="204"/>
        <v>5.3177864227175825E-2</v>
      </c>
      <c r="CD358" s="97">
        <f t="shared" si="205"/>
        <v>6.7212249899011173E-3</v>
      </c>
      <c r="CE358" s="96">
        <f t="shared" si="206"/>
        <v>4.9000818858128486E-2</v>
      </c>
      <c r="CF358" s="96">
        <f t="shared" si="207"/>
        <v>2.5884194115527132E-2</v>
      </c>
      <c r="CG358" s="96">
        <f t="shared" si="208"/>
        <v>2.3116624742601354E-2</v>
      </c>
      <c r="CH358" s="95">
        <f t="shared" si="209"/>
        <v>5.5585605061535759E-2</v>
      </c>
      <c r="CI358" s="95">
        <f t="shared" si="210"/>
        <v>5.1969405639084983E-2</v>
      </c>
      <c r="CJ358" s="98">
        <f t="shared" si="211"/>
        <v>3.6161994224507762E-3</v>
      </c>
      <c r="CK358" s="95">
        <f t="shared" si="212"/>
        <v>3.4981117353071675E-2</v>
      </c>
      <c r="CL358" s="95">
        <f t="shared" si="213"/>
        <v>3.6327547778275286E-2</v>
      </c>
      <c r="CM358" s="98">
        <f t="shared" si="214"/>
        <v>-1.3464304252036111E-3</v>
      </c>
      <c r="CN358" s="94">
        <f t="shared" si="215"/>
        <v>0.33351363036921455</v>
      </c>
      <c r="CO358" s="94">
        <f t="shared" si="216"/>
        <v>0.20988670411843005</v>
      </c>
    </row>
    <row r="359" spans="1:93" ht="24.5" x14ac:dyDescent="0.35">
      <c r="A359" s="104">
        <v>102076</v>
      </c>
      <c r="B359" s="5" t="s">
        <v>581</v>
      </c>
      <c r="C359" s="46" t="s">
        <v>648</v>
      </c>
      <c r="D359" s="13" t="s">
        <v>649</v>
      </c>
      <c r="E359" s="6" t="s">
        <v>89</v>
      </c>
      <c r="F359" s="6" t="s">
        <v>310</v>
      </c>
      <c r="G359" s="12" t="s">
        <v>650</v>
      </c>
      <c r="H359" s="51" t="s">
        <v>205</v>
      </c>
      <c r="I359" s="24" t="s">
        <v>86</v>
      </c>
      <c r="J359" s="19">
        <v>382.5</v>
      </c>
      <c r="K359" s="19">
        <v>424</v>
      </c>
      <c r="L359" s="19">
        <v>103.5</v>
      </c>
      <c r="M359" s="19">
        <v>82</v>
      </c>
      <c r="N359" s="18">
        <v>389</v>
      </c>
      <c r="O359" s="18">
        <v>410.5</v>
      </c>
      <c r="P359" s="18">
        <v>99</v>
      </c>
      <c r="Q359" s="18">
        <v>79.5</v>
      </c>
      <c r="R359" s="19">
        <v>373.5</v>
      </c>
      <c r="S359" s="19">
        <v>400.5</v>
      </c>
      <c r="T359" s="19">
        <v>94.5</v>
      </c>
      <c r="U359" s="19">
        <v>103.5</v>
      </c>
      <c r="V359" s="19">
        <v>442</v>
      </c>
      <c r="W359" s="19">
        <v>405</v>
      </c>
      <c r="X359" s="19">
        <v>76</v>
      </c>
      <c r="Y359" s="19">
        <v>99</v>
      </c>
      <c r="Z359" s="19">
        <v>414</v>
      </c>
      <c r="AA359" s="19">
        <v>409.5</v>
      </c>
      <c r="AB359" s="19">
        <v>84</v>
      </c>
      <c r="AC359" s="19">
        <v>112.5</v>
      </c>
      <c r="AD359" s="19">
        <v>387</v>
      </c>
      <c r="AE359" s="19">
        <v>364.5</v>
      </c>
      <c r="AF359" s="19">
        <v>81</v>
      </c>
      <c r="AG359" s="19">
        <v>85.5</v>
      </c>
      <c r="AH359" s="19">
        <v>395</v>
      </c>
      <c r="AI359" s="19">
        <v>419.5</v>
      </c>
      <c r="AJ359" s="19">
        <v>81</v>
      </c>
      <c r="AK359" s="19">
        <v>86.5</v>
      </c>
      <c r="AL359" s="19">
        <v>372</v>
      </c>
      <c r="AM359" s="19">
        <v>355.5</v>
      </c>
      <c r="AN359" s="19">
        <v>72</v>
      </c>
      <c r="AO359" s="19">
        <v>94.5</v>
      </c>
      <c r="AP359" s="19">
        <v>342</v>
      </c>
      <c r="AQ359" s="19">
        <v>361</v>
      </c>
      <c r="AR359" s="19">
        <v>68</v>
      </c>
      <c r="AS359" s="19">
        <v>73</v>
      </c>
      <c r="AT359" s="19">
        <v>354</v>
      </c>
      <c r="AU359" s="19">
        <v>360</v>
      </c>
      <c r="AV359" s="19">
        <v>50</v>
      </c>
      <c r="AW359" s="19">
        <v>72</v>
      </c>
      <c r="AX359" s="19">
        <v>332.5</v>
      </c>
      <c r="AY359" s="19">
        <v>351</v>
      </c>
      <c r="AZ359" s="19">
        <v>69.5</v>
      </c>
      <c r="BA359" s="19">
        <v>63</v>
      </c>
      <c r="BB359" s="19">
        <v>351</v>
      </c>
      <c r="BC359" s="19">
        <v>342</v>
      </c>
      <c r="BD359" s="19">
        <v>63</v>
      </c>
      <c r="BE359" s="19">
        <v>90</v>
      </c>
      <c r="BF359" s="23">
        <v>28.701000000000001</v>
      </c>
      <c r="BG359" s="23">
        <v>77.167299999999997</v>
      </c>
      <c r="BH359" s="31">
        <f t="shared" si="186"/>
        <v>351</v>
      </c>
      <c r="BI359" s="31">
        <f t="shared" si="187"/>
        <v>342</v>
      </c>
      <c r="BJ359" s="37">
        <f t="shared" si="188"/>
        <v>9</v>
      </c>
      <c r="BK359" s="37">
        <f t="shared" si="189"/>
        <v>2.6315789473684208</v>
      </c>
      <c r="BL359" s="36">
        <f t="shared" si="190"/>
        <v>63</v>
      </c>
      <c r="BM359" s="36">
        <f t="shared" si="191"/>
        <v>90</v>
      </c>
      <c r="BN359" s="37">
        <f t="shared" si="192"/>
        <v>-27</v>
      </c>
      <c r="BO359" s="37">
        <f t="shared" si="193"/>
        <v>-30</v>
      </c>
      <c r="BP359" s="38">
        <f t="shared" si="194"/>
        <v>4597.5</v>
      </c>
      <c r="BQ359" s="39">
        <f>J359+N359+S359+W359+AA359+AE359+AI359+AM359+AQ359+AU359+Table1[[#This Row],[MS-0225]]+Table1[[#This Row],[MS-0325]]</f>
        <v>4540</v>
      </c>
      <c r="BR359" s="37">
        <f t="shared" si="195"/>
        <v>57.5</v>
      </c>
      <c r="BS359" s="37">
        <f t="shared" si="196"/>
        <v>1.2665198237885462</v>
      </c>
      <c r="BT359" s="36">
        <f t="shared" si="197"/>
        <v>900.5</v>
      </c>
      <c r="BU359" s="36">
        <f t="shared" si="198"/>
        <v>1082</v>
      </c>
      <c r="BV359" s="37">
        <f t="shared" si="199"/>
        <v>-181.5</v>
      </c>
      <c r="BW359" s="37">
        <f t="shared" si="200"/>
        <v>-16.774491682070241</v>
      </c>
      <c r="BX359">
        <v>0</v>
      </c>
      <c r="BY359" s="83">
        <f t="shared" si="201"/>
        <v>0</v>
      </c>
      <c r="BZ359">
        <v>0</v>
      </c>
      <c r="CA359" s="83">
        <f t="shared" si="202"/>
        <v>0</v>
      </c>
      <c r="CB359" s="96">
        <f t="shared" si="203"/>
        <v>1</v>
      </c>
      <c r="CC359" s="96">
        <f t="shared" si="204"/>
        <v>1</v>
      </c>
      <c r="CD359" s="97">
        <f t="shared" si="205"/>
        <v>0</v>
      </c>
      <c r="CE359" s="96">
        <f t="shared" si="206"/>
        <v>1</v>
      </c>
      <c r="CF359" s="96" t="s">
        <v>1026</v>
      </c>
      <c r="CG359" s="96" t="e">
        <f t="shared" si="208"/>
        <v>#VALUE!</v>
      </c>
      <c r="CH359" s="95">
        <f t="shared" si="209"/>
        <v>1</v>
      </c>
      <c r="CI359" s="95">
        <f t="shared" si="210"/>
        <v>1</v>
      </c>
      <c r="CJ359" s="98">
        <f t="shared" si="211"/>
        <v>0</v>
      </c>
      <c r="CK359" s="95">
        <f t="shared" si="212"/>
        <v>1</v>
      </c>
      <c r="CL359" s="95">
        <f t="shared" si="213"/>
        <v>1</v>
      </c>
      <c r="CM359" s="98">
        <f t="shared" si="214"/>
        <v>0</v>
      </c>
      <c r="CN359" s="94">
        <f t="shared" si="215"/>
        <v>1</v>
      </c>
      <c r="CO359" s="94">
        <f t="shared" si="216"/>
        <v>1</v>
      </c>
    </row>
    <row r="360" spans="1:93" ht="24.5" x14ac:dyDescent="0.35">
      <c r="A360" s="104">
        <v>202456</v>
      </c>
      <c r="B360" s="5" t="s">
        <v>581</v>
      </c>
      <c r="C360" s="46" t="s">
        <v>921</v>
      </c>
      <c r="D360" s="13" t="s">
        <v>922</v>
      </c>
      <c r="E360" s="6" t="s">
        <v>200</v>
      </c>
      <c r="F360" s="6" t="s">
        <v>814</v>
      </c>
      <c r="G360" s="12" t="s">
        <v>814</v>
      </c>
      <c r="H360" s="51" t="s">
        <v>91</v>
      </c>
      <c r="I360" s="24" t="s">
        <v>83</v>
      </c>
      <c r="J360" s="19">
        <v>83</v>
      </c>
      <c r="K360" s="19">
        <v>75.5</v>
      </c>
      <c r="L360" s="19">
        <v>37</v>
      </c>
      <c r="M360" s="19">
        <v>20.5</v>
      </c>
      <c r="N360" s="18">
        <v>74.5</v>
      </c>
      <c r="O360" s="18">
        <v>64</v>
      </c>
      <c r="P360" s="18">
        <v>33.5</v>
      </c>
      <c r="Q360" s="18">
        <v>20</v>
      </c>
      <c r="R360" s="19">
        <v>84</v>
      </c>
      <c r="S360" s="19">
        <v>69.5</v>
      </c>
      <c r="T360" s="19">
        <v>24</v>
      </c>
      <c r="U360" s="19">
        <v>20.5</v>
      </c>
      <c r="V360" s="19">
        <v>96</v>
      </c>
      <c r="W360" s="19">
        <v>80</v>
      </c>
      <c r="X360" s="19">
        <v>12</v>
      </c>
      <c r="Y360" s="19">
        <v>18</v>
      </c>
      <c r="Z360" s="19">
        <v>60</v>
      </c>
      <c r="AA360" s="19">
        <v>60</v>
      </c>
      <c r="AB360" s="19">
        <v>0</v>
      </c>
      <c r="AC360" s="19">
        <v>12</v>
      </c>
      <c r="AD360" s="19">
        <v>84</v>
      </c>
      <c r="AE360" s="19">
        <v>88.5</v>
      </c>
      <c r="AF360" s="19">
        <v>0</v>
      </c>
      <c r="AG360" s="19">
        <v>21.5</v>
      </c>
      <c r="AH360" s="19">
        <v>72</v>
      </c>
      <c r="AI360" s="19">
        <v>83</v>
      </c>
      <c r="AJ360" s="19">
        <v>0</v>
      </c>
      <c r="AK360" s="19">
        <v>25</v>
      </c>
      <c r="AL360" s="19">
        <v>84</v>
      </c>
      <c r="AM360" s="19">
        <v>95.5</v>
      </c>
      <c r="AN360" s="19">
        <v>0</v>
      </c>
      <c r="AO360" s="19">
        <v>24.5</v>
      </c>
      <c r="AP360" s="19">
        <v>84</v>
      </c>
      <c r="AQ360" s="19">
        <v>84</v>
      </c>
      <c r="AR360" s="19">
        <v>0</v>
      </c>
      <c r="AS360" s="19">
        <v>18</v>
      </c>
      <c r="AT360" s="19">
        <v>56</v>
      </c>
      <c r="AU360" s="19">
        <v>68</v>
      </c>
      <c r="AV360" s="19">
        <v>4</v>
      </c>
      <c r="AW360" s="19">
        <v>16</v>
      </c>
      <c r="AX360" s="19">
        <v>72</v>
      </c>
      <c r="AY360" s="19">
        <v>76</v>
      </c>
      <c r="AZ360" s="19">
        <v>0</v>
      </c>
      <c r="BA360" s="19">
        <v>20</v>
      </c>
      <c r="BB360" s="19">
        <v>80</v>
      </c>
      <c r="BC360" s="19">
        <v>99</v>
      </c>
      <c r="BD360" s="19">
        <v>4</v>
      </c>
      <c r="BE360" s="19">
        <v>17</v>
      </c>
      <c r="BF360" s="23">
        <v>28.822500000000002</v>
      </c>
      <c r="BG360" s="23">
        <v>77.066699999999997</v>
      </c>
      <c r="BH360" s="31">
        <f t="shared" si="186"/>
        <v>80</v>
      </c>
      <c r="BI360" s="31">
        <f t="shared" si="187"/>
        <v>99</v>
      </c>
      <c r="BJ360" s="37">
        <f t="shared" si="188"/>
        <v>-19</v>
      </c>
      <c r="BK360" s="37">
        <f t="shared" si="189"/>
        <v>-19.19191919191919</v>
      </c>
      <c r="BL360" s="36">
        <f t="shared" si="190"/>
        <v>4</v>
      </c>
      <c r="BM360" s="36">
        <f t="shared" si="191"/>
        <v>17</v>
      </c>
      <c r="BN360" s="37">
        <f t="shared" si="192"/>
        <v>-13</v>
      </c>
      <c r="BO360" s="37">
        <f t="shared" si="193"/>
        <v>-76.470588235294116</v>
      </c>
      <c r="BP360" s="38">
        <f t="shared" si="194"/>
        <v>911.5</v>
      </c>
      <c r="BQ360" s="39">
        <f>J360+N360+S360+W360+AA360+AE360+AI360+AM360+AQ360+AU360+Table1[[#This Row],[MS-0225]]+Table1[[#This Row],[MS-0325]]</f>
        <v>961</v>
      </c>
      <c r="BR360" s="37">
        <f t="shared" si="195"/>
        <v>-49.5</v>
      </c>
      <c r="BS360" s="37">
        <f t="shared" si="196"/>
        <v>-5.1508844953173778</v>
      </c>
      <c r="BT360" s="36">
        <f t="shared" si="197"/>
        <v>84.5</v>
      </c>
      <c r="BU360" s="36">
        <f t="shared" si="198"/>
        <v>263</v>
      </c>
      <c r="BV360" s="37">
        <f t="shared" si="199"/>
        <v>-178.5</v>
      </c>
      <c r="BW360" s="37">
        <f t="shared" si="200"/>
        <v>-67.870722433460074</v>
      </c>
      <c r="BX360">
        <v>0</v>
      </c>
      <c r="BY360" s="83">
        <f t="shared" si="201"/>
        <v>0</v>
      </c>
      <c r="BZ360">
        <v>0</v>
      </c>
      <c r="CA360" s="83">
        <f t="shared" si="202"/>
        <v>0</v>
      </c>
      <c r="CB360" s="96">
        <f t="shared" si="203"/>
        <v>0.30828516377649323</v>
      </c>
      <c r="CC360" s="96">
        <f t="shared" si="204"/>
        <v>0.44394618834080718</v>
      </c>
      <c r="CD360" s="97">
        <f t="shared" si="205"/>
        <v>-0.13566102456431395</v>
      </c>
      <c r="CE360" s="96">
        <f t="shared" si="206"/>
        <v>4.9689440993788817E-2</v>
      </c>
      <c r="CF360" s="96">
        <f t="shared" ref="CF360:CF396" si="217">BM360/SUMIFS(BM$2:BM$398,G$2:G$398,G360)</f>
        <v>0.27868852459016391</v>
      </c>
      <c r="CG360" s="96">
        <f t="shared" si="208"/>
        <v>-0.22899908359637511</v>
      </c>
      <c r="CH360" s="95">
        <f t="shared" si="209"/>
        <v>0.32146005995415272</v>
      </c>
      <c r="CI360" s="95">
        <f t="shared" si="210"/>
        <v>0.37509758001561277</v>
      </c>
      <c r="CJ360" s="98">
        <f t="shared" si="211"/>
        <v>-5.3637520061460053E-2</v>
      </c>
      <c r="CK360" s="95">
        <f t="shared" si="212"/>
        <v>0.11411208642808914</v>
      </c>
      <c r="CL360" s="95">
        <f t="shared" si="213"/>
        <v>0.31840193704600483</v>
      </c>
      <c r="CM360" s="98">
        <f t="shared" si="214"/>
        <v>-0.20428985061791571</v>
      </c>
      <c r="CN360" s="94">
        <f t="shared" si="215"/>
        <v>0.64292011990830544</v>
      </c>
      <c r="CO360" s="94">
        <f t="shared" si="216"/>
        <v>0.22822417285617827</v>
      </c>
    </row>
    <row r="361" spans="1:93" ht="36.5" x14ac:dyDescent="0.35">
      <c r="A361" s="103">
        <v>41019272</v>
      </c>
      <c r="B361" s="9" t="s">
        <v>380</v>
      </c>
      <c r="C361" s="47" t="s">
        <v>532</v>
      </c>
      <c r="D361" s="14" t="s">
        <v>533</v>
      </c>
      <c r="E361" s="10" t="s">
        <v>111</v>
      </c>
      <c r="F361" s="10" t="s">
        <v>125</v>
      </c>
      <c r="G361" s="12" t="s">
        <v>125</v>
      </c>
      <c r="H361" s="51" t="s">
        <v>126</v>
      </c>
      <c r="I361" s="25" t="s">
        <v>78</v>
      </c>
      <c r="J361" s="20">
        <v>48</v>
      </c>
      <c r="K361" s="20">
        <v>58.5</v>
      </c>
      <c r="L361" s="20">
        <v>0</v>
      </c>
      <c r="M361" s="20">
        <v>13.5</v>
      </c>
      <c r="N361" s="18">
        <v>52.5</v>
      </c>
      <c r="O361" s="18">
        <v>72</v>
      </c>
      <c r="P361" s="18">
        <v>13.5</v>
      </c>
      <c r="Q361" s="18">
        <v>18</v>
      </c>
      <c r="R361" s="20">
        <v>64</v>
      </c>
      <c r="S361" s="20">
        <v>54</v>
      </c>
      <c r="T361" s="20">
        <v>18</v>
      </c>
      <c r="U361" s="20">
        <v>18</v>
      </c>
      <c r="V361" s="20">
        <v>69</v>
      </c>
      <c r="W361" s="20">
        <v>60</v>
      </c>
      <c r="X361" s="20">
        <v>13</v>
      </c>
      <c r="Y361" s="20">
        <v>18</v>
      </c>
      <c r="Z361" s="20">
        <v>72.5</v>
      </c>
      <c r="AA361" s="20">
        <v>52.5</v>
      </c>
      <c r="AB361" s="20">
        <v>13.5</v>
      </c>
      <c r="AC361" s="20">
        <v>13.5</v>
      </c>
      <c r="AD361" s="20">
        <v>59.5</v>
      </c>
      <c r="AE361" s="20">
        <v>67</v>
      </c>
      <c r="AF361" s="20">
        <v>8.5</v>
      </c>
      <c r="AG361" s="20">
        <v>17</v>
      </c>
      <c r="AH361" s="20">
        <v>72</v>
      </c>
      <c r="AI361" s="20">
        <v>57.5</v>
      </c>
      <c r="AJ361" s="20">
        <v>14</v>
      </c>
      <c r="AK361" s="20">
        <v>8.5</v>
      </c>
      <c r="AL361" s="20">
        <v>64</v>
      </c>
      <c r="AM361" s="20">
        <v>54.5</v>
      </c>
      <c r="AN361" s="20">
        <v>18</v>
      </c>
      <c r="AO361" s="20">
        <v>17.5</v>
      </c>
      <c r="AP361" s="20">
        <v>65</v>
      </c>
      <c r="AQ361" s="20">
        <v>58.5</v>
      </c>
      <c r="AR361" s="20">
        <v>9</v>
      </c>
      <c r="AS361" s="20">
        <v>13.5</v>
      </c>
      <c r="AT361" s="20">
        <v>66</v>
      </c>
      <c r="AU361" s="20">
        <v>57.5</v>
      </c>
      <c r="AV361" s="20">
        <v>4</v>
      </c>
      <c r="AW361" s="20">
        <v>8.5</v>
      </c>
      <c r="AX361" s="20">
        <v>65</v>
      </c>
      <c r="AY361" s="20">
        <v>53</v>
      </c>
      <c r="AZ361" s="20">
        <v>13</v>
      </c>
      <c r="BA361" s="20">
        <v>13</v>
      </c>
      <c r="BB361" s="20">
        <v>78.5</v>
      </c>
      <c r="BC361" s="20">
        <v>58.5</v>
      </c>
      <c r="BD361" s="20">
        <v>17.5</v>
      </c>
      <c r="BE361" s="20">
        <v>13.5</v>
      </c>
      <c r="BF361" s="23">
        <v>28.54899</v>
      </c>
      <c r="BG361" s="23">
        <v>77.250039999999998</v>
      </c>
      <c r="BH361" s="31">
        <f t="shared" si="186"/>
        <v>78.5</v>
      </c>
      <c r="BI361" s="31">
        <f t="shared" si="187"/>
        <v>58.5</v>
      </c>
      <c r="BJ361" s="37">
        <f t="shared" si="188"/>
        <v>20</v>
      </c>
      <c r="BK361" s="37">
        <f t="shared" si="189"/>
        <v>34.188034188034187</v>
      </c>
      <c r="BL361" s="36">
        <f t="shared" si="190"/>
        <v>17.5</v>
      </c>
      <c r="BM361" s="36">
        <f t="shared" si="191"/>
        <v>13.5</v>
      </c>
      <c r="BN361" s="37">
        <f t="shared" si="192"/>
        <v>4</v>
      </c>
      <c r="BO361" s="37">
        <f t="shared" si="193"/>
        <v>29.629629629629626</v>
      </c>
      <c r="BP361" s="38">
        <f t="shared" si="194"/>
        <v>806</v>
      </c>
      <c r="BQ361" s="39">
        <f>J361+N361+S361+W361+AA361+AE361+AI361+AM361+AQ361+AU361+Table1[[#This Row],[MS-0225]]+Table1[[#This Row],[MS-0325]]</f>
        <v>673.5</v>
      </c>
      <c r="BR361" s="37">
        <f t="shared" si="195"/>
        <v>132.5</v>
      </c>
      <c r="BS361" s="37">
        <f t="shared" si="196"/>
        <v>19.673348181143282</v>
      </c>
      <c r="BT361" s="36">
        <f t="shared" si="197"/>
        <v>160</v>
      </c>
      <c r="BU361" s="36">
        <f t="shared" si="198"/>
        <v>154.5</v>
      </c>
      <c r="BV361" s="37">
        <f t="shared" si="199"/>
        <v>5.5</v>
      </c>
      <c r="BW361" s="37">
        <f t="shared" si="200"/>
        <v>3.5598705501618122</v>
      </c>
      <c r="BX361">
        <v>0</v>
      </c>
      <c r="BY361" s="83">
        <f t="shared" si="201"/>
        <v>0</v>
      </c>
      <c r="BZ361">
        <v>0</v>
      </c>
      <c r="CA361" s="83">
        <f t="shared" si="202"/>
        <v>0</v>
      </c>
      <c r="CB361" s="96">
        <f t="shared" si="203"/>
        <v>3.7622813323747901E-2</v>
      </c>
      <c r="CC361" s="96">
        <f t="shared" si="204"/>
        <v>2.9953917050691243E-2</v>
      </c>
      <c r="CD361" s="97">
        <f t="shared" si="205"/>
        <v>7.6688962730566586E-3</v>
      </c>
      <c r="CE361" s="96">
        <f t="shared" si="206"/>
        <v>4.3370508054522923E-2</v>
      </c>
      <c r="CF361" s="96">
        <f t="shared" si="217"/>
        <v>3.1034482758620689E-2</v>
      </c>
      <c r="CG361" s="96">
        <f t="shared" si="208"/>
        <v>1.2336025295902234E-2</v>
      </c>
      <c r="CH361" s="95">
        <f t="shared" si="209"/>
        <v>3.2974001268230815E-2</v>
      </c>
      <c r="CI361" s="95">
        <f t="shared" si="210"/>
        <v>2.8329267185732726E-2</v>
      </c>
      <c r="CJ361" s="98">
        <f t="shared" si="211"/>
        <v>4.6447340824980893E-3</v>
      </c>
      <c r="CK361" s="95">
        <f t="shared" si="212"/>
        <v>3.4733528709432325E-2</v>
      </c>
      <c r="CL361" s="95">
        <f t="shared" si="213"/>
        <v>2.7717976318622176E-2</v>
      </c>
      <c r="CM361" s="98">
        <f t="shared" si="214"/>
        <v>7.0155523908101494E-3</v>
      </c>
      <c r="CN361" s="94">
        <f t="shared" si="215"/>
        <v>0.16487000634115406</v>
      </c>
      <c r="CO361" s="94">
        <f t="shared" si="216"/>
        <v>0.17366764354716163</v>
      </c>
    </row>
    <row r="362" spans="1:93" ht="36.5" x14ac:dyDescent="0.35">
      <c r="A362" s="104">
        <v>106299</v>
      </c>
      <c r="B362" s="5" t="s">
        <v>581</v>
      </c>
      <c r="C362" s="46" t="s">
        <v>940</v>
      </c>
      <c r="D362" s="13" t="s">
        <v>659</v>
      </c>
      <c r="E362" s="6" t="s">
        <v>103</v>
      </c>
      <c r="F362" s="6" t="s">
        <v>208</v>
      </c>
      <c r="G362" s="12" t="s">
        <v>208</v>
      </c>
      <c r="H362" s="51" t="s">
        <v>105</v>
      </c>
      <c r="I362" s="24" t="s">
        <v>83</v>
      </c>
      <c r="J362" s="19">
        <v>73.5</v>
      </c>
      <c r="K362" s="19">
        <v>76</v>
      </c>
      <c r="L362" s="19">
        <v>18</v>
      </c>
      <c r="M362" s="19">
        <v>16.5</v>
      </c>
      <c r="N362" s="18">
        <v>84</v>
      </c>
      <c r="O362" s="18">
        <v>95</v>
      </c>
      <c r="P362" s="18">
        <v>18</v>
      </c>
      <c r="Q362" s="18">
        <v>16</v>
      </c>
      <c r="R362" s="19">
        <v>81</v>
      </c>
      <c r="S362" s="19">
        <v>83</v>
      </c>
      <c r="T362" s="19">
        <v>16</v>
      </c>
      <c r="U362" s="19">
        <v>17.5</v>
      </c>
      <c r="V362" s="19">
        <v>87</v>
      </c>
      <c r="W362" s="19">
        <v>87</v>
      </c>
      <c r="X362" s="19">
        <v>20</v>
      </c>
      <c r="Y362" s="19">
        <v>21.5</v>
      </c>
      <c r="Z362" s="19">
        <v>91</v>
      </c>
      <c r="AA362" s="19">
        <v>88.5</v>
      </c>
      <c r="AB362" s="19">
        <v>12</v>
      </c>
      <c r="AC362" s="19">
        <v>16.5</v>
      </c>
      <c r="AD362" s="19">
        <v>88</v>
      </c>
      <c r="AE362" s="19">
        <v>79</v>
      </c>
      <c r="AF362" s="19">
        <v>20</v>
      </c>
      <c r="AG362" s="19">
        <v>17</v>
      </c>
      <c r="AH362" s="19">
        <v>82</v>
      </c>
      <c r="AI362" s="19">
        <v>91.5</v>
      </c>
      <c r="AJ362" s="19">
        <v>16</v>
      </c>
      <c r="AK362" s="19">
        <v>21</v>
      </c>
      <c r="AL362" s="19">
        <v>76</v>
      </c>
      <c r="AM362" s="19">
        <v>81.5</v>
      </c>
      <c r="AN362" s="19">
        <v>8</v>
      </c>
      <c r="AO362" s="19">
        <v>13</v>
      </c>
      <c r="AP362" s="19">
        <v>82</v>
      </c>
      <c r="AQ362" s="19">
        <v>84</v>
      </c>
      <c r="AR362" s="19">
        <v>16</v>
      </c>
      <c r="AS362" s="19">
        <v>17</v>
      </c>
      <c r="AT362" s="19">
        <v>76</v>
      </c>
      <c r="AU362" s="19">
        <v>75</v>
      </c>
      <c r="AV362" s="19">
        <v>8</v>
      </c>
      <c r="AW362" s="19">
        <v>12.5</v>
      </c>
      <c r="AX362" s="19">
        <v>72</v>
      </c>
      <c r="AY362" s="19">
        <v>78</v>
      </c>
      <c r="AZ362" s="19">
        <v>16</v>
      </c>
      <c r="BA362" s="19">
        <v>17</v>
      </c>
      <c r="BB362" s="19">
        <v>78</v>
      </c>
      <c r="BC362" s="19">
        <v>80</v>
      </c>
      <c r="BD362" s="19">
        <v>16</v>
      </c>
      <c r="BE362" s="19">
        <v>16.5</v>
      </c>
      <c r="BF362" s="23">
        <v>28.633700000000001</v>
      </c>
      <c r="BG362" s="23">
        <v>77.217799999999997</v>
      </c>
      <c r="BH362" s="31">
        <f t="shared" si="186"/>
        <v>78</v>
      </c>
      <c r="BI362" s="31">
        <f t="shared" si="187"/>
        <v>80</v>
      </c>
      <c r="BJ362" s="37">
        <f t="shared" si="188"/>
        <v>-2</v>
      </c>
      <c r="BK362" s="37">
        <f t="shared" si="189"/>
        <v>-2.5</v>
      </c>
      <c r="BL362" s="36">
        <f t="shared" si="190"/>
        <v>16</v>
      </c>
      <c r="BM362" s="36">
        <f t="shared" si="191"/>
        <v>16.5</v>
      </c>
      <c r="BN362" s="37">
        <f t="shared" si="192"/>
        <v>-0.5</v>
      </c>
      <c r="BO362" s="37">
        <f t="shared" si="193"/>
        <v>-3.0303030303030303</v>
      </c>
      <c r="BP362" s="38">
        <f t="shared" si="194"/>
        <v>984</v>
      </c>
      <c r="BQ362" s="39">
        <f>J362+N362+S362+W362+AA362+AE362+AI362+AM362+AQ362+AU362+Table1[[#This Row],[MS-0225]]+Table1[[#This Row],[MS-0325]]</f>
        <v>985</v>
      </c>
      <c r="BR362" s="37">
        <f t="shared" si="195"/>
        <v>-1</v>
      </c>
      <c r="BS362" s="37">
        <f t="shared" si="196"/>
        <v>-0.10152284263959391</v>
      </c>
      <c r="BT362" s="36">
        <f t="shared" si="197"/>
        <v>180.5</v>
      </c>
      <c r="BU362" s="36">
        <f t="shared" si="198"/>
        <v>205.5</v>
      </c>
      <c r="BV362" s="37">
        <f t="shared" si="199"/>
        <v>-25</v>
      </c>
      <c r="BW362" s="37">
        <f t="shared" si="200"/>
        <v>-12.165450121654501</v>
      </c>
      <c r="BX362">
        <v>0</v>
      </c>
      <c r="BY362" s="83">
        <f t="shared" si="201"/>
        <v>0</v>
      </c>
      <c r="BZ362">
        <v>0</v>
      </c>
      <c r="CA362" s="83">
        <f t="shared" si="202"/>
        <v>0</v>
      </c>
      <c r="CB362" s="96">
        <f t="shared" si="203"/>
        <v>6.6354742662696725E-2</v>
      </c>
      <c r="CC362" s="96">
        <f t="shared" si="204"/>
        <v>7.1460473425636439E-2</v>
      </c>
      <c r="CD362" s="97">
        <f t="shared" si="205"/>
        <v>-5.1057307629397142E-3</v>
      </c>
      <c r="CE362" s="96">
        <f t="shared" si="206"/>
        <v>5.5459272097053723E-2</v>
      </c>
      <c r="CF362" s="96">
        <f t="shared" si="217"/>
        <v>5.2631578947368418E-2</v>
      </c>
      <c r="CG362" s="96">
        <f t="shared" si="208"/>
        <v>2.827693149685305E-3</v>
      </c>
      <c r="CH362" s="95">
        <f t="shared" si="209"/>
        <v>6.9688385269121814E-2</v>
      </c>
      <c r="CI362" s="95">
        <f t="shared" si="210"/>
        <v>7.426955688727846E-2</v>
      </c>
      <c r="CJ362" s="98">
        <f t="shared" si="211"/>
        <v>-4.5811716181566459E-3</v>
      </c>
      <c r="CK362" s="95">
        <f t="shared" si="212"/>
        <v>5.2685347343841213E-2</v>
      </c>
      <c r="CL362" s="95">
        <f t="shared" si="213"/>
        <v>5.1808899533593848E-2</v>
      </c>
      <c r="CM362" s="98">
        <f t="shared" si="214"/>
        <v>8.7644781024736468E-4</v>
      </c>
      <c r="CN362" s="94">
        <f t="shared" si="215"/>
        <v>0.69688385269121811</v>
      </c>
      <c r="CO362" s="94">
        <f t="shared" si="216"/>
        <v>0.52685347343841216</v>
      </c>
    </row>
    <row r="363" spans="1:93" ht="48.5" x14ac:dyDescent="0.35">
      <c r="A363" s="105">
        <v>142929</v>
      </c>
      <c r="B363" s="5" t="s">
        <v>581</v>
      </c>
      <c r="C363" s="46" t="s">
        <v>817</v>
      </c>
      <c r="D363" s="13" t="s">
        <v>818</v>
      </c>
      <c r="E363" s="6" t="s">
        <v>81</v>
      </c>
      <c r="F363" s="6" t="s">
        <v>184</v>
      </c>
      <c r="G363" s="12" t="s">
        <v>184</v>
      </c>
      <c r="H363" s="51" t="s">
        <v>141</v>
      </c>
      <c r="I363" s="24" t="s">
        <v>83</v>
      </c>
      <c r="J363" s="19">
        <v>50.5</v>
      </c>
      <c r="K363" s="19">
        <v>71</v>
      </c>
      <c r="L363" s="19">
        <v>75.5</v>
      </c>
      <c r="M363" s="19">
        <v>99</v>
      </c>
      <c r="N363" s="18">
        <v>81.5</v>
      </c>
      <c r="O363" s="18">
        <v>70.5</v>
      </c>
      <c r="P363" s="18">
        <v>76.5</v>
      </c>
      <c r="Q363" s="18">
        <v>43.5</v>
      </c>
      <c r="R363" s="19">
        <v>64</v>
      </c>
      <c r="S363" s="19">
        <v>68</v>
      </c>
      <c r="T363" s="19">
        <v>48</v>
      </c>
      <c r="U363" s="19">
        <v>72</v>
      </c>
      <c r="V363" s="19">
        <v>60.5</v>
      </c>
      <c r="W363" s="19">
        <v>73</v>
      </c>
      <c r="X363" s="19">
        <v>25.5</v>
      </c>
      <c r="Y363" s="19">
        <v>45</v>
      </c>
      <c r="Z363" s="19">
        <v>71.5</v>
      </c>
      <c r="AA363" s="19">
        <v>71</v>
      </c>
      <c r="AB363" s="19">
        <v>22.5</v>
      </c>
      <c r="AC363" s="19">
        <v>31</v>
      </c>
      <c r="AD363" s="19">
        <v>64.5</v>
      </c>
      <c r="AE363" s="19">
        <v>68</v>
      </c>
      <c r="AF363" s="19">
        <v>43.5</v>
      </c>
      <c r="AG363" s="19">
        <v>56</v>
      </c>
      <c r="AH363" s="19">
        <v>71.5</v>
      </c>
      <c r="AI363" s="19">
        <v>63.5</v>
      </c>
      <c r="AJ363" s="19">
        <v>38.5</v>
      </c>
      <c r="AK363" s="19">
        <v>90.5</v>
      </c>
      <c r="AL363" s="19">
        <v>72</v>
      </c>
      <c r="AM363" s="19">
        <v>59.5</v>
      </c>
      <c r="AN363" s="19">
        <v>46</v>
      </c>
      <c r="AO363" s="19">
        <v>40.5</v>
      </c>
      <c r="AP363" s="19">
        <v>65</v>
      </c>
      <c r="AQ363" s="19">
        <v>75</v>
      </c>
      <c r="AR363" s="19">
        <v>33</v>
      </c>
      <c r="AS363" s="19">
        <v>27</v>
      </c>
      <c r="AT363" s="19">
        <v>60</v>
      </c>
      <c r="AU363" s="19">
        <v>57.5</v>
      </c>
      <c r="AV363" s="19">
        <v>18</v>
      </c>
      <c r="AW363" s="19">
        <v>22.5</v>
      </c>
      <c r="AX363" s="19">
        <v>59</v>
      </c>
      <c r="AY363" s="19">
        <v>73.5</v>
      </c>
      <c r="AZ363" s="19">
        <v>67</v>
      </c>
      <c r="BA363" s="19">
        <v>64.5</v>
      </c>
      <c r="BB363" s="19">
        <v>72.5</v>
      </c>
      <c r="BC363" s="19">
        <v>65</v>
      </c>
      <c r="BD363" s="19">
        <v>65.5</v>
      </c>
      <c r="BE363" s="19">
        <v>91</v>
      </c>
      <c r="BF363" s="23">
        <v>28.610709499999999</v>
      </c>
      <c r="BG363" s="23">
        <v>76.950725300000002</v>
      </c>
      <c r="BH363" s="31">
        <f t="shared" si="186"/>
        <v>72.5</v>
      </c>
      <c r="BI363" s="31">
        <f t="shared" si="187"/>
        <v>65</v>
      </c>
      <c r="BJ363" s="37">
        <f t="shared" si="188"/>
        <v>7.5</v>
      </c>
      <c r="BK363" s="37">
        <f t="shared" si="189"/>
        <v>11.538461538461538</v>
      </c>
      <c r="BL363" s="36">
        <f t="shared" si="190"/>
        <v>65.5</v>
      </c>
      <c r="BM363" s="36">
        <f t="shared" si="191"/>
        <v>91</v>
      </c>
      <c r="BN363" s="37">
        <f t="shared" si="192"/>
        <v>-25.5</v>
      </c>
      <c r="BO363" s="37">
        <f t="shared" si="193"/>
        <v>-28.021978021978022</v>
      </c>
      <c r="BP363" s="38">
        <f t="shared" si="194"/>
        <v>802</v>
      </c>
      <c r="BQ363" s="39">
        <f>J363+N363+S363+W363+AA363+AE363+AI363+AM363+AQ363+AU363+Table1[[#This Row],[MS-0225]]+Table1[[#This Row],[MS-0325]]</f>
        <v>806</v>
      </c>
      <c r="BR363" s="37">
        <f t="shared" si="195"/>
        <v>-4</v>
      </c>
      <c r="BS363" s="37">
        <f t="shared" si="196"/>
        <v>-0.49627791563275436</v>
      </c>
      <c r="BT363" s="36">
        <f t="shared" si="197"/>
        <v>550</v>
      </c>
      <c r="BU363" s="36">
        <f t="shared" si="198"/>
        <v>692</v>
      </c>
      <c r="BV363" s="37">
        <f t="shared" si="199"/>
        <v>-142</v>
      </c>
      <c r="BW363" s="37">
        <f t="shared" si="200"/>
        <v>-20.520231213872833</v>
      </c>
      <c r="BX363">
        <v>0</v>
      </c>
      <c r="BY363" s="83">
        <f t="shared" si="201"/>
        <v>0</v>
      </c>
      <c r="BZ363">
        <v>0</v>
      </c>
      <c r="CA363" s="83">
        <f t="shared" si="202"/>
        <v>0</v>
      </c>
      <c r="CB363" s="96">
        <f t="shared" si="203"/>
        <v>5.2997076023391813E-2</v>
      </c>
      <c r="CC363" s="96">
        <f t="shared" si="204"/>
        <v>4.8561822936122524E-2</v>
      </c>
      <c r="CD363" s="97">
        <f t="shared" si="205"/>
        <v>4.4352530872692891E-3</v>
      </c>
      <c r="CE363" s="96">
        <f t="shared" si="206"/>
        <v>0.16133004926108374</v>
      </c>
      <c r="CF363" s="96">
        <f t="shared" si="217"/>
        <v>0.19178082191780821</v>
      </c>
      <c r="CG363" s="96">
        <f t="shared" si="208"/>
        <v>-3.0450772656724467E-2</v>
      </c>
      <c r="CH363" s="95">
        <f t="shared" si="209"/>
        <v>5.1218188204489576E-2</v>
      </c>
      <c r="CI363" s="95">
        <f t="shared" si="210"/>
        <v>4.977920510468016E-2</v>
      </c>
      <c r="CJ363" s="98">
        <f t="shared" si="211"/>
        <v>1.4389830998094155E-3</v>
      </c>
      <c r="CK363" s="95">
        <f t="shared" si="212"/>
        <v>0.12083928375260904</v>
      </c>
      <c r="CL363" s="95">
        <f t="shared" si="213"/>
        <v>0.12686772389769915</v>
      </c>
      <c r="CM363" s="98">
        <f t="shared" si="214"/>
        <v>-6.0284401450901165E-3</v>
      </c>
      <c r="CN363" s="94">
        <f t="shared" si="215"/>
        <v>0.35852731743142702</v>
      </c>
      <c r="CO363" s="94">
        <f t="shared" si="216"/>
        <v>0.8458749862682633</v>
      </c>
    </row>
    <row r="364" spans="1:93" ht="24.5" x14ac:dyDescent="0.35">
      <c r="A364" s="104">
        <v>106242</v>
      </c>
      <c r="B364" s="5" t="s">
        <v>581</v>
      </c>
      <c r="C364" s="46" t="s">
        <v>780</v>
      </c>
      <c r="D364" s="13" t="s">
        <v>579</v>
      </c>
      <c r="E364" s="6" t="s">
        <v>85</v>
      </c>
      <c r="F364" s="6" t="s">
        <v>326</v>
      </c>
      <c r="G364" s="12" t="s">
        <v>326</v>
      </c>
      <c r="H364" s="51" t="s">
        <v>120</v>
      </c>
      <c r="I364" s="24" t="s">
        <v>86</v>
      </c>
      <c r="J364" s="19">
        <v>531</v>
      </c>
      <c r="K364" s="19">
        <v>555.5</v>
      </c>
      <c r="L364" s="19">
        <v>81</v>
      </c>
      <c r="M364" s="19">
        <v>94.5</v>
      </c>
      <c r="N364" s="18">
        <v>540</v>
      </c>
      <c r="O364" s="18">
        <v>558</v>
      </c>
      <c r="P364" s="18">
        <v>72</v>
      </c>
      <c r="Q364" s="18">
        <v>72</v>
      </c>
      <c r="R364" s="19">
        <v>541.5</v>
      </c>
      <c r="S364" s="19">
        <v>517.5</v>
      </c>
      <c r="T364" s="19">
        <v>72.5</v>
      </c>
      <c r="U364" s="19">
        <v>76.5</v>
      </c>
      <c r="V364" s="19">
        <v>585</v>
      </c>
      <c r="W364" s="19">
        <v>571.5</v>
      </c>
      <c r="X364" s="19">
        <v>63</v>
      </c>
      <c r="Y364" s="19">
        <v>94.5</v>
      </c>
      <c r="Z364" s="19">
        <v>562.5</v>
      </c>
      <c r="AA364" s="19">
        <v>531</v>
      </c>
      <c r="AB364" s="19">
        <v>67.5</v>
      </c>
      <c r="AC364" s="19">
        <v>81</v>
      </c>
      <c r="AD364" s="19">
        <v>517.5</v>
      </c>
      <c r="AE364" s="19">
        <v>544.5</v>
      </c>
      <c r="AF364" s="19">
        <v>58.5</v>
      </c>
      <c r="AG364" s="19">
        <v>67.5</v>
      </c>
      <c r="AH364" s="19">
        <v>589.5</v>
      </c>
      <c r="AI364" s="19">
        <v>541</v>
      </c>
      <c r="AJ364" s="19">
        <v>58.5</v>
      </c>
      <c r="AK364" s="19">
        <v>85</v>
      </c>
      <c r="AL364" s="19">
        <v>524</v>
      </c>
      <c r="AM364" s="19">
        <v>522</v>
      </c>
      <c r="AN364" s="19">
        <v>54</v>
      </c>
      <c r="AO364" s="19">
        <v>90</v>
      </c>
      <c r="AP364" s="19">
        <v>510.5</v>
      </c>
      <c r="AQ364" s="19">
        <v>526</v>
      </c>
      <c r="AR364" s="19">
        <v>49.5</v>
      </c>
      <c r="AS364" s="19">
        <v>72</v>
      </c>
      <c r="AT364" s="19">
        <v>501.5</v>
      </c>
      <c r="AU364" s="19">
        <v>508.5</v>
      </c>
      <c r="AV364" s="19">
        <v>40.5</v>
      </c>
      <c r="AW364" s="19">
        <v>67.5</v>
      </c>
      <c r="AX364" s="19">
        <v>472.5</v>
      </c>
      <c r="AY364" s="19">
        <v>459</v>
      </c>
      <c r="AZ364" s="19">
        <v>40.5</v>
      </c>
      <c r="BA364" s="19">
        <v>63</v>
      </c>
      <c r="BB364" s="19">
        <v>531</v>
      </c>
      <c r="BC364" s="19">
        <v>517.5</v>
      </c>
      <c r="BD364" s="19">
        <v>45</v>
      </c>
      <c r="BE364" s="19">
        <v>76.5</v>
      </c>
      <c r="BF364" s="23">
        <v>28.6282</v>
      </c>
      <c r="BG364" s="23">
        <v>77.079400000000007</v>
      </c>
      <c r="BH364" s="31">
        <f t="shared" si="186"/>
        <v>531</v>
      </c>
      <c r="BI364" s="31">
        <f t="shared" si="187"/>
        <v>517.5</v>
      </c>
      <c r="BJ364" s="37">
        <f t="shared" si="188"/>
        <v>13.5</v>
      </c>
      <c r="BK364" s="37">
        <f t="shared" si="189"/>
        <v>2.6086956521739131</v>
      </c>
      <c r="BL364" s="36">
        <f t="shared" si="190"/>
        <v>45</v>
      </c>
      <c r="BM364" s="36">
        <f t="shared" si="191"/>
        <v>76.5</v>
      </c>
      <c r="BN364" s="37">
        <f t="shared" si="192"/>
        <v>-31.5</v>
      </c>
      <c r="BO364" s="37">
        <f t="shared" si="193"/>
        <v>-41.17647058823529</v>
      </c>
      <c r="BP364" s="38">
        <f t="shared" si="194"/>
        <v>6449</v>
      </c>
      <c r="BQ364" s="39">
        <f>J364+N364+S364+W364+AA364+AE364+AI364+AM364+AQ364+AU364+Table1[[#This Row],[MS-0225]]+Table1[[#This Row],[MS-0325]]</f>
        <v>6309.5</v>
      </c>
      <c r="BR364" s="37">
        <f t="shared" si="195"/>
        <v>139.5</v>
      </c>
      <c r="BS364" s="37">
        <f t="shared" si="196"/>
        <v>2.2109517394405263</v>
      </c>
      <c r="BT364" s="36">
        <f t="shared" si="197"/>
        <v>716</v>
      </c>
      <c r="BU364" s="36">
        <f t="shared" si="198"/>
        <v>926.5</v>
      </c>
      <c r="BV364" s="37">
        <f t="shared" si="199"/>
        <v>-210.5</v>
      </c>
      <c r="BW364" s="37">
        <f t="shared" si="200"/>
        <v>-22.71991365353481</v>
      </c>
      <c r="BX364">
        <v>0</v>
      </c>
      <c r="BY364" s="83">
        <f t="shared" si="201"/>
        <v>0</v>
      </c>
      <c r="BZ364">
        <v>0</v>
      </c>
      <c r="CA364" s="83">
        <f t="shared" si="202"/>
        <v>0</v>
      </c>
      <c r="CB364" s="96">
        <f t="shared" si="203"/>
        <v>0.21559074299634592</v>
      </c>
      <c r="CC364" s="96">
        <f t="shared" si="204"/>
        <v>0.21946564885496184</v>
      </c>
      <c r="CD364" s="97">
        <f t="shared" si="205"/>
        <v>-3.8749058586159124E-3</v>
      </c>
      <c r="CE364" s="96">
        <f t="shared" si="206"/>
        <v>0.17475728155339806</v>
      </c>
      <c r="CF364" s="96">
        <f t="shared" si="217"/>
        <v>0.23906250000000001</v>
      </c>
      <c r="CG364" s="96">
        <f t="shared" si="208"/>
        <v>-6.4305218446601947E-2</v>
      </c>
      <c r="CH364" s="95">
        <f t="shared" si="209"/>
        <v>0.21846575992140788</v>
      </c>
      <c r="CI364" s="95">
        <f t="shared" si="210"/>
        <v>0.22104083037919092</v>
      </c>
      <c r="CJ364" s="98">
        <f t="shared" si="211"/>
        <v>-2.5750704577830463E-3</v>
      </c>
      <c r="CK364" s="95">
        <f t="shared" si="212"/>
        <v>0.20634005763688762</v>
      </c>
      <c r="CL364" s="95">
        <f t="shared" si="213"/>
        <v>0.23084589510402392</v>
      </c>
      <c r="CM364" s="98">
        <f t="shared" si="214"/>
        <v>-2.4505837467136304E-2</v>
      </c>
      <c r="CN364" s="94">
        <f t="shared" si="215"/>
        <v>0.8738630396856315</v>
      </c>
      <c r="CO364" s="94">
        <f t="shared" si="216"/>
        <v>0.82536023054755048</v>
      </c>
    </row>
    <row r="365" spans="1:93" ht="36.5" x14ac:dyDescent="0.35">
      <c r="A365" s="103">
        <v>41019253</v>
      </c>
      <c r="B365" s="9" t="s">
        <v>380</v>
      </c>
      <c r="C365" s="48" t="s">
        <v>512</v>
      </c>
      <c r="D365" s="14" t="s">
        <v>513</v>
      </c>
      <c r="E365" s="10" t="s">
        <v>81</v>
      </c>
      <c r="F365" s="10" t="s">
        <v>184</v>
      </c>
      <c r="G365" s="12" t="s">
        <v>184</v>
      </c>
      <c r="H365" s="51" t="s">
        <v>141</v>
      </c>
      <c r="I365" s="25" t="s">
        <v>83</v>
      </c>
      <c r="J365" s="20">
        <v>67</v>
      </c>
      <c r="K365" s="20">
        <v>68</v>
      </c>
      <c r="L365" s="20">
        <v>35</v>
      </c>
      <c r="M365" s="20">
        <v>32</v>
      </c>
      <c r="N365" s="18">
        <v>79.5</v>
      </c>
      <c r="O365" s="18">
        <v>88</v>
      </c>
      <c r="P365" s="18">
        <v>40.5</v>
      </c>
      <c r="Q365" s="18">
        <v>45</v>
      </c>
      <c r="R365" s="20">
        <v>96</v>
      </c>
      <c r="S365" s="20">
        <v>76.5</v>
      </c>
      <c r="T365" s="20">
        <v>38</v>
      </c>
      <c r="U365" s="20">
        <v>31.5</v>
      </c>
      <c r="V365" s="20">
        <v>59</v>
      </c>
      <c r="W365" s="20">
        <v>79</v>
      </c>
      <c r="X365" s="20">
        <v>29</v>
      </c>
      <c r="Y365" s="20">
        <v>35</v>
      </c>
      <c r="Z365" s="20">
        <v>96.5</v>
      </c>
      <c r="AA365" s="20">
        <v>79.5</v>
      </c>
      <c r="AB365" s="20">
        <v>31.5</v>
      </c>
      <c r="AC365" s="20">
        <v>34.5</v>
      </c>
      <c r="AD365" s="20">
        <v>77</v>
      </c>
      <c r="AE365" s="20">
        <v>70.5</v>
      </c>
      <c r="AF365" s="20">
        <v>33</v>
      </c>
      <c r="AG365" s="20">
        <v>31.5</v>
      </c>
      <c r="AH365" s="20">
        <v>80</v>
      </c>
      <c r="AI365" s="20">
        <v>75</v>
      </c>
      <c r="AJ365" s="20">
        <v>30</v>
      </c>
      <c r="AK365" s="20">
        <v>39</v>
      </c>
      <c r="AL365" s="20">
        <v>91</v>
      </c>
      <c r="AM365" s="20">
        <v>86.5</v>
      </c>
      <c r="AN365" s="20">
        <v>27</v>
      </c>
      <c r="AO365" s="20">
        <v>29.5</v>
      </c>
      <c r="AP365" s="20">
        <v>75</v>
      </c>
      <c r="AQ365" s="20">
        <v>70</v>
      </c>
      <c r="AR365" s="20">
        <v>25</v>
      </c>
      <c r="AS365" s="20">
        <v>26</v>
      </c>
      <c r="AT365" s="20">
        <v>69</v>
      </c>
      <c r="AU365" s="20">
        <v>81</v>
      </c>
      <c r="AV365" s="20">
        <v>19</v>
      </c>
      <c r="AW365" s="20">
        <v>32</v>
      </c>
      <c r="AX365" s="20">
        <v>67</v>
      </c>
      <c r="AY365" s="20">
        <v>67</v>
      </c>
      <c r="AZ365" s="20">
        <v>21</v>
      </c>
      <c r="BA365" s="20">
        <v>21</v>
      </c>
      <c r="BB365" s="20">
        <v>70</v>
      </c>
      <c r="BC365" s="20">
        <v>88</v>
      </c>
      <c r="BD365" s="20">
        <v>30</v>
      </c>
      <c r="BE365" s="20">
        <v>44</v>
      </c>
      <c r="BF365" s="23">
        <v>28.6108309</v>
      </c>
      <c r="BG365" s="23">
        <v>76.949554800000001</v>
      </c>
      <c r="BH365" s="31">
        <f t="shared" si="186"/>
        <v>70</v>
      </c>
      <c r="BI365" s="31">
        <f t="shared" si="187"/>
        <v>88</v>
      </c>
      <c r="BJ365" s="37">
        <f t="shared" si="188"/>
        <v>-18</v>
      </c>
      <c r="BK365" s="37">
        <f t="shared" si="189"/>
        <v>-20.454545454545457</v>
      </c>
      <c r="BL365" s="36">
        <f t="shared" si="190"/>
        <v>30</v>
      </c>
      <c r="BM365" s="36">
        <f t="shared" si="191"/>
        <v>44</v>
      </c>
      <c r="BN365" s="37">
        <f t="shared" si="192"/>
        <v>-14</v>
      </c>
      <c r="BO365" s="37">
        <f t="shared" si="193"/>
        <v>-31.818181818181817</v>
      </c>
      <c r="BP365" s="38">
        <f t="shared" si="194"/>
        <v>936.5</v>
      </c>
      <c r="BQ365" s="39">
        <f>J365+N365+S365+W365+AA365+AE365+AI365+AM365+AQ365+AU365+Table1[[#This Row],[MS-0225]]+Table1[[#This Row],[MS-0325]]</f>
        <v>919.5</v>
      </c>
      <c r="BR365" s="37">
        <f t="shared" si="195"/>
        <v>17</v>
      </c>
      <c r="BS365" s="37">
        <f t="shared" si="196"/>
        <v>1.8488308863512777</v>
      </c>
      <c r="BT365" s="36">
        <f t="shared" si="197"/>
        <v>360.5</v>
      </c>
      <c r="BU365" s="36">
        <f t="shared" si="198"/>
        <v>399.5</v>
      </c>
      <c r="BV365" s="37">
        <f t="shared" si="199"/>
        <v>-39</v>
      </c>
      <c r="BW365" s="37">
        <f t="shared" si="200"/>
        <v>-9.7622027534418017</v>
      </c>
      <c r="BX365">
        <v>0</v>
      </c>
      <c r="BY365" s="83">
        <f t="shared" si="201"/>
        <v>0</v>
      </c>
      <c r="BZ365">
        <v>0</v>
      </c>
      <c r="CA365" s="83">
        <f t="shared" si="202"/>
        <v>0</v>
      </c>
      <c r="CB365" s="96">
        <f t="shared" si="203"/>
        <v>5.1169590643274851E-2</v>
      </c>
      <c r="CC365" s="96">
        <f t="shared" si="204"/>
        <v>6.5745237205827423E-2</v>
      </c>
      <c r="CD365" s="97">
        <f t="shared" si="205"/>
        <v>-1.4575646562552572E-2</v>
      </c>
      <c r="CE365" s="96">
        <f t="shared" si="206"/>
        <v>7.3891625615763554E-2</v>
      </c>
      <c r="CF365" s="96">
        <f t="shared" si="217"/>
        <v>9.2729188619599584E-2</v>
      </c>
      <c r="CG365" s="96">
        <f t="shared" si="208"/>
        <v>-1.883756300383603E-2</v>
      </c>
      <c r="CH365" s="95">
        <f t="shared" si="209"/>
        <v>5.9807772136539261E-2</v>
      </c>
      <c r="CI365" s="95">
        <f t="shared" si="210"/>
        <v>5.6789055947584877E-2</v>
      </c>
      <c r="CJ365" s="98">
        <f t="shared" si="211"/>
        <v>3.0187161889543845E-3</v>
      </c>
      <c r="CK365" s="95">
        <f t="shared" si="212"/>
        <v>7.9204657805119191E-2</v>
      </c>
      <c r="CL365" s="95">
        <f t="shared" si="213"/>
        <v>7.3242277018975163E-2</v>
      </c>
      <c r="CM365" s="98">
        <f t="shared" si="214"/>
        <v>5.9623807861440281E-3</v>
      </c>
      <c r="CN365" s="94">
        <f t="shared" si="215"/>
        <v>0.41865440495577483</v>
      </c>
      <c r="CO365" s="94">
        <f t="shared" si="216"/>
        <v>0.55443260463583433</v>
      </c>
    </row>
    <row r="366" spans="1:93" ht="36.5" x14ac:dyDescent="0.35">
      <c r="A366" s="104">
        <v>254695</v>
      </c>
      <c r="B366" s="5" t="s">
        <v>581</v>
      </c>
      <c r="C366" s="46" t="s">
        <v>949</v>
      </c>
      <c r="D366" s="13" t="s">
        <v>950</v>
      </c>
      <c r="E366" s="6" t="s">
        <v>89</v>
      </c>
      <c r="F366" s="6" t="s">
        <v>294</v>
      </c>
      <c r="G366" s="12" t="s">
        <v>294</v>
      </c>
      <c r="H366" s="51" t="s">
        <v>91</v>
      </c>
      <c r="I366" s="24" t="s">
        <v>86</v>
      </c>
      <c r="J366" s="19">
        <v>22</v>
      </c>
      <c r="K366" s="19">
        <v>16.5</v>
      </c>
      <c r="L366" s="19">
        <v>44</v>
      </c>
      <c r="M366" s="19">
        <v>37.5</v>
      </c>
      <c r="N366" s="18">
        <v>21</v>
      </c>
      <c r="O366" s="18">
        <v>17.5</v>
      </c>
      <c r="P366" s="18">
        <v>51</v>
      </c>
      <c r="Q366" s="18">
        <v>38.5</v>
      </c>
      <c r="R366" s="19">
        <v>18.5</v>
      </c>
      <c r="S366" s="19">
        <v>33</v>
      </c>
      <c r="T366" s="19">
        <v>43.5</v>
      </c>
      <c r="U366" s="19">
        <v>51</v>
      </c>
      <c r="V366" s="19">
        <v>16</v>
      </c>
      <c r="W366" s="19">
        <v>24</v>
      </c>
      <c r="X366" s="19">
        <v>44</v>
      </c>
      <c r="Y366" s="19">
        <v>54</v>
      </c>
      <c r="Z366" s="19">
        <v>17</v>
      </c>
      <c r="AA366" s="19">
        <v>17.5</v>
      </c>
      <c r="AB366" s="19">
        <v>57</v>
      </c>
      <c r="AC366" s="19">
        <v>62.5</v>
      </c>
      <c r="AD366" s="19">
        <v>8</v>
      </c>
      <c r="AE366" s="19">
        <v>23</v>
      </c>
      <c r="AF366" s="19">
        <v>40</v>
      </c>
      <c r="AG366" s="19">
        <v>73</v>
      </c>
      <c r="AH366" s="19">
        <v>13</v>
      </c>
      <c r="AI366" s="19">
        <v>19</v>
      </c>
      <c r="AJ366" s="19">
        <v>37</v>
      </c>
      <c r="AK366" s="19">
        <v>57</v>
      </c>
      <c r="AL366" s="19">
        <v>16</v>
      </c>
      <c r="AM366" s="19">
        <v>32.5</v>
      </c>
      <c r="AN366" s="19">
        <v>32</v>
      </c>
      <c r="AO366" s="19">
        <v>55.5</v>
      </c>
      <c r="AP366" s="19">
        <v>16</v>
      </c>
      <c r="AQ366" s="19">
        <v>17</v>
      </c>
      <c r="AR366" s="19">
        <v>32</v>
      </c>
      <c r="AS366" s="19">
        <v>39</v>
      </c>
      <c r="AT366" s="19">
        <v>16</v>
      </c>
      <c r="AU366" s="19">
        <v>13.5</v>
      </c>
      <c r="AV366" s="19">
        <v>44</v>
      </c>
      <c r="AW366" s="19">
        <v>62.5</v>
      </c>
      <c r="AX366" s="19">
        <v>12</v>
      </c>
      <c r="AY366" s="19">
        <v>18.5</v>
      </c>
      <c r="AZ366" s="19">
        <v>48</v>
      </c>
      <c r="BA366" s="19">
        <v>51.5</v>
      </c>
      <c r="BB366" s="19">
        <v>12</v>
      </c>
      <c r="BC366" s="19">
        <v>17.5</v>
      </c>
      <c r="BD366" s="19">
        <v>24</v>
      </c>
      <c r="BE366" s="19">
        <v>56.5</v>
      </c>
      <c r="BF366" s="23">
        <v>28.724115000000001</v>
      </c>
      <c r="BG366" s="23">
        <v>77.004631000000003</v>
      </c>
      <c r="BH366" s="31">
        <f t="shared" si="186"/>
        <v>12</v>
      </c>
      <c r="BI366" s="31">
        <f t="shared" si="187"/>
        <v>17.5</v>
      </c>
      <c r="BJ366" s="37">
        <f t="shared" si="188"/>
        <v>-5.5</v>
      </c>
      <c r="BK366" s="37">
        <f t="shared" si="189"/>
        <v>-31.428571428571427</v>
      </c>
      <c r="BL366" s="36">
        <f t="shared" si="190"/>
        <v>24</v>
      </c>
      <c r="BM366" s="36">
        <f t="shared" si="191"/>
        <v>56.5</v>
      </c>
      <c r="BN366" s="37">
        <f t="shared" si="192"/>
        <v>-32.5</v>
      </c>
      <c r="BO366" s="37">
        <f t="shared" si="193"/>
        <v>-57.522123893805308</v>
      </c>
      <c r="BP366" s="38">
        <f t="shared" si="194"/>
        <v>178.5</v>
      </c>
      <c r="BQ366" s="39">
        <f>J366+N366+S366+W366+AA366+AE366+AI366+AM366+AQ366+AU366+Table1[[#This Row],[MS-0225]]+Table1[[#This Row],[MS-0325]]</f>
        <v>258.5</v>
      </c>
      <c r="BR366" s="37">
        <f t="shared" si="195"/>
        <v>-80</v>
      </c>
      <c r="BS366" s="37">
        <f t="shared" si="196"/>
        <v>-30.947775628626694</v>
      </c>
      <c r="BT366" s="36">
        <f t="shared" si="197"/>
        <v>477.5</v>
      </c>
      <c r="BU366" s="36">
        <f t="shared" si="198"/>
        <v>657.5</v>
      </c>
      <c r="BV366" s="37">
        <f t="shared" si="199"/>
        <v>-180</v>
      </c>
      <c r="BW366" s="37">
        <f t="shared" si="200"/>
        <v>-27.376425855513308</v>
      </c>
      <c r="BX366">
        <v>0</v>
      </c>
      <c r="BY366" s="83">
        <f t="shared" si="201"/>
        <v>0</v>
      </c>
      <c r="BZ366">
        <v>0</v>
      </c>
      <c r="CA366" s="83">
        <f t="shared" si="202"/>
        <v>0</v>
      </c>
      <c r="CB366" s="96">
        <f t="shared" si="203"/>
        <v>2.7057497181510709E-2</v>
      </c>
      <c r="CC366" s="96">
        <f t="shared" si="204"/>
        <v>3.4550839091806514E-2</v>
      </c>
      <c r="CD366" s="97">
        <f t="shared" si="205"/>
        <v>-7.4933419102958046E-3</v>
      </c>
      <c r="CE366" s="96">
        <f t="shared" si="206"/>
        <v>4.6829268292682927E-2</v>
      </c>
      <c r="CF366" s="96">
        <f t="shared" si="217"/>
        <v>0.1273957158962796</v>
      </c>
      <c r="CG366" s="96">
        <f t="shared" si="208"/>
        <v>-8.0566447603596672E-2</v>
      </c>
      <c r="CH366" s="95">
        <f t="shared" si="209"/>
        <v>3.23516085183507E-2</v>
      </c>
      <c r="CI366" s="95">
        <f t="shared" si="210"/>
        <v>4.3932698844323589E-2</v>
      </c>
      <c r="CJ366" s="98">
        <f t="shared" si="211"/>
        <v>-1.158109032597289E-2</v>
      </c>
      <c r="CK366" s="95">
        <f t="shared" si="212"/>
        <v>8.1868838405486505E-2</v>
      </c>
      <c r="CL366" s="95">
        <f t="shared" si="213"/>
        <v>0.11201022146507666</v>
      </c>
      <c r="CM366" s="98">
        <f t="shared" si="214"/>
        <v>-3.014138305959016E-2</v>
      </c>
      <c r="CN366" s="94">
        <f t="shared" si="215"/>
        <v>0.2264612596284549</v>
      </c>
      <c r="CO366" s="94">
        <f t="shared" si="216"/>
        <v>0.57308186883840551</v>
      </c>
    </row>
    <row r="367" spans="1:93" ht="36.5" x14ac:dyDescent="0.35">
      <c r="A367" s="102">
        <v>112395</v>
      </c>
      <c r="B367" s="3" t="s">
        <v>72</v>
      </c>
      <c r="C367" s="41" t="s">
        <v>288</v>
      </c>
      <c r="D367" s="12" t="s">
        <v>289</v>
      </c>
      <c r="E367" s="4" t="s">
        <v>103</v>
      </c>
      <c r="F367" s="4" t="s">
        <v>208</v>
      </c>
      <c r="G367" s="12" t="s">
        <v>208</v>
      </c>
      <c r="H367" s="51" t="s">
        <v>105</v>
      </c>
      <c r="I367" s="23" t="s">
        <v>83</v>
      </c>
      <c r="J367" s="90">
        <v>80</v>
      </c>
      <c r="K367" s="90">
        <v>71</v>
      </c>
      <c r="L367" s="90">
        <v>28</v>
      </c>
      <c r="M367" s="90">
        <v>25</v>
      </c>
      <c r="N367" s="18">
        <v>76</v>
      </c>
      <c r="O367" s="18">
        <v>85</v>
      </c>
      <c r="P367" s="18">
        <v>32</v>
      </c>
      <c r="Q367" s="18">
        <v>25</v>
      </c>
      <c r="R367" s="90">
        <v>72</v>
      </c>
      <c r="S367" s="90">
        <v>81.5</v>
      </c>
      <c r="T367" s="90">
        <v>26</v>
      </c>
      <c r="U367" s="90">
        <v>32.5</v>
      </c>
      <c r="V367" s="90">
        <v>75</v>
      </c>
      <c r="W367" s="90">
        <v>80</v>
      </c>
      <c r="X367" s="90">
        <v>21</v>
      </c>
      <c r="Y367" s="90">
        <v>28</v>
      </c>
      <c r="Z367" s="90">
        <v>74</v>
      </c>
      <c r="AA367" s="90">
        <v>76</v>
      </c>
      <c r="AB367" s="90">
        <v>24</v>
      </c>
      <c r="AC367" s="90">
        <v>32</v>
      </c>
      <c r="AD367" s="90">
        <v>72</v>
      </c>
      <c r="AE367" s="90">
        <v>80</v>
      </c>
      <c r="AF367" s="90">
        <v>26</v>
      </c>
      <c r="AG367" s="90">
        <v>28</v>
      </c>
      <c r="AH367" s="90">
        <v>73</v>
      </c>
      <c r="AI367" s="90">
        <v>81</v>
      </c>
      <c r="AJ367" s="90">
        <v>25</v>
      </c>
      <c r="AK367" s="90">
        <v>29</v>
      </c>
      <c r="AL367" s="90">
        <v>74</v>
      </c>
      <c r="AM367" s="90">
        <v>63</v>
      </c>
      <c r="AN367" s="90">
        <v>24</v>
      </c>
      <c r="AO367" s="90">
        <v>17</v>
      </c>
      <c r="AP367" s="90">
        <v>72</v>
      </c>
      <c r="AQ367" s="90">
        <v>72</v>
      </c>
      <c r="AR367" s="90">
        <v>26</v>
      </c>
      <c r="AS367" s="90">
        <v>30</v>
      </c>
      <c r="AT367" s="90">
        <v>72</v>
      </c>
      <c r="AU367" s="90">
        <v>68</v>
      </c>
      <c r="AV367" s="90">
        <v>26</v>
      </c>
      <c r="AW367" s="90">
        <v>22</v>
      </c>
      <c r="AX367" s="90">
        <v>72</v>
      </c>
      <c r="AY367" s="90">
        <v>66</v>
      </c>
      <c r="AZ367" s="90">
        <v>26</v>
      </c>
      <c r="BA367" s="90">
        <v>26</v>
      </c>
      <c r="BB367" s="90">
        <v>69</v>
      </c>
      <c r="BC367" s="90">
        <v>70</v>
      </c>
      <c r="BD367" s="90">
        <v>29</v>
      </c>
      <c r="BE367" s="90">
        <v>26</v>
      </c>
      <c r="BF367" s="23">
        <v>28.634869999999999</v>
      </c>
      <c r="BG367" s="23">
        <v>77.217839999999995</v>
      </c>
      <c r="BH367" s="31">
        <f t="shared" si="186"/>
        <v>69</v>
      </c>
      <c r="BI367" s="31">
        <f t="shared" si="187"/>
        <v>70</v>
      </c>
      <c r="BJ367" s="37">
        <f t="shared" si="188"/>
        <v>-1</v>
      </c>
      <c r="BK367" s="37">
        <f t="shared" si="189"/>
        <v>-1.4285714285714286</v>
      </c>
      <c r="BL367" s="36">
        <f t="shared" si="190"/>
        <v>29</v>
      </c>
      <c r="BM367" s="36">
        <f t="shared" si="191"/>
        <v>26</v>
      </c>
      <c r="BN367" s="37">
        <f t="shared" si="192"/>
        <v>3</v>
      </c>
      <c r="BO367" s="37">
        <f t="shared" si="193"/>
        <v>11.538461538461538</v>
      </c>
      <c r="BP367" s="38">
        <f t="shared" si="194"/>
        <v>881</v>
      </c>
      <c r="BQ367" s="39">
        <f>J367+N367+S367+W367+AA367+AE367+AI367+AM367+AQ367+AU367+Table1[[#This Row],[MS-0225]]+Table1[[#This Row],[MS-0325]]</f>
        <v>893.5</v>
      </c>
      <c r="BR367" s="37">
        <f t="shared" si="195"/>
        <v>-12.5</v>
      </c>
      <c r="BS367" s="37">
        <f t="shared" si="196"/>
        <v>-1.3989927252378287</v>
      </c>
      <c r="BT367" s="36">
        <f t="shared" si="197"/>
        <v>303</v>
      </c>
      <c r="BU367" s="36">
        <f t="shared" si="198"/>
        <v>330.5</v>
      </c>
      <c r="BV367" s="37">
        <f t="shared" si="199"/>
        <v>-27.5</v>
      </c>
      <c r="BW367" s="37">
        <f t="shared" si="200"/>
        <v>-8.3207261724659602</v>
      </c>
      <c r="BX367">
        <v>0</v>
      </c>
      <c r="BY367" s="83">
        <f t="shared" si="201"/>
        <v>0</v>
      </c>
      <c r="BZ367">
        <v>0</v>
      </c>
      <c r="CA367" s="83">
        <f t="shared" si="202"/>
        <v>0</v>
      </c>
      <c r="CB367" s="96">
        <f t="shared" si="203"/>
        <v>5.8698426201616333E-2</v>
      </c>
      <c r="CC367" s="96">
        <f t="shared" si="204"/>
        <v>6.2527914247431884E-2</v>
      </c>
      <c r="CD367" s="97">
        <f t="shared" si="205"/>
        <v>-3.8294880458155517E-3</v>
      </c>
      <c r="CE367" s="96">
        <f t="shared" si="206"/>
        <v>0.10051993067590988</v>
      </c>
      <c r="CF367" s="96">
        <f t="shared" si="217"/>
        <v>8.2934609250398722E-2</v>
      </c>
      <c r="CG367" s="96">
        <f t="shared" si="208"/>
        <v>1.7585321425511155E-2</v>
      </c>
      <c r="CH367" s="95">
        <f t="shared" si="209"/>
        <v>6.2393767705382436E-2</v>
      </c>
      <c r="CI367" s="95">
        <f t="shared" si="210"/>
        <v>6.7370405156125177E-2</v>
      </c>
      <c r="CJ367" s="98">
        <f t="shared" si="211"/>
        <v>-4.9766374507427408E-3</v>
      </c>
      <c r="CK367" s="95">
        <f t="shared" si="212"/>
        <v>8.8441330998248691E-2</v>
      </c>
      <c r="CL367" s="95">
        <f t="shared" si="213"/>
        <v>8.3322828690281098E-2</v>
      </c>
      <c r="CM367" s="98">
        <f t="shared" si="214"/>
        <v>5.1185023079675929E-3</v>
      </c>
      <c r="CN367" s="94">
        <f t="shared" si="215"/>
        <v>0.6239376770538243</v>
      </c>
      <c r="CO367" s="94">
        <f t="shared" si="216"/>
        <v>0.88441330998248691</v>
      </c>
    </row>
    <row r="368" spans="1:93" ht="36.5" x14ac:dyDescent="0.35">
      <c r="A368" s="104">
        <v>106250</v>
      </c>
      <c r="B368" s="5" t="s">
        <v>581</v>
      </c>
      <c r="C368" s="46" t="s">
        <v>734</v>
      </c>
      <c r="D368" s="13" t="s">
        <v>735</v>
      </c>
      <c r="E368" s="6" t="s">
        <v>81</v>
      </c>
      <c r="F368" s="6" t="s">
        <v>736</v>
      </c>
      <c r="G368" s="12" t="s">
        <v>736</v>
      </c>
      <c r="H368" s="51" t="s">
        <v>141</v>
      </c>
      <c r="I368" s="24" t="s">
        <v>83</v>
      </c>
      <c r="J368" s="19">
        <v>66</v>
      </c>
      <c r="K368" s="19">
        <v>53.5</v>
      </c>
      <c r="L368" s="19">
        <v>84</v>
      </c>
      <c r="M368" s="19">
        <v>66.5</v>
      </c>
      <c r="N368" s="18">
        <v>47</v>
      </c>
      <c r="O368" s="18">
        <v>58.5</v>
      </c>
      <c r="P368" s="18">
        <v>43</v>
      </c>
      <c r="Q368" s="18">
        <v>55.5</v>
      </c>
      <c r="R368" s="19">
        <v>63</v>
      </c>
      <c r="S368" s="19">
        <v>63.5</v>
      </c>
      <c r="T368" s="19">
        <v>51</v>
      </c>
      <c r="U368" s="19">
        <v>50.5</v>
      </c>
      <c r="V368" s="19">
        <v>68.5</v>
      </c>
      <c r="W368" s="19">
        <v>59</v>
      </c>
      <c r="X368" s="19">
        <v>43.5</v>
      </c>
      <c r="Y368" s="19">
        <v>51</v>
      </c>
      <c r="Z368" s="19">
        <v>67</v>
      </c>
      <c r="AA368" s="19">
        <v>64</v>
      </c>
      <c r="AB368" s="19">
        <v>35</v>
      </c>
      <c r="AC368" s="19">
        <v>32</v>
      </c>
      <c r="AD368" s="19">
        <v>53.5</v>
      </c>
      <c r="AE368" s="19">
        <v>50</v>
      </c>
      <c r="AF368" s="19">
        <v>58.5</v>
      </c>
      <c r="AG368" s="19">
        <v>46</v>
      </c>
      <c r="AH368" s="19">
        <v>66.5</v>
      </c>
      <c r="AI368" s="19">
        <v>62.5</v>
      </c>
      <c r="AJ368" s="19">
        <v>59.5</v>
      </c>
      <c r="AK368" s="19">
        <v>75.5</v>
      </c>
      <c r="AL368" s="19">
        <v>65.5</v>
      </c>
      <c r="AM368" s="19">
        <v>71</v>
      </c>
      <c r="AN368" s="19">
        <v>58.5</v>
      </c>
      <c r="AO368" s="19">
        <v>55</v>
      </c>
      <c r="AP368" s="19">
        <v>57</v>
      </c>
      <c r="AQ368" s="19">
        <v>45</v>
      </c>
      <c r="AR368" s="19">
        <v>33</v>
      </c>
      <c r="AS368" s="19">
        <v>25</v>
      </c>
      <c r="AT368" s="19">
        <v>58</v>
      </c>
      <c r="AU368" s="19">
        <v>50</v>
      </c>
      <c r="AV368" s="19">
        <v>28</v>
      </c>
      <c r="AW368" s="19">
        <v>24</v>
      </c>
      <c r="AX368" s="19">
        <v>62.5</v>
      </c>
      <c r="AY368" s="19">
        <v>42</v>
      </c>
      <c r="AZ368" s="19">
        <v>33.5</v>
      </c>
      <c r="BA368" s="19">
        <v>32</v>
      </c>
      <c r="BB368" s="19">
        <v>68</v>
      </c>
      <c r="BC368" s="19">
        <v>58.5</v>
      </c>
      <c r="BD368" s="19">
        <v>72</v>
      </c>
      <c r="BE368" s="19">
        <v>49.5</v>
      </c>
      <c r="BF368" s="23">
        <v>28.562100000000001</v>
      </c>
      <c r="BG368" s="23">
        <v>76.843400000000003</v>
      </c>
      <c r="BH368" s="31">
        <f t="shared" si="186"/>
        <v>68</v>
      </c>
      <c r="BI368" s="31">
        <f t="shared" si="187"/>
        <v>58.5</v>
      </c>
      <c r="BJ368" s="37">
        <f t="shared" si="188"/>
        <v>9.5</v>
      </c>
      <c r="BK368" s="37">
        <f t="shared" si="189"/>
        <v>16.239316239316238</v>
      </c>
      <c r="BL368" s="36">
        <f t="shared" si="190"/>
        <v>72</v>
      </c>
      <c r="BM368" s="36">
        <f t="shared" si="191"/>
        <v>49.5</v>
      </c>
      <c r="BN368" s="37">
        <f t="shared" si="192"/>
        <v>22.5</v>
      </c>
      <c r="BO368" s="37">
        <f t="shared" si="193"/>
        <v>45.454545454545453</v>
      </c>
      <c r="BP368" s="38">
        <f t="shared" si="194"/>
        <v>741.5</v>
      </c>
      <c r="BQ368" s="39">
        <f>J368+N368+S368+W368+AA368+AE368+AI368+AM368+AQ368+AU368+Table1[[#This Row],[MS-0225]]+Table1[[#This Row],[MS-0325]]</f>
        <v>678.5</v>
      </c>
      <c r="BR368" s="37">
        <f t="shared" si="195"/>
        <v>63</v>
      </c>
      <c r="BS368" s="37">
        <f t="shared" si="196"/>
        <v>9.2851879145173175</v>
      </c>
      <c r="BT368" s="36">
        <f t="shared" si="197"/>
        <v>594.5</v>
      </c>
      <c r="BU368" s="36">
        <f t="shared" si="198"/>
        <v>567.5</v>
      </c>
      <c r="BV368" s="37">
        <f t="shared" si="199"/>
        <v>27</v>
      </c>
      <c r="BW368" s="37">
        <f t="shared" si="200"/>
        <v>4.7577092511013221</v>
      </c>
      <c r="BX368">
        <v>0</v>
      </c>
      <c r="BY368" s="83">
        <f t="shared" si="201"/>
        <v>0</v>
      </c>
      <c r="BZ368">
        <v>0</v>
      </c>
      <c r="CA368" s="83">
        <f t="shared" si="202"/>
        <v>0</v>
      </c>
      <c r="CB368" s="96">
        <f t="shared" si="203"/>
        <v>1</v>
      </c>
      <c r="CC368" s="96">
        <f t="shared" si="204"/>
        <v>1</v>
      </c>
      <c r="CD368" s="97">
        <f t="shared" si="205"/>
        <v>0</v>
      </c>
      <c r="CE368" s="96">
        <f t="shared" si="206"/>
        <v>1</v>
      </c>
      <c r="CF368" s="96">
        <f t="shared" si="217"/>
        <v>1</v>
      </c>
      <c r="CG368" s="96">
        <f t="shared" si="208"/>
        <v>0</v>
      </c>
      <c r="CH368" s="95">
        <f t="shared" si="209"/>
        <v>1</v>
      </c>
      <c r="CI368" s="95">
        <f t="shared" si="210"/>
        <v>1</v>
      </c>
      <c r="CJ368" s="98">
        <f t="shared" si="211"/>
        <v>0</v>
      </c>
      <c r="CK368" s="95">
        <f t="shared" si="212"/>
        <v>1</v>
      </c>
      <c r="CL368" s="95">
        <f t="shared" si="213"/>
        <v>1</v>
      </c>
      <c r="CM368" s="98">
        <f t="shared" si="214"/>
        <v>0</v>
      </c>
      <c r="CN368" s="94">
        <f t="shared" si="215"/>
        <v>1</v>
      </c>
      <c r="CO368" s="94">
        <f t="shared" si="216"/>
        <v>1</v>
      </c>
    </row>
    <row r="369" spans="1:95" ht="24.5" x14ac:dyDescent="0.35">
      <c r="A369" s="102">
        <v>168009</v>
      </c>
      <c r="B369" s="3" t="s">
        <v>72</v>
      </c>
      <c r="C369" s="42" t="s">
        <v>290</v>
      </c>
      <c r="D369" s="12" t="s">
        <v>291</v>
      </c>
      <c r="E369" s="4" t="s">
        <v>200</v>
      </c>
      <c r="F369" s="4" t="s">
        <v>268</v>
      </c>
      <c r="G369" s="12" t="s">
        <v>268</v>
      </c>
      <c r="H369" s="51" t="s">
        <v>91</v>
      </c>
      <c r="I369" s="23" t="s">
        <v>83</v>
      </c>
      <c r="J369" s="90">
        <v>65</v>
      </c>
      <c r="K369" s="90">
        <v>72</v>
      </c>
      <c r="L369" s="90">
        <v>25</v>
      </c>
      <c r="M369" s="90">
        <v>36</v>
      </c>
      <c r="N369" s="18">
        <v>65</v>
      </c>
      <c r="O369" s="18">
        <v>70</v>
      </c>
      <c r="P369" s="18">
        <v>37</v>
      </c>
      <c r="Q369" s="18">
        <v>20</v>
      </c>
      <c r="R369" s="90">
        <v>76</v>
      </c>
      <c r="S369" s="90">
        <v>73.5</v>
      </c>
      <c r="T369" s="90">
        <v>32</v>
      </c>
      <c r="U369" s="90">
        <v>28.5</v>
      </c>
      <c r="V369" s="90">
        <v>68</v>
      </c>
      <c r="W369" s="90">
        <v>68</v>
      </c>
      <c r="X369" s="90">
        <v>40</v>
      </c>
      <c r="Y369" s="90">
        <v>40</v>
      </c>
      <c r="Z369" s="90">
        <v>68</v>
      </c>
      <c r="AA369" s="90">
        <v>68</v>
      </c>
      <c r="AB369" s="90">
        <v>40</v>
      </c>
      <c r="AC369" s="90">
        <v>36</v>
      </c>
      <c r="AD369" s="90">
        <v>82</v>
      </c>
      <c r="AE369" s="90">
        <v>72.5</v>
      </c>
      <c r="AF369" s="90">
        <v>28</v>
      </c>
      <c r="AG369" s="90">
        <v>29.5</v>
      </c>
      <c r="AH369" s="90">
        <v>72</v>
      </c>
      <c r="AI369" s="90">
        <v>66.5</v>
      </c>
      <c r="AJ369" s="90">
        <v>30</v>
      </c>
      <c r="AK369" s="90">
        <v>17.5</v>
      </c>
      <c r="AL369" s="90">
        <v>69</v>
      </c>
      <c r="AM369" s="90">
        <v>71.5</v>
      </c>
      <c r="AN369" s="90">
        <v>35</v>
      </c>
      <c r="AO369" s="90">
        <v>30.5</v>
      </c>
      <c r="AP369" s="90">
        <v>59.5</v>
      </c>
      <c r="AQ369" s="90">
        <v>66.5</v>
      </c>
      <c r="AR369" s="90">
        <v>30.5</v>
      </c>
      <c r="AS369" s="90">
        <v>35.5</v>
      </c>
      <c r="AT369" s="90">
        <v>58.5</v>
      </c>
      <c r="AU369" s="90">
        <v>62</v>
      </c>
      <c r="AV369" s="90">
        <v>25.5</v>
      </c>
      <c r="AW369" s="90">
        <v>30</v>
      </c>
      <c r="AX369" s="90">
        <v>62</v>
      </c>
      <c r="AY369" s="90">
        <v>64.5</v>
      </c>
      <c r="AZ369" s="90">
        <v>42</v>
      </c>
      <c r="BA369" s="90">
        <v>39.5</v>
      </c>
      <c r="BB369" s="90">
        <v>67</v>
      </c>
      <c r="BC369" s="90">
        <v>74</v>
      </c>
      <c r="BD369" s="90">
        <v>29</v>
      </c>
      <c r="BE369" s="90">
        <v>42</v>
      </c>
      <c r="BF369" s="23">
        <v>28.783390000000001</v>
      </c>
      <c r="BG369" s="23">
        <v>77.042180000000002</v>
      </c>
      <c r="BH369" s="31">
        <f t="shared" si="186"/>
        <v>67</v>
      </c>
      <c r="BI369" s="31">
        <f t="shared" si="187"/>
        <v>74</v>
      </c>
      <c r="BJ369" s="37">
        <f t="shared" si="188"/>
        <v>-7</v>
      </c>
      <c r="BK369" s="37">
        <f t="shared" si="189"/>
        <v>-9.4594594594594597</v>
      </c>
      <c r="BL369" s="36">
        <f t="shared" si="190"/>
        <v>29</v>
      </c>
      <c r="BM369" s="36">
        <f t="shared" si="191"/>
        <v>42</v>
      </c>
      <c r="BN369" s="37">
        <f t="shared" si="192"/>
        <v>-13</v>
      </c>
      <c r="BO369" s="37">
        <f t="shared" si="193"/>
        <v>-30.952380952380953</v>
      </c>
      <c r="BP369" s="38">
        <f t="shared" si="194"/>
        <v>824</v>
      </c>
      <c r="BQ369" s="39">
        <f>J369+N369+S369+W369+AA369+AE369+AI369+AM369+AQ369+AU369+Table1[[#This Row],[MS-0225]]+Table1[[#This Row],[MS-0325]]</f>
        <v>817</v>
      </c>
      <c r="BR369" s="37">
        <f t="shared" si="195"/>
        <v>7</v>
      </c>
      <c r="BS369" s="37">
        <f t="shared" si="196"/>
        <v>0.85679314565483466</v>
      </c>
      <c r="BT369" s="36">
        <f t="shared" si="197"/>
        <v>388</v>
      </c>
      <c r="BU369" s="36">
        <f t="shared" si="198"/>
        <v>391</v>
      </c>
      <c r="BV369" s="37">
        <f t="shared" si="199"/>
        <v>-3</v>
      </c>
      <c r="BW369" s="37">
        <f t="shared" si="200"/>
        <v>-0.76726342710997442</v>
      </c>
      <c r="BX369">
        <v>0</v>
      </c>
      <c r="BY369" s="83">
        <f t="shared" si="201"/>
        <v>0</v>
      </c>
      <c r="BZ369">
        <v>0</v>
      </c>
      <c r="CA369" s="83">
        <f t="shared" si="202"/>
        <v>0</v>
      </c>
      <c r="CB369" s="96">
        <f t="shared" si="203"/>
        <v>0.12997090203685743</v>
      </c>
      <c r="CC369" s="96">
        <f t="shared" si="204"/>
        <v>0.15179487179487181</v>
      </c>
      <c r="CD369" s="97">
        <f t="shared" si="205"/>
        <v>-2.1823969758014372E-2</v>
      </c>
      <c r="CE369" s="96">
        <f t="shared" si="206"/>
        <v>0.11485148514851486</v>
      </c>
      <c r="CF369" s="96">
        <f t="shared" si="217"/>
        <v>0.20947630922693267</v>
      </c>
      <c r="CG369" s="96">
        <f t="shared" si="208"/>
        <v>-9.462482407841781E-2</v>
      </c>
      <c r="CH369" s="95">
        <f t="shared" si="209"/>
        <v>0.13687707641196012</v>
      </c>
      <c r="CI369" s="95">
        <f t="shared" si="210"/>
        <v>0.14694244604316548</v>
      </c>
      <c r="CJ369" s="98">
        <f t="shared" si="211"/>
        <v>-1.0065369631205356E-2</v>
      </c>
      <c r="CK369" s="95">
        <f t="shared" si="212"/>
        <v>0.14488424197162061</v>
      </c>
      <c r="CL369" s="95">
        <f t="shared" si="213"/>
        <v>0.14207848837209303</v>
      </c>
      <c r="CM369" s="98">
        <f t="shared" si="214"/>
        <v>2.8057535995275884E-3</v>
      </c>
      <c r="CN369" s="94">
        <f t="shared" si="215"/>
        <v>0.6843853820598006</v>
      </c>
      <c r="CO369" s="94">
        <f t="shared" si="216"/>
        <v>0.7244212098581031</v>
      </c>
    </row>
    <row r="370" spans="1:95" ht="36.5" x14ac:dyDescent="0.35">
      <c r="A370" s="104">
        <v>371684</v>
      </c>
      <c r="B370" s="5" t="s">
        <v>581</v>
      </c>
      <c r="C370" s="46" t="s">
        <v>658</v>
      </c>
      <c r="D370" s="13" t="s">
        <v>659</v>
      </c>
      <c r="E370" s="6" t="s">
        <v>103</v>
      </c>
      <c r="F370" s="6" t="s">
        <v>208</v>
      </c>
      <c r="G370" s="12" t="s">
        <v>208</v>
      </c>
      <c r="H370" s="51" t="s">
        <v>105</v>
      </c>
      <c r="I370" s="24" t="s">
        <v>83</v>
      </c>
      <c r="J370" s="19">
        <v>0</v>
      </c>
      <c r="K370" s="19">
        <v>32</v>
      </c>
      <c r="L370" s="19">
        <v>0</v>
      </c>
      <c r="M370" s="19">
        <v>4</v>
      </c>
      <c r="N370" s="18">
        <v>0</v>
      </c>
      <c r="O370" s="18">
        <v>59</v>
      </c>
      <c r="P370" s="18">
        <v>0</v>
      </c>
      <c r="Q370" s="18">
        <v>9</v>
      </c>
      <c r="R370" s="19">
        <v>45.5</v>
      </c>
      <c r="S370" s="19">
        <v>0</v>
      </c>
      <c r="T370" s="19">
        <v>8.5</v>
      </c>
      <c r="U370" s="19">
        <v>0</v>
      </c>
      <c r="V370" s="19">
        <v>58</v>
      </c>
      <c r="W370" s="19">
        <v>0</v>
      </c>
      <c r="X370" s="19">
        <v>4</v>
      </c>
      <c r="Y370" s="19">
        <v>0</v>
      </c>
      <c r="Z370" s="19">
        <v>57.5</v>
      </c>
      <c r="AA370" s="19">
        <v>0</v>
      </c>
      <c r="AB370" s="19">
        <v>8.5</v>
      </c>
      <c r="AC370" s="19">
        <v>0</v>
      </c>
      <c r="AD370" s="19">
        <v>49.5</v>
      </c>
      <c r="AE370" s="19">
        <v>0</v>
      </c>
      <c r="AF370" s="19">
        <v>4.5</v>
      </c>
      <c r="AG370" s="19">
        <v>0</v>
      </c>
      <c r="AH370" s="19">
        <v>54</v>
      </c>
      <c r="AI370" s="19">
        <v>14</v>
      </c>
      <c r="AJ370" s="19">
        <v>8</v>
      </c>
      <c r="AK370" s="19">
        <v>5</v>
      </c>
      <c r="AL370" s="19">
        <v>50</v>
      </c>
      <c r="AM370" s="19">
        <v>12</v>
      </c>
      <c r="AN370" s="19">
        <v>4</v>
      </c>
      <c r="AO370" s="19">
        <v>0</v>
      </c>
      <c r="AP370" s="19">
        <v>58</v>
      </c>
      <c r="AQ370" s="19">
        <v>32</v>
      </c>
      <c r="AR370" s="19">
        <v>8</v>
      </c>
      <c r="AS370" s="19">
        <v>8</v>
      </c>
      <c r="AT370" s="19">
        <v>56</v>
      </c>
      <c r="AU370" s="19">
        <v>36</v>
      </c>
      <c r="AV370" s="19">
        <v>4</v>
      </c>
      <c r="AW370" s="19">
        <v>0</v>
      </c>
      <c r="AX370" s="19">
        <v>52</v>
      </c>
      <c r="AY370" s="19">
        <v>39</v>
      </c>
      <c r="AZ370" s="19">
        <v>8</v>
      </c>
      <c r="BA370" s="19">
        <v>9</v>
      </c>
      <c r="BB370" s="19">
        <v>64</v>
      </c>
      <c r="BC370" s="19">
        <v>46</v>
      </c>
      <c r="BD370" s="19">
        <v>8</v>
      </c>
      <c r="BE370" s="19">
        <v>4</v>
      </c>
      <c r="BF370" s="23">
        <v>28.633023999999999</v>
      </c>
      <c r="BG370" s="23">
        <v>77.224429000000001</v>
      </c>
      <c r="BH370" s="31">
        <f t="shared" si="186"/>
        <v>64</v>
      </c>
      <c r="BI370" s="31">
        <f t="shared" si="187"/>
        <v>46</v>
      </c>
      <c r="BJ370" s="37">
        <f t="shared" si="188"/>
        <v>18</v>
      </c>
      <c r="BK370" s="37">
        <f t="shared" si="189"/>
        <v>39.130434782608695</v>
      </c>
      <c r="BL370" s="36">
        <f t="shared" si="190"/>
        <v>8</v>
      </c>
      <c r="BM370" s="36">
        <f t="shared" si="191"/>
        <v>4</v>
      </c>
      <c r="BN370" s="37">
        <f t="shared" si="192"/>
        <v>4</v>
      </c>
      <c r="BO370" s="37">
        <f t="shared" si="193"/>
        <v>100</v>
      </c>
      <c r="BP370" s="38">
        <f t="shared" si="194"/>
        <v>635.5</v>
      </c>
      <c r="BQ370" s="39">
        <f>J370+N370+S370+W370+AA370+AE370+AI370+AM370+AQ370+AU370+Table1[[#This Row],[MS-0225]]+Table1[[#This Row],[MS-0325]]</f>
        <v>179</v>
      </c>
      <c r="BR370" s="37">
        <f t="shared" si="195"/>
        <v>456.5</v>
      </c>
      <c r="BS370" s="37">
        <f t="shared" si="196"/>
        <v>255.02793296089385</v>
      </c>
      <c r="BT370" s="36">
        <f t="shared" si="197"/>
        <v>78.5</v>
      </c>
      <c r="BU370" s="36">
        <f t="shared" si="198"/>
        <v>26</v>
      </c>
      <c r="BV370" s="37">
        <f t="shared" si="199"/>
        <v>52.5</v>
      </c>
      <c r="BW370" s="37">
        <f t="shared" si="200"/>
        <v>201.92307692307691</v>
      </c>
      <c r="BX370">
        <v>0</v>
      </c>
      <c r="BY370" s="83">
        <f t="shared" si="201"/>
        <v>0</v>
      </c>
      <c r="BZ370">
        <v>0</v>
      </c>
      <c r="CA370" s="83">
        <f t="shared" si="202"/>
        <v>0</v>
      </c>
      <c r="CB370" s="96">
        <f t="shared" si="203"/>
        <v>5.4444917056571673E-2</v>
      </c>
      <c r="CC370" s="96">
        <f t="shared" si="204"/>
        <v>4.1089772219740958E-2</v>
      </c>
      <c r="CD370" s="97">
        <f t="shared" si="205"/>
        <v>1.3355144836830715E-2</v>
      </c>
      <c r="CE370" s="96">
        <f t="shared" si="206"/>
        <v>2.7729636048526862E-2</v>
      </c>
      <c r="CF370" s="96">
        <f t="shared" si="217"/>
        <v>1.2759170653907496E-2</v>
      </c>
      <c r="CG370" s="96">
        <f t="shared" si="208"/>
        <v>1.4970465394619365E-2</v>
      </c>
      <c r="CH370" s="95">
        <f t="shared" si="209"/>
        <v>4.5007082152974505E-2</v>
      </c>
      <c r="CI370" s="95">
        <f t="shared" si="210"/>
        <v>1.3496701200835374E-2</v>
      </c>
      <c r="CJ370" s="98">
        <f t="shared" si="211"/>
        <v>3.1510380952139129E-2</v>
      </c>
      <c r="CK370" s="95">
        <f t="shared" si="212"/>
        <v>2.2913018096906011E-2</v>
      </c>
      <c r="CL370" s="95">
        <f t="shared" si="213"/>
        <v>6.5548972645909495E-3</v>
      </c>
      <c r="CM370" s="98">
        <f t="shared" si="214"/>
        <v>1.6358120832315061E-2</v>
      </c>
      <c r="CN370" s="94">
        <f t="shared" si="215"/>
        <v>0.45007082152974504</v>
      </c>
      <c r="CO370" s="94">
        <f t="shared" si="216"/>
        <v>0.22913018096906013</v>
      </c>
    </row>
    <row r="371" spans="1:95" ht="24.5" x14ac:dyDescent="0.35">
      <c r="A371" s="102">
        <v>112399</v>
      </c>
      <c r="B371" s="3" t="s">
        <v>72</v>
      </c>
      <c r="C371" s="42" t="s">
        <v>198</v>
      </c>
      <c r="D371" s="12" t="s">
        <v>199</v>
      </c>
      <c r="E371" s="4" t="s">
        <v>200</v>
      </c>
      <c r="F371" s="4" t="s">
        <v>201</v>
      </c>
      <c r="G371" s="12" t="s">
        <v>201</v>
      </c>
      <c r="H371" s="51" t="s">
        <v>91</v>
      </c>
      <c r="I371" s="23" t="s">
        <v>83</v>
      </c>
      <c r="J371" s="90">
        <v>79.5</v>
      </c>
      <c r="K371" s="90">
        <v>76</v>
      </c>
      <c r="L371" s="90">
        <v>94.5</v>
      </c>
      <c r="M371" s="90">
        <v>106</v>
      </c>
      <c r="N371" s="18">
        <v>89</v>
      </c>
      <c r="O371" s="18">
        <v>76.5</v>
      </c>
      <c r="P371" s="18">
        <v>121</v>
      </c>
      <c r="Q371" s="18">
        <v>103.5</v>
      </c>
      <c r="R371" s="90">
        <v>76.5</v>
      </c>
      <c r="S371" s="90">
        <v>81</v>
      </c>
      <c r="T371" s="90">
        <v>121.5</v>
      </c>
      <c r="U371" s="90">
        <v>99</v>
      </c>
      <c r="V371" s="90">
        <v>72</v>
      </c>
      <c r="W371" s="90">
        <v>78</v>
      </c>
      <c r="X371" s="90">
        <v>90</v>
      </c>
      <c r="Y371" s="90">
        <v>146</v>
      </c>
      <c r="Z371" s="90">
        <v>90</v>
      </c>
      <c r="AA371" s="90">
        <v>78.5</v>
      </c>
      <c r="AB371" s="90">
        <v>72</v>
      </c>
      <c r="AC371" s="90">
        <v>95.5</v>
      </c>
      <c r="AD371" s="90">
        <v>85</v>
      </c>
      <c r="AE371" s="90">
        <v>73.5</v>
      </c>
      <c r="AF371" s="90">
        <v>107</v>
      </c>
      <c r="AG371" s="90">
        <v>94.5</v>
      </c>
      <c r="AH371" s="90">
        <v>76.5</v>
      </c>
      <c r="AI371" s="90">
        <v>73.5</v>
      </c>
      <c r="AJ371" s="90">
        <v>117.5</v>
      </c>
      <c r="AK371" s="90">
        <v>100.5</v>
      </c>
      <c r="AL371" s="90">
        <v>73.5</v>
      </c>
      <c r="AM371" s="90">
        <v>67</v>
      </c>
      <c r="AN371" s="90">
        <v>90.5</v>
      </c>
      <c r="AO371" s="90">
        <v>89</v>
      </c>
      <c r="AP371" s="90">
        <v>77.5</v>
      </c>
      <c r="AQ371" s="90">
        <v>74</v>
      </c>
      <c r="AR371" s="90">
        <v>70.5</v>
      </c>
      <c r="AS371" s="90">
        <v>52</v>
      </c>
      <c r="AT371" s="90">
        <v>67.5</v>
      </c>
      <c r="AU371" s="90">
        <v>67.5</v>
      </c>
      <c r="AV371" s="90">
        <v>78.5</v>
      </c>
      <c r="AW371" s="90">
        <v>88.5</v>
      </c>
      <c r="AX371" s="90">
        <v>76</v>
      </c>
      <c r="AY371" s="90">
        <v>62</v>
      </c>
      <c r="AZ371" s="90">
        <v>62</v>
      </c>
      <c r="BA371" s="90">
        <v>72</v>
      </c>
      <c r="BB371" s="90">
        <v>63</v>
      </c>
      <c r="BC371" s="90">
        <v>72.5</v>
      </c>
      <c r="BD371" s="90">
        <v>99</v>
      </c>
      <c r="BE371" s="90">
        <v>85.5</v>
      </c>
      <c r="BF371" s="23">
        <v>28.82967</v>
      </c>
      <c r="BG371" s="23">
        <v>76.986639999999994</v>
      </c>
      <c r="BH371" s="31">
        <f t="shared" si="186"/>
        <v>63</v>
      </c>
      <c r="BI371" s="31">
        <f t="shared" si="187"/>
        <v>72.5</v>
      </c>
      <c r="BJ371" s="37">
        <f t="shared" si="188"/>
        <v>-9.5</v>
      </c>
      <c r="BK371" s="37">
        <f t="shared" si="189"/>
        <v>-13.103448275862069</v>
      </c>
      <c r="BL371" s="36">
        <f t="shared" si="190"/>
        <v>99</v>
      </c>
      <c r="BM371" s="36">
        <f t="shared" si="191"/>
        <v>85.5</v>
      </c>
      <c r="BN371" s="37">
        <f t="shared" si="192"/>
        <v>13.5</v>
      </c>
      <c r="BO371" s="37">
        <f t="shared" si="193"/>
        <v>15.789473684210526</v>
      </c>
      <c r="BP371" s="38">
        <f t="shared" si="194"/>
        <v>910</v>
      </c>
      <c r="BQ371" s="39">
        <f>J371+N371+S371+W371+AA371+AE371+AI371+AM371+AQ371+AU371+Table1[[#This Row],[MS-0225]]+Table1[[#This Row],[MS-0325]]</f>
        <v>896</v>
      </c>
      <c r="BR371" s="37">
        <f t="shared" si="195"/>
        <v>14</v>
      </c>
      <c r="BS371" s="37">
        <f t="shared" si="196"/>
        <v>1.5625</v>
      </c>
      <c r="BT371" s="36">
        <f t="shared" si="197"/>
        <v>1118</v>
      </c>
      <c r="BU371" s="36">
        <f t="shared" si="198"/>
        <v>1138</v>
      </c>
      <c r="BV371" s="37">
        <f t="shared" si="199"/>
        <v>-20</v>
      </c>
      <c r="BW371" s="37">
        <f t="shared" si="200"/>
        <v>-1.7574692442882252</v>
      </c>
      <c r="BX371">
        <v>4.5</v>
      </c>
      <c r="BY371" s="83">
        <f t="shared" si="201"/>
        <v>7.1428571428571425E-2</v>
      </c>
      <c r="BZ371">
        <v>27</v>
      </c>
      <c r="CA371" s="83">
        <f t="shared" si="202"/>
        <v>2.9670329670329669E-2</v>
      </c>
      <c r="CB371" s="96">
        <f t="shared" si="203"/>
        <v>1</v>
      </c>
      <c r="CC371" s="96">
        <f t="shared" si="204"/>
        <v>1</v>
      </c>
      <c r="CD371" s="97">
        <f t="shared" si="205"/>
        <v>0</v>
      </c>
      <c r="CE371" s="96">
        <f t="shared" si="206"/>
        <v>1</v>
      </c>
      <c r="CF371" s="96">
        <f t="shared" si="217"/>
        <v>1</v>
      </c>
      <c r="CG371" s="96">
        <f t="shared" si="208"/>
        <v>0</v>
      </c>
      <c r="CH371" s="95">
        <f t="shared" si="209"/>
        <v>1</v>
      </c>
      <c r="CI371" s="95">
        <f t="shared" si="210"/>
        <v>1</v>
      </c>
      <c r="CJ371" s="98">
        <f t="shared" si="211"/>
        <v>0</v>
      </c>
      <c r="CK371" s="95">
        <f t="shared" si="212"/>
        <v>1</v>
      </c>
      <c r="CL371" s="95">
        <f t="shared" si="213"/>
        <v>1</v>
      </c>
      <c r="CM371" s="98">
        <f t="shared" si="214"/>
        <v>0</v>
      </c>
      <c r="CN371" s="94">
        <f t="shared" si="215"/>
        <v>1</v>
      </c>
      <c r="CO371" s="94">
        <f t="shared" si="216"/>
        <v>1</v>
      </c>
    </row>
    <row r="372" spans="1:95" ht="36.5" x14ac:dyDescent="0.35">
      <c r="A372" s="102">
        <v>181987</v>
      </c>
      <c r="B372" s="3" t="s">
        <v>72</v>
      </c>
      <c r="C372" s="45" t="s">
        <v>292</v>
      </c>
      <c r="D372" s="12" t="s">
        <v>293</v>
      </c>
      <c r="E372" s="4" t="s">
        <v>200</v>
      </c>
      <c r="F372" s="4" t="s">
        <v>294</v>
      </c>
      <c r="G372" s="12" t="s">
        <v>294</v>
      </c>
      <c r="H372" s="51" t="s">
        <v>91</v>
      </c>
      <c r="I372" s="23" t="s">
        <v>83</v>
      </c>
      <c r="J372" s="90">
        <v>68</v>
      </c>
      <c r="K372" s="90">
        <v>68</v>
      </c>
      <c r="L372" s="90">
        <v>172</v>
      </c>
      <c r="M372" s="90">
        <v>172</v>
      </c>
      <c r="N372" s="18">
        <v>76</v>
      </c>
      <c r="O372" s="18">
        <v>68</v>
      </c>
      <c r="P372" s="18">
        <v>176</v>
      </c>
      <c r="Q372" s="18">
        <v>148</v>
      </c>
      <c r="R372" s="90">
        <v>68.5</v>
      </c>
      <c r="S372" s="90">
        <v>76</v>
      </c>
      <c r="T372" s="90">
        <v>201.5</v>
      </c>
      <c r="U372" s="90">
        <v>164</v>
      </c>
      <c r="V372" s="90">
        <v>65.5</v>
      </c>
      <c r="W372" s="90">
        <v>72</v>
      </c>
      <c r="X372" s="90">
        <v>216.5</v>
      </c>
      <c r="Y372" s="90">
        <v>144</v>
      </c>
      <c r="Z372" s="90">
        <v>70</v>
      </c>
      <c r="AA372" s="90">
        <v>76</v>
      </c>
      <c r="AB372" s="90">
        <v>212</v>
      </c>
      <c r="AC372" s="90">
        <v>164</v>
      </c>
      <c r="AD372" s="90">
        <v>61</v>
      </c>
      <c r="AE372" s="90">
        <v>73.5</v>
      </c>
      <c r="AF372" s="90">
        <v>227</v>
      </c>
      <c r="AG372" s="90">
        <v>148.5</v>
      </c>
      <c r="AH372" s="90">
        <v>58.5</v>
      </c>
      <c r="AI372" s="90">
        <v>68</v>
      </c>
      <c r="AJ372" s="90">
        <v>235.5</v>
      </c>
      <c r="AK372" s="90">
        <v>196</v>
      </c>
      <c r="AL372" s="90">
        <v>52</v>
      </c>
      <c r="AM372" s="90">
        <v>76</v>
      </c>
      <c r="AN372" s="90">
        <v>212</v>
      </c>
      <c r="AO372" s="90">
        <v>152</v>
      </c>
      <c r="AP372" s="90">
        <v>49</v>
      </c>
      <c r="AQ372" s="90">
        <v>68</v>
      </c>
      <c r="AR372" s="90">
        <v>163</v>
      </c>
      <c r="AS372" s="90">
        <v>136</v>
      </c>
      <c r="AT372" s="90">
        <v>58</v>
      </c>
      <c r="AU372" s="90">
        <v>64</v>
      </c>
      <c r="AV372" s="90">
        <v>230</v>
      </c>
      <c r="AW372" s="90">
        <v>176</v>
      </c>
      <c r="AX372" s="90">
        <v>56</v>
      </c>
      <c r="AY372" s="90">
        <v>60</v>
      </c>
      <c r="AZ372" s="90">
        <v>148</v>
      </c>
      <c r="BA372" s="90">
        <v>156</v>
      </c>
      <c r="BB372" s="90">
        <v>60</v>
      </c>
      <c r="BC372" s="90">
        <v>76</v>
      </c>
      <c r="BD372" s="90">
        <v>204</v>
      </c>
      <c r="BE372" s="90">
        <v>140</v>
      </c>
      <c r="BF372" s="23">
        <v>28.7829558</v>
      </c>
      <c r="BG372" s="23">
        <v>77.022229999999993</v>
      </c>
      <c r="BH372" s="31">
        <f t="shared" si="186"/>
        <v>60</v>
      </c>
      <c r="BI372" s="31">
        <f t="shared" si="187"/>
        <v>76</v>
      </c>
      <c r="BJ372" s="37">
        <f t="shared" si="188"/>
        <v>-16</v>
      </c>
      <c r="BK372" s="37">
        <f t="shared" si="189"/>
        <v>-21.052631578947366</v>
      </c>
      <c r="BL372" s="36">
        <f t="shared" si="190"/>
        <v>204</v>
      </c>
      <c r="BM372" s="36">
        <f t="shared" si="191"/>
        <v>140</v>
      </c>
      <c r="BN372" s="37">
        <f t="shared" si="192"/>
        <v>64</v>
      </c>
      <c r="BO372" s="37">
        <f t="shared" si="193"/>
        <v>45.714285714285715</v>
      </c>
      <c r="BP372" s="38">
        <f t="shared" si="194"/>
        <v>734.5</v>
      </c>
      <c r="BQ372" s="39">
        <f>J372+N372+S372+W372+AA372+AE372+AI372+AM372+AQ372+AU372+Table1[[#This Row],[MS-0225]]+Table1[[#This Row],[MS-0325]]</f>
        <v>853.5</v>
      </c>
      <c r="BR372" s="37">
        <f t="shared" si="195"/>
        <v>-119</v>
      </c>
      <c r="BS372" s="37">
        <f t="shared" si="196"/>
        <v>-13.942589338019918</v>
      </c>
      <c r="BT372" s="36">
        <f t="shared" si="197"/>
        <v>2369.5</v>
      </c>
      <c r="BU372" s="36">
        <f t="shared" si="198"/>
        <v>1924.5</v>
      </c>
      <c r="BV372" s="37">
        <f t="shared" si="199"/>
        <v>445</v>
      </c>
      <c r="BW372" s="37">
        <f t="shared" si="200"/>
        <v>23.12288906209405</v>
      </c>
      <c r="BX372">
        <v>0</v>
      </c>
      <c r="BY372" s="83">
        <f t="shared" si="201"/>
        <v>0</v>
      </c>
      <c r="BZ372">
        <v>0</v>
      </c>
      <c r="CA372" s="83">
        <f t="shared" si="202"/>
        <v>0</v>
      </c>
      <c r="CB372" s="96">
        <f t="shared" si="203"/>
        <v>0.13528748590755355</v>
      </c>
      <c r="CC372" s="96">
        <f t="shared" si="204"/>
        <v>0.15004935834155972</v>
      </c>
      <c r="CD372" s="97">
        <f t="shared" si="205"/>
        <v>-1.4761872434006174E-2</v>
      </c>
      <c r="CE372" s="96">
        <f t="shared" si="206"/>
        <v>0.3980487804878049</v>
      </c>
      <c r="CF372" s="96">
        <f t="shared" si="217"/>
        <v>0.3156708004509583</v>
      </c>
      <c r="CG372" s="96">
        <f t="shared" si="208"/>
        <v>8.2377980036846599E-2</v>
      </c>
      <c r="CH372" s="95">
        <f t="shared" si="209"/>
        <v>0.13312188491164476</v>
      </c>
      <c r="CI372" s="95">
        <f t="shared" si="210"/>
        <v>0.14505438477226376</v>
      </c>
      <c r="CJ372" s="98">
        <f t="shared" si="211"/>
        <v>-1.1932499860619006E-2</v>
      </c>
      <c r="CK372" s="95">
        <f t="shared" si="212"/>
        <v>0.40625803686240891</v>
      </c>
      <c r="CL372" s="95">
        <f t="shared" si="213"/>
        <v>0.32785349233390121</v>
      </c>
      <c r="CM372" s="98">
        <f t="shared" si="214"/>
        <v>7.8404544528507703E-2</v>
      </c>
      <c r="CN372" s="94">
        <f t="shared" si="215"/>
        <v>0.93185319438151326</v>
      </c>
      <c r="CO372" s="94">
        <f t="shared" si="216"/>
        <v>2.8438062580368624</v>
      </c>
    </row>
    <row r="373" spans="1:95" ht="24.5" x14ac:dyDescent="0.35">
      <c r="A373" s="102">
        <v>112466</v>
      </c>
      <c r="B373" s="3" t="s">
        <v>72</v>
      </c>
      <c r="C373" s="43" t="s">
        <v>295</v>
      </c>
      <c r="D373" s="12" t="s">
        <v>296</v>
      </c>
      <c r="E373" s="4" t="s">
        <v>103</v>
      </c>
      <c r="F373" s="4" t="s">
        <v>297</v>
      </c>
      <c r="G373" s="12" t="s">
        <v>297</v>
      </c>
      <c r="H373" s="51" t="s">
        <v>105</v>
      </c>
      <c r="I373" s="23" t="s">
        <v>78</v>
      </c>
      <c r="J373" s="90">
        <v>41</v>
      </c>
      <c r="K373" s="90">
        <v>8</v>
      </c>
      <c r="L373" s="90">
        <v>13</v>
      </c>
      <c r="M373" s="90">
        <v>4</v>
      </c>
      <c r="N373" s="18">
        <v>53.5</v>
      </c>
      <c r="O373" s="18">
        <v>51</v>
      </c>
      <c r="P373" s="18">
        <v>24.5</v>
      </c>
      <c r="Q373" s="18">
        <v>21</v>
      </c>
      <c r="R373" s="90">
        <v>49.5</v>
      </c>
      <c r="S373" s="90">
        <v>57.5</v>
      </c>
      <c r="T373" s="90">
        <v>16.5</v>
      </c>
      <c r="U373" s="90">
        <v>20.5</v>
      </c>
      <c r="V373" s="90">
        <v>48</v>
      </c>
      <c r="W373" s="90">
        <v>32</v>
      </c>
      <c r="X373" s="90">
        <v>12</v>
      </c>
      <c r="Y373" s="90">
        <v>16</v>
      </c>
      <c r="Z373" s="90">
        <v>24</v>
      </c>
      <c r="AA373" s="90">
        <v>48</v>
      </c>
      <c r="AB373" s="90">
        <v>12</v>
      </c>
      <c r="AC373" s="90">
        <v>24</v>
      </c>
      <c r="AD373" s="90">
        <v>32</v>
      </c>
      <c r="AE373" s="90">
        <v>52</v>
      </c>
      <c r="AF373" s="90">
        <v>16</v>
      </c>
      <c r="AG373" s="90">
        <v>20</v>
      </c>
      <c r="AH373" s="90">
        <v>8</v>
      </c>
      <c r="AI373" s="90">
        <v>40</v>
      </c>
      <c r="AJ373" s="90">
        <v>4</v>
      </c>
      <c r="AK373" s="90">
        <v>20</v>
      </c>
      <c r="AL373" s="90">
        <v>8</v>
      </c>
      <c r="AM373" s="90">
        <v>20</v>
      </c>
      <c r="AN373" s="90">
        <v>4</v>
      </c>
      <c r="AO373" s="90">
        <v>4</v>
      </c>
      <c r="AP373" s="90">
        <v>53.5</v>
      </c>
      <c r="AQ373" s="90">
        <v>16</v>
      </c>
      <c r="AR373" s="90">
        <v>12.5</v>
      </c>
      <c r="AS373" s="90">
        <v>8</v>
      </c>
      <c r="AT373" s="90">
        <v>41.5</v>
      </c>
      <c r="AU373" s="90">
        <v>0</v>
      </c>
      <c r="AV373" s="90">
        <v>12.5</v>
      </c>
      <c r="AW373" s="90">
        <v>0</v>
      </c>
      <c r="AX373" s="90">
        <v>49.5</v>
      </c>
      <c r="AY373" s="90">
        <v>37.5</v>
      </c>
      <c r="AZ373" s="90">
        <v>16.5</v>
      </c>
      <c r="BA373" s="90">
        <v>16.5</v>
      </c>
      <c r="BB373" s="90">
        <v>59</v>
      </c>
      <c r="BC373" s="90">
        <v>16</v>
      </c>
      <c r="BD373" s="90">
        <v>21</v>
      </c>
      <c r="BE373" s="90">
        <v>8</v>
      </c>
      <c r="BF373" s="23">
        <v>28.58351</v>
      </c>
      <c r="BG373" s="23">
        <v>77.191019999999995</v>
      </c>
      <c r="BH373" s="31">
        <f t="shared" si="186"/>
        <v>59</v>
      </c>
      <c r="BI373" s="31">
        <f t="shared" si="187"/>
        <v>16</v>
      </c>
      <c r="BJ373" s="37">
        <f t="shared" si="188"/>
        <v>43</v>
      </c>
      <c r="BK373" s="37">
        <f t="shared" si="189"/>
        <v>268.75</v>
      </c>
      <c r="BL373" s="36">
        <f t="shared" si="190"/>
        <v>21</v>
      </c>
      <c r="BM373" s="36">
        <f t="shared" si="191"/>
        <v>8</v>
      </c>
      <c r="BN373" s="37">
        <f t="shared" si="192"/>
        <v>13</v>
      </c>
      <c r="BO373" s="37">
        <f t="shared" si="193"/>
        <v>162.5</v>
      </c>
      <c r="BP373" s="38">
        <f t="shared" si="194"/>
        <v>432</v>
      </c>
      <c r="BQ373" s="39">
        <f>J373+N373+S373+W373+AA373+AE373+AI373+AM373+AQ373+AU373+Table1[[#This Row],[MS-0225]]+Table1[[#This Row],[MS-0325]]</f>
        <v>413.5</v>
      </c>
      <c r="BR373" s="37">
        <f t="shared" si="195"/>
        <v>18.5</v>
      </c>
      <c r="BS373" s="37">
        <f t="shared" si="196"/>
        <v>4.4740024183796852</v>
      </c>
      <c r="BT373" s="36">
        <f t="shared" si="197"/>
        <v>152</v>
      </c>
      <c r="BU373" s="36">
        <f t="shared" si="198"/>
        <v>174.5</v>
      </c>
      <c r="BV373" s="37">
        <f t="shared" si="199"/>
        <v>-22.5</v>
      </c>
      <c r="BW373" s="37">
        <f t="shared" si="200"/>
        <v>-12.893982808022923</v>
      </c>
      <c r="BX373">
        <v>0</v>
      </c>
      <c r="BY373" s="83">
        <f t="shared" si="201"/>
        <v>0</v>
      </c>
      <c r="BZ373">
        <v>0</v>
      </c>
      <c r="CA373" s="83">
        <f t="shared" si="202"/>
        <v>0</v>
      </c>
      <c r="CB373" s="96">
        <f t="shared" si="203"/>
        <v>0.29797979797979796</v>
      </c>
      <c r="CC373" s="96">
        <f t="shared" si="204"/>
        <v>0.1038961038961039</v>
      </c>
      <c r="CD373" s="97">
        <f t="shared" si="205"/>
        <v>0.19408369408369405</v>
      </c>
      <c r="CE373" s="96">
        <f t="shared" si="206"/>
        <v>0.22340425531914893</v>
      </c>
      <c r="CF373" s="96">
        <f t="shared" si="217"/>
        <v>8.5106382978723402E-2</v>
      </c>
      <c r="CG373" s="96">
        <f t="shared" si="208"/>
        <v>0.13829787234042551</v>
      </c>
      <c r="CH373" s="95">
        <f t="shared" si="209"/>
        <v>0.1911504424778761</v>
      </c>
      <c r="CI373" s="95">
        <f t="shared" si="210"/>
        <v>0.19985500241662638</v>
      </c>
      <c r="CJ373" s="98">
        <f t="shared" si="211"/>
        <v>-8.7045599387502726E-3</v>
      </c>
      <c r="CK373" s="95">
        <f t="shared" si="212"/>
        <v>0.15353535353535352</v>
      </c>
      <c r="CL373" s="95">
        <f t="shared" si="213"/>
        <v>0.1534740545294635</v>
      </c>
      <c r="CM373" s="98">
        <f t="shared" si="214"/>
        <v>6.1299005890025349E-5</v>
      </c>
      <c r="CN373" s="94">
        <f t="shared" si="215"/>
        <v>0.38230088495575221</v>
      </c>
      <c r="CO373" s="94">
        <f t="shared" si="216"/>
        <v>0.30707070707070705</v>
      </c>
    </row>
    <row r="374" spans="1:95" ht="24.5" x14ac:dyDescent="0.35">
      <c r="A374" s="104">
        <v>186872</v>
      </c>
      <c r="B374" s="5" t="s">
        <v>581</v>
      </c>
      <c r="C374" s="46" t="s">
        <v>926</v>
      </c>
      <c r="D374" s="13" t="s">
        <v>927</v>
      </c>
      <c r="E374" s="6" t="s">
        <v>200</v>
      </c>
      <c r="F374" s="6" t="s">
        <v>856</v>
      </c>
      <c r="G374" s="12" t="s">
        <v>856</v>
      </c>
      <c r="H374" s="51" t="s">
        <v>205</v>
      </c>
      <c r="I374" s="24" t="s">
        <v>83</v>
      </c>
      <c r="J374" s="19">
        <v>31.5</v>
      </c>
      <c r="K374" s="19">
        <v>49.5</v>
      </c>
      <c r="L374" s="19">
        <v>310.5</v>
      </c>
      <c r="M374" s="19">
        <v>682.5</v>
      </c>
      <c r="N374" s="18">
        <v>45</v>
      </c>
      <c r="O374" s="18">
        <v>58.5</v>
      </c>
      <c r="P374" s="18">
        <v>423</v>
      </c>
      <c r="Q374" s="18">
        <v>715.5</v>
      </c>
      <c r="R374" s="19">
        <v>58.5</v>
      </c>
      <c r="S374" s="19">
        <v>81</v>
      </c>
      <c r="T374" s="19">
        <v>591.5</v>
      </c>
      <c r="U374" s="19">
        <v>405</v>
      </c>
      <c r="V374" s="19">
        <v>63</v>
      </c>
      <c r="W374" s="19">
        <v>76.5</v>
      </c>
      <c r="X374" s="19">
        <v>621</v>
      </c>
      <c r="Y374" s="19">
        <v>499.5</v>
      </c>
      <c r="Z374" s="19">
        <v>54</v>
      </c>
      <c r="AA374" s="19">
        <v>100.5</v>
      </c>
      <c r="AB374" s="19">
        <v>614</v>
      </c>
      <c r="AC374" s="19">
        <v>517.5</v>
      </c>
      <c r="AD374" s="19">
        <v>53.5</v>
      </c>
      <c r="AE374" s="19">
        <v>76.5</v>
      </c>
      <c r="AF374" s="19">
        <v>676.5</v>
      </c>
      <c r="AG374" s="19">
        <v>537.5</v>
      </c>
      <c r="AH374" s="19">
        <v>58.5</v>
      </c>
      <c r="AI374" s="19">
        <v>63</v>
      </c>
      <c r="AJ374" s="19">
        <v>643.5</v>
      </c>
      <c r="AK374" s="19">
        <v>579</v>
      </c>
      <c r="AL374" s="19">
        <v>54</v>
      </c>
      <c r="AM374" s="19">
        <v>59</v>
      </c>
      <c r="AN374" s="19">
        <v>702</v>
      </c>
      <c r="AO374" s="19">
        <v>497</v>
      </c>
      <c r="AP374" s="19">
        <v>68</v>
      </c>
      <c r="AQ374" s="19">
        <v>53</v>
      </c>
      <c r="AR374" s="19">
        <v>778</v>
      </c>
      <c r="AS374" s="19">
        <v>565</v>
      </c>
      <c r="AT374" s="19">
        <v>54</v>
      </c>
      <c r="AU374" s="19">
        <v>54</v>
      </c>
      <c r="AV374" s="19">
        <v>782</v>
      </c>
      <c r="AW374" s="19">
        <v>652</v>
      </c>
      <c r="AX374" s="19">
        <v>63</v>
      </c>
      <c r="AY374" s="19">
        <v>40.5</v>
      </c>
      <c r="AZ374" s="19">
        <v>753</v>
      </c>
      <c r="BA374" s="19">
        <v>575.5</v>
      </c>
      <c r="BB374" s="19">
        <v>58.5</v>
      </c>
      <c r="BC374" s="19">
        <v>62</v>
      </c>
      <c r="BD374" s="19">
        <v>627.5</v>
      </c>
      <c r="BE374" s="19">
        <v>744</v>
      </c>
      <c r="BF374" s="23">
        <v>28.738299999999999</v>
      </c>
      <c r="BG374" s="23">
        <v>77.149299999999997</v>
      </c>
      <c r="BH374" s="31">
        <f t="shared" si="186"/>
        <v>58.5</v>
      </c>
      <c r="BI374" s="31">
        <f t="shared" si="187"/>
        <v>62</v>
      </c>
      <c r="BJ374" s="37">
        <f t="shared" si="188"/>
        <v>-3.5</v>
      </c>
      <c r="BK374" s="37">
        <f t="shared" si="189"/>
        <v>-5.6451612903225801</v>
      </c>
      <c r="BL374" s="36">
        <f t="shared" si="190"/>
        <v>627.5</v>
      </c>
      <c r="BM374" s="36">
        <f t="shared" si="191"/>
        <v>744</v>
      </c>
      <c r="BN374" s="37">
        <f t="shared" si="192"/>
        <v>-116.5</v>
      </c>
      <c r="BO374" s="37">
        <f t="shared" si="193"/>
        <v>-15.658602150537634</v>
      </c>
      <c r="BP374" s="38">
        <f t="shared" si="194"/>
        <v>693</v>
      </c>
      <c r="BQ374" s="39">
        <f>J374+N374+S374+W374+AA374+AE374+AI374+AM374+AQ374+AU374+Table1[[#This Row],[MS-0225]]+Table1[[#This Row],[MS-0325]]</f>
        <v>742.5</v>
      </c>
      <c r="BR374" s="37">
        <f t="shared" si="195"/>
        <v>-49.5</v>
      </c>
      <c r="BS374" s="37">
        <f t="shared" si="196"/>
        <v>-6.666666666666667</v>
      </c>
      <c r="BT374" s="36">
        <f t="shared" si="197"/>
        <v>8187</v>
      </c>
      <c r="BU374" s="36">
        <f t="shared" si="198"/>
        <v>6305.5</v>
      </c>
      <c r="BV374" s="37">
        <f t="shared" si="199"/>
        <v>1881.5</v>
      </c>
      <c r="BW374" s="37">
        <f t="shared" si="200"/>
        <v>29.839029418761399</v>
      </c>
      <c r="BX374">
        <v>0</v>
      </c>
      <c r="BY374" s="83">
        <f t="shared" si="201"/>
        <v>0</v>
      </c>
      <c r="BZ374">
        <v>0</v>
      </c>
      <c r="CA374" s="83">
        <f t="shared" si="202"/>
        <v>0</v>
      </c>
      <c r="CB374" s="96">
        <f t="shared" si="203"/>
        <v>0.32409972299168976</v>
      </c>
      <c r="CC374" s="96">
        <f t="shared" si="204"/>
        <v>0.33243967828418231</v>
      </c>
      <c r="CD374" s="97">
        <f t="shared" si="205"/>
        <v>-8.3399552924925402E-3</v>
      </c>
      <c r="CE374" s="96">
        <f t="shared" si="206"/>
        <v>0.37451507012831992</v>
      </c>
      <c r="CF374" s="96">
        <f t="shared" si="217"/>
        <v>0.3925085729359008</v>
      </c>
      <c r="CG374" s="96">
        <f t="shared" si="208"/>
        <v>-1.7993502807580886E-2</v>
      </c>
      <c r="CH374" s="95">
        <f t="shared" si="209"/>
        <v>0.31818181818181818</v>
      </c>
      <c r="CI374" s="95">
        <f t="shared" si="210"/>
        <v>0.41619955156950672</v>
      </c>
      <c r="CJ374" s="98">
        <f t="shared" si="211"/>
        <v>-9.8017733387688544E-2</v>
      </c>
      <c r="CK374" s="95">
        <f t="shared" si="212"/>
        <v>0.37948456475387038</v>
      </c>
      <c r="CL374" s="95">
        <f t="shared" si="213"/>
        <v>0.28900449170409753</v>
      </c>
      <c r="CM374" s="98">
        <f t="shared" si="214"/>
        <v>9.0480073049772847E-2</v>
      </c>
      <c r="CN374" s="94">
        <f t="shared" si="215"/>
        <v>0.63636363636363635</v>
      </c>
      <c r="CO374" s="94">
        <f t="shared" si="216"/>
        <v>0.75896912950774076</v>
      </c>
    </row>
    <row r="375" spans="1:95" ht="24.5" x14ac:dyDescent="0.35">
      <c r="A375" s="104">
        <v>185374</v>
      </c>
      <c r="B375" s="5" t="s">
        <v>581</v>
      </c>
      <c r="C375" s="46" t="s">
        <v>723</v>
      </c>
      <c r="D375" s="13" t="s">
        <v>724</v>
      </c>
      <c r="E375" s="6" t="s">
        <v>200</v>
      </c>
      <c r="F375" s="6" t="s">
        <v>268</v>
      </c>
      <c r="G375" s="12" t="s">
        <v>268</v>
      </c>
      <c r="H375" s="51" t="s">
        <v>91</v>
      </c>
      <c r="I375" s="24" t="s">
        <v>83</v>
      </c>
      <c r="J375" s="19">
        <v>0</v>
      </c>
      <c r="K375" s="19">
        <v>58.5</v>
      </c>
      <c r="L375" s="19">
        <v>0</v>
      </c>
      <c r="M375" s="19">
        <v>49.5</v>
      </c>
      <c r="N375" s="18">
        <v>22.5</v>
      </c>
      <c r="O375" s="18">
        <v>74</v>
      </c>
      <c r="P375" s="18">
        <v>13.5</v>
      </c>
      <c r="Q375" s="18">
        <v>36</v>
      </c>
      <c r="R375" s="19">
        <v>62</v>
      </c>
      <c r="S375" s="19">
        <v>50.5</v>
      </c>
      <c r="T375" s="19">
        <v>64</v>
      </c>
      <c r="U375" s="19">
        <v>41.5</v>
      </c>
      <c r="V375" s="19">
        <v>70</v>
      </c>
      <c r="W375" s="19">
        <v>72</v>
      </c>
      <c r="X375" s="19">
        <v>42</v>
      </c>
      <c r="Y375" s="19">
        <v>36</v>
      </c>
      <c r="Z375" s="19">
        <v>80</v>
      </c>
      <c r="AA375" s="19">
        <v>63</v>
      </c>
      <c r="AB375" s="19">
        <v>32</v>
      </c>
      <c r="AC375" s="19">
        <v>27</v>
      </c>
      <c r="AD375" s="19">
        <v>75</v>
      </c>
      <c r="AE375" s="19">
        <v>67.5</v>
      </c>
      <c r="AF375" s="19">
        <v>51</v>
      </c>
      <c r="AG375" s="19">
        <v>40.5</v>
      </c>
      <c r="AH375" s="19">
        <v>75</v>
      </c>
      <c r="AI375" s="19">
        <v>72</v>
      </c>
      <c r="AJ375" s="19">
        <v>51</v>
      </c>
      <c r="AK375" s="19">
        <v>54</v>
      </c>
      <c r="AL375" s="19">
        <v>80</v>
      </c>
      <c r="AM375" s="19">
        <v>63</v>
      </c>
      <c r="AN375" s="19">
        <v>46</v>
      </c>
      <c r="AO375" s="19">
        <v>45</v>
      </c>
      <c r="AP375" s="19">
        <v>76</v>
      </c>
      <c r="AQ375" s="19">
        <v>62</v>
      </c>
      <c r="AR375" s="19">
        <v>36</v>
      </c>
      <c r="AS375" s="19">
        <v>22</v>
      </c>
      <c r="AT375" s="19">
        <v>71</v>
      </c>
      <c r="AU375" s="19">
        <v>58.5</v>
      </c>
      <c r="AV375" s="19">
        <v>27</v>
      </c>
      <c r="AW375" s="19">
        <v>31.5</v>
      </c>
      <c r="AX375" s="19">
        <v>75.5</v>
      </c>
      <c r="AY375" s="19">
        <v>52</v>
      </c>
      <c r="AZ375" s="19">
        <v>26.5</v>
      </c>
      <c r="BA375" s="19">
        <v>26</v>
      </c>
      <c r="BB375" s="19">
        <v>56</v>
      </c>
      <c r="BC375" s="19">
        <v>66</v>
      </c>
      <c r="BD375" s="19">
        <v>42</v>
      </c>
      <c r="BE375" s="19">
        <v>30</v>
      </c>
      <c r="BF375" s="23">
        <v>28.806000000000001</v>
      </c>
      <c r="BG375" s="23">
        <v>77.024000000000001</v>
      </c>
      <c r="BH375" s="31">
        <f t="shared" si="186"/>
        <v>56</v>
      </c>
      <c r="BI375" s="31">
        <f t="shared" si="187"/>
        <v>66</v>
      </c>
      <c r="BJ375" s="37">
        <f t="shared" si="188"/>
        <v>-10</v>
      </c>
      <c r="BK375" s="37">
        <f t="shared" si="189"/>
        <v>-15.151515151515152</v>
      </c>
      <c r="BL375" s="36">
        <f t="shared" si="190"/>
        <v>42</v>
      </c>
      <c r="BM375" s="36">
        <f t="shared" si="191"/>
        <v>30</v>
      </c>
      <c r="BN375" s="37">
        <f t="shared" si="192"/>
        <v>12</v>
      </c>
      <c r="BO375" s="37">
        <f t="shared" si="193"/>
        <v>40</v>
      </c>
      <c r="BP375" s="38">
        <f t="shared" si="194"/>
        <v>853</v>
      </c>
      <c r="BQ375" s="39">
        <f>J375+N375+S375+W375+AA375+AE375+AI375+AM375+AQ375+AU375+Table1[[#This Row],[MS-0225]]+Table1[[#This Row],[MS-0325]]</f>
        <v>649</v>
      </c>
      <c r="BR375" s="37">
        <f t="shared" si="195"/>
        <v>204</v>
      </c>
      <c r="BS375" s="37">
        <f t="shared" si="196"/>
        <v>31.432973805855163</v>
      </c>
      <c r="BT375" s="36">
        <f t="shared" si="197"/>
        <v>503</v>
      </c>
      <c r="BU375" s="36">
        <f t="shared" si="198"/>
        <v>367</v>
      </c>
      <c r="BV375" s="37">
        <f t="shared" si="199"/>
        <v>136</v>
      </c>
      <c r="BW375" s="37">
        <f t="shared" si="200"/>
        <v>37.057220708446863</v>
      </c>
      <c r="BX375">
        <v>0</v>
      </c>
      <c r="BY375" s="83">
        <f t="shared" si="201"/>
        <v>0</v>
      </c>
      <c r="BZ375">
        <v>0</v>
      </c>
      <c r="CA375" s="83">
        <f t="shared" si="202"/>
        <v>0</v>
      </c>
      <c r="CB375" s="96">
        <f t="shared" si="203"/>
        <v>0.10863239573229874</v>
      </c>
      <c r="CC375" s="96">
        <f t="shared" si="204"/>
        <v>0.13538461538461538</v>
      </c>
      <c r="CD375" s="97">
        <f t="shared" si="205"/>
        <v>-2.6752219652316639E-2</v>
      </c>
      <c r="CE375" s="96">
        <f t="shared" si="206"/>
        <v>0.16633663366336635</v>
      </c>
      <c r="CF375" s="96">
        <f t="shared" si="217"/>
        <v>0.14962593516209477</v>
      </c>
      <c r="CG375" s="96">
        <f t="shared" si="208"/>
        <v>1.6710698501271576E-2</v>
      </c>
      <c r="CH375" s="95">
        <f t="shared" si="209"/>
        <v>0.14169435215946843</v>
      </c>
      <c r="CI375" s="95">
        <f t="shared" si="210"/>
        <v>0.11672661870503596</v>
      </c>
      <c r="CJ375" s="98">
        <f t="shared" si="211"/>
        <v>2.496773345443247E-2</v>
      </c>
      <c r="CK375" s="95">
        <f t="shared" si="212"/>
        <v>0.18782673637042568</v>
      </c>
      <c r="CL375" s="95">
        <f t="shared" si="213"/>
        <v>0.13335755813953487</v>
      </c>
      <c r="CM375" s="98">
        <f t="shared" si="214"/>
        <v>5.4469178230890813E-2</v>
      </c>
      <c r="CN375" s="94">
        <f t="shared" si="215"/>
        <v>0.7084717607973422</v>
      </c>
      <c r="CO375" s="94">
        <f t="shared" si="216"/>
        <v>0.93913368185212842</v>
      </c>
    </row>
    <row r="376" spans="1:95" ht="36.5" x14ac:dyDescent="0.35">
      <c r="A376" s="102">
        <v>168006</v>
      </c>
      <c r="B376" s="3" t="s">
        <v>72</v>
      </c>
      <c r="C376" s="41" t="s">
        <v>357</v>
      </c>
      <c r="D376" s="12" t="s">
        <v>358</v>
      </c>
      <c r="E376" s="4" t="s">
        <v>89</v>
      </c>
      <c r="F376" s="4" t="s">
        <v>294</v>
      </c>
      <c r="G376" s="12" t="s">
        <v>294</v>
      </c>
      <c r="H376" s="51" t="s">
        <v>91</v>
      </c>
      <c r="I376" s="23" t="s">
        <v>86</v>
      </c>
      <c r="J376" s="90">
        <v>44</v>
      </c>
      <c r="K376" s="90">
        <v>50</v>
      </c>
      <c r="L376" s="90">
        <v>16</v>
      </c>
      <c r="M376" s="90">
        <v>20</v>
      </c>
      <c r="N376" s="18">
        <v>44</v>
      </c>
      <c r="O376" s="18">
        <v>57.5</v>
      </c>
      <c r="P376" s="18">
        <v>22</v>
      </c>
      <c r="Q376" s="18">
        <v>20.5</v>
      </c>
      <c r="R376" s="90">
        <v>52</v>
      </c>
      <c r="S376" s="90">
        <v>38.5</v>
      </c>
      <c r="T376" s="90">
        <v>20</v>
      </c>
      <c r="U376" s="90">
        <v>21.5</v>
      </c>
      <c r="V376" s="90">
        <v>48</v>
      </c>
      <c r="W376" s="90">
        <v>50.5</v>
      </c>
      <c r="X376" s="90">
        <v>24</v>
      </c>
      <c r="Y376" s="90">
        <v>21.5</v>
      </c>
      <c r="Z376" s="90">
        <v>56</v>
      </c>
      <c r="AA376" s="90">
        <v>54.5</v>
      </c>
      <c r="AB376" s="90">
        <v>16</v>
      </c>
      <c r="AC376" s="90">
        <v>35.5</v>
      </c>
      <c r="AD376" s="90">
        <v>53</v>
      </c>
      <c r="AE376" s="90">
        <v>52.5</v>
      </c>
      <c r="AF376" s="90">
        <v>13</v>
      </c>
      <c r="AG376" s="90">
        <v>13.5</v>
      </c>
      <c r="AH376" s="90">
        <v>56</v>
      </c>
      <c r="AI376" s="90">
        <v>56</v>
      </c>
      <c r="AJ376" s="90">
        <v>24</v>
      </c>
      <c r="AK376" s="90">
        <v>28</v>
      </c>
      <c r="AL376" s="90">
        <v>53</v>
      </c>
      <c r="AM376" s="90">
        <v>54</v>
      </c>
      <c r="AN376" s="90">
        <v>29</v>
      </c>
      <c r="AO376" s="90">
        <v>30</v>
      </c>
      <c r="AP376" s="90">
        <v>48.5</v>
      </c>
      <c r="AQ376" s="90">
        <v>49.5</v>
      </c>
      <c r="AR376" s="90">
        <v>25.5</v>
      </c>
      <c r="AS376" s="90">
        <v>18.5</v>
      </c>
      <c r="AT376" s="90">
        <v>51</v>
      </c>
      <c r="AU376" s="90">
        <v>50</v>
      </c>
      <c r="AV376" s="90">
        <v>17</v>
      </c>
      <c r="AW376" s="90">
        <v>24</v>
      </c>
      <c r="AX376" s="90">
        <v>52</v>
      </c>
      <c r="AY376" s="90">
        <v>48</v>
      </c>
      <c r="AZ376" s="90">
        <v>20</v>
      </c>
      <c r="BA376" s="90">
        <v>24</v>
      </c>
      <c r="BB376" s="90">
        <v>52.5</v>
      </c>
      <c r="BC376" s="90">
        <v>52</v>
      </c>
      <c r="BD376" s="90">
        <v>13.5</v>
      </c>
      <c r="BE376" s="90">
        <v>32</v>
      </c>
      <c r="BF376" s="23">
        <v>28.704540000000001</v>
      </c>
      <c r="BG376" s="23">
        <v>77.001050000000006</v>
      </c>
      <c r="BH376" s="31">
        <f t="shared" si="186"/>
        <v>52.5</v>
      </c>
      <c r="BI376" s="31">
        <f t="shared" si="187"/>
        <v>52</v>
      </c>
      <c r="BJ376" s="37">
        <f t="shared" si="188"/>
        <v>0.5</v>
      </c>
      <c r="BK376" s="37">
        <f t="shared" si="189"/>
        <v>0.96153846153846156</v>
      </c>
      <c r="BL376" s="36">
        <f t="shared" si="190"/>
        <v>13.5</v>
      </c>
      <c r="BM376" s="36">
        <f t="shared" si="191"/>
        <v>32</v>
      </c>
      <c r="BN376" s="37">
        <f t="shared" si="192"/>
        <v>-18.5</v>
      </c>
      <c r="BO376" s="37">
        <f t="shared" si="193"/>
        <v>-57.8125</v>
      </c>
      <c r="BP376" s="38">
        <f t="shared" si="194"/>
        <v>629.5</v>
      </c>
      <c r="BQ376" s="39">
        <f>J376+N376+S376+W376+AA376+AE376+AI376+AM376+AQ376+AU376+Table1[[#This Row],[MS-0225]]+Table1[[#This Row],[MS-0325]]</f>
        <v>593.5</v>
      </c>
      <c r="BR376" s="37">
        <f t="shared" si="195"/>
        <v>36</v>
      </c>
      <c r="BS376" s="37">
        <f t="shared" si="196"/>
        <v>6.0657118786857627</v>
      </c>
      <c r="BT376" s="36">
        <f t="shared" si="197"/>
        <v>242.5</v>
      </c>
      <c r="BU376" s="36">
        <f t="shared" si="198"/>
        <v>286.5</v>
      </c>
      <c r="BV376" s="37">
        <f t="shared" si="199"/>
        <v>-44</v>
      </c>
      <c r="BW376" s="37">
        <f t="shared" si="200"/>
        <v>-15.357766143106458</v>
      </c>
      <c r="BX376">
        <v>0</v>
      </c>
      <c r="BY376" s="83">
        <f t="shared" si="201"/>
        <v>0</v>
      </c>
      <c r="BZ376">
        <v>0</v>
      </c>
      <c r="CA376" s="83">
        <f t="shared" si="202"/>
        <v>0</v>
      </c>
      <c r="CB376" s="96">
        <f t="shared" si="203"/>
        <v>0.11837655016910936</v>
      </c>
      <c r="CC376" s="96">
        <f t="shared" si="204"/>
        <v>0.10266535044422508</v>
      </c>
      <c r="CD376" s="97">
        <f t="shared" si="205"/>
        <v>1.5711199724884287E-2</v>
      </c>
      <c r="CE376" s="96">
        <f t="shared" si="206"/>
        <v>2.6341463414634145E-2</v>
      </c>
      <c r="CF376" s="96">
        <f t="shared" si="217"/>
        <v>7.2153325817361891E-2</v>
      </c>
      <c r="CG376" s="96">
        <f t="shared" si="208"/>
        <v>-4.5811862402727749E-2</v>
      </c>
      <c r="CH376" s="95">
        <f t="shared" si="209"/>
        <v>0.11409152695967377</v>
      </c>
      <c r="CI376" s="95">
        <f t="shared" si="210"/>
        <v>0.10086675730795377</v>
      </c>
      <c r="CJ376" s="98">
        <f t="shared" si="211"/>
        <v>1.3224769651719995E-2</v>
      </c>
      <c r="CK376" s="95">
        <f t="shared" si="212"/>
        <v>4.1577368195456495E-2</v>
      </c>
      <c r="CL376" s="95">
        <f t="shared" si="213"/>
        <v>4.8807495741056216E-2</v>
      </c>
      <c r="CM376" s="98">
        <f t="shared" si="214"/>
        <v>-7.230127545599721E-3</v>
      </c>
      <c r="CN376" s="94">
        <f t="shared" si="215"/>
        <v>0.79864068871771643</v>
      </c>
      <c r="CO376" s="94">
        <f t="shared" si="216"/>
        <v>0.29104157736819547</v>
      </c>
    </row>
    <row r="377" spans="1:95" ht="36.5" x14ac:dyDescent="0.35">
      <c r="A377" s="104">
        <v>252146</v>
      </c>
      <c r="B377" s="5" t="s">
        <v>581</v>
      </c>
      <c r="C377" s="46" t="s">
        <v>690</v>
      </c>
      <c r="D377" s="13" t="s">
        <v>659</v>
      </c>
      <c r="E377" s="6" t="s">
        <v>103</v>
      </c>
      <c r="F377" s="6" t="s">
        <v>208</v>
      </c>
      <c r="G377" s="12" t="s">
        <v>208</v>
      </c>
      <c r="H377" s="51" t="s">
        <v>105</v>
      </c>
      <c r="I377" s="24" t="s">
        <v>83</v>
      </c>
      <c r="J377" s="19">
        <v>44.5</v>
      </c>
      <c r="K377" s="19">
        <v>37.5</v>
      </c>
      <c r="L377" s="19">
        <v>20</v>
      </c>
      <c r="M377" s="19">
        <v>12</v>
      </c>
      <c r="N377" s="18">
        <v>50</v>
      </c>
      <c r="O377" s="18">
        <v>50.5</v>
      </c>
      <c r="P377" s="18">
        <v>16</v>
      </c>
      <c r="Q377" s="18">
        <v>20.5</v>
      </c>
      <c r="R377" s="19">
        <v>47</v>
      </c>
      <c r="S377" s="19">
        <v>41</v>
      </c>
      <c r="T377" s="19">
        <v>16</v>
      </c>
      <c r="U377" s="19">
        <v>20.5</v>
      </c>
      <c r="V377" s="19">
        <v>45</v>
      </c>
      <c r="W377" s="19">
        <v>45.5</v>
      </c>
      <c r="X377" s="19">
        <v>20</v>
      </c>
      <c r="Y377" s="19">
        <v>16</v>
      </c>
      <c r="Z377" s="19">
        <v>54</v>
      </c>
      <c r="AA377" s="19">
        <v>41</v>
      </c>
      <c r="AB377" s="19">
        <v>16</v>
      </c>
      <c r="AC377" s="19">
        <v>16</v>
      </c>
      <c r="AD377" s="19">
        <v>49</v>
      </c>
      <c r="AE377" s="19">
        <v>37.5</v>
      </c>
      <c r="AF377" s="19">
        <v>12</v>
      </c>
      <c r="AG377" s="19">
        <v>16.5</v>
      </c>
      <c r="AH377" s="19">
        <v>52</v>
      </c>
      <c r="AI377" s="19">
        <v>53</v>
      </c>
      <c r="AJ377" s="19">
        <v>16</v>
      </c>
      <c r="AK377" s="19">
        <v>20.5</v>
      </c>
      <c r="AL377" s="19">
        <v>56</v>
      </c>
      <c r="AM377" s="19">
        <v>45.5</v>
      </c>
      <c r="AN377" s="19">
        <v>16</v>
      </c>
      <c r="AO377" s="19">
        <v>16</v>
      </c>
      <c r="AP377" s="19">
        <v>51</v>
      </c>
      <c r="AQ377" s="19">
        <v>43</v>
      </c>
      <c r="AR377" s="19">
        <v>12</v>
      </c>
      <c r="AS377" s="19">
        <v>12</v>
      </c>
      <c r="AT377" s="19">
        <v>43</v>
      </c>
      <c r="AU377" s="19">
        <v>44.5</v>
      </c>
      <c r="AV377" s="19">
        <v>12</v>
      </c>
      <c r="AW377" s="19">
        <v>20</v>
      </c>
      <c r="AX377" s="19">
        <v>49</v>
      </c>
      <c r="AY377" s="19">
        <v>33</v>
      </c>
      <c r="AZ377" s="19">
        <v>16</v>
      </c>
      <c r="BA377" s="19">
        <v>12</v>
      </c>
      <c r="BB377" s="19">
        <v>52</v>
      </c>
      <c r="BC377" s="19">
        <v>45.5</v>
      </c>
      <c r="BD377" s="19">
        <v>13</v>
      </c>
      <c r="BE377" s="19">
        <v>16</v>
      </c>
      <c r="BF377" s="23">
        <v>28.634799999999998</v>
      </c>
      <c r="BG377" s="23">
        <v>77.221299999999999</v>
      </c>
      <c r="BH377" s="31">
        <f t="shared" si="186"/>
        <v>52</v>
      </c>
      <c r="BI377" s="31">
        <f t="shared" si="187"/>
        <v>45.5</v>
      </c>
      <c r="BJ377" s="37">
        <f t="shared" si="188"/>
        <v>6.5</v>
      </c>
      <c r="BK377" s="37">
        <f t="shared" si="189"/>
        <v>14.285714285714285</v>
      </c>
      <c r="BL377" s="36">
        <f t="shared" si="190"/>
        <v>13</v>
      </c>
      <c r="BM377" s="36">
        <f t="shared" si="191"/>
        <v>16</v>
      </c>
      <c r="BN377" s="37">
        <f t="shared" si="192"/>
        <v>-3</v>
      </c>
      <c r="BO377" s="37">
        <f t="shared" si="193"/>
        <v>-18.75</v>
      </c>
      <c r="BP377" s="38">
        <f t="shared" si="194"/>
        <v>586</v>
      </c>
      <c r="BQ377" s="39">
        <f>J377+N377+S377+W377+AA377+AE377+AI377+AM377+AQ377+AU377+Table1[[#This Row],[MS-0225]]+Table1[[#This Row],[MS-0325]]</f>
        <v>524</v>
      </c>
      <c r="BR377" s="37">
        <f t="shared" si="195"/>
        <v>62</v>
      </c>
      <c r="BS377" s="37">
        <f t="shared" si="196"/>
        <v>11.83206106870229</v>
      </c>
      <c r="BT377" s="36">
        <f t="shared" si="197"/>
        <v>181.5</v>
      </c>
      <c r="BU377" s="36">
        <f t="shared" si="198"/>
        <v>201.5</v>
      </c>
      <c r="BV377" s="37">
        <f t="shared" si="199"/>
        <v>-20</v>
      </c>
      <c r="BW377" s="37">
        <f t="shared" si="200"/>
        <v>-9.9255583126550881</v>
      </c>
      <c r="BX377">
        <v>0</v>
      </c>
      <c r="BY377" s="83">
        <f t="shared" si="201"/>
        <v>0</v>
      </c>
      <c r="BZ377">
        <v>0</v>
      </c>
      <c r="CA377" s="83">
        <f t="shared" si="202"/>
        <v>0</v>
      </c>
      <c r="CB377" s="96">
        <f t="shared" si="203"/>
        <v>4.4236495108464481E-2</v>
      </c>
      <c r="CC377" s="96">
        <f t="shared" si="204"/>
        <v>4.0643144260830731E-2</v>
      </c>
      <c r="CD377" s="97">
        <f t="shared" si="205"/>
        <v>3.59335084763375E-3</v>
      </c>
      <c r="CE377" s="96">
        <f t="shared" si="206"/>
        <v>4.5060658578856154E-2</v>
      </c>
      <c r="CF377" s="96">
        <f t="shared" si="217"/>
        <v>5.1036682615629984E-2</v>
      </c>
      <c r="CG377" s="96">
        <f t="shared" si="208"/>
        <v>-5.9760240367738304E-3</v>
      </c>
      <c r="CH377" s="95">
        <f t="shared" si="209"/>
        <v>4.1501416430594899E-2</v>
      </c>
      <c r="CI377" s="95">
        <f t="shared" si="210"/>
        <v>3.9509896252724781E-2</v>
      </c>
      <c r="CJ377" s="98">
        <f t="shared" si="211"/>
        <v>1.991520177870118E-3</v>
      </c>
      <c r="CK377" s="95">
        <f t="shared" si="212"/>
        <v>5.2977232924693522E-2</v>
      </c>
      <c r="CL377" s="95">
        <f t="shared" si="213"/>
        <v>5.0800453800579855E-2</v>
      </c>
      <c r="CM377" s="98">
        <f t="shared" si="214"/>
        <v>2.1767791241136675E-3</v>
      </c>
      <c r="CN377" s="94">
        <f t="shared" si="215"/>
        <v>0.41501416430594901</v>
      </c>
      <c r="CO377" s="94">
        <f t="shared" si="216"/>
        <v>0.52977232924693518</v>
      </c>
    </row>
    <row r="378" spans="1:95" ht="24.5" x14ac:dyDescent="0.35">
      <c r="A378" s="104">
        <v>102111</v>
      </c>
      <c r="B378" s="5" t="s">
        <v>581</v>
      </c>
      <c r="C378" s="46" t="s">
        <v>745</v>
      </c>
      <c r="D378" s="13" t="s">
        <v>746</v>
      </c>
      <c r="E378" s="6" t="s">
        <v>200</v>
      </c>
      <c r="F378" s="6" t="s">
        <v>223</v>
      </c>
      <c r="G378" s="12" t="s">
        <v>223</v>
      </c>
      <c r="H378" s="51" t="s">
        <v>172</v>
      </c>
      <c r="I378" s="24" t="s">
        <v>83</v>
      </c>
      <c r="J378" s="19">
        <v>36</v>
      </c>
      <c r="K378" s="19">
        <v>45</v>
      </c>
      <c r="L378" s="19">
        <v>72</v>
      </c>
      <c r="M378" s="19">
        <v>115</v>
      </c>
      <c r="N378" s="18">
        <v>45</v>
      </c>
      <c r="O378" s="18">
        <v>55</v>
      </c>
      <c r="P378" s="18">
        <v>63</v>
      </c>
      <c r="Q378" s="18">
        <v>105</v>
      </c>
      <c r="R378" s="19">
        <v>58</v>
      </c>
      <c r="S378" s="19">
        <v>45</v>
      </c>
      <c r="T378" s="19">
        <v>88</v>
      </c>
      <c r="U378" s="19">
        <v>63</v>
      </c>
      <c r="V378" s="19">
        <v>50</v>
      </c>
      <c r="W378" s="19">
        <v>54</v>
      </c>
      <c r="X378" s="19">
        <v>90</v>
      </c>
      <c r="Y378" s="19">
        <v>90</v>
      </c>
      <c r="Z378" s="19">
        <v>60</v>
      </c>
      <c r="AA378" s="19">
        <v>45</v>
      </c>
      <c r="AB378" s="19">
        <v>80</v>
      </c>
      <c r="AC378" s="19">
        <v>63</v>
      </c>
      <c r="AD378" s="19">
        <v>67</v>
      </c>
      <c r="AE378" s="19">
        <v>47</v>
      </c>
      <c r="AF378" s="19">
        <v>97</v>
      </c>
      <c r="AG378" s="19">
        <v>65</v>
      </c>
      <c r="AH378" s="19">
        <v>67</v>
      </c>
      <c r="AI378" s="19">
        <v>49.5</v>
      </c>
      <c r="AJ378" s="19">
        <v>91</v>
      </c>
      <c r="AK378" s="19">
        <v>114.5</v>
      </c>
      <c r="AL378" s="19">
        <v>64</v>
      </c>
      <c r="AM378" s="19">
        <v>44</v>
      </c>
      <c r="AN378" s="19">
        <v>106</v>
      </c>
      <c r="AO378" s="19">
        <v>68</v>
      </c>
      <c r="AP378" s="19">
        <v>62</v>
      </c>
      <c r="AQ378" s="19">
        <v>50</v>
      </c>
      <c r="AR378" s="19">
        <v>108</v>
      </c>
      <c r="AS378" s="19">
        <v>70</v>
      </c>
      <c r="AT378" s="19">
        <v>63</v>
      </c>
      <c r="AU378" s="19">
        <v>50</v>
      </c>
      <c r="AV378" s="19">
        <v>111</v>
      </c>
      <c r="AW378" s="19">
        <v>70</v>
      </c>
      <c r="AX378" s="19">
        <v>57.5</v>
      </c>
      <c r="AY378" s="19">
        <v>35</v>
      </c>
      <c r="AZ378" s="19">
        <v>104.5</v>
      </c>
      <c r="BA378" s="19">
        <v>85</v>
      </c>
      <c r="BB378" s="19">
        <v>50</v>
      </c>
      <c r="BC378" s="19">
        <v>60</v>
      </c>
      <c r="BD378" s="19">
        <v>90</v>
      </c>
      <c r="BE378" s="19">
        <v>80</v>
      </c>
      <c r="BF378" s="23">
        <v>28.703499999999998</v>
      </c>
      <c r="BG378" s="23">
        <v>77.181100000000001</v>
      </c>
      <c r="BH378" s="31">
        <f t="shared" si="186"/>
        <v>50</v>
      </c>
      <c r="BI378" s="31">
        <f t="shared" si="187"/>
        <v>60</v>
      </c>
      <c r="BJ378" s="37">
        <f t="shared" si="188"/>
        <v>-10</v>
      </c>
      <c r="BK378" s="37">
        <f t="shared" si="189"/>
        <v>-16.666666666666664</v>
      </c>
      <c r="BL378" s="36">
        <f t="shared" si="190"/>
        <v>90</v>
      </c>
      <c r="BM378" s="36">
        <f t="shared" si="191"/>
        <v>80</v>
      </c>
      <c r="BN378" s="37">
        <f t="shared" si="192"/>
        <v>10</v>
      </c>
      <c r="BO378" s="37">
        <f t="shared" si="193"/>
        <v>12.5</v>
      </c>
      <c r="BP378" s="38">
        <f t="shared" si="194"/>
        <v>698.5</v>
      </c>
      <c r="BQ378" s="39">
        <f>J378+N378+S378+W378+AA378+AE378+AI378+AM378+AQ378+AU378+Table1[[#This Row],[MS-0225]]+Table1[[#This Row],[MS-0325]]</f>
        <v>560.5</v>
      </c>
      <c r="BR378" s="37">
        <f t="shared" si="195"/>
        <v>138</v>
      </c>
      <c r="BS378" s="37">
        <f t="shared" si="196"/>
        <v>24.620874219446922</v>
      </c>
      <c r="BT378" s="36">
        <f t="shared" si="197"/>
        <v>1185.5</v>
      </c>
      <c r="BU378" s="36">
        <f t="shared" si="198"/>
        <v>903.5</v>
      </c>
      <c r="BV378" s="37">
        <f t="shared" si="199"/>
        <v>282</v>
      </c>
      <c r="BW378" s="37">
        <f t="shared" si="200"/>
        <v>31.211953514111791</v>
      </c>
      <c r="BX378">
        <v>0</v>
      </c>
      <c r="BY378" s="83">
        <f t="shared" si="201"/>
        <v>0</v>
      </c>
      <c r="BZ378">
        <v>0</v>
      </c>
      <c r="CA378" s="83">
        <f t="shared" si="202"/>
        <v>0</v>
      </c>
      <c r="CB378" s="96">
        <f t="shared" si="203"/>
        <v>7.1225071225071226E-2</v>
      </c>
      <c r="CC378" s="96">
        <f t="shared" si="204"/>
        <v>0.10204081632653061</v>
      </c>
      <c r="CD378" s="97">
        <f t="shared" si="205"/>
        <v>-3.0815745101459388E-2</v>
      </c>
      <c r="CE378" s="96">
        <f t="shared" si="206"/>
        <v>0.23316062176165803</v>
      </c>
      <c r="CF378" s="96">
        <f t="shared" si="217"/>
        <v>0.14084507042253522</v>
      </c>
      <c r="CG378" s="96">
        <f t="shared" si="208"/>
        <v>9.2315551339122809E-2</v>
      </c>
      <c r="CH378" s="95">
        <f t="shared" si="209"/>
        <v>9.1829356471438903E-2</v>
      </c>
      <c r="CI378" s="95">
        <f t="shared" si="210"/>
        <v>8.2402234636871505E-2</v>
      </c>
      <c r="CJ378" s="98">
        <f t="shared" si="211"/>
        <v>9.4271218345673979E-3</v>
      </c>
      <c r="CK378" s="95">
        <f t="shared" si="212"/>
        <v>0.19256070819459109</v>
      </c>
      <c r="CL378" s="95">
        <f t="shared" si="213"/>
        <v>0.12953405017921146</v>
      </c>
      <c r="CM378" s="98">
        <f t="shared" si="214"/>
        <v>6.3026658015379627E-2</v>
      </c>
      <c r="CN378" s="94">
        <f t="shared" si="215"/>
        <v>0.36731742588575561</v>
      </c>
      <c r="CO378" s="94">
        <f t="shared" si="216"/>
        <v>0.77024283277836436</v>
      </c>
    </row>
    <row r="379" spans="1:95" ht="24.5" x14ac:dyDescent="0.35">
      <c r="A379" s="104">
        <v>106259</v>
      </c>
      <c r="B379" s="5" t="s">
        <v>581</v>
      </c>
      <c r="C379" s="46" t="s">
        <v>688</v>
      </c>
      <c r="D379" s="13" t="s">
        <v>689</v>
      </c>
      <c r="E379" s="6" t="s">
        <v>89</v>
      </c>
      <c r="F379" s="6" t="s">
        <v>342</v>
      </c>
      <c r="G379" s="12" t="s">
        <v>538</v>
      </c>
      <c r="H379" s="51" t="s">
        <v>120</v>
      </c>
      <c r="I379" s="24" t="s">
        <v>86</v>
      </c>
      <c r="J379" s="19">
        <v>202</v>
      </c>
      <c r="K379" s="19">
        <v>189.5</v>
      </c>
      <c r="L379" s="19">
        <v>46</v>
      </c>
      <c r="M379" s="19">
        <v>36.5</v>
      </c>
      <c r="N379" s="18">
        <v>213.5</v>
      </c>
      <c r="O379" s="18">
        <v>208.5</v>
      </c>
      <c r="P379" s="18">
        <v>46.5</v>
      </c>
      <c r="Q379" s="18">
        <v>35.5</v>
      </c>
      <c r="R379" s="19">
        <v>200</v>
      </c>
      <c r="S379" s="19">
        <v>214.5</v>
      </c>
      <c r="T379" s="19">
        <v>34</v>
      </c>
      <c r="U379" s="19">
        <v>47.5</v>
      </c>
      <c r="V379" s="19">
        <v>213</v>
      </c>
      <c r="W379" s="19">
        <v>203.5</v>
      </c>
      <c r="X379" s="19">
        <v>37</v>
      </c>
      <c r="Y379" s="19">
        <v>56.5</v>
      </c>
      <c r="Z379" s="19">
        <v>204.5</v>
      </c>
      <c r="AA379" s="19">
        <v>197</v>
      </c>
      <c r="AB379" s="19">
        <v>35.5</v>
      </c>
      <c r="AC379" s="19">
        <v>33</v>
      </c>
      <c r="AD379" s="19">
        <v>189</v>
      </c>
      <c r="AE379" s="19">
        <v>189.5</v>
      </c>
      <c r="AF379" s="19">
        <v>27</v>
      </c>
      <c r="AG379" s="19">
        <v>38.5</v>
      </c>
      <c r="AH379" s="19">
        <v>210.5</v>
      </c>
      <c r="AI379" s="19">
        <v>214</v>
      </c>
      <c r="AJ379" s="19">
        <v>37.5</v>
      </c>
      <c r="AK379" s="19">
        <v>40</v>
      </c>
      <c r="AL379" s="19">
        <v>197.5</v>
      </c>
      <c r="AM379" s="19">
        <v>192</v>
      </c>
      <c r="AN379" s="19">
        <v>30.5</v>
      </c>
      <c r="AO379" s="19">
        <v>38</v>
      </c>
      <c r="AP379" s="19">
        <v>183</v>
      </c>
      <c r="AQ379" s="19">
        <v>195.5</v>
      </c>
      <c r="AR379" s="19">
        <v>27</v>
      </c>
      <c r="AS379" s="19">
        <v>44.5</v>
      </c>
      <c r="AT379" s="19">
        <v>176</v>
      </c>
      <c r="AU379" s="19">
        <v>199</v>
      </c>
      <c r="AV379" s="19">
        <v>34</v>
      </c>
      <c r="AW379" s="19">
        <v>29</v>
      </c>
      <c r="AX379" s="19">
        <v>174.5</v>
      </c>
      <c r="AY379" s="19">
        <v>173.5</v>
      </c>
      <c r="AZ379" s="19">
        <v>17.5</v>
      </c>
      <c r="BA379" s="19">
        <v>38.5</v>
      </c>
      <c r="BB379" s="19">
        <v>175</v>
      </c>
      <c r="BC379" s="19">
        <v>185.5</v>
      </c>
      <c r="BD379" s="19">
        <v>17</v>
      </c>
      <c r="BE379" s="19">
        <v>52.5</v>
      </c>
      <c r="BF379" s="23">
        <v>28.727499999999999</v>
      </c>
      <c r="BG379" s="23">
        <v>77.142899999999997</v>
      </c>
      <c r="BH379" s="31">
        <f t="shared" si="186"/>
        <v>175</v>
      </c>
      <c r="BI379" s="31">
        <f t="shared" si="187"/>
        <v>185.5</v>
      </c>
      <c r="BJ379" s="37">
        <f t="shared" si="188"/>
        <v>-10.5</v>
      </c>
      <c r="BK379" s="37">
        <f t="shared" si="189"/>
        <v>-5.6603773584905666</v>
      </c>
      <c r="BL379" s="36">
        <f t="shared" si="190"/>
        <v>17</v>
      </c>
      <c r="BM379" s="36">
        <f t="shared" si="191"/>
        <v>52.5</v>
      </c>
      <c r="BN379" s="37">
        <f t="shared" si="192"/>
        <v>-35.5</v>
      </c>
      <c r="BO379" s="37">
        <f t="shared" si="193"/>
        <v>-67.61904761904762</v>
      </c>
      <c r="BP379" s="38">
        <f t="shared" si="194"/>
        <v>2321</v>
      </c>
      <c r="BQ379" s="39">
        <f>J379+N379+S379+W379+AA379+AE379+AI379+AM379+AQ379+AU379+Table1[[#This Row],[MS-0225]]+Table1[[#This Row],[MS-0325]]</f>
        <v>2379.5</v>
      </c>
      <c r="BR379" s="37">
        <f t="shared" si="195"/>
        <v>-58.5</v>
      </c>
      <c r="BS379" s="37">
        <f t="shared" si="196"/>
        <v>-2.458499684807733</v>
      </c>
      <c r="BT379" s="36">
        <f t="shared" si="197"/>
        <v>369</v>
      </c>
      <c r="BU379" s="36">
        <f t="shared" si="198"/>
        <v>510.5</v>
      </c>
      <c r="BV379" s="37">
        <f t="shared" si="199"/>
        <v>-141.5</v>
      </c>
      <c r="BW379" s="37">
        <f t="shared" si="200"/>
        <v>-27.717923604309501</v>
      </c>
      <c r="BX379">
        <v>0</v>
      </c>
      <c r="BY379" s="83">
        <f t="shared" si="201"/>
        <v>0</v>
      </c>
      <c r="BZ379">
        <v>0</v>
      </c>
      <c r="CA379" s="83">
        <f t="shared" si="202"/>
        <v>0</v>
      </c>
      <c r="CB379" s="96">
        <f t="shared" si="203"/>
        <v>1</v>
      </c>
      <c r="CC379" s="96">
        <f t="shared" si="204"/>
        <v>1</v>
      </c>
      <c r="CD379" s="97">
        <f t="shared" si="205"/>
        <v>0</v>
      </c>
      <c r="CE379" s="96">
        <f t="shared" si="206"/>
        <v>1</v>
      </c>
      <c r="CF379" s="96">
        <f t="shared" si="217"/>
        <v>1</v>
      </c>
      <c r="CG379" s="96">
        <f t="shared" si="208"/>
        <v>0</v>
      </c>
      <c r="CH379" s="95">
        <f t="shared" si="209"/>
        <v>1</v>
      </c>
      <c r="CI379" s="95">
        <f t="shared" si="210"/>
        <v>1</v>
      </c>
      <c r="CJ379" s="98">
        <f t="shared" si="211"/>
        <v>0</v>
      </c>
      <c r="CK379" s="95">
        <f t="shared" si="212"/>
        <v>1</v>
      </c>
      <c r="CL379" s="95">
        <f t="shared" si="213"/>
        <v>1</v>
      </c>
      <c r="CM379" s="98">
        <f t="shared" si="214"/>
        <v>0</v>
      </c>
      <c r="CN379" s="94">
        <f t="shared" si="215"/>
        <v>1</v>
      </c>
      <c r="CO379" s="94">
        <f t="shared" si="216"/>
        <v>1</v>
      </c>
    </row>
    <row r="380" spans="1:95" ht="24.5" x14ac:dyDescent="0.35">
      <c r="A380" s="102">
        <v>112431</v>
      </c>
      <c r="B380" s="3" t="s">
        <v>72</v>
      </c>
      <c r="C380" s="40" t="s">
        <v>212</v>
      </c>
      <c r="D380" s="12" t="s">
        <v>213</v>
      </c>
      <c r="E380" s="4" t="s">
        <v>85</v>
      </c>
      <c r="F380" s="4" t="s">
        <v>192</v>
      </c>
      <c r="G380" s="12" t="s">
        <v>192</v>
      </c>
      <c r="H380" s="51" t="s">
        <v>178</v>
      </c>
      <c r="I380" s="23" t="s">
        <v>86</v>
      </c>
      <c r="J380" s="90">
        <v>22.5</v>
      </c>
      <c r="K380" s="90">
        <v>31.5</v>
      </c>
      <c r="L380" s="90">
        <v>13.5</v>
      </c>
      <c r="M380" s="90">
        <v>40.5</v>
      </c>
      <c r="N380" s="18">
        <v>22.5</v>
      </c>
      <c r="O380" s="18">
        <v>18</v>
      </c>
      <c r="P380" s="18">
        <v>31.5</v>
      </c>
      <c r="Q380" s="18">
        <v>36</v>
      </c>
      <c r="R380" s="90">
        <v>27</v>
      </c>
      <c r="S380" s="90">
        <v>18</v>
      </c>
      <c r="T380" s="90">
        <v>45</v>
      </c>
      <c r="U380" s="90">
        <v>36</v>
      </c>
      <c r="V380" s="90">
        <v>27</v>
      </c>
      <c r="W380" s="90">
        <v>27</v>
      </c>
      <c r="X380" s="90">
        <v>45</v>
      </c>
      <c r="Y380" s="90">
        <v>27</v>
      </c>
      <c r="Z380" s="90">
        <v>27</v>
      </c>
      <c r="AA380" s="90">
        <v>27</v>
      </c>
      <c r="AB380" s="90">
        <v>27</v>
      </c>
      <c r="AC380" s="90">
        <v>45</v>
      </c>
      <c r="AD380" s="90">
        <v>18</v>
      </c>
      <c r="AE380" s="90">
        <v>18</v>
      </c>
      <c r="AF380" s="90">
        <v>36</v>
      </c>
      <c r="AG380" s="90">
        <v>36</v>
      </c>
      <c r="AH380" s="90">
        <v>36</v>
      </c>
      <c r="AI380" s="90">
        <v>22.5</v>
      </c>
      <c r="AJ380" s="90">
        <v>36</v>
      </c>
      <c r="AK380" s="90">
        <v>49.5</v>
      </c>
      <c r="AL380" s="90">
        <v>27</v>
      </c>
      <c r="AM380" s="90">
        <v>22.5</v>
      </c>
      <c r="AN380" s="90">
        <v>27</v>
      </c>
      <c r="AO380" s="90">
        <v>13.5</v>
      </c>
      <c r="AP380" s="90">
        <v>31.5</v>
      </c>
      <c r="AQ380" s="90">
        <v>13.5</v>
      </c>
      <c r="AR380" s="90">
        <v>40.5</v>
      </c>
      <c r="AS380" s="90">
        <v>22.5</v>
      </c>
      <c r="AT380" s="90">
        <v>22.5</v>
      </c>
      <c r="AU380" s="90">
        <v>18</v>
      </c>
      <c r="AV380" s="90">
        <v>13.5</v>
      </c>
      <c r="AW380" s="90">
        <v>36</v>
      </c>
      <c r="AX380" s="90">
        <v>18</v>
      </c>
      <c r="AY380" s="90">
        <v>27</v>
      </c>
      <c r="AZ380" s="90">
        <v>18</v>
      </c>
      <c r="BA380" s="90">
        <v>45</v>
      </c>
      <c r="BB380" s="90">
        <v>45</v>
      </c>
      <c r="BC380" s="90">
        <v>18</v>
      </c>
      <c r="BD380" s="90">
        <v>45</v>
      </c>
      <c r="BE380" s="90">
        <v>18</v>
      </c>
      <c r="BF380" s="140">
        <v>28.68807</v>
      </c>
      <c r="BG380" s="140">
        <v>76.960350000000005</v>
      </c>
      <c r="BH380" s="31">
        <f t="shared" si="186"/>
        <v>45</v>
      </c>
      <c r="BI380" s="31">
        <f t="shared" si="187"/>
        <v>18</v>
      </c>
      <c r="BJ380" s="37">
        <f t="shared" si="188"/>
        <v>27</v>
      </c>
      <c r="BK380" s="37">
        <f t="shared" si="189"/>
        <v>150</v>
      </c>
      <c r="BL380" s="36">
        <f t="shared" si="190"/>
        <v>45</v>
      </c>
      <c r="BM380" s="36">
        <f t="shared" si="191"/>
        <v>18</v>
      </c>
      <c r="BN380" s="37">
        <f t="shared" si="192"/>
        <v>27</v>
      </c>
      <c r="BO380" s="37">
        <f t="shared" si="193"/>
        <v>150</v>
      </c>
      <c r="BP380" s="38">
        <f t="shared" si="194"/>
        <v>328.5</v>
      </c>
      <c r="BQ380" s="39">
        <f>J380+N380+S380+W380+AA380+AE380+AI380+AM380+AQ380+AU380+Table1[[#This Row],[MS-0225]]+Table1[[#This Row],[MS-0325]]</f>
        <v>256.5</v>
      </c>
      <c r="BR380" s="37">
        <f t="shared" si="195"/>
        <v>72</v>
      </c>
      <c r="BS380" s="37">
        <f t="shared" si="196"/>
        <v>28.07017543859649</v>
      </c>
      <c r="BT380" s="36">
        <f t="shared" si="197"/>
        <v>409.5</v>
      </c>
      <c r="BU380" s="36">
        <f t="shared" si="198"/>
        <v>373.5</v>
      </c>
      <c r="BV380" s="37">
        <f t="shared" si="199"/>
        <v>36</v>
      </c>
      <c r="BW380" s="37">
        <f t="shared" si="200"/>
        <v>9.6385542168674707</v>
      </c>
      <c r="BX380">
        <v>0</v>
      </c>
      <c r="BY380" s="83">
        <f t="shared" si="201"/>
        <v>0</v>
      </c>
      <c r="BZ380">
        <v>0</v>
      </c>
      <c r="CA380" s="83">
        <f t="shared" si="202"/>
        <v>0</v>
      </c>
      <c r="CB380" s="96">
        <f t="shared" si="203"/>
        <v>3.6749693752552062E-2</v>
      </c>
      <c r="CC380" s="96">
        <f t="shared" si="204"/>
        <v>1.4772260976610586E-2</v>
      </c>
      <c r="CD380" s="97">
        <f t="shared" si="205"/>
        <v>2.1977432775941476E-2</v>
      </c>
      <c r="CE380" s="96">
        <f t="shared" si="206"/>
        <v>3.8743004735256131E-2</v>
      </c>
      <c r="CF380" s="96">
        <f t="shared" si="217"/>
        <v>1.8471010774756286E-2</v>
      </c>
      <c r="CG380" s="96">
        <f t="shared" si="208"/>
        <v>2.0271993960499845E-2</v>
      </c>
      <c r="CH380" s="95">
        <f t="shared" si="209"/>
        <v>2.2363673497174757E-2</v>
      </c>
      <c r="CI380" s="95">
        <f t="shared" si="210"/>
        <v>1.8432682979411447E-2</v>
      </c>
      <c r="CJ380" s="98">
        <f t="shared" si="211"/>
        <v>3.9309905177633102E-3</v>
      </c>
      <c r="CK380" s="95">
        <f t="shared" si="212"/>
        <v>3.4747560458209585E-2</v>
      </c>
      <c r="CL380" s="95">
        <f t="shared" si="213"/>
        <v>2.82259588135273E-2</v>
      </c>
      <c r="CM380" s="98">
        <f t="shared" si="214"/>
        <v>6.5216016446822851E-3</v>
      </c>
      <c r="CN380" s="94">
        <f t="shared" si="215"/>
        <v>0.22363673497174757</v>
      </c>
      <c r="CO380" s="94">
        <f t="shared" si="216"/>
        <v>0.34747560458209586</v>
      </c>
    </row>
    <row r="381" spans="1:95" ht="24.5" x14ac:dyDescent="0.35">
      <c r="A381" s="104">
        <v>106245</v>
      </c>
      <c r="B381" s="5" t="s">
        <v>581</v>
      </c>
      <c r="C381" s="46" t="s">
        <v>904</v>
      </c>
      <c r="D381" s="13" t="s">
        <v>566</v>
      </c>
      <c r="E381" s="6" t="s">
        <v>85</v>
      </c>
      <c r="F381" s="6" t="s">
        <v>373</v>
      </c>
      <c r="G381" s="12" t="s">
        <v>373</v>
      </c>
      <c r="H381" s="51" t="s">
        <v>120</v>
      </c>
      <c r="I381" s="24" t="s">
        <v>86</v>
      </c>
      <c r="J381" s="19">
        <v>355.5</v>
      </c>
      <c r="K381" s="19">
        <v>319.5</v>
      </c>
      <c r="L381" s="19">
        <v>112.5</v>
      </c>
      <c r="M381" s="19">
        <v>100.5</v>
      </c>
      <c r="N381" s="18">
        <v>357.5</v>
      </c>
      <c r="O381" s="18">
        <v>315</v>
      </c>
      <c r="P381" s="18">
        <v>94.5</v>
      </c>
      <c r="Q381" s="18">
        <v>117</v>
      </c>
      <c r="R381" s="19">
        <v>360</v>
      </c>
      <c r="S381" s="19">
        <v>355.5</v>
      </c>
      <c r="T381" s="19">
        <v>108</v>
      </c>
      <c r="U381" s="19">
        <v>94.5</v>
      </c>
      <c r="V381" s="19">
        <v>328.5</v>
      </c>
      <c r="W381" s="19">
        <v>369</v>
      </c>
      <c r="X381" s="19">
        <v>103.5</v>
      </c>
      <c r="Y381" s="19">
        <v>81</v>
      </c>
      <c r="Z381" s="19">
        <v>342</v>
      </c>
      <c r="AA381" s="19">
        <v>351</v>
      </c>
      <c r="AB381" s="19">
        <v>90</v>
      </c>
      <c r="AC381" s="19">
        <v>81</v>
      </c>
      <c r="AD381" s="19">
        <v>297</v>
      </c>
      <c r="AE381" s="19">
        <v>328.5</v>
      </c>
      <c r="AF381" s="19">
        <v>99</v>
      </c>
      <c r="AG381" s="19">
        <v>67.5</v>
      </c>
      <c r="AH381" s="19">
        <v>346.5</v>
      </c>
      <c r="AI381" s="19">
        <v>355.5</v>
      </c>
      <c r="AJ381" s="19">
        <v>85.5</v>
      </c>
      <c r="AK381" s="19">
        <v>76.5</v>
      </c>
      <c r="AL381" s="19">
        <v>306</v>
      </c>
      <c r="AM381" s="19">
        <v>337.5</v>
      </c>
      <c r="AN381" s="19">
        <v>54</v>
      </c>
      <c r="AO381" s="19">
        <v>58.5</v>
      </c>
      <c r="AP381" s="19">
        <v>319.5</v>
      </c>
      <c r="AQ381" s="19">
        <v>319.5</v>
      </c>
      <c r="AR381" s="19">
        <v>58.5</v>
      </c>
      <c r="AS381" s="19">
        <v>58.5</v>
      </c>
      <c r="AT381" s="19">
        <v>297</v>
      </c>
      <c r="AU381" s="19">
        <v>283.5</v>
      </c>
      <c r="AV381" s="19">
        <v>63</v>
      </c>
      <c r="AW381" s="19">
        <v>58.5</v>
      </c>
      <c r="AX381" s="19">
        <v>315</v>
      </c>
      <c r="AY381" s="19">
        <v>274.5</v>
      </c>
      <c r="AZ381" s="19">
        <v>63</v>
      </c>
      <c r="BA381" s="19">
        <v>85.5</v>
      </c>
      <c r="BB381" s="19">
        <v>346.5</v>
      </c>
      <c r="BC381" s="19">
        <v>306</v>
      </c>
      <c r="BD381" s="19">
        <v>67.5</v>
      </c>
      <c r="BE381" s="19">
        <v>108</v>
      </c>
      <c r="BF381" s="23">
        <v>28.666599999999999</v>
      </c>
      <c r="BG381" s="23">
        <v>77.092100000000002</v>
      </c>
      <c r="BH381" s="31">
        <f t="shared" si="186"/>
        <v>346.5</v>
      </c>
      <c r="BI381" s="31">
        <f t="shared" si="187"/>
        <v>306</v>
      </c>
      <c r="BJ381" s="37">
        <f t="shared" si="188"/>
        <v>40.5</v>
      </c>
      <c r="BK381" s="37">
        <f t="shared" si="189"/>
        <v>13.23529411764706</v>
      </c>
      <c r="BL381" s="36">
        <f t="shared" si="190"/>
        <v>67.5</v>
      </c>
      <c r="BM381" s="36">
        <f t="shared" si="191"/>
        <v>108</v>
      </c>
      <c r="BN381" s="37">
        <f t="shared" si="192"/>
        <v>-40.5</v>
      </c>
      <c r="BO381" s="37">
        <f t="shared" si="193"/>
        <v>-37.5</v>
      </c>
      <c r="BP381" s="38">
        <f t="shared" si="194"/>
        <v>3892.5</v>
      </c>
      <c r="BQ381" s="39">
        <f>J381+N381+S381+W381+AA381+AE381+AI381+AM381+AQ381+AU381+Table1[[#This Row],[MS-0225]]+Table1[[#This Row],[MS-0325]]</f>
        <v>3993.5</v>
      </c>
      <c r="BR381" s="37">
        <f t="shared" si="195"/>
        <v>-101</v>
      </c>
      <c r="BS381" s="37">
        <f t="shared" si="196"/>
        <v>-2.5291098034305746</v>
      </c>
      <c r="BT381" s="36">
        <f t="shared" si="197"/>
        <v>1009.5</v>
      </c>
      <c r="BU381" s="36">
        <f t="shared" si="198"/>
        <v>976.5</v>
      </c>
      <c r="BV381" s="37">
        <f t="shared" si="199"/>
        <v>33</v>
      </c>
      <c r="BW381" s="37">
        <f t="shared" si="200"/>
        <v>3.3794162826420893</v>
      </c>
      <c r="BX381">
        <v>0</v>
      </c>
      <c r="BY381" s="83">
        <f t="shared" si="201"/>
        <v>0</v>
      </c>
      <c r="BZ381">
        <v>0</v>
      </c>
      <c r="CA381" s="83">
        <f t="shared" si="202"/>
        <v>0</v>
      </c>
      <c r="CB381" s="96">
        <f t="shared" si="203"/>
        <v>0.20911285455642728</v>
      </c>
      <c r="CC381" s="96">
        <f t="shared" si="204"/>
        <v>0.19119025304592316</v>
      </c>
      <c r="CD381" s="97">
        <f t="shared" si="205"/>
        <v>1.7922601510504121E-2</v>
      </c>
      <c r="CE381" s="96">
        <f t="shared" si="206"/>
        <v>0.18267929634641408</v>
      </c>
      <c r="CF381" s="96">
        <f t="shared" si="217"/>
        <v>0.26633785450061653</v>
      </c>
      <c r="CG381" s="96">
        <f t="shared" si="208"/>
        <v>-8.365855815420245E-2</v>
      </c>
      <c r="CH381" s="95">
        <f t="shared" si="209"/>
        <v>0.20144387517466231</v>
      </c>
      <c r="CI381" s="95">
        <f t="shared" si="210"/>
        <v>0.21027274631990026</v>
      </c>
      <c r="CJ381" s="98">
        <f t="shared" si="211"/>
        <v>-8.8288711452379487E-3</v>
      </c>
      <c r="CK381" s="95">
        <f t="shared" si="212"/>
        <v>0.23907637655417407</v>
      </c>
      <c r="CL381" s="95">
        <f t="shared" si="213"/>
        <v>0.21077055903302397</v>
      </c>
      <c r="CM381" s="98">
        <f t="shared" si="214"/>
        <v>2.8305817521150106E-2</v>
      </c>
      <c r="CN381" s="94">
        <f t="shared" si="215"/>
        <v>1.0072193758733115</v>
      </c>
      <c r="CO381" s="94">
        <f t="shared" si="216"/>
        <v>1.1953818827708704</v>
      </c>
    </row>
    <row r="382" spans="1:95" ht="24.5" x14ac:dyDescent="0.35">
      <c r="A382" s="103">
        <v>41056344</v>
      </c>
      <c r="B382" s="9" t="s">
        <v>380</v>
      </c>
      <c r="C382" s="48" t="s">
        <v>433</v>
      </c>
      <c r="D382" s="14" t="s">
        <v>434</v>
      </c>
      <c r="E382" s="10" t="s">
        <v>200</v>
      </c>
      <c r="F382" s="10" t="s">
        <v>300</v>
      </c>
      <c r="G382" s="12" t="s">
        <v>300</v>
      </c>
      <c r="H382" s="51" t="s">
        <v>261</v>
      </c>
      <c r="I382" s="25" t="s">
        <v>83</v>
      </c>
      <c r="J382" s="20">
        <v>31.5</v>
      </c>
      <c r="K382" s="20">
        <v>18</v>
      </c>
      <c r="L382" s="20">
        <v>40.5</v>
      </c>
      <c r="M382" s="20">
        <v>18</v>
      </c>
      <c r="N382" s="18">
        <v>36</v>
      </c>
      <c r="O382" s="18">
        <v>57</v>
      </c>
      <c r="P382" s="18">
        <v>72</v>
      </c>
      <c r="Q382" s="18">
        <v>73</v>
      </c>
      <c r="R382" s="20">
        <v>18</v>
      </c>
      <c r="S382" s="20">
        <v>40.5</v>
      </c>
      <c r="T382" s="20">
        <v>36</v>
      </c>
      <c r="U382" s="20">
        <v>67.5</v>
      </c>
      <c r="V382" s="20">
        <v>36</v>
      </c>
      <c r="W382" s="20">
        <v>36</v>
      </c>
      <c r="X382" s="20">
        <v>54</v>
      </c>
      <c r="Y382" s="20">
        <v>72</v>
      </c>
      <c r="Z382" s="20">
        <v>37</v>
      </c>
      <c r="AA382" s="20">
        <v>40.5</v>
      </c>
      <c r="AB382" s="20">
        <v>42</v>
      </c>
      <c r="AC382" s="20">
        <v>67.5</v>
      </c>
      <c r="AD382" s="20">
        <v>36</v>
      </c>
      <c r="AE382" s="20">
        <v>40.5</v>
      </c>
      <c r="AF382" s="20">
        <v>54</v>
      </c>
      <c r="AG382" s="20">
        <v>85.5</v>
      </c>
      <c r="AH382" s="20">
        <v>31.5</v>
      </c>
      <c r="AI382" s="20">
        <v>23</v>
      </c>
      <c r="AJ382" s="20">
        <v>58.5</v>
      </c>
      <c r="AK382" s="20">
        <v>51</v>
      </c>
      <c r="AL382" s="20">
        <v>40.5</v>
      </c>
      <c r="AM382" s="20">
        <v>43</v>
      </c>
      <c r="AN382" s="20">
        <v>49.5</v>
      </c>
      <c r="AO382" s="20">
        <v>75</v>
      </c>
      <c r="AP382" s="20">
        <v>27</v>
      </c>
      <c r="AQ382" s="20">
        <v>27</v>
      </c>
      <c r="AR382" s="20">
        <v>45</v>
      </c>
      <c r="AS382" s="20">
        <v>81</v>
      </c>
      <c r="AT382" s="20">
        <v>36</v>
      </c>
      <c r="AU382" s="20">
        <v>38</v>
      </c>
      <c r="AV382" s="20">
        <v>54</v>
      </c>
      <c r="AW382" s="20">
        <v>66</v>
      </c>
      <c r="AX382" s="20">
        <v>31.5</v>
      </c>
      <c r="AY382" s="20">
        <v>27.5</v>
      </c>
      <c r="AZ382" s="20">
        <v>40.5</v>
      </c>
      <c r="BA382" s="20">
        <v>46.5</v>
      </c>
      <c r="BB382" s="20">
        <v>36</v>
      </c>
      <c r="BC382" s="20">
        <v>47.5</v>
      </c>
      <c r="BD382" s="20">
        <v>54</v>
      </c>
      <c r="BE382" s="20">
        <v>75.5</v>
      </c>
      <c r="BF382" s="23">
        <v>28.854462999999999</v>
      </c>
      <c r="BG382" s="23">
        <v>77.124826999999996</v>
      </c>
      <c r="BH382" s="31">
        <f t="shared" si="186"/>
        <v>36</v>
      </c>
      <c r="BI382" s="31">
        <f t="shared" si="187"/>
        <v>47.5</v>
      </c>
      <c r="BJ382" s="37">
        <f t="shared" si="188"/>
        <v>-11.5</v>
      </c>
      <c r="BK382" s="37">
        <f t="shared" si="189"/>
        <v>-24.210526315789473</v>
      </c>
      <c r="BL382" s="36">
        <f t="shared" si="190"/>
        <v>54</v>
      </c>
      <c r="BM382" s="36">
        <f t="shared" si="191"/>
        <v>75.5</v>
      </c>
      <c r="BN382" s="37">
        <f t="shared" si="192"/>
        <v>-21.5</v>
      </c>
      <c r="BO382" s="37">
        <f t="shared" si="193"/>
        <v>-28.476821192052981</v>
      </c>
      <c r="BP382" s="38">
        <f t="shared" si="194"/>
        <v>404.5</v>
      </c>
      <c r="BQ382" s="39">
        <f>J382+N382+S382+W382+AA382+AE382+AI382+AM382+AQ382+AU382+Table1[[#This Row],[MS-0225]]+Table1[[#This Row],[MS-0325]]</f>
        <v>431</v>
      </c>
      <c r="BR382" s="37">
        <f t="shared" si="195"/>
        <v>-26.5</v>
      </c>
      <c r="BS382" s="37">
        <f t="shared" si="196"/>
        <v>-6.148491879350348</v>
      </c>
      <c r="BT382" s="36">
        <f t="shared" si="197"/>
        <v>578.5</v>
      </c>
      <c r="BU382" s="36">
        <f t="shared" si="198"/>
        <v>800</v>
      </c>
      <c r="BV382" s="37">
        <f t="shared" si="199"/>
        <v>-221.5</v>
      </c>
      <c r="BW382" s="37">
        <f t="shared" si="200"/>
        <v>-27.6875</v>
      </c>
      <c r="BX382">
        <v>0</v>
      </c>
      <c r="BY382" s="83">
        <f t="shared" si="201"/>
        <v>0</v>
      </c>
      <c r="BZ382">
        <v>0</v>
      </c>
      <c r="CA382" s="83">
        <f t="shared" si="202"/>
        <v>0</v>
      </c>
      <c r="CB382" s="96">
        <f t="shared" si="203"/>
        <v>6.7226890756302518E-2</v>
      </c>
      <c r="CC382" s="96">
        <f t="shared" si="204"/>
        <v>8.6520947176684876E-2</v>
      </c>
      <c r="CD382" s="97">
        <f t="shared" si="205"/>
        <v>-1.9294056420382358E-2</v>
      </c>
      <c r="CE382" s="96">
        <f t="shared" si="206"/>
        <v>8.1020255063765936E-2</v>
      </c>
      <c r="CF382" s="96">
        <f t="shared" si="217"/>
        <v>0.11796875</v>
      </c>
      <c r="CG382" s="96">
        <f t="shared" si="208"/>
        <v>-3.6948494936234061E-2</v>
      </c>
      <c r="CH382" s="95">
        <f t="shared" si="209"/>
        <v>5.8849203462573656E-2</v>
      </c>
      <c r="CI382" s="95">
        <f t="shared" si="210"/>
        <v>7.1464102138948771E-2</v>
      </c>
      <c r="CJ382" s="98">
        <f t="shared" si="211"/>
        <v>-1.2614898676375115E-2</v>
      </c>
      <c r="CK382" s="95">
        <f t="shared" si="212"/>
        <v>7.3652046597491888E-2</v>
      </c>
      <c r="CL382" s="95">
        <f t="shared" si="213"/>
        <v>0.10925976509150505</v>
      </c>
      <c r="CM382" s="98">
        <f t="shared" si="214"/>
        <v>-3.560771849401316E-2</v>
      </c>
      <c r="CN382" s="94">
        <f t="shared" si="215"/>
        <v>0.35309522077544192</v>
      </c>
      <c r="CO382" s="94">
        <f t="shared" si="216"/>
        <v>0.44191227958495133</v>
      </c>
    </row>
    <row r="383" spans="1:95" ht="36.5" x14ac:dyDescent="0.35">
      <c r="A383" s="102">
        <v>151186</v>
      </c>
      <c r="B383" s="3" t="s">
        <v>72</v>
      </c>
      <c r="C383" s="41" t="s">
        <v>378</v>
      </c>
      <c r="D383" s="12" t="s">
        <v>379</v>
      </c>
      <c r="E383" s="4" t="s">
        <v>89</v>
      </c>
      <c r="F383" s="4" t="s">
        <v>294</v>
      </c>
      <c r="G383" s="12" t="s">
        <v>294</v>
      </c>
      <c r="H383" s="51" t="s">
        <v>91</v>
      </c>
      <c r="I383" s="23" t="s">
        <v>86</v>
      </c>
      <c r="J383" s="90">
        <v>65</v>
      </c>
      <c r="K383" s="90">
        <v>60</v>
      </c>
      <c r="L383" s="90">
        <v>9</v>
      </c>
      <c r="M383" s="90">
        <v>0</v>
      </c>
      <c r="N383" s="18">
        <v>63</v>
      </c>
      <c r="O383" s="18">
        <v>69</v>
      </c>
      <c r="P383" s="18">
        <v>27</v>
      </c>
      <c r="Q383" s="18">
        <v>23</v>
      </c>
      <c r="R383" s="90">
        <v>54</v>
      </c>
      <c r="S383" s="90">
        <v>67.5</v>
      </c>
      <c r="T383" s="90">
        <v>18</v>
      </c>
      <c r="U383" s="90">
        <v>22.5</v>
      </c>
      <c r="V383" s="90">
        <v>65</v>
      </c>
      <c r="W383" s="90">
        <v>66.5</v>
      </c>
      <c r="X383" s="90">
        <v>15</v>
      </c>
      <c r="Y383" s="90">
        <v>17.5</v>
      </c>
      <c r="Z383" s="90">
        <v>55</v>
      </c>
      <c r="AA383" s="90">
        <v>56.5</v>
      </c>
      <c r="AB383" s="90">
        <v>25</v>
      </c>
      <c r="AC383" s="90">
        <v>39.5</v>
      </c>
      <c r="AD383" s="90">
        <v>45</v>
      </c>
      <c r="AE383" s="90">
        <v>54</v>
      </c>
      <c r="AF383" s="90">
        <v>15</v>
      </c>
      <c r="AG383" s="90">
        <v>0</v>
      </c>
      <c r="AH383" s="90">
        <v>60</v>
      </c>
      <c r="AI383" s="90">
        <v>58.5</v>
      </c>
      <c r="AJ383" s="90">
        <v>20</v>
      </c>
      <c r="AK383" s="90">
        <v>31.5</v>
      </c>
      <c r="AL383" s="90">
        <v>50</v>
      </c>
      <c r="AM383" s="90">
        <v>67</v>
      </c>
      <c r="AN383" s="90">
        <v>10</v>
      </c>
      <c r="AO383" s="90">
        <v>9</v>
      </c>
      <c r="AP383" s="90">
        <v>50</v>
      </c>
      <c r="AQ383" s="90">
        <v>58</v>
      </c>
      <c r="AR383" s="90">
        <v>10</v>
      </c>
      <c r="AS383" s="90">
        <v>34</v>
      </c>
      <c r="AT383" s="90">
        <v>45</v>
      </c>
      <c r="AU383" s="90">
        <v>59</v>
      </c>
      <c r="AV383" s="90">
        <v>15</v>
      </c>
      <c r="AW383" s="90">
        <v>19</v>
      </c>
      <c r="AX383" s="90">
        <v>50</v>
      </c>
      <c r="AY383" s="90">
        <v>54.5</v>
      </c>
      <c r="AZ383" s="90">
        <v>10</v>
      </c>
      <c r="BA383" s="90">
        <v>23.5</v>
      </c>
      <c r="BB383" s="90">
        <v>30</v>
      </c>
      <c r="BC383" s="90">
        <v>64</v>
      </c>
      <c r="BD383" s="90">
        <v>10</v>
      </c>
      <c r="BE383" s="90">
        <v>26</v>
      </c>
      <c r="BF383" s="23">
        <v>28.688089999999999</v>
      </c>
      <c r="BG383" s="23">
        <v>76.960350000000005</v>
      </c>
      <c r="BH383" s="31">
        <f t="shared" si="186"/>
        <v>30</v>
      </c>
      <c r="BI383" s="31">
        <f t="shared" si="187"/>
        <v>64</v>
      </c>
      <c r="BJ383" s="37">
        <f t="shared" si="188"/>
        <v>-34</v>
      </c>
      <c r="BK383" s="37">
        <f t="shared" si="189"/>
        <v>-53.125</v>
      </c>
      <c r="BL383" s="36">
        <f t="shared" si="190"/>
        <v>10</v>
      </c>
      <c r="BM383" s="36">
        <f t="shared" si="191"/>
        <v>26</v>
      </c>
      <c r="BN383" s="37">
        <f t="shared" si="192"/>
        <v>-16</v>
      </c>
      <c r="BO383" s="37">
        <f t="shared" si="193"/>
        <v>-61.53846153846154</v>
      </c>
      <c r="BP383" s="38">
        <f t="shared" si="194"/>
        <v>633</v>
      </c>
      <c r="BQ383" s="39">
        <f>J383+N383+S383+W383+AA383+AE383+AI383+AM383+AQ383+AU383+Table1[[#This Row],[MS-0225]]+Table1[[#This Row],[MS-0325]]</f>
        <v>733.5</v>
      </c>
      <c r="BR383" s="37">
        <f t="shared" si="195"/>
        <v>-100.5</v>
      </c>
      <c r="BS383" s="37">
        <f t="shared" si="196"/>
        <v>-13.701431492842536</v>
      </c>
      <c r="BT383" s="36">
        <f t="shared" si="197"/>
        <v>171</v>
      </c>
      <c r="BU383" s="36">
        <f t="shared" si="198"/>
        <v>258.5</v>
      </c>
      <c r="BV383" s="37">
        <f t="shared" si="199"/>
        <v>-87.5</v>
      </c>
      <c r="BW383" s="37">
        <f t="shared" si="200"/>
        <v>-33.849129593810446</v>
      </c>
      <c r="BX383">
        <v>0</v>
      </c>
      <c r="BY383" s="83">
        <f t="shared" si="201"/>
        <v>0</v>
      </c>
      <c r="BZ383">
        <v>0</v>
      </c>
      <c r="CA383" s="83">
        <f t="shared" si="202"/>
        <v>0</v>
      </c>
      <c r="CB383" s="96">
        <f t="shared" si="203"/>
        <v>6.7643742953776773E-2</v>
      </c>
      <c r="CC383" s="96">
        <f t="shared" si="204"/>
        <v>0.12635735439289239</v>
      </c>
      <c r="CD383" s="97">
        <f t="shared" si="205"/>
        <v>-5.8713611439115618E-2</v>
      </c>
      <c r="CE383" s="96">
        <f t="shared" si="206"/>
        <v>1.9512195121951219E-2</v>
      </c>
      <c r="CF383" s="96">
        <f t="shared" si="217"/>
        <v>5.8624577226606536E-2</v>
      </c>
      <c r="CG383" s="96">
        <f t="shared" si="208"/>
        <v>-3.9112382104655313E-2</v>
      </c>
      <c r="CH383" s="95">
        <f t="shared" si="209"/>
        <v>0.11472587222473947</v>
      </c>
      <c r="CI383" s="95">
        <f t="shared" si="210"/>
        <v>0.12466009517335146</v>
      </c>
      <c r="CJ383" s="98">
        <f t="shared" si="211"/>
        <v>-9.9342229486119871E-3</v>
      </c>
      <c r="CK383" s="95">
        <f t="shared" si="212"/>
        <v>2.9318474067723959E-2</v>
      </c>
      <c r="CL383" s="95">
        <f t="shared" si="213"/>
        <v>4.4037478705281088E-2</v>
      </c>
      <c r="CM383" s="98">
        <f t="shared" si="214"/>
        <v>-1.4719004637557129E-2</v>
      </c>
      <c r="CN383" s="94">
        <f t="shared" si="215"/>
        <v>0.80308110557317625</v>
      </c>
      <c r="CO383" s="94">
        <f t="shared" si="216"/>
        <v>0.20522931847406772</v>
      </c>
    </row>
    <row r="384" spans="1:95" ht="24.5" x14ac:dyDescent="0.35">
      <c r="A384" s="103">
        <v>41019316</v>
      </c>
      <c r="B384" s="9" t="s">
        <v>380</v>
      </c>
      <c r="C384" s="47" t="s">
        <v>554</v>
      </c>
      <c r="D384" s="14" t="s">
        <v>555</v>
      </c>
      <c r="E384" s="10" t="s">
        <v>85</v>
      </c>
      <c r="F384" s="10" t="s">
        <v>361</v>
      </c>
      <c r="G384" s="12" t="s">
        <v>1089</v>
      </c>
      <c r="H384" s="51" t="s">
        <v>105</v>
      </c>
      <c r="I384" s="25" t="s">
        <v>86</v>
      </c>
      <c r="J384" s="20">
        <v>741.5</v>
      </c>
      <c r="K384" s="20">
        <v>756.5</v>
      </c>
      <c r="L384" s="20">
        <v>197.5</v>
      </c>
      <c r="M384" s="20">
        <v>136.5</v>
      </c>
      <c r="N384" s="18">
        <v>845</v>
      </c>
      <c r="O384" s="18">
        <v>865.5</v>
      </c>
      <c r="P384" s="18">
        <v>211</v>
      </c>
      <c r="Q384" s="18">
        <v>195.5</v>
      </c>
      <c r="R384" s="20">
        <v>779.5</v>
      </c>
      <c r="S384" s="20">
        <v>807</v>
      </c>
      <c r="T384" s="20">
        <v>159.5</v>
      </c>
      <c r="U384" s="20">
        <v>199</v>
      </c>
      <c r="V384" s="20">
        <v>855</v>
      </c>
      <c r="W384" s="20">
        <v>817</v>
      </c>
      <c r="X384" s="20">
        <v>181</v>
      </c>
      <c r="Y384" s="20">
        <v>194</v>
      </c>
      <c r="Z384" s="20">
        <v>826</v>
      </c>
      <c r="AA384" s="20">
        <v>821</v>
      </c>
      <c r="AB384" s="20">
        <v>163</v>
      </c>
      <c r="AC384" s="20">
        <v>182</v>
      </c>
      <c r="AD384" s="20">
        <v>817</v>
      </c>
      <c r="AE384" s="20">
        <v>825.5</v>
      </c>
      <c r="AF384" s="20">
        <v>167</v>
      </c>
      <c r="AG384" s="20">
        <v>200.5</v>
      </c>
      <c r="AH384" s="20">
        <v>890</v>
      </c>
      <c r="AI384" s="20">
        <v>858</v>
      </c>
      <c r="AJ384" s="20">
        <v>166</v>
      </c>
      <c r="AK384" s="20">
        <v>215</v>
      </c>
      <c r="AL384" s="20">
        <v>778.5</v>
      </c>
      <c r="AM384" s="20">
        <v>759</v>
      </c>
      <c r="AN384" s="20">
        <v>144.5</v>
      </c>
      <c r="AO384" s="20">
        <v>138</v>
      </c>
      <c r="AP384" s="20">
        <v>770.5</v>
      </c>
      <c r="AQ384" s="20">
        <v>747</v>
      </c>
      <c r="AR384" s="20">
        <v>127.5</v>
      </c>
      <c r="AS384" s="20">
        <v>145</v>
      </c>
      <c r="AT384" s="20">
        <v>741.5</v>
      </c>
      <c r="AU384" s="20">
        <v>742</v>
      </c>
      <c r="AV384" s="20">
        <v>137.5</v>
      </c>
      <c r="AW384" s="20">
        <v>142</v>
      </c>
      <c r="AX384" s="20">
        <v>746</v>
      </c>
      <c r="AY384" s="20">
        <v>667.5</v>
      </c>
      <c r="AZ384" s="20">
        <v>145</v>
      </c>
      <c r="BA384" s="20">
        <v>142.5</v>
      </c>
      <c r="BB384" s="20">
        <v>824</v>
      </c>
      <c r="BC384" s="20">
        <v>770</v>
      </c>
      <c r="BD384" s="20">
        <v>113</v>
      </c>
      <c r="BE384" s="20">
        <v>165</v>
      </c>
      <c r="BF384" s="23">
        <v>28.599554999999999</v>
      </c>
      <c r="BG384" s="23">
        <v>77.195846000000003</v>
      </c>
      <c r="BH384" s="31">
        <f t="shared" si="186"/>
        <v>824</v>
      </c>
      <c r="BI384" s="31">
        <f t="shared" si="187"/>
        <v>770</v>
      </c>
      <c r="BJ384" s="37">
        <f t="shared" si="188"/>
        <v>54</v>
      </c>
      <c r="BK384" s="37">
        <f t="shared" si="189"/>
        <v>7.0129870129870122</v>
      </c>
      <c r="BL384" s="36">
        <f t="shared" si="190"/>
        <v>113</v>
      </c>
      <c r="BM384" s="36">
        <f t="shared" si="191"/>
        <v>165</v>
      </c>
      <c r="BN384" s="37">
        <f t="shared" si="192"/>
        <v>-52</v>
      </c>
      <c r="BO384" s="37">
        <f t="shared" si="193"/>
        <v>-31.515151515151512</v>
      </c>
      <c r="BP384" s="38">
        <f t="shared" si="194"/>
        <v>9650</v>
      </c>
      <c r="BQ384" s="39">
        <f>J384+N384+S384+W384+AA384+AE384+AI384+AM384+AQ384+AU384+Table1[[#This Row],[MS-0225]]+Table1[[#This Row],[MS-0325]]</f>
        <v>9400.5</v>
      </c>
      <c r="BR384" s="37">
        <f t="shared" si="195"/>
        <v>249.5</v>
      </c>
      <c r="BS384" s="37">
        <f t="shared" si="196"/>
        <v>2.6541141428647412</v>
      </c>
      <c r="BT384" s="36">
        <f t="shared" si="197"/>
        <v>1836</v>
      </c>
      <c r="BU384" s="36">
        <f t="shared" si="198"/>
        <v>2131.5</v>
      </c>
      <c r="BV384" s="37">
        <f t="shared" si="199"/>
        <v>-295.5</v>
      </c>
      <c r="BW384" s="37">
        <f t="shared" si="200"/>
        <v>-13.863476425052779</v>
      </c>
      <c r="BX384">
        <v>0</v>
      </c>
      <c r="BY384" s="83">
        <f t="shared" si="201"/>
        <v>0</v>
      </c>
      <c r="BZ384">
        <v>0</v>
      </c>
      <c r="CA384" s="83">
        <f t="shared" si="202"/>
        <v>0</v>
      </c>
      <c r="CB384" s="96">
        <f t="shared" si="203"/>
        <v>1</v>
      </c>
      <c r="CC384" s="96">
        <f t="shared" si="204"/>
        <v>1</v>
      </c>
      <c r="CD384" s="97">
        <f t="shared" si="205"/>
        <v>0</v>
      </c>
      <c r="CE384" s="96">
        <f t="shared" si="206"/>
        <v>1</v>
      </c>
      <c r="CF384" s="96">
        <f t="shared" si="217"/>
        <v>1</v>
      </c>
      <c r="CG384" s="96">
        <f t="shared" si="208"/>
        <v>0</v>
      </c>
      <c r="CH384" s="95">
        <f t="shared" si="209"/>
        <v>1</v>
      </c>
      <c r="CI384" s="95">
        <f t="shared" si="210"/>
        <v>1</v>
      </c>
      <c r="CJ384" s="98">
        <f t="shared" si="211"/>
        <v>0</v>
      </c>
      <c r="CK384" s="95">
        <f t="shared" si="212"/>
        <v>1</v>
      </c>
      <c r="CL384" s="95">
        <f t="shared" si="213"/>
        <v>1</v>
      </c>
      <c r="CM384" s="98">
        <f t="shared" si="214"/>
        <v>0</v>
      </c>
      <c r="CN384" s="94">
        <f t="shared" si="215"/>
        <v>1</v>
      </c>
      <c r="CO384" s="94">
        <f t="shared" si="216"/>
        <v>1</v>
      </c>
      <c r="CP384" s="141">
        <f>BD384-AZ384</f>
        <v>-32</v>
      </c>
      <c r="CQ384" t="s">
        <v>1086</v>
      </c>
    </row>
    <row r="385" spans="1:95" ht="24.5" x14ac:dyDescent="0.35">
      <c r="A385" s="104">
        <v>106335</v>
      </c>
      <c r="B385" s="5" t="s">
        <v>581</v>
      </c>
      <c r="C385" s="46" t="s">
        <v>871</v>
      </c>
      <c r="D385" s="13" t="s">
        <v>434</v>
      </c>
      <c r="E385" s="6" t="s">
        <v>200</v>
      </c>
      <c r="F385" s="6" t="s">
        <v>300</v>
      </c>
      <c r="G385" s="12" t="s">
        <v>300</v>
      </c>
      <c r="H385" s="51" t="s">
        <v>872</v>
      </c>
      <c r="I385" s="24" t="s">
        <v>83</v>
      </c>
      <c r="J385" s="19">
        <v>16</v>
      </c>
      <c r="K385" s="19">
        <v>23</v>
      </c>
      <c r="L385" s="19">
        <v>8</v>
      </c>
      <c r="M385" s="19">
        <v>5</v>
      </c>
      <c r="N385" s="18">
        <v>16</v>
      </c>
      <c r="O385" s="18">
        <v>18</v>
      </c>
      <c r="P385" s="18">
        <v>8</v>
      </c>
      <c r="Q385" s="18">
        <v>10</v>
      </c>
      <c r="R385" s="19">
        <v>27</v>
      </c>
      <c r="S385" s="19">
        <v>24</v>
      </c>
      <c r="T385" s="19">
        <v>19</v>
      </c>
      <c r="U385" s="19">
        <v>12</v>
      </c>
      <c r="V385" s="19">
        <v>14</v>
      </c>
      <c r="W385" s="19">
        <v>16</v>
      </c>
      <c r="X385" s="19">
        <v>0</v>
      </c>
      <c r="Y385" s="19">
        <v>8</v>
      </c>
      <c r="Z385" s="19">
        <v>29</v>
      </c>
      <c r="AA385" s="19">
        <v>26</v>
      </c>
      <c r="AB385" s="19">
        <v>5</v>
      </c>
      <c r="AC385" s="19">
        <v>24</v>
      </c>
      <c r="AD385" s="19">
        <v>24</v>
      </c>
      <c r="AE385" s="19">
        <v>18</v>
      </c>
      <c r="AF385" s="19">
        <v>10</v>
      </c>
      <c r="AG385" s="19">
        <v>8</v>
      </c>
      <c r="AH385" s="19">
        <v>28</v>
      </c>
      <c r="AI385" s="19">
        <v>8</v>
      </c>
      <c r="AJ385" s="19">
        <v>18</v>
      </c>
      <c r="AK385" s="19">
        <v>4</v>
      </c>
      <c r="AL385" s="19">
        <v>22</v>
      </c>
      <c r="AM385" s="19">
        <v>21</v>
      </c>
      <c r="AN385" s="19">
        <v>4</v>
      </c>
      <c r="AO385" s="19">
        <v>5</v>
      </c>
      <c r="AP385" s="19">
        <v>24</v>
      </c>
      <c r="AQ385" s="19">
        <v>13.5</v>
      </c>
      <c r="AR385" s="19">
        <v>10</v>
      </c>
      <c r="AS385" s="19">
        <v>4.5</v>
      </c>
      <c r="AT385" s="19">
        <v>22.5</v>
      </c>
      <c r="AU385" s="19">
        <v>18</v>
      </c>
      <c r="AV385" s="19">
        <v>9.5</v>
      </c>
      <c r="AW385" s="19">
        <v>10</v>
      </c>
      <c r="AX385" s="19">
        <v>24</v>
      </c>
      <c r="AY385" s="19">
        <v>15</v>
      </c>
      <c r="AZ385" s="19">
        <v>10</v>
      </c>
      <c r="BA385" s="19">
        <v>5</v>
      </c>
      <c r="BB385" s="19">
        <v>27</v>
      </c>
      <c r="BC385" s="19">
        <v>16</v>
      </c>
      <c r="BD385" s="19">
        <v>9</v>
      </c>
      <c r="BE385" s="19">
        <v>8</v>
      </c>
      <c r="BF385" s="23">
        <v>28.8569</v>
      </c>
      <c r="BG385" s="23">
        <v>77.124399999999994</v>
      </c>
      <c r="BH385" s="31">
        <f t="shared" si="186"/>
        <v>27</v>
      </c>
      <c r="BI385" s="31">
        <f t="shared" si="187"/>
        <v>16</v>
      </c>
      <c r="BJ385" s="37">
        <f t="shared" si="188"/>
        <v>11</v>
      </c>
      <c r="BK385" s="37">
        <f t="shared" si="189"/>
        <v>68.75</v>
      </c>
      <c r="BL385" s="36">
        <f t="shared" si="190"/>
        <v>9</v>
      </c>
      <c r="BM385" s="36">
        <f t="shared" si="191"/>
        <v>8</v>
      </c>
      <c r="BN385" s="37">
        <f t="shared" si="192"/>
        <v>1</v>
      </c>
      <c r="BO385" s="37">
        <f t="shared" si="193"/>
        <v>12.5</v>
      </c>
      <c r="BP385" s="38">
        <f t="shared" si="194"/>
        <v>282.5</v>
      </c>
      <c r="BQ385" s="39">
        <f>J385+N385+S385+W385+AA385+AE385+AI385+AM385+AQ385+AU385+Table1[[#This Row],[MS-0225]]+Table1[[#This Row],[MS-0325]]</f>
        <v>207.5</v>
      </c>
      <c r="BR385" s="37">
        <f t="shared" si="195"/>
        <v>75</v>
      </c>
      <c r="BS385" s="37">
        <f t="shared" si="196"/>
        <v>36.144578313253014</v>
      </c>
      <c r="BT385" s="36">
        <f t="shared" si="197"/>
        <v>109.5</v>
      </c>
      <c r="BU385" s="36">
        <f t="shared" si="198"/>
        <v>104.5</v>
      </c>
      <c r="BV385" s="37">
        <f t="shared" si="199"/>
        <v>5</v>
      </c>
      <c r="BW385" s="37">
        <f t="shared" si="200"/>
        <v>4.7846889952153111</v>
      </c>
      <c r="BX385">
        <v>0</v>
      </c>
      <c r="BY385" s="83">
        <f t="shared" si="201"/>
        <v>0</v>
      </c>
      <c r="BZ385">
        <v>0</v>
      </c>
      <c r="CA385" s="83">
        <f t="shared" si="202"/>
        <v>0</v>
      </c>
      <c r="CB385" s="96">
        <f t="shared" si="203"/>
        <v>5.0420168067226892E-2</v>
      </c>
      <c r="CC385" s="96">
        <f t="shared" si="204"/>
        <v>2.9143897996357013E-2</v>
      </c>
      <c r="CD385" s="97">
        <f t="shared" si="205"/>
        <v>2.1276270070869879E-2</v>
      </c>
      <c r="CE385" s="96">
        <f t="shared" si="206"/>
        <v>1.3503375843960989E-2</v>
      </c>
      <c r="CF385" s="96">
        <f t="shared" si="217"/>
        <v>1.2500000000000001E-2</v>
      </c>
      <c r="CG385" s="96">
        <f t="shared" si="208"/>
        <v>1.0033758439609887E-3</v>
      </c>
      <c r="CH385" s="95">
        <f t="shared" si="209"/>
        <v>4.1099876336655274E-2</v>
      </c>
      <c r="CI385" s="95">
        <f t="shared" si="210"/>
        <v>3.4405571215387169E-2</v>
      </c>
      <c r="CJ385" s="98">
        <f t="shared" si="211"/>
        <v>6.6943051212681043E-3</v>
      </c>
      <c r="CK385" s="95">
        <f t="shared" si="212"/>
        <v>1.3941052899611688E-2</v>
      </c>
      <c r="CL385" s="95">
        <f t="shared" si="213"/>
        <v>1.4272056815077847E-2</v>
      </c>
      <c r="CM385" s="98">
        <f t="shared" si="214"/>
        <v>-3.3100391546615933E-4</v>
      </c>
      <c r="CN385" s="94">
        <f t="shared" si="215"/>
        <v>0.24659925801993166</v>
      </c>
      <c r="CO385" s="94">
        <f t="shared" si="216"/>
        <v>8.3646317397670131E-2</v>
      </c>
    </row>
    <row r="386" spans="1:95" x14ac:dyDescent="0.35">
      <c r="A386" s="102">
        <v>198751</v>
      </c>
      <c r="B386" s="3" t="s">
        <v>72</v>
      </c>
      <c r="C386" s="41" t="s">
        <v>1005</v>
      </c>
      <c r="D386" s="12" t="s">
        <v>88</v>
      </c>
      <c r="E386" s="4" t="s">
        <v>89</v>
      </c>
      <c r="F386" s="4" t="s">
        <v>90</v>
      </c>
      <c r="G386" s="12" t="s">
        <v>90</v>
      </c>
      <c r="H386" s="51" t="s">
        <v>1004</v>
      </c>
      <c r="I386" s="23" t="s">
        <v>86</v>
      </c>
      <c r="J386" s="90">
        <v>25</v>
      </c>
      <c r="K386" s="90">
        <v>32</v>
      </c>
      <c r="L386" s="90">
        <v>29</v>
      </c>
      <c r="M386" s="90">
        <v>40</v>
      </c>
      <c r="N386" s="18">
        <v>17</v>
      </c>
      <c r="O386" s="18">
        <v>24</v>
      </c>
      <c r="P386" s="18">
        <v>13</v>
      </c>
      <c r="Q386" s="18">
        <v>12</v>
      </c>
      <c r="R386" s="90">
        <v>36</v>
      </c>
      <c r="S386" s="90">
        <v>24</v>
      </c>
      <c r="T386" s="90">
        <v>24</v>
      </c>
      <c r="U386" s="90">
        <v>12</v>
      </c>
      <c r="V386" s="90">
        <v>22.5</v>
      </c>
      <c r="W386" s="90">
        <v>28</v>
      </c>
      <c r="X386" s="90">
        <v>13.5</v>
      </c>
      <c r="Y386" s="90">
        <v>20</v>
      </c>
      <c r="Z386" s="90">
        <v>28</v>
      </c>
      <c r="AA386" s="90">
        <v>33</v>
      </c>
      <c r="AB386" s="90">
        <v>8</v>
      </c>
      <c r="AC386" s="90">
        <v>21</v>
      </c>
      <c r="AD386" s="90">
        <v>28</v>
      </c>
      <c r="AE386" s="90">
        <v>25.5</v>
      </c>
      <c r="AF386" s="90">
        <v>20</v>
      </c>
      <c r="AG386" s="90">
        <v>16.5</v>
      </c>
      <c r="AH386" s="90">
        <v>33</v>
      </c>
      <c r="AI386" s="90">
        <v>32</v>
      </c>
      <c r="AJ386" s="90">
        <v>17</v>
      </c>
      <c r="AK386" s="90">
        <v>40</v>
      </c>
      <c r="AL386" s="90">
        <v>30.5</v>
      </c>
      <c r="AM386" s="90">
        <v>16</v>
      </c>
      <c r="AN386" s="90">
        <v>17.5</v>
      </c>
      <c r="AO386" s="90">
        <v>8</v>
      </c>
      <c r="AP386" s="90">
        <v>23</v>
      </c>
      <c r="AQ386" s="90">
        <v>24</v>
      </c>
      <c r="AR386" s="90">
        <v>9</v>
      </c>
      <c r="AS386" s="90">
        <v>24</v>
      </c>
      <c r="AT386" s="90">
        <v>29</v>
      </c>
      <c r="AU386" s="90">
        <v>33</v>
      </c>
      <c r="AV386" s="90">
        <v>13</v>
      </c>
      <c r="AW386" s="90">
        <v>21</v>
      </c>
      <c r="AX386" s="90">
        <v>28.5</v>
      </c>
      <c r="AY386" s="90">
        <v>20</v>
      </c>
      <c r="AZ386" s="90">
        <v>9.5</v>
      </c>
      <c r="BA386" s="90">
        <v>16</v>
      </c>
      <c r="BB386" s="90">
        <v>24</v>
      </c>
      <c r="BC386" s="90">
        <v>32</v>
      </c>
      <c r="BD386" s="90">
        <v>12</v>
      </c>
      <c r="BE386" s="90">
        <v>28</v>
      </c>
      <c r="BF386" s="23">
        <v>28.786809999999999</v>
      </c>
      <c r="BG386" s="23">
        <v>76.96275</v>
      </c>
      <c r="BH386" s="31">
        <f t="shared" si="186"/>
        <v>24</v>
      </c>
      <c r="BI386" s="31">
        <f t="shared" si="187"/>
        <v>32</v>
      </c>
      <c r="BJ386" s="37">
        <f t="shared" si="188"/>
        <v>-8</v>
      </c>
      <c r="BK386" s="37">
        <f t="shared" si="189"/>
        <v>-25</v>
      </c>
      <c r="BL386" s="36">
        <f t="shared" si="190"/>
        <v>12</v>
      </c>
      <c r="BM386" s="36">
        <f t="shared" si="191"/>
        <v>28</v>
      </c>
      <c r="BN386" s="37">
        <f t="shared" si="192"/>
        <v>-16</v>
      </c>
      <c r="BO386" s="37">
        <f t="shared" si="193"/>
        <v>-57.142857142857139</v>
      </c>
      <c r="BP386" s="38">
        <f t="shared" si="194"/>
        <v>338.5</v>
      </c>
      <c r="BQ386" s="39">
        <f>J386+N386+S386+W386+AA386+AE386+AI386+AM386+AQ386+AU386+Table1[[#This Row],[MS-0225]]+Table1[[#This Row],[MS-0325]]</f>
        <v>309.5</v>
      </c>
      <c r="BR386" s="37">
        <f t="shared" si="195"/>
        <v>29</v>
      </c>
      <c r="BS386" s="37">
        <f t="shared" si="196"/>
        <v>9.3699515347334401</v>
      </c>
      <c r="BT386" s="36">
        <f t="shared" si="197"/>
        <v>195.5</v>
      </c>
      <c r="BU386" s="36">
        <f t="shared" si="198"/>
        <v>248.5</v>
      </c>
      <c r="BV386" s="37">
        <f t="shared" si="199"/>
        <v>-53</v>
      </c>
      <c r="BW386" s="37">
        <f t="shared" si="200"/>
        <v>-21.327967806841048</v>
      </c>
      <c r="BX386">
        <v>0</v>
      </c>
      <c r="BY386" s="83">
        <f t="shared" si="201"/>
        <v>0</v>
      </c>
      <c r="BZ386">
        <v>0</v>
      </c>
      <c r="CA386" s="83">
        <f t="shared" si="202"/>
        <v>0</v>
      </c>
      <c r="CB386" s="96">
        <f t="shared" si="203"/>
        <v>0.23076923076923078</v>
      </c>
      <c r="CC386" s="96">
        <f t="shared" si="204"/>
        <v>0.29357798165137616</v>
      </c>
      <c r="CD386" s="97">
        <f t="shared" si="205"/>
        <v>-6.2808750882145381E-2</v>
      </c>
      <c r="CE386" s="96">
        <f t="shared" si="206"/>
        <v>8.1081081081081086E-2</v>
      </c>
      <c r="CF386" s="96">
        <f t="shared" si="217"/>
        <v>0.27722772277227725</v>
      </c>
      <c r="CG386" s="96">
        <f t="shared" si="208"/>
        <v>-0.19614664169119617</v>
      </c>
      <c r="CH386" s="95">
        <f t="shared" si="209"/>
        <v>0.26230143355288649</v>
      </c>
      <c r="CI386" s="95">
        <f t="shared" si="210"/>
        <v>0.25101378751013786</v>
      </c>
      <c r="CJ386" s="98">
        <f t="shared" si="211"/>
        <v>1.1287646042748622E-2</v>
      </c>
      <c r="CK386" s="95">
        <f t="shared" si="212"/>
        <v>0.15978749489170413</v>
      </c>
      <c r="CL386" s="95">
        <f t="shared" si="213"/>
        <v>0.20154095701540958</v>
      </c>
      <c r="CM386" s="98">
        <f t="shared" si="214"/>
        <v>-4.1753462123705454E-2</v>
      </c>
      <c r="CN386" s="94">
        <f t="shared" si="215"/>
        <v>0.52460286710577297</v>
      </c>
      <c r="CO386" s="94">
        <f t="shared" si="216"/>
        <v>0.31957498978340826</v>
      </c>
    </row>
    <row r="387" spans="1:95" ht="24.5" x14ac:dyDescent="0.35">
      <c r="A387" s="103">
        <v>41056989</v>
      </c>
      <c r="B387" s="9" t="s">
        <v>380</v>
      </c>
      <c r="C387" s="48" t="s">
        <v>475</v>
      </c>
      <c r="D387" s="14" t="s">
        <v>476</v>
      </c>
      <c r="E387" s="10" t="s">
        <v>187</v>
      </c>
      <c r="F387" s="10" t="s">
        <v>366</v>
      </c>
      <c r="G387" s="12" t="s">
        <v>366</v>
      </c>
      <c r="H387" s="51" t="s">
        <v>367</v>
      </c>
      <c r="I387" s="25" t="s">
        <v>86</v>
      </c>
      <c r="J387" s="20">
        <v>270.5</v>
      </c>
      <c r="K387" s="20">
        <v>281.5</v>
      </c>
      <c r="L387" s="20">
        <v>659.5</v>
      </c>
      <c r="M387" s="20">
        <v>731.5</v>
      </c>
      <c r="N387" s="18">
        <v>266</v>
      </c>
      <c r="O387" s="18">
        <v>303</v>
      </c>
      <c r="P387" s="18">
        <v>802</v>
      </c>
      <c r="Q387" s="18">
        <v>704</v>
      </c>
      <c r="R387" s="20">
        <v>256.5</v>
      </c>
      <c r="S387" s="20">
        <v>275</v>
      </c>
      <c r="T387" s="20">
        <v>672.5</v>
      </c>
      <c r="U387" s="20">
        <v>854</v>
      </c>
      <c r="V387" s="20">
        <v>303.5</v>
      </c>
      <c r="W387" s="20">
        <v>276</v>
      </c>
      <c r="X387" s="20">
        <v>492.5</v>
      </c>
      <c r="Y387" s="20">
        <v>804</v>
      </c>
      <c r="Z387" s="20">
        <v>293.5</v>
      </c>
      <c r="AA387" s="20">
        <v>282</v>
      </c>
      <c r="AB387" s="20">
        <v>395.5</v>
      </c>
      <c r="AC387" s="20">
        <v>534</v>
      </c>
      <c r="AD387" s="20">
        <v>297</v>
      </c>
      <c r="AE387" s="20">
        <v>269.5</v>
      </c>
      <c r="AF387" s="20">
        <v>462</v>
      </c>
      <c r="AG387" s="20">
        <v>417.5</v>
      </c>
      <c r="AH387" s="20">
        <v>298.5</v>
      </c>
      <c r="AI387" s="20">
        <v>290</v>
      </c>
      <c r="AJ387" s="20">
        <v>473.5</v>
      </c>
      <c r="AK387" s="20">
        <v>445</v>
      </c>
      <c r="AL387" s="20">
        <v>278.5</v>
      </c>
      <c r="AM387" s="20">
        <v>261</v>
      </c>
      <c r="AN387" s="20">
        <v>591.5</v>
      </c>
      <c r="AO387" s="20">
        <v>272</v>
      </c>
      <c r="AP387" s="20">
        <v>265</v>
      </c>
      <c r="AQ387" s="20">
        <v>260.5</v>
      </c>
      <c r="AR387" s="20">
        <v>541</v>
      </c>
      <c r="AS387" s="20">
        <v>275.5</v>
      </c>
      <c r="AT387" s="20">
        <v>278</v>
      </c>
      <c r="AU387" s="20">
        <v>261.5</v>
      </c>
      <c r="AV387" s="20">
        <v>623</v>
      </c>
      <c r="AW387" s="20">
        <v>405.5</v>
      </c>
      <c r="AX387" s="20">
        <v>259</v>
      </c>
      <c r="AY387" s="20">
        <v>236.5</v>
      </c>
      <c r="AZ387" s="20">
        <v>755</v>
      </c>
      <c r="BA387" s="20">
        <v>553.5</v>
      </c>
      <c r="BB387" s="20">
        <v>253</v>
      </c>
      <c r="BC387" s="20">
        <v>263.5</v>
      </c>
      <c r="BD387" s="20">
        <v>459</v>
      </c>
      <c r="BE387" s="20">
        <v>613.5</v>
      </c>
      <c r="BF387" s="23">
        <v>28.682397000000002</v>
      </c>
      <c r="BG387" s="23">
        <v>77.198080000000004</v>
      </c>
      <c r="BH387" s="31">
        <f t="shared" si="186"/>
        <v>253</v>
      </c>
      <c r="BI387" s="31">
        <f t="shared" si="187"/>
        <v>263.5</v>
      </c>
      <c r="BJ387" s="37">
        <f t="shared" si="188"/>
        <v>-10.5</v>
      </c>
      <c r="BK387" s="37">
        <f t="shared" si="189"/>
        <v>-3.9848197343453511</v>
      </c>
      <c r="BL387" s="36">
        <f t="shared" si="190"/>
        <v>459</v>
      </c>
      <c r="BM387" s="36">
        <f t="shared" si="191"/>
        <v>613.5</v>
      </c>
      <c r="BN387" s="37">
        <f t="shared" si="192"/>
        <v>-154.5</v>
      </c>
      <c r="BO387" s="37">
        <f t="shared" si="193"/>
        <v>-25.183374083129586</v>
      </c>
      <c r="BP387" s="38">
        <f t="shared" si="194"/>
        <v>3367</v>
      </c>
      <c r="BQ387" s="39">
        <f>J387+N387+S387+W387+AA387+AE387+AI387+AM387+AQ387+AU387+Table1[[#This Row],[MS-0225]]+Table1[[#This Row],[MS-0325]]</f>
        <v>3212</v>
      </c>
      <c r="BR387" s="37">
        <f t="shared" si="195"/>
        <v>155</v>
      </c>
      <c r="BS387" s="37">
        <f t="shared" si="196"/>
        <v>4.8256537982565382</v>
      </c>
      <c r="BT387" s="36">
        <f t="shared" si="197"/>
        <v>6901</v>
      </c>
      <c r="BU387" s="36">
        <f t="shared" si="198"/>
        <v>6636</v>
      </c>
      <c r="BV387" s="37">
        <f t="shared" si="199"/>
        <v>265</v>
      </c>
      <c r="BW387" s="37">
        <f t="shared" si="200"/>
        <v>3.993369499698614</v>
      </c>
      <c r="BX387">
        <v>0</v>
      </c>
      <c r="BY387" s="83">
        <f t="shared" si="201"/>
        <v>0</v>
      </c>
      <c r="BZ387">
        <v>0</v>
      </c>
      <c r="CA387" s="83">
        <f t="shared" si="202"/>
        <v>0</v>
      </c>
      <c r="CB387" s="96">
        <f t="shared" si="203"/>
        <v>0.14752186588921282</v>
      </c>
      <c r="CC387" s="96">
        <f t="shared" si="204"/>
        <v>0.14766040907817315</v>
      </c>
      <c r="CD387" s="97">
        <f t="shared" si="205"/>
        <v>-1.3854318896033835E-4</v>
      </c>
      <c r="CE387" s="96">
        <f t="shared" si="206"/>
        <v>0.49196141479099681</v>
      </c>
      <c r="CF387" s="96">
        <f t="shared" si="217"/>
        <v>0.52593227603943415</v>
      </c>
      <c r="CG387" s="96">
        <f t="shared" si="208"/>
        <v>-3.3970861248437345E-2</v>
      </c>
      <c r="CH387" s="95">
        <f t="shared" si="209"/>
        <v>0.15706855130268468</v>
      </c>
      <c r="CI387" s="95">
        <f t="shared" si="210"/>
        <v>0.14909715442433938</v>
      </c>
      <c r="CJ387" s="98">
        <f t="shared" si="211"/>
        <v>7.9713968783453049E-3</v>
      </c>
      <c r="CK387" s="95">
        <f t="shared" si="212"/>
        <v>0.56057836805978634</v>
      </c>
      <c r="CL387" s="95">
        <f t="shared" si="213"/>
        <v>0.42280981204205159</v>
      </c>
      <c r="CM387" s="98">
        <f t="shared" si="214"/>
        <v>0.13776855601773474</v>
      </c>
      <c r="CN387" s="94">
        <f t="shared" si="215"/>
        <v>0.94241130781610805</v>
      </c>
      <c r="CO387" s="94">
        <f t="shared" si="216"/>
        <v>3.3634702083587182</v>
      </c>
      <c r="CP387" s="141">
        <f>BD387-AZ387</f>
        <v>-296</v>
      </c>
      <c r="CQ387" t="s">
        <v>1085</v>
      </c>
    </row>
    <row r="388" spans="1:95" ht="24.5" x14ac:dyDescent="0.35">
      <c r="A388" s="103">
        <v>41019264</v>
      </c>
      <c r="B388" s="9" t="s">
        <v>380</v>
      </c>
      <c r="C388" s="47" t="s">
        <v>419</v>
      </c>
      <c r="D388" s="14" t="s">
        <v>420</v>
      </c>
      <c r="E388" s="10" t="s">
        <v>81</v>
      </c>
      <c r="F388" s="10" t="s">
        <v>421</v>
      </c>
      <c r="G388" s="12" t="s">
        <v>421</v>
      </c>
      <c r="H388" s="51" t="s">
        <v>135</v>
      </c>
      <c r="I388" s="25" t="s">
        <v>83</v>
      </c>
      <c r="J388" s="20">
        <v>15.824220000000004</v>
      </c>
      <c r="K388" s="20">
        <v>16.08502</v>
      </c>
      <c r="L388" s="20">
        <v>439.00801000000013</v>
      </c>
      <c r="M388" s="20">
        <v>474.83753999999999</v>
      </c>
      <c r="N388" s="18">
        <v>19.47523</v>
      </c>
      <c r="O388" s="18">
        <v>18.363249999999997</v>
      </c>
      <c r="P388" s="18">
        <v>478.56155000000012</v>
      </c>
      <c r="Q388" s="18">
        <v>451.82643000000007</v>
      </c>
      <c r="R388" s="20">
        <v>17.610130000000002</v>
      </c>
      <c r="S388" s="20">
        <v>17.67963</v>
      </c>
      <c r="T388" s="20">
        <v>445.02414000000005</v>
      </c>
      <c r="U388" s="20">
        <v>471.03867000000008</v>
      </c>
      <c r="V388" s="20">
        <v>15.441020000000002</v>
      </c>
      <c r="W388" s="20">
        <v>17.344900000000003</v>
      </c>
      <c r="X388" s="20">
        <v>437.04934000000003</v>
      </c>
      <c r="Y388" s="20">
        <v>476.23328999999995</v>
      </c>
      <c r="Z388" s="20">
        <v>15.961589999999999</v>
      </c>
      <c r="AA388" s="20">
        <v>17.209700000000002</v>
      </c>
      <c r="AB388" s="20">
        <v>428.34234999999995</v>
      </c>
      <c r="AC388" s="20">
        <v>490.40539999999999</v>
      </c>
      <c r="AD388" s="20">
        <v>17</v>
      </c>
      <c r="AE388" s="20">
        <v>17.759000000000004</v>
      </c>
      <c r="AF388" s="20">
        <v>421.07251999999994</v>
      </c>
      <c r="AG388" s="20">
        <v>481.07600000000002</v>
      </c>
      <c r="AH388" s="20">
        <v>14.24737</v>
      </c>
      <c r="AI388" s="20">
        <v>16.094999999999999</v>
      </c>
      <c r="AJ388" s="20">
        <v>452.91709000000003</v>
      </c>
      <c r="AK388" s="20">
        <v>471.28699999999998</v>
      </c>
      <c r="AL388" s="20">
        <v>13.19215</v>
      </c>
      <c r="AM388" s="20">
        <v>13.414000000000003</v>
      </c>
      <c r="AN388" s="20">
        <v>457.62659000000002</v>
      </c>
      <c r="AO388" s="20">
        <v>450.84899999999999</v>
      </c>
      <c r="AP388" s="20">
        <v>12.172109999999998</v>
      </c>
      <c r="AQ388" s="20">
        <v>13.27</v>
      </c>
      <c r="AR388" s="20">
        <v>464.55</v>
      </c>
      <c r="AS388" s="20">
        <v>488.01400000000001</v>
      </c>
      <c r="AT388" s="20">
        <v>11.459059999999999</v>
      </c>
      <c r="AU388" s="20">
        <v>12.349</v>
      </c>
      <c r="AV388" s="20">
        <v>459.68975000000006</v>
      </c>
      <c r="AW388" s="20">
        <v>492.06400000000002</v>
      </c>
      <c r="AX388" s="20">
        <v>11.782550000000001</v>
      </c>
      <c r="AY388" s="20">
        <v>12.796999999999997</v>
      </c>
      <c r="AZ388" s="20">
        <v>416.11876000000001</v>
      </c>
      <c r="BA388" s="20">
        <v>451.15800000000007</v>
      </c>
      <c r="BB388" s="20">
        <v>14.345780000000001</v>
      </c>
      <c r="BC388" s="20">
        <v>16.082999999999998</v>
      </c>
      <c r="BD388" s="20">
        <v>486.50895999999995</v>
      </c>
      <c r="BE388" s="20">
        <v>504.44900000000007</v>
      </c>
      <c r="BF388" s="23">
        <v>28.554642999999999</v>
      </c>
      <c r="BG388" s="23">
        <v>77.110579000000001</v>
      </c>
      <c r="BH388" s="31">
        <f t="shared" si="186"/>
        <v>14.345780000000001</v>
      </c>
      <c r="BI388" s="31">
        <f t="shared" si="187"/>
        <v>16.082999999999998</v>
      </c>
      <c r="BJ388" s="37">
        <f t="shared" si="188"/>
        <v>-1.7372199999999971</v>
      </c>
      <c r="BK388" s="37">
        <f t="shared" si="189"/>
        <v>-10.801591742834031</v>
      </c>
      <c r="BL388" s="36">
        <f t="shared" si="190"/>
        <v>486.50895999999995</v>
      </c>
      <c r="BM388" s="36">
        <f t="shared" si="191"/>
        <v>504.44900000000007</v>
      </c>
      <c r="BN388" s="37">
        <f t="shared" si="192"/>
        <v>-17.940040000000124</v>
      </c>
      <c r="BO388" s="37">
        <f t="shared" si="193"/>
        <v>-3.5563634777747843</v>
      </c>
      <c r="BP388" s="38">
        <f t="shared" si="194"/>
        <v>177.66002999999995</v>
      </c>
      <c r="BQ388" s="39">
        <f>J388+N388+S388+W388+AA388+AE388+AI388+AM388+AQ388+AU388+Table1[[#This Row],[MS-0225]]+Table1[[#This Row],[MS-0325]]</f>
        <v>189.30068</v>
      </c>
      <c r="BR388" s="37">
        <f t="shared" si="195"/>
        <v>-11.640650000000051</v>
      </c>
      <c r="BS388" s="37">
        <f t="shared" si="196"/>
        <v>-6.1492911700053323</v>
      </c>
      <c r="BT388" s="36">
        <f t="shared" si="197"/>
        <v>5395.563470000001</v>
      </c>
      <c r="BU388" s="36">
        <f t="shared" si="198"/>
        <v>5694.1439200000004</v>
      </c>
      <c r="BV388" s="37">
        <f t="shared" si="199"/>
        <v>-298.58044999999947</v>
      </c>
      <c r="BW388" s="37">
        <f t="shared" si="200"/>
        <v>-5.2436407332675818</v>
      </c>
      <c r="BX388">
        <v>0</v>
      </c>
      <c r="BY388" s="83">
        <f t="shared" si="201"/>
        <v>0</v>
      </c>
      <c r="BZ388">
        <v>0</v>
      </c>
      <c r="CA388" s="83">
        <f t="shared" si="202"/>
        <v>0</v>
      </c>
      <c r="CB388" s="96">
        <f t="shared" si="203"/>
        <v>1</v>
      </c>
      <c r="CC388" s="96">
        <f t="shared" si="204"/>
        <v>1</v>
      </c>
      <c r="CD388" s="97">
        <f t="shared" si="205"/>
        <v>0</v>
      </c>
      <c r="CE388" s="96">
        <f t="shared" si="206"/>
        <v>1</v>
      </c>
      <c r="CF388" s="96">
        <f t="shared" si="217"/>
        <v>1</v>
      </c>
      <c r="CG388" s="96">
        <f t="shared" si="208"/>
        <v>0</v>
      </c>
      <c r="CH388" s="95">
        <f t="shared" si="209"/>
        <v>1</v>
      </c>
      <c r="CI388" s="95">
        <f t="shared" si="210"/>
        <v>1</v>
      </c>
      <c r="CJ388" s="98">
        <f t="shared" si="211"/>
        <v>0</v>
      </c>
      <c r="CK388" s="95">
        <f t="shared" si="212"/>
        <v>1</v>
      </c>
      <c r="CL388" s="95">
        <f t="shared" si="213"/>
        <v>1</v>
      </c>
      <c r="CM388" s="98">
        <f t="shared" si="214"/>
        <v>0</v>
      </c>
      <c r="CN388" s="94">
        <f t="shared" si="215"/>
        <v>1</v>
      </c>
      <c r="CO388" s="94">
        <f t="shared" si="216"/>
        <v>1</v>
      </c>
    </row>
    <row r="389" spans="1:95" ht="24.5" x14ac:dyDescent="0.35">
      <c r="A389" s="104">
        <v>106235</v>
      </c>
      <c r="B389" s="5" t="s">
        <v>581</v>
      </c>
      <c r="C389" s="46" t="s">
        <v>632</v>
      </c>
      <c r="D389" s="13" t="s">
        <v>633</v>
      </c>
      <c r="E389" s="6" t="s">
        <v>85</v>
      </c>
      <c r="F389" s="6" t="s">
        <v>303</v>
      </c>
      <c r="G389" s="12" t="s">
        <v>580</v>
      </c>
      <c r="H389" s="51" t="s">
        <v>304</v>
      </c>
      <c r="I389" s="24" t="s">
        <v>86</v>
      </c>
      <c r="J389" s="19">
        <v>229.5</v>
      </c>
      <c r="K389" s="19">
        <v>250.5</v>
      </c>
      <c r="L389" s="19">
        <v>76.5</v>
      </c>
      <c r="M389" s="19">
        <v>87.5</v>
      </c>
      <c r="N389" s="18">
        <v>238.5</v>
      </c>
      <c r="O389" s="18">
        <v>242.5</v>
      </c>
      <c r="P389" s="18">
        <v>85.5</v>
      </c>
      <c r="Q389" s="18">
        <v>105.5</v>
      </c>
      <c r="R389" s="19">
        <v>227</v>
      </c>
      <c r="S389" s="19">
        <v>243</v>
      </c>
      <c r="T389" s="19">
        <v>99</v>
      </c>
      <c r="U389" s="19">
        <v>81</v>
      </c>
      <c r="V389" s="19">
        <v>264</v>
      </c>
      <c r="W389" s="19">
        <v>252</v>
      </c>
      <c r="X389" s="19">
        <v>82</v>
      </c>
      <c r="Y389" s="19">
        <v>86</v>
      </c>
      <c r="Z389" s="19">
        <v>257</v>
      </c>
      <c r="AA389" s="19">
        <v>243.5</v>
      </c>
      <c r="AB389" s="19">
        <v>99</v>
      </c>
      <c r="AC389" s="19">
        <v>106.5</v>
      </c>
      <c r="AD389" s="19">
        <v>268.5</v>
      </c>
      <c r="AE389" s="19">
        <v>240.5</v>
      </c>
      <c r="AF389" s="19">
        <v>103.5</v>
      </c>
      <c r="AG389" s="19">
        <v>67.5</v>
      </c>
      <c r="AH389" s="19">
        <v>236</v>
      </c>
      <c r="AI389" s="19">
        <v>269.5</v>
      </c>
      <c r="AJ389" s="19">
        <v>94</v>
      </c>
      <c r="AK389" s="19">
        <v>112.5</v>
      </c>
      <c r="AL389" s="19">
        <v>246</v>
      </c>
      <c r="AM389" s="19">
        <v>225.5</v>
      </c>
      <c r="AN389" s="19">
        <v>90</v>
      </c>
      <c r="AO389" s="19">
        <v>82.5</v>
      </c>
      <c r="AP389" s="19">
        <v>232.5</v>
      </c>
      <c r="AQ389" s="19">
        <v>232.5</v>
      </c>
      <c r="AR389" s="19">
        <v>85.5</v>
      </c>
      <c r="AS389" s="19">
        <v>81.5</v>
      </c>
      <c r="AT389" s="19">
        <v>225</v>
      </c>
      <c r="AU389" s="19">
        <v>218.5</v>
      </c>
      <c r="AV389" s="19">
        <v>99</v>
      </c>
      <c r="AW389" s="19">
        <v>83.5</v>
      </c>
      <c r="AX389" s="19">
        <v>214</v>
      </c>
      <c r="AY389" s="19">
        <v>210.5</v>
      </c>
      <c r="AZ389" s="19">
        <v>41</v>
      </c>
      <c r="BA389" s="19">
        <v>85.5</v>
      </c>
      <c r="BB389" s="19">
        <v>255</v>
      </c>
      <c r="BC389" s="19">
        <v>227.5</v>
      </c>
      <c r="BD389" s="19">
        <v>45</v>
      </c>
      <c r="BE389" s="19">
        <v>86.5</v>
      </c>
      <c r="BF389" s="23">
        <v>28.626999999999999</v>
      </c>
      <c r="BG389" s="23">
        <v>77.121799999999993</v>
      </c>
      <c r="BH389" s="31">
        <f t="shared" si="186"/>
        <v>255</v>
      </c>
      <c r="BI389" s="31">
        <f t="shared" si="187"/>
        <v>227.5</v>
      </c>
      <c r="BJ389" s="37">
        <f t="shared" si="188"/>
        <v>27.5</v>
      </c>
      <c r="BK389" s="37">
        <f t="shared" si="189"/>
        <v>12.087912087912088</v>
      </c>
      <c r="BL389" s="36">
        <f t="shared" si="190"/>
        <v>45</v>
      </c>
      <c r="BM389" s="36">
        <f t="shared" si="191"/>
        <v>86.5</v>
      </c>
      <c r="BN389" s="37">
        <f t="shared" si="192"/>
        <v>-41.5</v>
      </c>
      <c r="BO389" s="37">
        <f t="shared" si="193"/>
        <v>-47.97687861271676</v>
      </c>
      <c r="BP389" s="38">
        <f t="shared" si="194"/>
        <v>2918</v>
      </c>
      <c r="BQ389" s="39">
        <f>J389+N389+S389+W389+AA389+AE389+AI389+AM389+AQ389+AU389+Table1[[#This Row],[MS-0225]]+Table1[[#This Row],[MS-0325]]</f>
        <v>2831</v>
      </c>
      <c r="BR389" s="37">
        <f t="shared" si="195"/>
        <v>87</v>
      </c>
      <c r="BS389" s="37">
        <f t="shared" si="196"/>
        <v>3.07311903920876</v>
      </c>
      <c r="BT389" s="36">
        <f t="shared" si="197"/>
        <v>1031</v>
      </c>
      <c r="BU389" s="36">
        <f t="shared" si="198"/>
        <v>1035</v>
      </c>
      <c r="BV389" s="37">
        <f t="shared" si="199"/>
        <v>-4</v>
      </c>
      <c r="BW389" s="37">
        <f t="shared" si="200"/>
        <v>-0.38647342995169082</v>
      </c>
      <c r="BX389">
        <v>0</v>
      </c>
      <c r="BY389" s="83">
        <f t="shared" si="201"/>
        <v>0</v>
      </c>
      <c r="BZ389">
        <v>0</v>
      </c>
      <c r="CA389" s="83">
        <f t="shared" si="202"/>
        <v>0</v>
      </c>
      <c r="CB389" s="96">
        <f t="shared" si="203"/>
        <v>0.12833417211877202</v>
      </c>
      <c r="CC389" s="96">
        <f t="shared" si="204"/>
        <v>0.124282982791587</v>
      </c>
      <c r="CD389" s="97">
        <f t="shared" si="205"/>
        <v>4.0511893271850119E-3</v>
      </c>
      <c r="CE389" s="96">
        <f t="shared" si="206"/>
        <v>0.13119533527696792</v>
      </c>
      <c r="CF389" s="96">
        <f t="shared" si="217"/>
        <v>0.22322580645161291</v>
      </c>
      <c r="CG389" s="96">
        <f t="shared" si="208"/>
        <v>-9.2030471174644995E-2</v>
      </c>
      <c r="CH389" s="95">
        <f t="shared" si="209"/>
        <v>0.12650654643197781</v>
      </c>
      <c r="CI389" s="95">
        <f t="shared" si="210"/>
        <v>0.12833763996554695</v>
      </c>
      <c r="CJ389" s="98">
        <f t="shared" si="211"/>
        <v>-1.8310935335691392E-3</v>
      </c>
      <c r="CK389" s="95">
        <f t="shared" si="212"/>
        <v>0.23378684807256236</v>
      </c>
      <c r="CL389" s="95">
        <f t="shared" si="213"/>
        <v>0.22682445759368836</v>
      </c>
      <c r="CM389" s="98">
        <f t="shared" si="214"/>
        <v>6.9623904788740087E-3</v>
      </c>
      <c r="CN389" s="94">
        <f t="shared" si="215"/>
        <v>0.63253273215988903</v>
      </c>
      <c r="CO389" s="94">
        <f t="shared" si="216"/>
        <v>1.1689342403628118</v>
      </c>
    </row>
    <row r="390" spans="1:95" ht="36.5" x14ac:dyDescent="0.35">
      <c r="A390" s="102">
        <v>112426</v>
      </c>
      <c r="B390" s="3" t="s">
        <v>72</v>
      </c>
      <c r="C390" s="40" t="s">
        <v>298</v>
      </c>
      <c r="D390" s="12" t="s">
        <v>299</v>
      </c>
      <c r="E390" s="4" t="s">
        <v>200</v>
      </c>
      <c r="F390" s="4" t="s">
        <v>300</v>
      </c>
      <c r="G390" s="12" t="s">
        <v>300</v>
      </c>
      <c r="H390" s="51" t="s">
        <v>261</v>
      </c>
      <c r="I390" s="23" t="s">
        <v>83</v>
      </c>
      <c r="J390" s="90">
        <v>13.5</v>
      </c>
      <c r="K390" s="90">
        <v>4.5</v>
      </c>
      <c r="L390" s="90">
        <v>4.5</v>
      </c>
      <c r="M390" s="90">
        <v>13.5</v>
      </c>
      <c r="N390" s="18">
        <v>9</v>
      </c>
      <c r="O390" s="18">
        <v>14.5</v>
      </c>
      <c r="P390" s="18">
        <v>9</v>
      </c>
      <c r="Q390" s="18">
        <v>23.5</v>
      </c>
      <c r="R390" s="90">
        <v>17</v>
      </c>
      <c r="S390" s="90">
        <v>13</v>
      </c>
      <c r="T390" s="90">
        <v>13</v>
      </c>
      <c r="U390" s="90">
        <v>17</v>
      </c>
      <c r="V390" s="90">
        <v>8</v>
      </c>
      <c r="W390" s="90">
        <v>17</v>
      </c>
      <c r="X390" s="90">
        <v>16</v>
      </c>
      <c r="Y390" s="90">
        <v>13</v>
      </c>
      <c r="Z390" s="90">
        <v>16</v>
      </c>
      <c r="AA390" s="90">
        <v>17</v>
      </c>
      <c r="AB390" s="90">
        <v>8</v>
      </c>
      <c r="AC390" s="90">
        <v>13</v>
      </c>
      <c r="AD390" s="90">
        <v>18</v>
      </c>
      <c r="AE390" s="90">
        <v>18</v>
      </c>
      <c r="AF390" s="90">
        <v>18</v>
      </c>
      <c r="AG390" s="90">
        <v>18</v>
      </c>
      <c r="AH390" s="90">
        <v>4</v>
      </c>
      <c r="AI390" s="90">
        <v>9</v>
      </c>
      <c r="AJ390" s="90">
        <v>8</v>
      </c>
      <c r="AK390" s="90">
        <v>9</v>
      </c>
      <c r="AL390" s="90">
        <v>17</v>
      </c>
      <c r="AM390" s="90">
        <v>18</v>
      </c>
      <c r="AN390" s="90">
        <v>13</v>
      </c>
      <c r="AO390" s="90">
        <v>18</v>
      </c>
      <c r="AP390" s="90">
        <v>8.5</v>
      </c>
      <c r="AQ390" s="90">
        <v>9</v>
      </c>
      <c r="AR390" s="90">
        <v>21.5</v>
      </c>
      <c r="AS390" s="90">
        <v>9</v>
      </c>
      <c r="AT390" s="90">
        <v>24</v>
      </c>
      <c r="AU390" s="90">
        <v>22</v>
      </c>
      <c r="AV390" s="90">
        <v>12</v>
      </c>
      <c r="AW390" s="90">
        <v>26</v>
      </c>
      <c r="AX390" s="90">
        <v>12.5</v>
      </c>
      <c r="AY390" s="90">
        <v>17</v>
      </c>
      <c r="AZ390" s="90">
        <v>17.5</v>
      </c>
      <c r="BA390" s="90">
        <v>13</v>
      </c>
      <c r="BB390" s="90">
        <v>9</v>
      </c>
      <c r="BC390" s="90">
        <v>9</v>
      </c>
      <c r="BD390" s="90">
        <v>9</v>
      </c>
      <c r="BE390" s="90">
        <v>23</v>
      </c>
      <c r="BF390" s="23">
        <v>28.856249999999999</v>
      </c>
      <c r="BG390" s="23">
        <v>77.124470000000002</v>
      </c>
      <c r="BH390" s="31">
        <f t="shared" si="186"/>
        <v>9</v>
      </c>
      <c r="BI390" s="31">
        <f t="shared" si="187"/>
        <v>9</v>
      </c>
      <c r="BJ390" s="37">
        <f t="shared" si="188"/>
        <v>0</v>
      </c>
      <c r="BK390" s="37">
        <f t="shared" si="189"/>
        <v>0</v>
      </c>
      <c r="BL390" s="36">
        <f t="shared" si="190"/>
        <v>9</v>
      </c>
      <c r="BM390" s="36">
        <f t="shared" si="191"/>
        <v>23</v>
      </c>
      <c r="BN390" s="37">
        <f t="shared" si="192"/>
        <v>-14</v>
      </c>
      <c r="BO390" s="37">
        <f t="shared" si="193"/>
        <v>-60.869565217391312</v>
      </c>
      <c r="BP390" s="38">
        <f t="shared" si="194"/>
        <v>153</v>
      </c>
      <c r="BQ390" s="39">
        <f>J390+N390+S390+W390+AA390+AE390+AI390+AM390+AQ390+AU390+Table1[[#This Row],[MS-0225]]+Table1[[#This Row],[MS-0325]]</f>
        <v>171.5</v>
      </c>
      <c r="BR390" s="37">
        <f t="shared" si="195"/>
        <v>-18.5</v>
      </c>
      <c r="BS390" s="37">
        <f t="shared" si="196"/>
        <v>-10.787172011661808</v>
      </c>
      <c r="BT390" s="36">
        <f t="shared" si="197"/>
        <v>173</v>
      </c>
      <c r="BU390" s="36">
        <f t="shared" si="198"/>
        <v>172.5</v>
      </c>
      <c r="BV390" s="37">
        <f t="shared" si="199"/>
        <v>0.5</v>
      </c>
      <c r="BW390" s="37">
        <f t="shared" si="200"/>
        <v>0.28985507246376813</v>
      </c>
      <c r="BX390">
        <v>0</v>
      </c>
      <c r="BY390" s="83">
        <f t="shared" si="201"/>
        <v>0</v>
      </c>
      <c r="BZ390">
        <v>0</v>
      </c>
      <c r="CA390" s="83">
        <f t="shared" si="202"/>
        <v>0</v>
      </c>
      <c r="CB390" s="96">
        <f t="shared" si="203"/>
        <v>1.680672268907563E-2</v>
      </c>
      <c r="CC390" s="96">
        <f t="shared" si="204"/>
        <v>1.6393442622950821E-2</v>
      </c>
      <c r="CD390" s="97">
        <f t="shared" si="205"/>
        <v>4.13280066124809E-4</v>
      </c>
      <c r="CE390" s="96">
        <f t="shared" si="206"/>
        <v>1.3503375843960989E-2</v>
      </c>
      <c r="CF390" s="96">
        <f t="shared" si="217"/>
        <v>3.5937499999999997E-2</v>
      </c>
      <c r="CG390" s="96">
        <f t="shared" si="208"/>
        <v>-2.2434124156039008E-2</v>
      </c>
      <c r="CH390" s="95">
        <f t="shared" si="209"/>
        <v>2.225940205135666E-2</v>
      </c>
      <c r="CI390" s="95">
        <f t="shared" si="210"/>
        <v>2.8436411871994693E-2</v>
      </c>
      <c r="CJ390" s="98">
        <f t="shared" si="211"/>
        <v>-6.1770098206380339E-3</v>
      </c>
      <c r="CK390" s="95">
        <f t="shared" si="212"/>
        <v>2.2025590425870521E-2</v>
      </c>
      <c r="CL390" s="95">
        <f t="shared" si="213"/>
        <v>2.3559136847855777E-2</v>
      </c>
      <c r="CM390" s="98">
        <f t="shared" si="214"/>
        <v>-1.533546421985256E-3</v>
      </c>
      <c r="CN390" s="94">
        <f t="shared" si="215"/>
        <v>0.13355641230813997</v>
      </c>
      <c r="CO390" s="94">
        <f t="shared" si="216"/>
        <v>0.13215354255522313</v>
      </c>
    </row>
    <row r="391" spans="1:95" ht="24.5" x14ac:dyDescent="0.35">
      <c r="A391" s="102">
        <v>256507</v>
      </c>
      <c r="B391" s="3" t="s">
        <v>72</v>
      </c>
      <c r="C391" s="43" t="s">
        <v>79</v>
      </c>
      <c r="D391" s="12" t="s">
        <v>80</v>
      </c>
      <c r="E391" s="4" t="s">
        <v>81</v>
      </c>
      <c r="F391" s="4" t="s">
        <v>81</v>
      </c>
      <c r="G391" s="12" t="s">
        <v>81</v>
      </c>
      <c r="H391" s="51" t="s">
        <v>82</v>
      </c>
      <c r="I391" s="23" t="s">
        <v>83</v>
      </c>
      <c r="J391" s="90"/>
      <c r="K391" s="90">
        <v>0</v>
      </c>
      <c r="L391" s="90"/>
      <c r="M391" s="90">
        <v>0</v>
      </c>
      <c r="N391" s="18">
        <v>0</v>
      </c>
      <c r="O391" s="18">
        <v>0</v>
      </c>
      <c r="P391" s="18">
        <v>0</v>
      </c>
      <c r="Q391" s="18">
        <v>6</v>
      </c>
      <c r="R391" s="90">
        <v>0</v>
      </c>
      <c r="S391" s="90">
        <v>0</v>
      </c>
      <c r="T391" s="90">
        <v>0</v>
      </c>
      <c r="U391" s="90">
        <v>0</v>
      </c>
      <c r="V391" s="90">
        <v>0</v>
      </c>
      <c r="W391" s="90">
        <v>0</v>
      </c>
      <c r="X391" s="90">
        <v>0</v>
      </c>
      <c r="Y391" s="90">
        <v>0</v>
      </c>
      <c r="Z391" s="90">
        <v>0</v>
      </c>
      <c r="AA391" s="90">
        <v>0</v>
      </c>
      <c r="AB391" s="90">
        <v>6</v>
      </c>
      <c r="AC391" s="90">
        <v>0</v>
      </c>
      <c r="AD391" s="90">
        <v>0</v>
      </c>
      <c r="AE391" s="90">
        <v>0</v>
      </c>
      <c r="AF391" s="90">
        <v>0</v>
      </c>
      <c r="AG391" s="90">
        <v>0</v>
      </c>
      <c r="AH391" s="90">
        <v>0</v>
      </c>
      <c r="AI391" s="90">
        <v>0</v>
      </c>
      <c r="AJ391" s="90">
        <v>12</v>
      </c>
      <c r="AK391" s="90">
        <v>0</v>
      </c>
      <c r="AL391" s="90">
        <v>0</v>
      </c>
      <c r="AM391" s="90">
        <v>0</v>
      </c>
      <c r="AN391" s="90">
        <v>0</v>
      </c>
      <c r="AO391" s="90">
        <v>0</v>
      </c>
      <c r="AP391" s="90">
        <v>0</v>
      </c>
      <c r="AQ391" s="90">
        <v>0</v>
      </c>
      <c r="AR391" s="90">
        <v>90</v>
      </c>
      <c r="AS391" s="90">
        <v>0</v>
      </c>
      <c r="AT391" s="90">
        <v>0</v>
      </c>
      <c r="AU391" s="90">
        <v>0</v>
      </c>
      <c r="AV391" s="90">
        <v>0</v>
      </c>
      <c r="AW391" s="90">
        <v>0</v>
      </c>
      <c r="AX391" s="90">
        <v>0</v>
      </c>
      <c r="AY391" s="90">
        <v>0</v>
      </c>
      <c r="AZ391" s="90">
        <v>0</v>
      </c>
      <c r="BA391" s="90">
        <v>0</v>
      </c>
      <c r="BB391" s="90">
        <v>0</v>
      </c>
      <c r="BC391" s="90">
        <v>0</v>
      </c>
      <c r="BD391" s="90">
        <v>0</v>
      </c>
      <c r="BE391" s="90">
        <v>6</v>
      </c>
      <c r="BF391" s="23">
        <v>0</v>
      </c>
      <c r="BG391" s="23">
        <v>0</v>
      </c>
      <c r="BH391" s="31">
        <f t="shared" si="186"/>
        <v>0</v>
      </c>
      <c r="BI391" s="31">
        <f t="shared" si="187"/>
        <v>0</v>
      </c>
      <c r="BJ391" s="37">
        <f t="shared" si="188"/>
        <v>0</v>
      </c>
      <c r="BK391" s="37" t="e">
        <f t="shared" si="189"/>
        <v>#DIV/0!</v>
      </c>
      <c r="BL391" s="36">
        <f t="shared" si="190"/>
        <v>0</v>
      </c>
      <c r="BM391" s="36">
        <f t="shared" si="191"/>
        <v>6</v>
      </c>
      <c r="BN391" s="37">
        <f t="shared" si="192"/>
        <v>-6</v>
      </c>
      <c r="BO391" s="37">
        <f t="shared" si="193"/>
        <v>-100</v>
      </c>
      <c r="BP391" s="38">
        <f t="shared" si="194"/>
        <v>0</v>
      </c>
      <c r="BQ391" s="39">
        <f>J391+N391+S391+W391+AA391+AE391+AI391+AM391+AQ391+AU391+Table1[[#This Row],[MS-0225]]+Table1[[#This Row],[MS-0325]]</f>
        <v>0</v>
      </c>
      <c r="BR391" s="37">
        <f t="shared" si="195"/>
        <v>0</v>
      </c>
      <c r="BS391" s="37" t="e">
        <f t="shared" si="196"/>
        <v>#DIV/0!</v>
      </c>
      <c r="BT391" s="36">
        <f t="shared" si="197"/>
        <v>114</v>
      </c>
      <c r="BU391" s="36">
        <f t="shared" si="198"/>
        <v>6</v>
      </c>
      <c r="BV391" s="37">
        <f t="shared" si="199"/>
        <v>108</v>
      </c>
      <c r="BW391" s="37">
        <f t="shared" si="200"/>
        <v>1800</v>
      </c>
      <c r="BX391">
        <v>0</v>
      </c>
      <c r="BY391" s="83" t="e">
        <f t="shared" si="201"/>
        <v>#DIV/0!</v>
      </c>
      <c r="BZ391">
        <v>0</v>
      </c>
      <c r="CA391" s="83" t="e">
        <f t="shared" si="202"/>
        <v>#DIV/0!</v>
      </c>
      <c r="CB391" s="96" t="e">
        <f t="shared" si="203"/>
        <v>#DIV/0!</v>
      </c>
      <c r="CC391" s="96" t="e">
        <f t="shared" si="204"/>
        <v>#DIV/0!</v>
      </c>
      <c r="CD391" s="97" t="e">
        <f t="shared" si="205"/>
        <v>#DIV/0!</v>
      </c>
      <c r="CE391" s="96" t="e">
        <f t="shared" si="206"/>
        <v>#DIV/0!</v>
      </c>
      <c r="CF391" s="96">
        <f t="shared" si="217"/>
        <v>1</v>
      </c>
      <c r="CG391" s="96" t="e">
        <f t="shared" si="208"/>
        <v>#DIV/0!</v>
      </c>
      <c r="CH391" s="95" t="e">
        <f t="shared" si="209"/>
        <v>#DIV/0!</v>
      </c>
      <c r="CI391" s="95" t="e">
        <f t="shared" si="210"/>
        <v>#DIV/0!</v>
      </c>
      <c r="CJ391" s="98" t="e">
        <f t="shared" si="211"/>
        <v>#DIV/0!</v>
      </c>
      <c r="CK391" s="95">
        <f t="shared" si="212"/>
        <v>1</v>
      </c>
      <c r="CL391" s="95">
        <f t="shared" si="213"/>
        <v>1</v>
      </c>
      <c r="CM391" s="98">
        <f t="shared" si="214"/>
        <v>0</v>
      </c>
      <c r="CN391" s="94" t="e">
        <f t="shared" si="215"/>
        <v>#DIV/0!</v>
      </c>
      <c r="CO391" s="94">
        <f t="shared" si="216"/>
        <v>1</v>
      </c>
    </row>
    <row r="392" spans="1:95" ht="24.5" x14ac:dyDescent="0.35">
      <c r="A392" s="102">
        <v>255872</v>
      </c>
      <c r="B392" s="3" t="s">
        <v>72</v>
      </c>
      <c r="C392" s="43" t="s">
        <v>84</v>
      </c>
      <c r="D392" s="12" t="s">
        <v>80</v>
      </c>
      <c r="E392" s="4" t="s">
        <v>85</v>
      </c>
      <c r="F392" s="4" t="s">
        <v>85</v>
      </c>
      <c r="G392" s="12" t="s">
        <v>85</v>
      </c>
      <c r="H392" s="51" t="s">
        <v>82</v>
      </c>
      <c r="I392" s="23" t="s">
        <v>86</v>
      </c>
      <c r="J392" s="90"/>
      <c r="K392" s="90">
        <v>0</v>
      </c>
      <c r="L392" s="90"/>
      <c r="M392" s="90">
        <v>0</v>
      </c>
      <c r="N392" s="18">
        <v>0</v>
      </c>
      <c r="O392" s="18">
        <v>0</v>
      </c>
      <c r="P392" s="18">
        <v>0</v>
      </c>
      <c r="Q392" s="18">
        <v>0</v>
      </c>
      <c r="R392" s="90">
        <v>0</v>
      </c>
      <c r="S392" s="90">
        <v>0</v>
      </c>
      <c r="T392" s="90">
        <v>0</v>
      </c>
      <c r="U392" s="90">
        <v>0</v>
      </c>
      <c r="V392" s="90">
        <v>0</v>
      </c>
      <c r="W392" s="90">
        <v>0</v>
      </c>
      <c r="X392" s="90">
        <v>0</v>
      </c>
      <c r="Y392" s="90">
        <v>0</v>
      </c>
      <c r="Z392" s="90">
        <v>0</v>
      </c>
      <c r="AA392" s="90">
        <v>0</v>
      </c>
      <c r="AB392" s="90">
        <v>0</v>
      </c>
      <c r="AC392" s="90">
        <v>0</v>
      </c>
      <c r="AD392" s="90">
        <v>0</v>
      </c>
      <c r="AE392" s="90">
        <v>0</v>
      </c>
      <c r="AF392" s="90">
        <v>4</v>
      </c>
      <c r="AG392" s="90">
        <v>0</v>
      </c>
      <c r="AH392" s="90">
        <v>0</v>
      </c>
      <c r="AI392" s="90">
        <v>0</v>
      </c>
      <c r="AJ392" s="90">
        <v>0</v>
      </c>
      <c r="AK392" s="90">
        <v>0</v>
      </c>
      <c r="AL392" s="90">
        <v>0</v>
      </c>
      <c r="AM392" s="90">
        <v>0</v>
      </c>
      <c r="AN392" s="90">
        <v>0</v>
      </c>
      <c r="AO392" s="90">
        <v>0</v>
      </c>
      <c r="AP392" s="90">
        <v>0</v>
      </c>
      <c r="AQ392" s="90">
        <v>0</v>
      </c>
      <c r="AR392" s="90">
        <v>4</v>
      </c>
      <c r="AS392" s="90">
        <v>0</v>
      </c>
      <c r="AT392" s="90">
        <v>0</v>
      </c>
      <c r="AU392" s="90">
        <v>0</v>
      </c>
      <c r="AV392" s="90">
        <v>0</v>
      </c>
      <c r="AW392" s="90">
        <v>0</v>
      </c>
      <c r="AX392" s="90">
        <v>0</v>
      </c>
      <c r="AY392" s="90">
        <v>0</v>
      </c>
      <c r="AZ392" s="90">
        <v>0</v>
      </c>
      <c r="BA392" s="90">
        <v>0</v>
      </c>
      <c r="BB392" s="90">
        <v>0</v>
      </c>
      <c r="BC392" s="90">
        <v>0</v>
      </c>
      <c r="BD392" s="90">
        <v>4</v>
      </c>
      <c r="BE392" s="90">
        <v>4</v>
      </c>
      <c r="BF392" s="23">
        <v>0</v>
      </c>
      <c r="BG392" s="23">
        <v>0</v>
      </c>
      <c r="BH392" s="31">
        <f t="shared" si="186"/>
        <v>0</v>
      </c>
      <c r="BI392" s="31">
        <f t="shared" si="187"/>
        <v>0</v>
      </c>
      <c r="BJ392" s="37">
        <f t="shared" ref="BJ392:BJ396" si="218">(BH392-BI392)</f>
        <v>0</v>
      </c>
      <c r="BK392" s="37" t="e">
        <f t="shared" ref="BK392:BK396" si="219">(BJ392)/BI392*100</f>
        <v>#DIV/0!</v>
      </c>
      <c r="BL392" s="36">
        <f t="shared" si="190"/>
        <v>4</v>
      </c>
      <c r="BM392" s="36">
        <f t="shared" si="191"/>
        <v>4</v>
      </c>
      <c r="BN392" s="37">
        <f t="shared" ref="BN392:BN396" si="220">(BL392-BM392)</f>
        <v>0</v>
      </c>
      <c r="BO392" s="37">
        <f t="shared" ref="BO392:BO396" si="221">(BN392)/BM392*100</f>
        <v>0</v>
      </c>
      <c r="BP392" s="38">
        <f t="shared" si="194"/>
        <v>0</v>
      </c>
      <c r="BQ392" s="39">
        <f>J392+N392+S392+W392+AA392+AE392+AI392+AM392+AQ392+AU392+Table1[[#This Row],[MS-0225]]+Table1[[#This Row],[MS-0325]]</f>
        <v>0</v>
      </c>
      <c r="BR392" s="37">
        <f t="shared" ref="BR392:BR396" si="222">(BP392-BQ392)</f>
        <v>0</v>
      </c>
      <c r="BS392" s="37" t="e">
        <f t="shared" ref="BS392:BS396" si="223">(BR392)/BQ392*100</f>
        <v>#DIV/0!</v>
      </c>
      <c r="BT392" s="36">
        <f t="shared" si="197"/>
        <v>12</v>
      </c>
      <c r="BU392" s="36">
        <f t="shared" si="198"/>
        <v>4</v>
      </c>
      <c r="BV392" s="37">
        <f t="shared" ref="BV392:BV396" si="224">(BT392-BU392)</f>
        <v>8</v>
      </c>
      <c r="BW392" s="37">
        <f t="shared" ref="BW392:BW396" si="225">(BV392)/BU392*100</f>
        <v>200</v>
      </c>
      <c r="BX392">
        <v>0</v>
      </c>
      <c r="BY392" s="83" t="e">
        <f t="shared" ref="BY392:BY396" si="226">BX392/BH392</f>
        <v>#DIV/0!</v>
      </c>
      <c r="BZ392">
        <v>0</v>
      </c>
      <c r="CA392" s="83" t="e">
        <f t="shared" ref="CA392:CA396" si="227">BZ392/BP392</f>
        <v>#DIV/0!</v>
      </c>
      <c r="CB392" s="96" t="e">
        <f t="shared" si="203"/>
        <v>#DIV/0!</v>
      </c>
      <c r="CC392" s="96" t="e">
        <f t="shared" si="204"/>
        <v>#DIV/0!</v>
      </c>
      <c r="CD392" s="97" t="e">
        <f t="shared" ref="CD392:CD396" si="228">CB392-CC392</f>
        <v>#DIV/0!</v>
      </c>
      <c r="CE392" s="96">
        <f t="shared" si="206"/>
        <v>1</v>
      </c>
      <c r="CF392" s="96">
        <f t="shared" si="217"/>
        <v>1</v>
      </c>
      <c r="CG392" s="96">
        <f t="shared" ref="CG392:CG396" si="229">CE392-CF392</f>
        <v>0</v>
      </c>
      <c r="CH392" s="95" t="e">
        <f t="shared" si="209"/>
        <v>#DIV/0!</v>
      </c>
      <c r="CI392" s="95" t="e">
        <f t="shared" si="210"/>
        <v>#DIV/0!</v>
      </c>
      <c r="CJ392" s="98" t="e">
        <f t="shared" ref="CJ392:CJ396" si="230">CH392-CI392</f>
        <v>#DIV/0!</v>
      </c>
      <c r="CK392" s="95">
        <f t="shared" si="212"/>
        <v>1</v>
      </c>
      <c r="CL392" s="95">
        <f t="shared" si="213"/>
        <v>1</v>
      </c>
      <c r="CM392" s="98">
        <f t="shared" ref="CM392:CM396" si="231">CK392-CL392</f>
        <v>0</v>
      </c>
      <c r="CN392" s="94" t="e">
        <f t="shared" si="215"/>
        <v>#DIV/0!</v>
      </c>
      <c r="CO392" s="94">
        <f t="shared" si="216"/>
        <v>1</v>
      </c>
    </row>
    <row r="393" spans="1:95" ht="24.5" x14ac:dyDescent="0.35">
      <c r="A393" s="104">
        <v>106246</v>
      </c>
      <c r="B393" s="5" t="s">
        <v>581</v>
      </c>
      <c r="C393" s="46" t="s">
        <v>582</v>
      </c>
      <c r="D393" s="13" t="s">
        <v>583</v>
      </c>
      <c r="E393" s="6" t="s">
        <v>103</v>
      </c>
      <c r="F393" s="6" t="s">
        <v>211</v>
      </c>
      <c r="G393" s="12" t="s">
        <v>211</v>
      </c>
      <c r="H393" s="51" t="s">
        <v>135</v>
      </c>
      <c r="I393" s="24" t="s">
        <v>83</v>
      </c>
      <c r="J393" s="19">
        <v>0</v>
      </c>
      <c r="K393" s="19">
        <v>0</v>
      </c>
      <c r="L393" s="19">
        <v>0</v>
      </c>
      <c r="M393" s="19">
        <v>13.5</v>
      </c>
      <c r="N393" s="18">
        <v>0</v>
      </c>
      <c r="O393" s="18">
        <v>0</v>
      </c>
      <c r="P393" s="18">
        <v>0</v>
      </c>
      <c r="Q393" s="18">
        <v>8.5</v>
      </c>
      <c r="R393" s="19">
        <v>0</v>
      </c>
      <c r="S393" s="19">
        <v>0</v>
      </c>
      <c r="T393" s="19">
        <v>8.5</v>
      </c>
      <c r="U393" s="19">
        <v>0</v>
      </c>
      <c r="V393" s="19">
        <v>0</v>
      </c>
      <c r="W393" s="19">
        <v>0</v>
      </c>
      <c r="X393" s="19">
        <v>9</v>
      </c>
      <c r="Y393" s="19">
        <v>0</v>
      </c>
      <c r="Z393" s="19">
        <v>0</v>
      </c>
      <c r="AA393" s="19">
        <v>0</v>
      </c>
      <c r="AB393" s="19">
        <v>9</v>
      </c>
      <c r="AC393" s="19">
        <v>4</v>
      </c>
      <c r="AD393" s="19">
        <v>0</v>
      </c>
      <c r="AE393" s="19">
        <v>0</v>
      </c>
      <c r="AF393" s="19">
        <v>12.5</v>
      </c>
      <c r="AG393" s="19">
        <v>0</v>
      </c>
      <c r="AH393" s="19">
        <v>0</v>
      </c>
      <c r="AI393" s="19">
        <v>0</v>
      </c>
      <c r="AJ393" s="19">
        <v>8.5</v>
      </c>
      <c r="AK393" s="19">
        <v>0</v>
      </c>
      <c r="AL393" s="19">
        <v>0</v>
      </c>
      <c r="AM393" s="19">
        <v>0</v>
      </c>
      <c r="AN393" s="19">
        <v>4.5</v>
      </c>
      <c r="AO393" s="19">
        <v>4</v>
      </c>
      <c r="AP393" s="19">
        <v>0</v>
      </c>
      <c r="AQ393" s="19">
        <v>0</v>
      </c>
      <c r="AR393" s="19">
        <v>9</v>
      </c>
      <c r="AS393" s="19">
        <v>4</v>
      </c>
      <c r="AT393" s="19">
        <v>0</v>
      </c>
      <c r="AU393" s="19">
        <v>0</v>
      </c>
      <c r="AV393" s="19">
        <v>4.5</v>
      </c>
      <c r="AW393" s="19">
        <v>4.5</v>
      </c>
      <c r="AX393" s="19">
        <v>0</v>
      </c>
      <c r="AY393" s="19">
        <v>0</v>
      </c>
      <c r="AZ393" s="19">
        <v>9</v>
      </c>
      <c r="BA393" s="19">
        <v>9</v>
      </c>
      <c r="BB393" s="19">
        <v>0</v>
      </c>
      <c r="BC393" s="19">
        <v>0</v>
      </c>
      <c r="BD393" s="19">
        <v>4.5</v>
      </c>
      <c r="BE393" s="19">
        <v>9</v>
      </c>
      <c r="BF393" s="23">
        <v>28.536200000000001</v>
      </c>
      <c r="BG393" s="23">
        <v>77.113900000000001</v>
      </c>
      <c r="BH393" s="31">
        <f t="shared" si="186"/>
        <v>0</v>
      </c>
      <c r="BI393" s="31">
        <f t="shared" si="187"/>
        <v>0</v>
      </c>
      <c r="BJ393" s="37">
        <f t="shared" si="218"/>
        <v>0</v>
      </c>
      <c r="BK393" s="37" t="e">
        <f t="shared" si="219"/>
        <v>#DIV/0!</v>
      </c>
      <c r="BL393" s="36">
        <f t="shared" si="190"/>
        <v>4.5</v>
      </c>
      <c r="BM393" s="36">
        <f t="shared" si="191"/>
        <v>9</v>
      </c>
      <c r="BN393" s="37">
        <f t="shared" si="220"/>
        <v>-4.5</v>
      </c>
      <c r="BO393" s="37">
        <f t="shared" si="221"/>
        <v>-50</v>
      </c>
      <c r="BP393" s="38">
        <f t="shared" si="194"/>
        <v>0</v>
      </c>
      <c r="BQ393" s="39">
        <f>J393+N393+S393+W393+AA393+AE393+AI393+AM393+AQ393+AU393+Table1[[#This Row],[MS-0225]]+Table1[[#This Row],[MS-0325]]</f>
        <v>0</v>
      </c>
      <c r="BR393" s="37">
        <f t="shared" si="222"/>
        <v>0</v>
      </c>
      <c r="BS393" s="37" t="e">
        <f t="shared" si="223"/>
        <v>#DIV/0!</v>
      </c>
      <c r="BT393" s="36">
        <f t="shared" si="197"/>
        <v>101</v>
      </c>
      <c r="BU393" s="36">
        <f t="shared" si="198"/>
        <v>34.5</v>
      </c>
      <c r="BV393" s="37">
        <f t="shared" si="224"/>
        <v>66.5</v>
      </c>
      <c r="BW393" s="37">
        <f t="shared" si="225"/>
        <v>192.75362318840578</v>
      </c>
      <c r="BX393">
        <v>0</v>
      </c>
      <c r="BY393" s="83" t="e">
        <f t="shared" si="226"/>
        <v>#DIV/0!</v>
      </c>
      <c r="BZ393">
        <v>0</v>
      </c>
      <c r="CA393" s="83" t="e">
        <f t="shared" si="227"/>
        <v>#DIV/0!</v>
      </c>
      <c r="CB393" s="96">
        <f t="shared" si="203"/>
        <v>0</v>
      </c>
      <c r="CC393" s="96">
        <f t="shared" si="204"/>
        <v>0</v>
      </c>
      <c r="CD393" s="97">
        <f t="shared" si="228"/>
        <v>0</v>
      </c>
      <c r="CE393" s="96">
        <f t="shared" si="206"/>
        <v>6.1559507523939808E-3</v>
      </c>
      <c r="CF393" s="96">
        <f t="shared" si="217"/>
        <v>1.3646702047005308E-2</v>
      </c>
      <c r="CG393" s="96">
        <f t="shared" si="229"/>
        <v>-7.490751294611327E-3</v>
      </c>
      <c r="CH393" s="95">
        <f t="shared" si="209"/>
        <v>0</v>
      </c>
      <c r="CI393" s="95">
        <f t="shared" si="210"/>
        <v>0</v>
      </c>
      <c r="CJ393" s="98">
        <f t="shared" si="230"/>
        <v>0</v>
      </c>
      <c r="CK393" s="95">
        <f t="shared" si="212"/>
        <v>1.3023015924182839E-2</v>
      </c>
      <c r="CL393" s="95">
        <f t="shared" si="213"/>
        <v>4.3189784677015522E-3</v>
      </c>
      <c r="CM393" s="98">
        <f t="shared" si="231"/>
        <v>8.7040374564812863E-3</v>
      </c>
      <c r="CN393" s="94">
        <f t="shared" si="215"/>
        <v>0</v>
      </c>
      <c r="CO393" s="94">
        <f t="shared" si="216"/>
        <v>6.5115079620914187E-2</v>
      </c>
    </row>
    <row r="394" spans="1:95" ht="24.5" x14ac:dyDescent="0.35">
      <c r="A394" s="104">
        <v>102119</v>
      </c>
      <c r="B394" s="5" t="s">
        <v>581</v>
      </c>
      <c r="C394" s="46" t="s">
        <v>638</v>
      </c>
      <c r="D394" s="13" t="s">
        <v>639</v>
      </c>
      <c r="E394" s="6" t="s">
        <v>187</v>
      </c>
      <c r="F394" s="6" t="s">
        <v>395</v>
      </c>
      <c r="G394" s="12" t="s">
        <v>395</v>
      </c>
      <c r="H394" s="51" t="s">
        <v>248</v>
      </c>
      <c r="I394" s="24" t="s">
        <v>86</v>
      </c>
      <c r="J394" s="19">
        <v>576</v>
      </c>
      <c r="K394" s="19">
        <v>636.5</v>
      </c>
      <c r="L394" s="19">
        <v>504</v>
      </c>
      <c r="M394" s="19">
        <v>491.5</v>
      </c>
      <c r="N394" s="18">
        <v>612</v>
      </c>
      <c r="O394" s="18">
        <v>622</v>
      </c>
      <c r="P394" s="18">
        <v>540</v>
      </c>
      <c r="Q394" s="18">
        <v>544</v>
      </c>
      <c r="R394" s="19">
        <v>620.5</v>
      </c>
      <c r="S394" s="19">
        <v>596</v>
      </c>
      <c r="T394" s="19">
        <v>537.5</v>
      </c>
      <c r="U394" s="19">
        <v>506</v>
      </c>
      <c r="V394" s="19">
        <v>637</v>
      </c>
      <c r="W394" s="19">
        <v>607</v>
      </c>
      <c r="X394" s="19">
        <v>499</v>
      </c>
      <c r="Y394" s="19">
        <v>475</v>
      </c>
      <c r="Z394" s="19">
        <v>636</v>
      </c>
      <c r="AA394" s="19">
        <v>591</v>
      </c>
      <c r="AB394" s="19">
        <v>460</v>
      </c>
      <c r="AC394" s="19">
        <v>451</v>
      </c>
      <c r="AD394" s="19">
        <v>598</v>
      </c>
      <c r="AE394" s="19">
        <v>581.5</v>
      </c>
      <c r="AF394" s="19">
        <v>494</v>
      </c>
      <c r="AG394" s="19">
        <v>422.5</v>
      </c>
      <c r="AH394" s="19">
        <v>643.5</v>
      </c>
      <c r="AI394" s="19">
        <v>633</v>
      </c>
      <c r="AJ394" s="19">
        <v>508.5</v>
      </c>
      <c r="AK394" s="19">
        <v>509</v>
      </c>
      <c r="AL394" s="19">
        <v>639</v>
      </c>
      <c r="AM394" s="19">
        <v>600.5</v>
      </c>
      <c r="AN394" s="19">
        <v>499</v>
      </c>
      <c r="AO394" s="19">
        <v>487.5</v>
      </c>
      <c r="AP394" s="19">
        <v>609</v>
      </c>
      <c r="AQ394" s="19">
        <v>540</v>
      </c>
      <c r="AR394" s="19">
        <v>441</v>
      </c>
      <c r="AS394" s="19">
        <v>422</v>
      </c>
      <c r="AT394" s="19">
        <v>612</v>
      </c>
      <c r="AU394" s="19">
        <v>576.5</v>
      </c>
      <c r="AV394" s="19">
        <v>416</v>
      </c>
      <c r="AW394" s="19">
        <v>463.5</v>
      </c>
      <c r="AX394" s="19">
        <v>601</v>
      </c>
      <c r="AY394" s="19">
        <v>538.5</v>
      </c>
      <c r="AZ394" s="19">
        <v>441</v>
      </c>
      <c r="BA394" s="19">
        <v>499.5</v>
      </c>
      <c r="BB394" s="19">
        <v>641</v>
      </c>
      <c r="BC394" s="19">
        <v>605</v>
      </c>
      <c r="BD394" s="19">
        <v>405</v>
      </c>
      <c r="BE394" s="19">
        <v>481</v>
      </c>
      <c r="BF394" s="23">
        <v>28.617599999999999</v>
      </c>
      <c r="BG394" s="23">
        <v>77.249899999999997</v>
      </c>
      <c r="BH394" s="31">
        <f t="shared" si="186"/>
        <v>641</v>
      </c>
      <c r="BI394" s="31">
        <f t="shared" si="187"/>
        <v>605</v>
      </c>
      <c r="BJ394" s="37">
        <f t="shared" si="218"/>
        <v>36</v>
      </c>
      <c r="BK394" s="37">
        <f t="shared" si="219"/>
        <v>5.9504132231404956</v>
      </c>
      <c r="BL394" s="36">
        <f t="shared" si="190"/>
        <v>405</v>
      </c>
      <c r="BM394" s="36">
        <f t="shared" si="191"/>
        <v>481</v>
      </c>
      <c r="BN394" s="37">
        <f t="shared" si="220"/>
        <v>-76</v>
      </c>
      <c r="BO394" s="37">
        <f t="shared" si="221"/>
        <v>-15.800415800415802</v>
      </c>
      <c r="BP394" s="38">
        <f t="shared" si="194"/>
        <v>7495.5</v>
      </c>
      <c r="BQ394" s="39">
        <f>J394+N394+S394+W394+AA394+AE394+AI394+AM394+AQ394+AU394+Table1[[#This Row],[MS-0225]]+Table1[[#This Row],[MS-0325]]</f>
        <v>7057</v>
      </c>
      <c r="BR394" s="37">
        <f t="shared" si="222"/>
        <v>438.5</v>
      </c>
      <c r="BS394" s="37">
        <f t="shared" si="223"/>
        <v>6.2136885362051864</v>
      </c>
      <c r="BT394" s="36">
        <f t="shared" si="197"/>
        <v>5736.5</v>
      </c>
      <c r="BU394" s="36">
        <f t="shared" si="198"/>
        <v>5761</v>
      </c>
      <c r="BV394" s="37">
        <f t="shared" si="224"/>
        <v>-24.5</v>
      </c>
      <c r="BW394" s="37">
        <f t="shared" si="225"/>
        <v>-0.42527339003645198</v>
      </c>
      <c r="BX394">
        <v>0</v>
      </c>
      <c r="BY394" s="83">
        <f t="shared" si="226"/>
        <v>0</v>
      </c>
      <c r="BZ394">
        <v>0</v>
      </c>
      <c r="CA394" s="83">
        <f t="shared" si="227"/>
        <v>0</v>
      </c>
      <c r="CB394" s="96">
        <f t="shared" si="203"/>
        <v>0.26454808089145687</v>
      </c>
      <c r="CC394" s="96">
        <f t="shared" si="204"/>
        <v>0.25025853154084798</v>
      </c>
      <c r="CD394" s="97">
        <f t="shared" si="228"/>
        <v>1.4289549350608888E-2</v>
      </c>
      <c r="CE394" s="96">
        <f t="shared" si="206"/>
        <v>0.41795665634674922</v>
      </c>
      <c r="CF394" s="96">
        <f t="shared" si="217"/>
        <v>0.45744174988112218</v>
      </c>
      <c r="CG394" s="96">
        <f t="shared" si="229"/>
        <v>-3.9485093534372961E-2</v>
      </c>
      <c r="CH394" s="95">
        <f t="shared" si="209"/>
        <v>0.24926837379447955</v>
      </c>
      <c r="CI394" s="95">
        <f t="shared" si="210"/>
        <v>0.24855593124823894</v>
      </c>
      <c r="CJ394" s="98">
        <f t="shared" si="230"/>
        <v>7.1244254624061587E-4</v>
      </c>
      <c r="CK394" s="95">
        <f t="shared" si="212"/>
        <v>0.45749262301618948</v>
      </c>
      <c r="CL394" s="95">
        <f t="shared" si="213"/>
        <v>0.45491156032849023</v>
      </c>
      <c r="CM394" s="98">
        <f t="shared" si="231"/>
        <v>2.5810626876992537E-3</v>
      </c>
      <c r="CN394" s="94">
        <f t="shared" si="215"/>
        <v>1.4956102427668774</v>
      </c>
      <c r="CO394" s="94">
        <f t="shared" si="216"/>
        <v>2.7449557380971368</v>
      </c>
    </row>
    <row r="395" spans="1:95" ht="24.5" x14ac:dyDescent="0.35">
      <c r="A395" s="103">
        <v>41056538</v>
      </c>
      <c r="B395" s="9" t="s">
        <v>380</v>
      </c>
      <c r="C395" s="48" t="s">
        <v>486</v>
      </c>
      <c r="D395" s="14" t="s">
        <v>434</v>
      </c>
      <c r="E395" s="10" t="s">
        <v>200</v>
      </c>
      <c r="F395" s="10" t="s">
        <v>300</v>
      </c>
      <c r="G395" s="12" t="s">
        <v>300</v>
      </c>
      <c r="H395" s="51" t="s">
        <v>261</v>
      </c>
      <c r="I395" s="25" t="s">
        <v>83</v>
      </c>
      <c r="J395" s="20">
        <v>18</v>
      </c>
      <c r="K395" s="20">
        <v>13.5</v>
      </c>
      <c r="L395" s="20">
        <v>18</v>
      </c>
      <c r="M395" s="20">
        <v>22.5</v>
      </c>
      <c r="N395" s="18">
        <v>9.5</v>
      </c>
      <c r="O395" s="18">
        <v>14</v>
      </c>
      <c r="P395" s="18">
        <v>33.5</v>
      </c>
      <c r="Q395" s="18">
        <v>42</v>
      </c>
      <c r="R395" s="20">
        <v>14</v>
      </c>
      <c r="S395" s="20">
        <v>20</v>
      </c>
      <c r="T395" s="20">
        <v>42</v>
      </c>
      <c r="U395" s="20">
        <v>30</v>
      </c>
      <c r="V395" s="20">
        <v>14</v>
      </c>
      <c r="W395" s="20">
        <v>9</v>
      </c>
      <c r="X395" s="20">
        <v>42</v>
      </c>
      <c r="Y395" s="20">
        <v>27</v>
      </c>
      <c r="Z395" s="20">
        <v>19</v>
      </c>
      <c r="AA395" s="20">
        <v>15</v>
      </c>
      <c r="AB395" s="20">
        <v>42</v>
      </c>
      <c r="AC395" s="20">
        <v>30</v>
      </c>
      <c r="AD395" s="20">
        <v>9.5</v>
      </c>
      <c r="AE395" s="20">
        <v>9.5</v>
      </c>
      <c r="AF395" s="20">
        <v>46.5</v>
      </c>
      <c r="AG395" s="20">
        <v>31.5</v>
      </c>
      <c r="AH395" s="20">
        <v>14</v>
      </c>
      <c r="AI395" s="20">
        <v>15</v>
      </c>
      <c r="AJ395" s="20">
        <v>42</v>
      </c>
      <c r="AK395" s="20">
        <v>30</v>
      </c>
      <c r="AL395" s="20">
        <v>18.5</v>
      </c>
      <c r="AM395" s="20">
        <v>14.5</v>
      </c>
      <c r="AN395" s="20">
        <v>37.5</v>
      </c>
      <c r="AO395" s="20">
        <v>28.5</v>
      </c>
      <c r="AP395" s="20">
        <v>5</v>
      </c>
      <c r="AQ395" s="20">
        <v>14.5</v>
      </c>
      <c r="AR395" s="20">
        <v>33</v>
      </c>
      <c r="AS395" s="20">
        <v>28.5</v>
      </c>
      <c r="AT395" s="20">
        <v>10</v>
      </c>
      <c r="AU395" s="20">
        <v>13.5</v>
      </c>
      <c r="AV395" s="20">
        <v>36</v>
      </c>
      <c r="AW395" s="20">
        <v>22.5</v>
      </c>
      <c r="AX395" s="20">
        <v>14</v>
      </c>
      <c r="AY395" s="20">
        <v>9</v>
      </c>
      <c r="AZ395" s="20">
        <v>36</v>
      </c>
      <c r="BA395" s="20">
        <v>39</v>
      </c>
      <c r="BB395" s="20">
        <v>0</v>
      </c>
      <c r="BC395" s="20">
        <v>13.5</v>
      </c>
      <c r="BD395" s="20">
        <v>32</v>
      </c>
      <c r="BE395" s="20">
        <v>34.5</v>
      </c>
      <c r="BF395" s="23">
        <v>28.855619000000001</v>
      </c>
      <c r="BG395" s="23">
        <v>77.124542000000005</v>
      </c>
      <c r="BH395" s="31">
        <f t="shared" si="186"/>
        <v>0</v>
      </c>
      <c r="BI395" s="31">
        <f t="shared" si="187"/>
        <v>13.5</v>
      </c>
      <c r="BJ395" s="37">
        <f t="shared" si="218"/>
        <v>-13.5</v>
      </c>
      <c r="BK395" s="37">
        <f t="shared" si="219"/>
        <v>-100</v>
      </c>
      <c r="BL395" s="36">
        <f t="shared" si="190"/>
        <v>32</v>
      </c>
      <c r="BM395" s="36">
        <f t="shared" si="191"/>
        <v>34.5</v>
      </c>
      <c r="BN395" s="37">
        <f t="shared" si="220"/>
        <v>-2.5</v>
      </c>
      <c r="BO395" s="37">
        <f t="shared" si="221"/>
        <v>-7.2463768115942031</v>
      </c>
      <c r="BP395" s="38">
        <f t="shared" si="194"/>
        <v>145.5</v>
      </c>
      <c r="BQ395" s="39">
        <f>J395+N395+S395+W395+AA395+AE395+AI395+AM395+AQ395+AU395+Table1[[#This Row],[MS-0225]]+Table1[[#This Row],[MS-0325]]</f>
        <v>161</v>
      </c>
      <c r="BR395" s="37">
        <f t="shared" si="222"/>
        <v>-15.5</v>
      </c>
      <c r="BS395" s="37">
        <f t="shared" si="223"/>
        <v>-9.6273291925465845</v>
      </c>
      <c r="BT395" s="36">
        <f t="shared" si="197"/>
        <v>453.5</v>
      </c>
      <c r="BU395" s="36">
        <f t="shared" si="198"/>
        <v>353</v>
      </c>
      <c r="BV395" s="37">
        <f t="shared" si="224"/>
        <v>100.5</v>
      </c>
      <c r="BW395" s="37">
        <f t="shared" si="225"/>
        <v>28.47025495750708</v>
      </c>
      <c r="BX395">
        <v>0</v>
      </c>
      <c r="BY395" s="83" t="e">
        <f t="shared" si="226"/>
        <v>#DIV/0!</v>
      </c>
      <c r="BZ395">
        <v>0</v>
      </c>
      <c r="CA395" s="83">
        <f t="shared" si="227"/>
        <v>0</v>
      </c>
      <c r="CB395" s="96">
        <f t="shared" si="203"/>
        <v>0</v>
      </c>
      <c r="CC395" s="96">
        <f t="shared" si="204"/>
        <v>2.4590163934426229E-2</v>
      </c>
      <c r="CD395" s="97">
        <f t="shared" si="228"/>
        <v>-2.4590163934426229E-2</v>
      </c>
      <c r="CE395" s="96">
        <f t="shared" si="206"/>
        <v>4.8012003000750189E-2</v>
      </c>
      <c r="CF395" s="96">
        <f t="shared" si="217"/>
        <v>5.3906250000000003E-2</v>
      </c>
      <c r="CG395" s="96">
        <f t="shared" si="229"/>
        <v>-5.8942469992498137E-3</v>
      </c>
      <c r="CH395" s="95">
        <f t="shared" si="209"/>
        <v>2.1168254891976431E-2</v>
      </c>
      <c r="CI395" s="95">
        <f t="shared" si="210"/>
        <v>2.6695407063505223E-2</v>
      </c>
      <c r="CJ395" s="98">
        <f t="shared" si="230"/>
        <v>-5.5271521715287916E-3</v>
      </c>
      <c r="CK395" s="95">
        <f t="shared" si="212"/>
        <v>5.7737602648163473E-2</v>
      </c>
      <c r="CL395" s="95">
        <f t="shared" si="213"/>
        <v>4.8210871346626605E-2</v>
      </c>
      <c r="CM395" s="98">
        <f t="shared" si="231"/>
        <v>9.5267313015368685E-3</v>
      </c>
      <c r="CN395" s="94">
        <f t="shared" si="215"/>
        <v>0.12700952935185858</v>
      </c>
      <c r="CO395" s="94">
        <f t="shared" si="216"/>
        <v>0.34642561588898085</v>
      </c>
    </row>
    <row r="396" spans="1:95" ht="24.5" x14ac:dyDescent="0.35">
      <c r="A396" s="105">
        <v>122804</v>
      </c>
      <c r="B396" s="5" t="s">
        <v>581</v>
      </c>
      <c r="C396" s="46" t="s">
        <v>610</v>
      </c>
      <c r="D396" s="13" t="s">
        <v>611</v>
      </c>
      <c r="E396" s="6" t="s">
        <v>89</v>
      </c>
      <c r="F396" s="6" t="s">
        <v>237</v>
      </c>
      <c r="G396" s="12" t="s">
        <v>392</v>
      </c>
      <c r="H396" s="51" t="s">
        <v>1007</v>
      </c>
      <c r="I396" s="24" t="s">
        <v>86</v>
      </c>
      <c r="J396" s="19">
        <v>88.5</v>
      </c>
      <c r="K396" s="19">
        <v>89.5</v>
      </c>
      <c r="L396" s="19">
        <v>217.5</v>
      </c>
      <c r="M396" s="19">
        <v>288.5</v>
      </c>
      <c r="N396" s="18">
        <v>101</v>
      </c>
      <c r="O396" s="18">
        <v>98.5</v>
      </c>
      <c r="P396" s="18">
        <v>283</v>
      </c>
      <c r="Q396" s="18">
        <v>281.5</v>
      </c>
      <c r="R396" s="19">
        <v>116</v>
      </c>
      <c r="S396" s="19">
        <v>97.5</v>
      </c>
      <c r="T396" s="19">
        <v>166</v>
      </c>
      <c r="U396" s="19">
        <v>250.5</v>
      </c>
      <c r="V396" s="19">
        <v>76</v>
      </c>
      <c r="W396" s="19">
        <v>112.5</v>
      </c>
      <c r="X396" s="19">
        <v>104</v>
      </c>
      <c r="Y396" s="19">
        <v>277.5</v>
      </c>
      <c r="Z396" s="19">
        <v>106</v>
      </c>
      <c r="AA396" s="19">
        <v>112</v>
      </c>
      <c r="AB396" s="19">
        <v>130</v>
      </c>
      <c r="AC396" s="19">
        <v>272</v>
      </c>
      <c r="AD396" s="19">
        <v>76</v>
      </c>
      <c r="AE396" s="19">
        <v>162</v>
      </c>
      <c r="AF396" s="19">
        <v>92</v>
      </c>
      <c r="AG396" s="19">
        <v>276</v>
      </c>
      <c r="AH396" s="19">
        <v>96</v>
      </c>
      <c r="AI396" s="19">
        <v>117</v>
      </c>
      <c r="AJ396" s="19">
        <v>132</v>
      </c>
      <c r="AK396" s="19">
        <v>273</v>
      </c>
      <c r="AL396" s="19">
        <v>120</v>
      </c>
      <c r="AM396" s="19">
        <v>106</v>
      </c>
      <c r="AN396" s="19">
        <v>120</v>
      </c>
      <c r="AO396" s="19">
        <v>278</v>
      </c>
      <c r="AP396" s="19">
        <v>92</v>
      </c>
      <c r="AQ396" s="19">
        <v>96</v>
      </c>
      <c r="AR396" s="19">
        <v>124</v>
      </c>
      <c r="AS396" s="19">
        <v>276</v>
      </c>
      <c r="AT396" s="19">
        <v>76</v>
      </c>
      <c r="AU396" s="19">
        <v>124</v>
      </c>
      <c r="AV396" s="19">
        <v>128</v>
      </c>
      <c r="AW396" s="19">
        <v>242</v>
      </c>
      <c r="AX396" s="19">
        <v>72</v>
      </c>
      <c r="AY396" s="19">
        <v>97.5</v>
      </c>
      <c r="AZ396" s="19">
        <v>156</v>
      </c>
      <c r="BA396" s="19">
        <v>256.5</v>
      </c>
      <c r="BB396" s="19">
        <v>88</v>
      </c>
      <c r="BC396" s="19">
        <v>112</v>
      </c>
      <c r="BD396" s="19">
        <v>152</v>
      </c>
      <c r="BE396" s="19">
        <v>264</v>
      </c>
      <c r="BF396" s="23">
        <v>28.688800000000001</v>
      </c>
      <c r="BG396" s="23">
        <v>77.104600000000005</v>
      </c>
      <c r="BH396" s="31">
        <f t="shared" si="186"/>
        <v>88</v>
      </c>
      <c r="BI396" s="31">
        <f t="shared" si="187"/>
        <v>112</v>
      </c>
      <c r="BJ396" s="37">
        <f t="shared" si="218"/>
        <v>-24</v>
      </c>
      <c r="BK396" s="37">
        <f t="shared" si="219"/>
        <v>-21.428571428571427</v>
      </c>
      <c r="BL396" s="36">
        <f t="shared" si="190"/>
        <v>152</v>
      </c>
      <c r="BM396" s="36">
        <f t="shared" si="191"/>
        <v>264</v>
      </c>
      <c r="BN396" s="37">
        <f t="shared" si="220"/>
        <v>-112</v>
      </c>
      <c r="BO396" s="37">
        <f t="shared" si="221"/>
        <v>-42.424242424242422</v>
      </c>
      <c r="BP396" s="38">
        <f t="shared" si="194"/>
        <v>1106</v>
      </c>
      <c r="BQ396" s="39">
        <f>J396+N396+S396+W396+AA396+AE396+AI396+AM396+AQ396+AU396+Table1[[#This Row],[MS-0225]]+Table1[[#This Row],[MS-0325]]</f>
        <v>1326</v>
      </c>
      <c r="BR396" s="37">
        <f t="shared" si="222"/>
        <v>-220</v>
      </c>
      <c r="BS396" s="37">
        <f t="shared" si="223"/>
        <v>-16.59125188536953</v>
      </c>
      <c r="BT396" s="36">
        <f t="shared" si="197"/>
        <v>1874</v>
      </c>
      <c r="BU396" s="36">
        <f t="shared" si="198"/>
        <v>3166</v>
      </c>
      <c r="BV396" s="37">
        <f t="shared" si="224"/>
        <v>-1292</v>
      </c>
      <c r="BW396" s="37">
        <f t="shared" si="225"/>
        <v>-40.808591282375239</v>
      </c>
      <c r="BX396">
        <v>0</v>
      </c>
      <c r="BY396" s="83">
        <f t="shared" si="226"/>
        <v>0</v>
      </c>
      <c r="BZ396">
        <v>0</v>
      </c>
      <c r="CA396" s="83">
        <f t="shared" si="227"/>
        <v>0</v>
      </c>
      <c r="CB396" s="96">
        <f t="shared" si="203"/>
        <v>5.8201058201058198E-2</v>
      </c>
      <c r="CC396" s="96">
        <f t="shared" si="204"/>
        <v>7.0707070707070704E-2</v>
      </c>
      <c r="CD396" s="97">
        <f t="shared" si="228"/>
        <v>-1.2506012506012507E-2</v>
      </c>
      <c r="CE396" s="96">
        <f t="shared" si="206"/>
        <v>0.32900432900432902</v>
      </c>
      <c r="CF396" s="96">
        <f t="shared" si="217"/>
        <v>0.42649434571890144</v>
      </c>
      <c r="CG396" s="96">
        <f t="shared" si="229"/>
        <v>-9.7490016714572414E-2</v>
      </c>
      <c r="CH396" s="95">
        <f t="shared" si="209"/>
        <v>5.9433607394271587E-2</v>
      </c>
      <c r="CI396" s="95">
        <f t="shared" si="210"/>
        <v>7.2520385283415242E-2</v>
      </c>
      <c r="CJ396" s="98">
        <f t="shared" si="230"/>
        <v>-1.3086777889143655E-2</v>
      </c>
      <c r="CK396" s="95">
        <f t="shared" si="212"/>
        <v>0.32271396590322027</v>
      </c>
      <c r="CL396" s="95">
        <f t="shared" si="213"/>
        <v>0.41792620949112269</v>
      </c>
      <c r="CM396" s="98">
        <f t="shared" si="231"/>
        <v>-9.5212243587902423E-2</v>
      </c>
      <c r="CN396" s="94">
        <f t="shared" si="215"/>
        <v>0.29716803697135796</v>
      </c>
      <c r="CO396" s="94">
        <f t="shared" si="216"/>
        <v>1.6135698295161014</v>
      </c>
    </row>
    <row r="397" spans="1:95" ht="24.5" x14ac:dyDescent="0.35">
      <c r="A397" s="102">
        <v>236924</v>
      </c>
      <c r="B397" s="3" t="s">
        <v>72</v>
      </c>
      <c r="C397" s="43" t="s">
        <v>73</v>
      </c>
      <c r="D397" s="12" t="s">
        <v>74</v>
      </c>
      <c r="E397" s="4" t="s">
        <v>75</v>
      </c>
      <c r="F397" s="4" t="s">
        <v>76</v>
      </c>
      <c r="G397" s="12" t="s">
        <v>76</v>
      </c>
      <c r="H397" s="51" t="s">
        <v>77</v>
      </c>
      <c r="I397" s="23" t="s">
        <v>78</v>
      </c>
      <c r="J397" s="90">
        <v>305</v>
      </c>
      <c r="K397" s="90">
        <v>0</v>
      </c>
      <c r="L397" s="90">
        <v>333</v>
      </c>
      <c r="M397" s="90">
        <v>0</v>
      </c>
      <c r="N397" s="18">
        <v>360</v>
      </c>
      <c r="O397" s="18">
        <v>0</v>
      </c>
      <c r="P397" s="18">
        <v>325</v>
      </c>
      <c r="Q397" s="18">
        <v>0</v>
      </c>
      <c r="R397" s="90">
        <v>0</v>
      </c>
      <c r="S397" s="90">
        <v>351</v>
      </c>
      <c r="T397" s="90">
        <v>0</v>
      </c>
      <c r="U397" s="90">
        <v>309</v>
      </c>
      <c r="V397" s="90">
        <v>0</v>
      </c>
      <c r="W397" s="90">
        <v>380</v>
      </c>
      <c r="X397" s="90">
        <v>0</v>
      </c>
      <c r="Y397" s="90">
        <v>277</v>
      </c>
      <c r="Z397" s="90">
        <v>0</v>
      </c>
      <c r="AA397" s="90">
        <v>225</v>
      </c>
      <c r="AB397" s="90">
        <v>0</v>
      </c>
      <c r="AC397" s="90">
        <v>170</v>
      </c>
      <c r="AD397" s="90">
        <v>0</v>
      </c>
      <c r="AE397" s="90">
        <v>-57.610999999999997</v>
      </c>
      <c r="AF397" s="90">
        <v>0</v>
      </c>
      <c r="AG397" s="90">
        <v>-67.119</v>
      </c>
      <c r="AH397" s="90">
        <v>0</v>
      </c>
      <c r="AI397" s="90">
        <v>0</v>
      </c>
      <c r="AJ397" s="90">
        <v>0</v>
      </c>
      <c r="AK397" s="90">
        <v>0</v>
      </c>
      <c r="AL397" s="90">
        <v>353</v>
      </c>
      <c r="AM397" s="90">
        <v>342</v>
      </c>
      <c r="AN397" s="90">
        <v>308</v>
      </c>
      <c r="AO397" s="90">
        <v>347</v>
      </c>
      <c r="AP397" s="90">
        <v>0</v>
      </c>
      <c r="AQ397" s="90">
        <v>0</v>
      </c>
      <c r="AR397" s="90">
        <v>0</v>
      </c>
      <c r="AS397" s="90">
        <v>0</v>
      </c>
      <c r="AT397" s="90">
        <v>0</v>
      </c>
      <c r="AU397" s="90">
        <v>0</v>
      </c>
      <c r="AV397" s="90">
        <v>0</v>
      </c>
      <c r="AW397" s="90">
        <v>0</v>
      </c>
      <c r="AX397" s="90">
        <v>0</v>
      </c>
      <c r="AY397" s="90">
        <v>0</v>
      </c>
      <c r="AZ397" s="90">
        <v>0</v>
      </c>
      <c r="BA397" s="90">
        <v>0</v>
      </c>
      <c r="BB397" s="90">
        <v>0</v>
      </c>
      <c r="BC397" s="90">
        <v>0</v>
      </c>
      <c r="BD397" s="90">
        <v>0</v>
      </c>
      <c r="BE397" s="90">
        <v>0</v>
      </c>
      <c r="BF397" s="23">
        <v>28.634550000000001</v>
      </c>
      <c r="BG397" s="23">
        <v>77.315470000000005</v>
      </c>
      <c r="BH397" s="31">
        <f t="shared" ref="BH397:BH398" si="232">BB397</f>
        <v>0</v>
      </c>
      <c r="BI397" s="31">
        <f t="shared" ref="BI397:BI398" si="233">BC397</f>
        <v>0</v>
      </c>
      <c r="BJ397" s="37">
        <f t="shared" ref="BJ397:BJ398" si="234">(BH397-BI397)</f>
        <v>0</v>
      </c>
      <c r="BK397" s="37" t="e">
        <f t="shared" ref="BK397:BK398" si="235">(BJ397)/BI397*100</f>
        <v>#DIV/0!</v>
      </c>
      <c r="BL397" s="36">
        <f t="shared" ref="BL397:BL398" si="236">BD397</f>
        <v>0</v>
      </c>
      <c r="BM397" s="36">
        <f t="shared" ref="BM397:BM398" si="237">BE397</f>
        <v>0</v>
      </c>
      <c r="BN397" s="37">
        <f t="shared" ref="BN397:BN398" si="238">(BL397-BM397)</f>
        <v>0</v>
      </c>
      <c r="BO397" s="37" t="e">
        <f t="shared" ref="BO397:BO398" si="239">(BN397)/BM397*100</f>
        <v>#DIV/0!</v>
      </c>
      <c r="BP397" s="38">
        <f t="shared" ref="BP397:BP398" si="240">K397+O397+R397+V397+Z397+AD397+AH397+AL397+AP397+AT397+AX397+BB397</f>
        <v>353</v>
      </c>
      <c r="BQ397" s="39">
        <f>J397+N397+S397+W397+AA397+AE397+AI397+AM397+AQ397+AU397+Table1[[#This Row],[MS-0225]]+Table1[[#This Row],[MS-0325]]</f>
        <v>1905.3889999999999</v>
      </c>
      <c r="BR397" s="37">
        <f t="shared" ref="BR397:BR398" si="241">(BP397-BQ397)</f>
        <v>-1552.3889999999999</v>
      </c>
      <c r="BS397" s="37">
        <f t="shared" ref="BS397:BS398" si="242">(BR397)/BQ397*100</f>
        <v>-81.473599354252585</v>
      </c>
      <c r="BT397" s="36">
        <f t="shared" ref="BT397:BT398" si="243">M397+Q397+T397+X397+AB397+AF397+AJ397+AN397+AR397+AV397+AZ397+BD397</f>
        <v>308</v>
      </c>
      <c r="BU397" s="36">
        <f t="shared" ref="BU397:BU398" si="244">L397+P397+U397+Y397+AC397+AG397+AK397+AO397+AS397+AW397+BA397+BE397</f>
        <v>1693.8810000000001</v>
      </c>
      <c r="BV397" s="37">
        <f t="shared" ref="BV397:BV398" si="245">(BT397-BU397)</f>
        <v>-1385.8810000000001</v>
      </c>
      <c r="BW397" s="37">
        <f t="shared" ref="BW397:BW398" si="246">(BV397)/BU397*100</f>
        <v>-81.816904493290849</v>
      </c>
      <c r="BX397">
        <v>0</v>
      </c>
      <c r="BY397" s="83" t="e">
        <f t="shared" ref="BY397:BY398" si="247">BX397/BH397</f>
        <v>#DIV/0!</v>
      </c>
      <c r="BZ397">
        <v>0</v>
      </c>
      <c r="CA397" s="83">
        <f t="shared" ref="CA397:CA398" si="248">BZ397/BP397</f>
        <v>0</v>
      </c>
      <c r="CB397" s="96">
        <f t="shared" ref="CB397:CB398" si="249">BH397/SUMIFS(BH$2:BH$398,G$2:G$398,G397)</f>
        <v>0</v>
      </c>
      <c r="CC397" s="96">
        <f t="shared" ref="CC397:CC398" si="250">BI397/SUMIFS(BI$2:BI$398,G$2:G$398,G397)</f>
        <v>0</v>
      </c>
      <c r="CD397" s="97">
        <f t="shared" ref="CD397:CD398" si="251">CB397-CC397</f>
        <v>0</v>
      </c>
      <c r="CE397" s="96">
        <f t="shared" ref="CE397:CE398" si="252">BL397/SUMIFS(BL$2:BL$398,G$2:G$398,G397)</f>
        <v>0</v>
      </c>
      <c r="CF397" s="96">
        <f t="shared" ref="CF397:CF398" si="253">BM397/SUMIFS(BM$2:BM$398,G$2:G$398,G397)</f>
        <v>0</v>
      </c>
      <c r="CG397" s="96">
        <f t="shared" ref="CG397:CG398" si="254">CE397-CF397</f>
        <v>0</v>
      </c>
      <c r="CH397" s="95">
        <f t="shared" ref="CH397:CH398" si="255">BP397/SUMIFS(BP$2:BP$398,G$2:G$398,G397)</f>
        <v>1.259949316486419E-2</v>
      </c>
      <c r="CI397" s="95">
        <f t="shared" ref="CI397:CI398" si="256">BQ397/SUMIFS(BQ$2:BQ$398,G$2:G$398,G397)</f>
        <v>7.1858085684115253E-2</v>
      </c>
      <c r="CJ397" s="98">
        <f t="shared" ref="CJ397:CJ398" si="257">CH397-CI397</f>
        <v>-5.9258592519251065E-2</v>
      </c>
      <c r="CK397" s="95">
        <f t="shared" ref="CK397:CK398" si="258">BT397/SUMIFS(BT$2:BT$398,G$2:G$398,G397)</f>
        <v>2.6508305361907222E-2</v>
      </c>
      <c r="CL397" s="95">
        <f t="shared" ref="CL397:CL398" si="259">BU397/SUMIFS(BU$2:BU$398,G$2:G$398,G397)</f>
        <v>0.13327151848937846</v>
      </c>
      <c r="CM397" s="98">
        <f t="shared" ref="CM397:CM398" si="260">CK397-CL397</f>
        <v>-0.10676321312747124</v>
      </c>
      <c r="CN397" s="94">
        <f t="shared" ref="CN397:CN398" si="261">COUNTIFS(G$2:G$398,G397)*CH397</f>
        <v>7.5596958989185142E-2</v>
      </c>
      <c r="CO397" s="94">
        <f t="shared" ref="CO397:CO398" si="262">COUNTIFS(G$2:G$398,G397)*CK397</f>
        <v>0.15904983217144333</v>
      </c>
    </row>
    <row r="398" spans="1:95" ht="24.5" x14ac:dyDescent="0.35">
      <c r="A398" s="102">
        <v>112445</v>
      </c>
      <c r="B398" s="3" t="s">
        <v>72</v>
      </c>
      <c r="C398" s="43" t="s">
        <v>245</v>
      </c>
      <c r="D398" s="12" t="s">
        <v>246</v>
      </c>
      <c r="E398" s="4" t="s">
        <v>111</v>
      </c>
      <c r="F398" s="4" t="s">
        <v>247</v>
      </c>
      <c r="G398" s="12" t="s">
        <v>247</v>
      </c>
      <c r="H398" s="51" t="s">
        <v>248</v>
      </c>
      <c r="I398" s="23" t="s">
        <v>78</v>
      </c>
      <c r="J398" s="90">
        <v>306</v>
      </c>
      <c r="K398" s="90">
        <v>486</v>
      </c>
      <c r="L398" s="139">
        <v>108</v>
      </c>
      <c r="M398" s="90">
        <v>180</v>
      </c>
      <c r="N398" s="18">
        <v>477</v>
      </c>
      <c r="O398" s="18">
        <v>468</v>
      </c>
      <c r="P398" s="18">
        <v>207</v>
      </c>
      <c r="Q398" s="18">
        <v>162</v>
      </c>
      <c r="R398" s="90">
        <v>378</v>
      </c>
      <c r="S398" s="90">
        <v>463.5</v>
      </c>
      <c r="T398" s="90">
        <v>126</v>
      </c>
      <c r="U398" s="90">
        <v>184.5</v>
      </c>
      <c r="V398" s="90">
        <v>454.5</v>
      </c>
      <c r="W398" s="90">
        <v>472.5</v>
      </c>
      <c r="X398" s="90">
        <v>139.5</v>
      </c>
      <c r="Y398" s="90">
        <v>175.5</v>
      </c>
      <c r="Z398" s="90">
        <v>440</v>
      </c>
      <c r="AA398" s="90">
        <v>457.5</v>
      </c>
      <c r="AB398" s="90">
        <v>148</v>
      </c>
      <c r="AC398" s="90">
        <v>178.5</v>
      </c>
      <c r="AD398" s="90">
        <v>441</v>
      </c>
      <c r="AE398" s="90">
        <v>440</v>
      </c>
      <c r="AF398" s="90">
        <v>153</v>
      </c>
      <c r="AG398" s="90">
        <v>158</v>
      </c>
      <c r="AH398" s="90">
        <v>477</v>
      </c>
      <c r="AI398" s="90">
        <v>477</v>
      </c>
      <c r="AJ398" s="90">
        <v>153</v>
      </c>
      <c r="AK398" s="90">
        <v>207</v>
      </c>
      <c r="AL398" s="90">
        <v>306</v>
      </c>
      <c r="AM398" s="90">
        <v>427.5</v>
      </c>
      <c r="AN398" s="90">
        <v>72</v>
      </c>
      <c r="AO398" s="90">
        <v>148.5</v>
      </c>
      <c r="AP398" s="90">
        <v>0</v>
      </c>
      <c r="AQ398" s="90">
        <v>432</v>
      </c>
      <c r="AR398" s="90">
        <v>0</v>
      </c>
      <c r="AS398" s="90">
        <v>144</v>
      </c>
      <c r="AT398" s="90">
        <v>0</v>
      </c>
      <c r="AU398" s="90">
        <v>450</v>
      </c>
      <c r="AV398" s="90">
        <v>0</v>
      </c>
      <c r="AW398" s="90">
        <v>162</v>
      </c>
      <c r="AX398" s="90">
        <v>0</v>
      </c>
      <c r="AY398" s="90">
        <v>405</v>
      </c>
      <c r="AZ398" s="90">
        <v>0</v>
      </c>
      <c r="BA398" s="90">
        <v>171</v>
      </c>
      <c r="BB398" s="90">
        <v>0</v>
      </c>
      <c r="BC398" s="90">
        <v>432</v>
      </c>
      <c r="BD398" s="90">
        <v>0</v>
      </c>
      <c r="BE398" s="90">
        <v>180</v>
      </c>
      <c r="BF398" s="23">
        <v>28.569030000000001</v>
      </c>
      <c r="BG398" s="23">
        <v>77.22193</v>
      </c>
      <c r="BH398" s="31">
        <f t="shared" si="232"/>
        <v>0</v>
      </c>
      <c r="BI398" s="31">
        <f t="shared" si="233"/>
        <v>432</v>
      </c>
      <c r="BJ398" s="37">
        <f t="shared" si="234"/>
        <v>-432</v>
      </c>
      <c r="BK398" s="37">
        <f t="shared" si="235"/>
        <v>-100</v>
      </c>
      <c r="BL398" s="36">
        <f t="shared" si="236"/>
        <v>0</v>
      </c>
      <c r="BM398" s="36">
        <f t="shared" si="237"/>
        <v>180</v>
      </c>
      <c r="BN398" s="37">
        <f t="shared" si="238"/>
        <v>-180</v>
      </c>
      <c r="BO398" s="37">
        <f t="shared" si="239"/>
        <v>-100</v>
      </c>
      <c r="BP398" s="38">
        <f t="shared" si="240"/>
        <v>3450.5</v>
      </c>
      <c r="BQ398" s="39">
        <f>J398+N398+S398+W398+AA398+AE398+AI398+AM398+AQ398+AU398+Table1[[#This Row],[MS-0225]]+Table1[[#This Row],[MS-0325]]</f>
        <v>5240</v>
      </c>
      <c r="BR398" s="37">
        <f t="shared" si="241"/>
        <v>-1789.5</v>
      </c>
      <c r="BS398" s="37">
        <f t="shared" si="242"/>
        <v>-34.150763358778626</v>
      </c>
      <c r="BT398" s="36">
        <f t="shared" si="243"/>
        <v>1133.5</v>
      </c>
      <c r="BU398" s="36">
        <f t="shared" si="244"/>
        <v>2024</v>
      </c>
      <c r="BV398" s="37">
        <f t="shared" si="245"/>
        <v>-890.5</v>
      </c>
      <c r="BW398" s="37">
        <f t="shared" si="246"/>
        <v>-43.997035573122531</v>
      </c>
      <c r="BX398">
        <v>0</v>
      </c>
      <c r="BY398" s="83" t="e">
        <f t="shared" si="247"/>
        <v>#DIV/0!</v>
      </c>
      <c r="BZ398">
        <v>0</v>
      </c>
      <c r="CA398" s="83">
        <f t="shared" si="248"/>
        <v>0</v>
      </c>
      <c r="CB398" s="96">
        <f t="shared" si="249"/>
        <v>0</v>
      </c>
      <c r="CC398" s="96">
        <f t="shared" si="250"/>
        <v>0.28666224286662245</v>
      </c>
      <c r="CD398" s="97">
        <f t="shared" si="251"/>
        <v>-0.28666224286662245</v>
      </c>
      <c r="CE398" s="96">
        <f t="shared" si="252"/>
        <v>0</v>
      </c>
      <c r="CF398" s="96">
        <f t="shared" si="253"/>
        <v>0.45454545454545453</v>
      </c>
      <c r="CG398" s="96">
        <f t="shared" si="254"/>
        <v>-0.45454545454545453</v>
      </c>
      <c r="CH398" s="95">
        <f t="shared" si="255"/>
        <v>0.19796896067012823</v>
      </c>
      <c r="CI398" s="95">
        <f t="shared" si="256"/>
        <v>0.29541098207238697</v>
      </c>
      <c r="CJ398" s="98">
        <f t="shared" si="257"/>
        <v>-9.7442021402258744E-2</v>
      </c>
      <c r="CK398" s="95">
        <f t="shared" si="258"/>
        <v>0.2980149861969239</v>
      </c>
      <c r="CL398" s="95">
        <f t="shared" si="259"/>
        <v>0.41887417218543044</v>
      </c>
      <c r="CM398" s="98">
        <f t="shared" si="260"/>
        <v>-0.12085918598850653</v>
      </c>
      <c r="CN398" s="94">
        <f t="shared" si="261"/>
        <v>0.79187584268051292</v>
      </c>
      <c r="CO398" s="94">
        <f t="shared" si="262"/>
        <v>1.1920599447876956</v>
      </c>
    </row>
  </sheetData>
  <phoneticPr fontId="7" type="noConversion"/>
  <pageMargins left="0.70866141732283472" right="0.70866141732283472" top="0.74803149606299213" bottom="0.74803149606299213" header="0.31496062992125984" footer="0.31496062992125984"/>
  <pageSetup paperSize="9" fitToHeight="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55E1-9804-4114-8E94-76E9F76F884F}">
  <sheetPr filterMode="1"/>
  <dimension ref="A1:K108"/>
  <sheetViews>
    <sheetView workbookViewId="0">
      <selection activeCell="H4" sqref="H4"/>
    </sheetView>
  </sheetViews>
  <sheetFormatPr defaultRowHeight="15.5" x14ac:dyDescent="0.35"/>
  <cols>
    <col min="3" max="3" width="46.08984375" customWidth="1"/>
    <col min="4" max="4" width="14.36328125" customWidth="1"/>
    <col min="6" max="6" width="27.6328125" customWidth="1"/>
  </cols>
  <sheetData>
    <row r="1" spans="1:11" ht="48" x14ac:dyDescent="0.35">
      <c r="A1" s="1" t="s">
        <v>0</v>
      </c>
      <c r="B1" s="1" t="s">
        <v>1</v>
      </c>
      <c r="C1" s="1" t="s">
        <v>2</v>
      </c>
      <c r="D1" s="22" t="s">
        <v>49</v>
      </c>
      <c r="E1" s="50" t="s">
        <v>956</v>
      </c>
      <c r="F1" s="50" t="s">
        <v>957</v>
      </c>
      <c r="G1" s="50" t="s">
        <v>958</v>
      </c>
      <c r="H1" s="50" t="s">
        <v>959</v>
      </c>
      <c r="I1" s="50" t="s">
        <v>960</v>
      </c>
      <c r="J1" s="50" t="s">
        <v>961</v>
      </c>
      <c r="K1" s="50" t="s">
        <v>962</v>
      </c>
    </row>
    <row r="2" spans="1:11" ht="22.25" hidden="1" customHeight="1" x14ac:dyDescent="0.35">
      <c r="A2" s="3">
        <v>236924</v>
      </c>
      <c r="B2" s="3" t="s">
        <v>72</v>
      </c>
      <c r="C2" s="43" t="s">
        <v>73</v>
      </c>
      <c r="D2" s="23" t="s">
        <v>78</v>
      </c>
    </row>
    <row r="3" spans="1:11" ht="22.25" hidden="1" customHeight="1" x14ac:dyDescent="0.35">
      <c r="A3" s="3">
        <v>256507</v>
      </c>
      <c r="B3" s="3" t="s">
        <v>72</v>
      </c>
      <c r="C3" s="43" t="s">
        <v>79</v>
      </c>
      <c r="D3" s="23" t="s">
        <v>83</v>
      </c>
    </row>
    <row r="4" spans="1:11" ht="22.25" customHeight="1" x14ac:dyDescent="0.35">
      <c r="A4" s="3">
        <v>255872</v>
      </c>
      <c r="B4" s="3" t="s">
        <v>72</v>
      </c>
      <c r="C4" s="43" t="s">
        <v>84</v>
      </c>
      <c r="D4" s="23" t="s">
        <v>86</v>
      </c>
    </row>
    <row r="5" spans="1:11" ht="22.25" hidden="1" customHeight="1" x14ac:dyDescent="0.35">
      <c r="A5" s="3">
        <v>112397</v>
      </c>
      <c r="B5" s="3" t="s">
        <v>72</v>
      </c>
      <c r="C5" s="42" t="s">
        <v>92</v>
      </c>
      <c r="D5" s="23" t="s">
        <v>83</v>
      </c>
    </row>
    <row r="6" spans="1:11" ht="22.25" customHeight="1" x14ac:dyDescent="0.35">
      <c r="A6" s="3">
        <v>112407</v>
      </c>
      <c r="B6" s="3" t="s">
        <v>72</v>
      </c>
      <c r="C6" s="41" t="s">
        <v>349</v>
      </c>
      <c r="D6" s="23" t="s">
        <v>86</v>
      </c>
      <c r="F6" t="s">
        <v>963</v>
      </c>
    </row>
    <row r="7" spans="1:11" ht="22.25" hidden="1" customHeight="1" x14ac:dyDescent="0.35">
      <c r="A7" s="3">
        <v>250828</v>
      </c>
      <c r="B7" s="3" t="s">
        <v>72</v>
      </c>
      <c r="C7" s="43" t="s">
        <v>97</v>
      </c>
      <c r="D7" s="23" t="s">
        <v>78</v>
      </c>
    </row>
    <row r="8" spans="1:11" ht="22.25" customHeight="1" x14ac:dyDescent="0.35">
      <c r="A8" s="3">
        <v>144329</v>
      </c>
      <c r="B8" s="3" t="s">
        <v>72</v>
      </c>
      <c r="C8" s="41" t="s">
        <v>190</v>
      </c>
      <c r="D8" s="23" t="s">
        <v>86</v>
      </c>
      <c r="F8" t="s">
        <v>963</v>
      </c>
    </row>
    <row r="9" spans="1:11" ht="22.25" hidden="1" customHeight="1" x14ac:dyDescent="0.35">
      <c r="A9" s="3">
        <v>129151</v>
      </c>
      <c r="B9" s="3" t="s">
        <v>72</v>
      </c>
      <c r="C9" s="40" t="s">
        <v>98</v>
      </c>
      <c r="D9" s="23" t="s">
        <v>78</v>
      </c>
      <c r="E9" t="s">
        <v>963</v>
      </c>
    </row>
    <row r="10" spans="1:11" ht="22.25" hidden="1" customHeight="1" x14ac:dyDescent="0.35">
      <c r="A10" s="3">
        <v>112403</v>
      </c>
      <c r="B10" s="3" t="s">
        <v>72</v>
      </c>
      <c r="C10" s="41" t="s">
        <v>101</v>
      </c>
      <c r="D10" s="23" t="s">
        <v>78</v>
      </c>
      <c r="E10" t="s">
        <v>963</v>
      </c>
    </row>
    <row r="11" spans="1:11" ht="22.25" hidden="1" customHeight="1" x14ac:dyDescent="0.35">
      <c r="A11" s="3">
        <v>112457</v>
      </c>
      <c r="B11" s="3" t="s">
        <v>72</v>
      </c>
      <c r="C11" s="45" t="s">
        <v>106</v>
      </c>
      <c r="D11" s="23" t="s">
        <v>78</v>
      </c>
    </row>
    <row r="12" spans="1:11" ht="22.25" hidden="1" customHeight="1" x14ac:dyDescent="0.35">
      <c r="A12" s="3">
        <v>112434</v>
      </c>
      <c r="B12" s="3" t="s">
        <v>72</v>
      </c>
      <c r="C12" s="43" t="s">
        <v>109</v>
      </c>
      <c r="D12" s="23" t="s">
        <v>78</v>
      </c>
      <c r="E12" t="s">
        <v>963</v>
      </c>
    </row>
    <row r="13" spans="1:11" ht="22.25" hidden="1" customHeight="1" x14ac:dyDescent="0.35">
      <c r="A13" s="3">
        <v>112398</v>
      </c>
      <c r="B13" s="3" t="s">
        <v>72</v>
      </c>
      <c r="C13" s="41" t="s">
        <v>114</v>
      </c>
      <c r="D13" s="23" t="s">
        <v>78</v>
      </c>
      <c r="E13" t="s">
        <v>963</v>
      </c>
    </row>
    <row r="14" spans="1:11" ht="22.25" hidden="1" customHeight="1" x14ac:dyDescent="0.35">
      <c r="A14" s="3">
        <v>149238</v>
      </c>
      <c r="B14" s="3" t="s">
        <v>72</v>
      </c>
      <c r="C14" s="41" t="s">
        <v>117</v>
      </c>
      <c r="D14" s="23" t="s">
        <v>83</v>
      </c>
    </row>
    <row r="15" spans="1:11" ht="22.25" hidden="1" customHeight="1" x14ac:dyDescent="0.35">
      <c r="A15" s="3">
        <v>112393</v>
      </c>
      <c r="B15" s="3" t="s">
        <v>72</v>
      </c>
      <c r="C15" s="41" t="s">
        <v>121</v>
      </c>
      <c r="D15" s="23" t="s">
        <v>78</v>
      </c>
    </row>
    <row r="16" spans="1:11" ht="22.25" hidden="1" customHeight="1" x14ac:dyDescent="0.35">
      <c r="A16" s="3">
        <v>112387</v>
      </c>
      <c r="B16" s="3" t="s">
        <v>72</v>
      </c>
      <c r="C16" s="40" t="s">
        <v>123</v>
      </c>
      <c r="D16" s="23" t="s">
        <v>78</v>
      </c>
    </row>
    <row r="17" spans="1:6" ht="22.25" hidden="1" customHeight="1" x14ac:dyDescent="0.35">
      <c r="A17" s="3">
        <v>112436</v>
      </c>
      <c r="B17" s="3" t="s">
        <v>72</v>
      </c>
      <c r="C17" s="43" t="s">
        <v>127</v>
      </c>
      <c r="D17" s="23" t="s">
        <v>83</v>
      </c>
      <c r="E17" t="s">
        <v>963</v>
      </c>
    </row>
    <row r="18" spans="1:6" ht="22.25" hidden="1" customHeight="1" x14ac:dyDescent="0.35">
      <c r="A18" s="3">
        <v>123784</v>
      </c>
      <c r="B18" s="3" t="s">
        <v>72</v>
      </c>
      <c r="C18" s="41" t="s">
        <v>130</v>
      </c>
      <c r="D18" s="23" t="s">
        <v>78</v>
      </c>
      <c r="E18" t="s">
        <v>963</v>
      </c>
    </row>
    <row r="19" spans="1:6" ht="22.25" customHeight="1" x14ac:dyDescent="0.35">
      <c r="A19" s="3">
        <v>112440</v>
      </c>
      <c r="B19" s="3" t="s">
        <v>72</v>
      </c>
      <c r="C19" s="45" t="s">
        <v>319</v>
      </c>
      <c r="D19" s="23" t="s">
        <v>86</v>
      </c>
      <c r="E19" t="s">
        <v>963</v>
      </c>
      <c r="F19" t="s">
        <v>963</v>
      </c>
    </row>
    <row r="20" spans="1:6" ht="22.25" customHeight="1" x14ac:dyDescent="0.35">
      <c r="A20" s="3">
        <v>112417</v>
      </c>
      <c r="B20" s="3" t="s">
        <v>72</v>
      </c>
      <c r="C20" s="41" t="s">
        <v>324</v>
      </c>
      <c r="D20" s="23" t="s">
        <v>86</v>
      </c>
      <c r="F20" t="s">
        <v>963</v>
      </c>
    </row>
    <row r="21" spans="1:6" ht="22.25" hidden="1" customHeight="1" x14ac:dyDescent="0.35">
      <c r="A21" s="3">
        <v>112408</v>
      </c>
      <c r="B21" s="3" t="s">
        <v>72</v>
      </c>
      <c r="C21" s="41" t="s">
        <v>132</v>
      </c>
      <c r="D21" s="23" t="s">
        <v>83</v>
      </c>
      <c r="E21" t="s">
        <v>963</v>
      </c>
    </row>
    <row r="22" spans="1:6" ht="22.25" hidden="1" customHeight="1" x14ac:dyDescent="0.35">
      <c r="A22" s="3">
        <v>112429</v>
      </c>
      <c r="B22" s="3" t="s">
        <v>72</v>
      </c>
      <c r="C22" s="40" t="s">
        <v>136</v>
      </c>
      <c r="D22" s="23" t="s">
        <v>83</v>
      </c>
      <c r="E22" t="s">
        <v>963</v>
      </c>
    </row>
    <row r="23" spans="1:6" ht="22.25" hidden="1" customHeight="1" x14ac:dyDescent="0.35">
      <c r="A23" s="3">
        <v>112410</v>
      </c>
      <c r="B23" s="3" t="s">
        <v>72</v>
      </c>
      <c r="C23" s="41" t="s">
        <v>138</v>
      </c>
      <c r="D23" s="23" t="s">
        <v>83</v>
      </c>
    </row>
    <row r="24" spans="1:6" ht="22.25" hidden="1" customHeight="1" x14ac:dyDescent="0.35">
      <c r="A24" s="3">
        <v>112411</v>
      </c>
      <c r="B24" s="3" t="s">
        <v>72</v>
      </c>
      <c r="C24" s="41" t="s">
        <v>142</v>
      </c>
      <c r="D24" s="23" t="s">
        <v>78</v>
      </c>
      <c r="E24" t="s">
        <v>963</v>
      </c>
    </row>
    <row r="25" spans="1:6" ht="22.25" customHeight="1" x14ac:dyDescent="0.35">
      <c r="A25" s="3">
        <v>112422</v>
      </c>
      <c r="B25" s="3" t="s">
        <v>72</v>
      </c>
      <c r="C25" s="42" t="s">
        <v>368</v>
      </c>
      <c r="D25" s="23" t="s">
        <v>86</v>
      </c>
      <c r="F25" t="s">
        <v>963</v>
      </c>
    </row>
    <row r="26" spans="1:6" ht="22.25" hidden="1" customHeight="1" x14ac:dyDescent="0.35">
      <c r="A26" s="3">
        <v>112437</v>
      </c>
      <c r="B26" s="3" t="s">
        <v>72</v>
      </c>
      <c r="C26" s="43" t="s">
        <v>145</v>
      </c>
      <c r="D26" s="23" t="s">
        <v>83</v>
      </c>
      <c r="E26" t="s">
        <v>963</v>
      </c>
    </row>
    <row r="27" spans="1:6" ht="22.25" hidden="1" customHeight="1" x14ac:dyDescent="0.35">
      <c r="A27" s="3">
        <v>112443</v>
      </c>
      <c r="B27" s="3" t="s">
        <v>72</v>
      </c>
      <c r="C27" s="43" t="s">
        <v>147</v>
      </c>
      <c r="D27" s="23" t="s">
        <v>78</v>
      </c>
      <c r="E27" t="s">
        <v>963</v>
      </c>
    </row>
    <row r="28" spans="1:6" ht="22.25" hidden="1" customHeight="1" x14ac:dyDescent="0.35">
      <c r="A28" s="3">
        <v>112391</v>
      </c>
      <c r="B28" s="3" t="s">
        <v>72</v>
      </c>
      <c r="C28" s="40" t="s">
        <v>150</v>
      </c>
      <c r="D28" s="23" t="s">
        <v>78</v>
      </c>
      <c r="E28" t="s">
        <v>963</v>
      </c>
    </row>
    <row r="29" spans="1:6" ht="22.25" hidden="1" customHeight="1" x14ac:dyDescent="0.35">
      <c r="A29" s="3">
        <v>163741</v>
      </c>
      <c r="B29" s="3" t="s">
        <v>72</v>
      </c>
      <c r="C29" s="41" t="s">
        <v>152</v>
      </c>
      <c r="D29" s="23" t="s">
        <v>83</v>
      </c>
      <c r="E29" t="s">
        <v>963</v>
      </c>
    </row>
    <row r="30" spans="1:6" ht="22.25" customHeight="1" x14ac:dyDescent="0.35">
      <c r="A30" s="3">
        <v>112439</v>
      </c>
      <c r="B30" s="3" t="s">
        <v>72</v>
      </c>
      <c r="C30" s="43" t="s">
        <v>354</v>
      </c>
      <c r="D30" s="23" t="s">
        <v>86</v>
      </c>
      <c r="F30" t="s">
        <v>963</v>
      </c>
    </row>
    <row r="31" spans="1:6" ht="22.25" hidden="1" customHeight="1" x14ac:dyDescent="0.35">
      <c r="A31" s="3">
        <v>112459</v>
      </c>
      <c r="B31" s="3" t="s">
        <v>72</v>
      </c>
      <c r="C31" s="43" t="s">
        <v>155</v>
      </c>
      <c r="D31" s="23" t="s">
        <v>83</v>
      </c>
    </row>
    <row r="32" spans="1:6" ht="22.25" hidden="1" customHeight="1" x14ac:dyDescent="0.35">
      <c r="A32" s="3">
        <v>112392</v>
      </c>
      <c r="B32" s="3" t="s">
        <v>72</v>
      </c>
      <c r="C32" s="40" t="s">
        <v>156</v>
      </c>
      <c r="D32" s="23" t="s">
        <v>78</v>
      </c>
    </row>
    <row r="33" spans="1:6" ht="22.25" hidden="1" customHeight="1" x14ac:dyDescent="0.35">
      <c r="A33" s="3">
        <v>156837</v>
      </c>
      <c r="B33" s="3" t="s">
        <v>72</v>
      </c>
      <c r="C33" s="41" t="s">
        <v>159</v>
      </c>
      <c r="D33" s="23" t="s">
        <v>83</v>
      </c>
    </row>
    <row r="34" spans="1:6" ht="22.25" hidden="1" customHeight="1" x14ac:dyDescent="0.35">
      <c r="A34" s="3">
        <v>112453</v>
      </c>
      <c r="B34" s="3" t="s">
        <v>72</v>
      </c>
      <c r="C34" s="43" t="s">
        <v>162</v>
      </c>
      <c r="D34" s="23" t="s">
        <v>83</v>
      </c>
      <c r="E34" t="s">
        <v>963</v>
      </c>
    </row>
    <row r="35" spans="1:6" ht="22.25" hidden="1" customHeight="1" x14ac:dyDescent="0.35">
      <c r="A35" s="3">
        <v>112454</v>
      </c>
      <c r="B35" s="3" t="s">
        <v>72</v>
      </c>
      <c r="C35" s="43" t="s">
        <v>164</v>
      </c>
      <c r="D35" s="23" t="s">
        <v>83</v>
      </c>
    </row>
    <row r="36" spans="1:6" ht="22.25" hidden="1" customHeight="1" x14ac:dyDescent="0.35">
      <c r="A36" s="3">
        <v>112720</v>
      </c>
      <c r="B36" s="3" t="s">
        <v>72</v>
      </c>
      <c r="C36" s="40" t="s">
        <v>167</v>
      </c>
      <c r="D36" s="23" t="s">
        <v>78</v>
      </c>
    </row>
    <row r="37" spans="1:6" ht="22.25" hidden="1" customHeight="1" x14ac:dyDescent="0.35">
      <c r="A37" s="3">
        <v>112400</v>
      </c>
      <c r="B37" s="3" t="s">
        <v>72</v>
      </c>
      <c r="C37" s="41" t="s">
        <v>170</v>
      </c>
      <c r="D37" s="23" t="s">
        <v>78</v>
      </c>
    </row>
    <row r="38" spans="1:6" ht="22.25" hidden="1" customHeight="1" x14ac:dyDescent="0.35">
      <c r="A38" s="3">
        <v>112383</v>
      </c>
      <c r="B38" s="3" t="s">
        <v>72</v>
      </c>
      <c r="C38" s="40" t="s">
        <v>173</v>
      </c>
      <c r="D38" s="23" t="s">
        <v>78</v>
      </c>
      <c r="E38" t="s">
        <v>963</v>
      </c>
    </row>
    <row r="39" spans="1:6" ht="22.25" customHeight="1" x14ac:dyDescent="0.35">
      <c r="A39" s="3">
        <v>112418</v>
      </c>
      <c r="B39" s="3" t="s">
        <v>72</v>
      </c>
      <c r="C39" s="41" t="s">
        <v>313</v>
      </c>
      <c r="D39" s="23" t="s">
        <v>86</v>
      </c>
      <c r="F39" t="s">
        <v>963</v>
      </c>
    </row>
    <row r="40" spans="1:6" ht="22.25" customHeight="1" x14ac:dyDescent="0.35">
      <c r="A40" s="3">
        <v>112414</v>
      </c>
      <c r="B40" s="3" t="s">
        <v>72</v>
      </c>
      <c r="C40" s="41" t="s">
        <v>346</v>
      </c>
      <c r="D40" s="23" t="s">
        <v>86</v>
      </c>
      <c r="E40" t="s">
        <v>963</v>
      </c>
      <c r="F40" t="s">
        <v>964</v>
      </c>
    </row>
    <row r="41" spans="1:6" ht="22.25" customHeight="1" x14ac:dyDescent="0.35">
      <c r="A41" s="3">
        <v>200922</v>
      </c>
      <c r="B41" s="3" t="s">
        <v>72</v>
      </c>
      <c r="C41" s="41" t="s">
        <v>329</v>
      </c>
      <c r="D41" s="23" t="s">
        <v>86</v>
      </c>
      <c r="F41" t="s">
        <v>963</v>
      </c>
    </row>
    <row r="42" spans="1:6" ht="22.25" hidden="1" customHeight="1" x14ac:dyDescent="0.35">
      <c r="A42" s="3">
        <v>112384</v>
      </c>
      <c r="B42" s="3" t="s">
        <v>72</v>
      </c>
      <c r="C42" s="40" t="s">
        <v>179</v>
      </c>
      <c r="D42" s="23" t="s">
        <v>83</v>
      </c>
    </row>
    <row r="43" spans="1:6" ht="22.25" hidden="1" customHeight="1" x14ac:dyDescent="0.35">
      <c r="A43" s="3">
        <v>149412</v>
      </c>
      <c r="B43" s="3" t="s">
        <v>72</v>
      </c>
      <c r="C43" s="43" t="s">
        <v>182</v>
      </c>
      <c r="D43" s="23" t="s">
        <v>83</v>
      </c>
    </row>
    <row r="44" spans="1:6" ht="22.25" customHeight="1" x14ac:dyDescent="0.35">
      <c r="A44" s="3">
        <v>112420</v>
      </c>
      <c r="B44" s="3" t="s">
        <v>72</v>
      </c>
      <c r="C44" s="41" t="s">
        <v>202</v>
      </c>
      <c r="D44" s="23" t="s">
        <v>86</v>
      </c>
      <c r="E44" t="s">
        <v>963</v>
      </c>
      <c r="F44" t="s">
        <v>963</v>
      </c>
    </row>
    <row r="45" spans="1:6" ht="22.25" customHeight="1" x14ac:dyDescent="0.35">
      <c r="A45" s="3">
        <v>136152</v>
      </c>
      <c r="B45" s="3" t="s">
        <v>72</v>
      </c>
      <c r="C45" s="43" t="s">
        <v>343</v>
      </c>
      <c r="D45" s="23" t="s">
        <v>86</v>
      </c>
      <c r="F45" t="s">
        <v>963</v>
      </c>
    </row>
    <row r="46" spans="1:6" ht="22.25" customHeight="1" x14ac:dyDescent="0.35">
      <c r="A46" s="3">
        <v>112450</v>
      </c>
      <c r="B46" s="3" t="s">
        <v>72</v>
      </c>
      <c r="C46" s="43" t="s">
        <v>347</v>
      </c>
      <c r="D46" s="23" t="s">
        <v>86</v>
      </c>
      <c r="E46" t="s">
        <v>963</v>
      </c>
      <c r="F46" t="s">
        <v>963</v>
      </c>
    </row>
    <row r="47" spans="1:6" ht="22.25" customHeight="1" x14ac:dyDescent="0.35">
      <c r="A47" s="3">
        <v>112390</v>
      </c>
      <c r="B47" s="3" t="s">
        <v>72</v>
      </c>
      <c r="C47" s="40" t="s">
        <v>338</v>
      </c>
      <c r="D47" s="23" t="s">
        <v>86</v>
      </c>
      <c r="E47" t="s">
        <v>963</v>
      </c>
      <c r="F47" t="s">
        <v>963</v>
      </c>
    </row>
    <row r="48" spans="1:6" ht="22.25" customHeight="1" x14ac:dyDescent="0.35">
      <c r="A48" s="3">
        <v>112438</v>
      </c>
      <c r="B48" s="3" t="s">
        <v>72</v>
      </c>
      <c r="C48" s="43" t="s">
        <v>371</v>
      </c>
      <c r="D48" s="23" t="s">
        <v>86</v>
      </c>
      <c r="E48" t="s">
        <v>963</v>
      </c>
      <c r="F48" t="s">
        <v>963</v>
      </c>
    </row>
    <row r="49" spans="1:6" ht="22.25" hidden="1" customHeight="1" x14ac:dyDescent="0.35">
      <c r="A49" s="3">
        <v>112451</v>
      </c>
      <c r="B49" s="3" t="s">
        <v>72</v>
      </c>
      <c r="C49" s="43" t="s">
        <v>193</v>
      </c>
      <c r="D49" s="23" t="s">
        <v>83</v>
      </c>
      <c r="E49" t="s">
        <v>963</v>
      </c>
    </row>
    <row r="50" spans="1:6" ht="22.25" hidden="1" customHeight="1" x14ac:dyDescent="0.35">
      <c r="A50" s="3">
        <v>146411</v>
      </c>
      <c r="B50" s="3" t="s">
        <v>72</v>
      </c>
      <c r="C50" s="43" t="s">
        <v>196</v>
      </c>
      <c r="D50" s="23" t="s">
        <v>83</v>
      </c>
    </row>
    <row r="51" spans="1:6" ht="22.25" hidden="1" customHeight="1" x14ac:dyDescent="0.35">
      <c r="A51" s="3">
        <v>112399</v>
      </c>
      <c r="B51" s="3" t="s">
        <v>72</v>
      </c>
      <c r="C51" s="42" t="s">
        <v>198</v>
      </c>
      <c r="D51" s="23" t="s">
        <v>83</v>
      </c>
    </row>
    <row r="52" spans="1:6" ht="22.25" customHeight="1" x14ac:dyDescent="0.35">
      <c r="A52" s="3">
        <v>112419</v>
      </c>
      <c r="B52" s="3" t="s">
        <v>72</v>
      </c>
      <c r="C52" s="41" t="s">
        <v>322</v>
      </c>
      <c r="D52" s="23" t="s">
        <v>86</v>
      </c>
      <c r="F52" t="s">
        <v>963</v>
      </c>
    </row>
    <row r="53" spans="1:6" ht="22.25" customHeight="1" x14ac:dyDescent="0.35">
      <c r="A53" s="3">
        <v>112385</v>
      </c>
      <c r="B53" s="3" t="s">
        <v>72</v>
      </c>
      <c r="C53" s="40" t="s">
        <v>351</v>
      </c>
      <c r="D53" s="23" t="s">
        <v>86</v>
      </c>
      <c r="F53" t="s">
        <v>963</v>
      </c>
    </row>
    <row r="54" spans="1:6" ht="22.25" hidden="1" customHeight="1" x14ac:dyDescent="0.35">
      <c r="A54" s="3">
        <v>112425</v>
      </c>
      <c r="B54" s="3" t="s">
        <v>72</v>
      </c>
      <c r="C54" s="40" t="s">
        <v>206</v>
      </c>
      <c r="D54" s="23" t="s">
        <v>83</v>
      </c>
    </row>
    <row r="55" spans="1:6" ht="22.25" hidden="1" customHeight="1" x14ac:dyDescent="0.35">
      <c r="A55" s="3">
        <v>112389</v>
      </c>
      <c r="B55" s="3" t="s">
        <v>72</v>
      </c>
      <c r="C55" s="40" t="s">
        <v>209</v>
      </c>
      <c r="D55" s="23" t="s">
        <v>83</v>
      </c>
    </row>
    <row r="56" spans="1:6" ht="22.25" customHeight="1" x14ac:dyDescent="0.35">
      <c r="A56" s="3">
        <v>112456</v>
      </c>
      <c r="B56" s="3" t="s">
        <v>72</v>
      </c>
      <c r="C56" s="43" t="s">
        <v>359</v>
      </c>
      <c r="D56" s="23" t="s">
        <v>86</v>
      </c>
      <c r="E56" t="s">
        <v>963</v>
      </c>
      <c r="F56" t="s">
        <v>963</v>
      </c>
    </row>
    <row r="57" spans="1:6" ht="22.25" customHeight="1" x14ac:dyDescent="0.35">
      <c r="A57" s="3">
        <v>148413</v>
      </c>
      <c r="B57" s="3" t="s">
        <v>72</v>
      </c>
      <c r="C57" s="41" t="s">
        <v>305</v>
      </c>
      <c r="D57" s="23" t="s">
        <v>86</v>
      </c>
      <c r="F57" t="s">
        <v>963</v>
      </c>
    </row>
    <row r="58" spans="1:6" ht="22.25" customHeight="1" x14ac:dyDescent="0.35">
      <c r="A58" s="3">
        <v>112458</v>
      </c>
      <c r="B58" s="3" t="s">
        <v>72</v>
      </c>
      <c r="C58" s="43" t="s">
        <v>327</v>
      </c>
      <c r="D58" s="23" t="s">
        <v>86</v>
      </c>
      <c r="F58" t="s">
        <v>964</v>
      </c>
    </row>
    <row r="59" spans="1:6" ht="22.25" customHeight="1" x14ac:dyDescent="0.35">
      <c r="A59" s="3">
        <v>112448</v>
      </c>
      <c r="B59" s="3" t="s">
        <v>72</v>
      </c>
      <c r="C59" s="43" t="s">
        <v>301</v>
      </c>
      <c r="D59" s="23" t="s">
        <v>86</v>
      </c>
      <c r="F59" t="s">
        <v>963</v>
      </c>
    </row>
    <row r="60" spans="1:6" ht="22.25" customHeight="1" x14ac:dyDescent="0.35">
      <c r="A60" s="3">
        <v>128472</v>
      </c>
      <c r="B60" s="3" t="s">
        <v>72</v>
      </c>
      <c r="C60" s="43" t="s">
        <v>340</v>
      </c>
      <c r="D60" s="23" t="s">
        <v>86</v>
      </c>
      <c r="F60" t="s">
        <v>963</v>
      </c>
    </row>
    <row r="61" spans="1:6" ht="22.25" customHeight="1" x14ac:dyDescent="0.35">
      <c r="A61" s="3">
        <v>131712</v>
      </c>
      <c r="B61" s="3" t="s">
        <v>72</v>
      </c>
      <c r="C61" s="43" t="s">
        <v>311</v>
      </c>
      <c r="D61" s="23" t="s">
        <v>86</v>
      </c>
      <c r="F61" t="s">
        <v>964</v>
      </c>
    </row>
    <row r="62" spans="1:6" ht="22.25" hidden="1" customHeight="1" x14ac:dyDescent="0.35">
      <c r="A62" s="3">
        <v>112462</v>
      </c>
      <c r="B62" s="3" t="s">
        <v>72</v>
      </c>
      <c r="C62" s="43" t="s">
        <v>218</v>
      </c>
      <c r="D62" s="23" t="s">
        <v>78</v>
      </c>
    </row>
    <row r="63" spans="1:6" ht="22.25" customHeight="1" x14ac:dyDescent="0.35">
      <c r="A63" s="3">
        <v>163708</v>
      </c>
      <c r="B63" s="3" t="s">
        <v>72</v>
      </c>
      <c r="C63" s="43" t="s">
        <v>286</v>
      </c>
      <c r="D63" s="23" t="s">
        <v>86</v>
      </c>
      <c r="F63" t="s">
        <v>963</v>
      </c>
    </row>
    <row r="64" spans="1:6" ht="22.25" hidden="1" customHeight="1" x14ac:dyDescent="0.35">
      <c r="A64" s="3">
        <v>112413</v>
      </c>
      <c r="B64" s="3" t="s">
        <v>72</v>
      </c>
      <c r="C64" s="41" t="s">
        <v>221</v>
      </c>
      <c r="D64" s="23" t="s">
        <v>83</v>
      </c>
    </row>
    <row r="65" spans="1:6" ht="22.25" customHeight="1" x14ac:dyDescent="0.35">
      <c r="A65" s="3">
        <v>127090</v>
      </c>
      <c r="B65" s="3" t="s">
        <v>72</v>
      </c>
      <c r="C65" s="43" t="s">
        <v>316</v>
      </c>
      <c r="D65" s="23" t="s">
        <v>86</v>
      </c>
      <c r="F65" t="s">
        <v>963</v>
      </c>
    </row>
    <row r="66" spans="1:6" ht="22.25" hidden="1" customHeight="1" x14ac:dyDescent="0.35">
      <c r="A66" s="3">
        <v>112460</v>
      </c>
      <c r="B66" s="3" t="s">
        <v>72</v>
      </c>
      <c r="C66" s="45" t="s">
        <v>224</v>
      </c>
      <c r="D66" s="23" t="s">
        <v>78</v>
      </c>
    </row>
    <row r="67" spans="1:6" ht="22.25" customHeight="1" x14ac:dyDescent="0.35">
      <c r="A67" s="3">
        <v>147286</v>
      </c>
      <c r="B67" s="3" t="s">
        <v>72</v>
      </c>
      <c r="C67" s="41" t="s">
        <v>376</v>
      </c>
      <c r="D67" s="23" t="s">
        <v>86</v>
      </c>
      <c r="F67" t="s">
        <v>964</v>
      </c>
    </row>
    <row r="68" spans="1:6" ht="22.25" hidden="1" customHeight="1" x14ac:dyDescent="0.35">
      <c r="A68" s="3">
        <v>112427</v>
      </c>
      <c r="B68" s="3" t="s">
        <v>72</v>
      </c>
      <c r="C68" s="40" t="s">
        <v>226</v>
      </c>
      <c r="D68" s="23" t="s">
        <v>78</v>
      </c>
    </row>
    <row r="69" spans="1:6" ht="22.25" hidden="1" customHeight="1" x14ac:dyDescent="0.35">
      <c r="A69" s="3">
        <v>112404</v>
      </c>
      <c r="B69" s="3" t="s">
        <v>72</v>
      </c>
      <c r="C69" s="41" t="s">
        <v>231</v>
      </c>
      <c r="D69" s="23" t="s">
        <v>78</v>
      </c>
    </row>
    <row r="70" spans="1:6" ht="22.25" customHeight="1" x14ac:dyDescent="0.35">
      <c r="A70" s="3">
        <v>112461</v>
      </c>
      <c r="B70" s="3" t="s">
        <v>72</v>
      </c>
      <c r="C70" s="43" t="s">
        <v>364</v>
      </c>
      <c r="D70" s="23" t="s">
        <v>86</v>
      </c>
      <c r="E70" t="s">
        <v>963</v>
      </c>
      <c r="F70" t="s">
        <v>963</v>
      </c>
    </row>
    <row r="71" spans="1:6" ht="22.25" hidden="1" customHeight="1" x14ac:dyDescent="0.35">
      <c r="A71" s="3">
        <v>144348</v>
      </c>
      <c r="B71" s="3" t="s">
        <v>72</v>
      </c>
      <c r="C71" s="41" t="s">
        <v>233</v>
      </c>
      <c r="D71" s="23" t="s">
        <v>83</v>
      </c>
    </row>
    <row r="72" spans="1:6" ht="22.25" customHeight="1" x14ac:dyDescent="0.35">
      <c r="A72" s="3">
        <v>244099</v>
      </c>
      <c r="B72" s="3" t="s">
        <v>72</v>
      </c>
      <c r="C72" s="43" t="s">
        <v>335</v>
      </c>
      <c r="D72" s="23" t="s">
        <v>86</v>
      </c>
      <c r="F72" t="s">
        <v>963</v>
      </c>
    </row>
    <row r="73" spans="1:6" ht="22.25" hidden="1" customHeight="1" x14ac:dyDescent="0.35">
      <c r="A73" s="3">
        <v>112441</v>
      </c>
      <c r="B73" s="3" t="s">
        <v>72</v>
      </c>
      <c r="C73" s="43" t="s">
        <v>238</v>
      </c>
      <c r="D73" s="23" t="s">
        <v>78</v>
      </c>
      <c r="E73" t="s">
        <v>963</v>
      </c>
    </row>
    <row r="74" spans="1:6" ht="22.25" hidden="1" customHeight="1" x14ac:dyDescent="0.35">
      <c r="A74" s="3">
        <v>112435</v>
      </c>
      <c r="B74" s="3" t="s">
        <v>72</v>
      </c>
      <c r="C74" s="43" t="s">
        <v>239</v>
      </c>
      <c r="D74" s="23" t="s">
        <v>78</v>
      </c>
    </row>
    <row r="75" spans="1:6" ht="22.25" hidden="1" customHeight="1" x14ac:dyDescent="0.35">
      <c r="A75" s="3">
        <v>112452</v>
      </c>
      <c r="B75" s="3" t="s">
        <v>72</v>
      </c>
      <c r="C75" s="43" t="s">
        <v>242</v>
      </c>
      <c r="D75" s="23" t="s">
        <v>83</v>
      </c>
      <c r="E75" t="s">
        <v>963</v>
      </c>
    </row>
    <row r="76" spans="1:6" ht="22.25" hidden="1" customHeight="1" x14ac:dyDescent="0.35">
      <c r="A76" s="3">
        <v>112445</v>
      </c>
      <c r="B76" s="3" t="s">
        <v>72</v>
      </c>
      <c r="C76" s="43" t="s">
        <v>245</v>
      </c>
      <c r="D76" s="23" t="s">
        <v>78</v>
      </c>
    </row>
    <row r="77" spans="1:6" ht="22.25" customHeight="1" x14ac:dyDescent="0.35">
      <c r="A77" s="3">
        <v>112386</v>
      </c>
      <c r="B77" s="3" t="s">
        <v>72</v>
      </c>
      <c r="C77" s="40" t="s">
        <v>330</v>
      </c>
      <c r="D77" s="23" t="s">
        <v>86</v>
      </c>
      <c r="F77" t="s">
        <v>964</v>
      </c>
    </row>
    <row r="78" spans="1:6" ht="22.25" hidden="1" customHeight="1" x14ac:dyDescent="0.35">
      <c r="A78" s="3">
        <v>112444</v>
      </c>
      <c r="B78" s="3" t="s">
        <v>72</v>
      </c>
      <c r="C78" s="43" t="s">
        <v>249</v>
      </c>
      <c r="D78" s="23" t="s">
        <v>83</v>
      </c>
    </row>
    <row r="79" spans="1:6" ht="22.25" hidden="1" customHeight="1" x14ac:dyDescent="0.35">
      <c r="A79" s="3">
        <v>112428</v>
      </c>
      <c r="B79" s="3" t="s">
        <v>72</v>
      </c>
      <c r="C79" s="44" t="s">
        <v>252</v>
      </c>
      <c r="D79" s="23" t="s">
        <v>83</v>
      </c>
      <c r="E79" t="s">
        <v>963</v>
      </c>
    </row>
    <row r="80" spans="1:6" ht="22.25" customHeight="1" x14ac:dyDescent="0.35">
      <c r="A80" s="3">
        <v>112442</v>
      </c>
      <c r="B80" s="3" t="s">
        <v>72</v>
      </c>
      <c r="C80" s="43" t="s">
        <v>374</v>
      </c>
      <c r="D80" s="23" t="s">
        <v>86</v>
      </c>
      <c r="F80" t="s">
        <v>964</v>
      </c>
    </row>
    <row r="81" spans="1:6" ht="22.25" hidden="1" customHeight="1" x14ac:dyDescent="0.35">
      <c r="A81" s="3">
        <v>112416</v>
      </c>
      <c r="B81" s="3" t="s">
        <v>72</v>
      </c>
      <c r="C81" s="41" t="s">
        <v>254</v>
      </c>
      <c r="D81" s="23" t="s">
        <v>83</v>
      </c>
    </row>
    <row r="82" spans="1:6" ht="22.25" customHeight="1" x14ac:dyDescent="0.35">
      <c r="A82" s="3">
        <v>112446</v>
      </c>
      <c r="B82" s="3" t="s">
        <v>72</v>
      </c>
      <c r="C82" s="43" t="s">
        <v>362</v>
      </c>
      <c r="D82" s="23" t="s">
        <v>86</v>
      </c>
      <c r="F82" t="s">
        <v>964</v>
      </c>
    </row>
    <row r="83" spans="1:6" ht="22.25" customHeight="1" x14ac:dyDescent="0.35">
      <c r="A83" s="3">
        <v>244458</v>
      </c>
      <c r="B83" s="3" t="s">
        <v>72</v>
      </c>
      <c r="C83" s="43" t="s">
        <v>214</v>
      </c>
      <c r="D83" s="23" t="s">
        <v>86</v>
      </c>
      <c r="F83" t="s">
        <v>963</v>
      </c>
    </row>
    <row r="84" spans="1:6" ht="22.25" customHeight="1" x14ac:dyDescent="0.35">
      <c r="A84" s="3">
        <v>112415</v>
      </c>
      <c r="B84" s="3" t="s">
        <v>72</v>
      </c>
      <c r="C84" s="41" t="s">
        <v>308</v>
      </c>
      <c r="D84" s="23" t="s">
        <v>86</v>
      </c>
      <c r="F84" t="s">
        <v>964</v>
      </c>
    </row>
    <row r="85" spans="1:6" ht="22.25" hidden="1" customHeight="1" x14ac:dyDescent="0.35">
      <c r="A85" s="3">
        <v>142283</v>
      </c>
      <c r="B85" s="3" t="s">
        <v>72</v>
      </c>
      <c r="C85" s="43" t="s">
        <v>258</v>
      </c>
      <c r="D85" s="23" t="s">
        <v>83</v>
      </c>
    </row>
    <row r="86" spans="1:6" ht="22.25" customHeight="1" x14ac:dyDescent="0.35">
      <c r="A86" s="3">
        <v>112402</v>
      </c>
      <c r="B86" s="3" t="s">
        <v>72</v>
      </c>
      <c r="C86" s="41" t="s">
        <v>235</v>
      </c>
      <c r="D86" s="23" t="s">
        <v>86</v>
      </c>
      <c r="F86" t="s">
        <v>964</v>
      </c>
    </row>
    <row r="87" spans="1:6" ht="22.25" hidden="1" customHeight="1" x14ac:dyDescent="0.35">
      <c r="A87" s="3">
        <v>148414</v>
      </c>
      <c r="B87" s="3" t="s">
        <v>72</v>
      </c>
      <c r="C87" s="41" t="s">
        <v>262</v>
      </c>
      <c r="D87" s="23" t="s">
        <v>83</v>
      </c>
      <c r="E87" t="s">
        <v>963</v>
      </c>
    </row>
    <row r="88" spans="1:6" ht="22.25" hidden="1" customHeight="1" x14ac:dyDescent="0.35">
      <c r="A88" s="3">
        <v>112430</v>
      </c>
      <c r="B88" s="3" t="s">
        <v>72</v>
      </c>
      <c r="C88" s="40" t="s">
        <v>264</v>
      </c>
      <c r="D88" s="23" t="s">
        <v>83</v>
      </c>
      <c r="E88" t="s">
        <v>963</v>
      </c>
    </row>
    <row r="89" spans="1:6" ht="22.25" hidden="1" customHeight="1" x14ac:dyDescent="0.35">
      <c r="A89" s="3">
        <v>198666</v>
      </c>
      <c r="B89" s="3" t="s">
        <v>72</v>
      </c>
      <c r="C89" s="43" t="s">
        <v>266</v>
      </c>
      <c r="D89" s="23" t="s">
        <v>83</v>
      </c>
    </row>
    <row r="90" spans="1:6" ht="22.25" customHeight="1" x14ac:dyDescent="0.35">
      <c r="A90" s="3">
        <v>112424</v>
      </c>
      <c r="B90" s="3" t="s">
        <v>72</v>
      </c>
      <c r="C90" s="40" t="s">
        <v>185</v>
      </c>
      <c r="D90" s="23" t="s">
        <v>86</v>
      </c>
      <c r="F90" t="s">
        <v>964</v>
      </c>
    </row>
    <row r="91" spans="1:6" ht="22.25" hidden="1" customHeight="1" x14ac:dyDescent="0.35">
      <c r="A91" s="3">
        <v>112401</v>
      </c>
      <c r="B91" s="3" t="s">
        <v>72</v>
      </c>
      <c r="C91" s="41" t="s">
        <v>269</v>
      </c>
      <c r="D91" s="23" t="s">
        <v>78</v>
      </c>
      <c r="E91" t="s">
        <v>963</v>
      </c>
    </row>
    <row r="92" spans="1:6" ht="22.25" hidden="1" customHeight="1" x14ac:dyDescent="0.35">
      <c r="A92" s="3">
        <v>157172</v>
      </c>
      <c r="B92" s="3" t="s">
        <v>72</v>
      </c>
      <c r="C92" s="42" t="s">
        <v>272</v>
      </c>
      <c r="D92" s="23" t="s">
        <v>78</v>
      </c>
    </row>
    <row r="93" spans="1:6" ht="22.25" hidden="1" customHeight="1" x14ac:dyDescent="0.35">
      <c r="A93" s="3">
        <v>152706</v>
      </c>
      <c r="B93" s="3" t="s">
        <v>72</v>
      </c>
      <c r="C93" s="40" t="s">
        <v>276</v>
      </c>
      <c r="D93" s="23" t="s">
        <v>83</v>
      </c>
    </row>
    <row r="94" spans="1:6" ht="22.25" hidden="1" customHeight="1" x14ac:dyDescent="0.35">
      <c r="A94" s="3">
        <v>147087</v>
      </c>
      <c r="B94" s="3" t="s">
        <v>72</v>
      </c>
      <c r="C94" s="41" t="s">
        <v>278</v>
      </c>
      <c r="D94" s="23" t="s">
        <v>83</v>
      </c>
    </row>
    <row r="95" spans="1:6" ht="22.25" hidden="1" customHeight="1" x14ac:dyDescent="0.35">
      <c r="A95" s="3">
        <v>142009</v>
      </c>
      <c r="B95" s="3" t="s">
        <v>72</v>
      </c>
      <c r="C95" s="40" t="s">
        <v>280</v>
      </c>
      <c r="D95" s="23" t="s">
        <v>83</v>
      </c>
    </row>
    <row r="96" spans="1:6" ht="22.25" customHeight="1" x14ac:dyDescent="0.35">
      <c r="A96" s="3">
        <v>198868</v>
      </c>
      <c r="B96" s="3" t="s">
        <v>72</v>
      </c>
      <c r="C96" s="41" t="s">
        <v>175</v>
      </c>
      <c r="D96" s="23" t="s">
        <v>86</v>
      </c>
      <c r="F96" t="s">
        <v>963</v>
      </c>
    </row>
    <row r="97" spans="1:6" ht="22.25" hidden="1" customHeight="1" x14ac:dyDescent="0.35">
      <c r="A97" s="3">
        <v>112455</v>
      </c>
      <c r="B97" s="3" t="s">
        <v>72</v>
      </c>
      <c r="C97" s="43" t="s">
        <v>282</v>
      </c>
      <c r="D97" s="23" t="s">
        <v>83</v>
      </c>
    </row>
    <row r="98" spans="1:6" ht="22.25" hidden="1" customHeight="1" x14ac:dyDescent="0.35">
      <c r="A98" s="3">
        <v>112412</v>
      </c>
      <c r="B98" s="3" t="s">
        <v>72</v>
      </c>
      <c r="C98" s="41" t="s">
        <v>284</v>
      </c>
      <c r="D98" s="23" t="s">
        <v>83</v>
      </c>
    </row>
    <row r="99" spans="1:6" ht="22.25" customHeight="1" x14ac:dyDescent="0.35">
      <c r="A99" s="3">
        <v>167171</v>
      </c>
      <c r="B99" s="3" t="s">
        <v>72</v>
      </c>
      <c r="C99" s="42" t="s">
        <v>333</v>
      </c>
      <c r="D99" s="23" t="s">
        <v>86</v>
      </c>
      <c r="F99" t="s">
        <v>964</v>
      </c>
    </row>
    <row r="100" spans="1:6" ht="22.25" hidden="1" customHeight="1" x14ac:dyDescent="0.35">
      <c r="A100" s="3">
        <v>112395</v>
      </c>
      <c r="B100" s="3" t="s">
        <v>72</v>
      </c>
      <c r="C100" s="41" t="s">
        <v>288</v>
      </c>
      <c r="D100" s="23" t="s">
        <v>83</v>
      </c>
    </row>
    <row r="101" spans="1:6" ht="22.25" hidden="1" customHeight="1" x14ac:dyDescent="0.35">
      <c r="A101" s="3">
        <v>168009</v>
      </c>
      <c r="B101" s="3" t="s">
        <v>72</v>
      </c>
      <c r="C101" s="42" t="s">
        <v>290</v>
      </c>
      <c r="D101" s="23" t="s">
        <v>83</v>
      </c>
    </row>
    <row r="102" spans="1:6" ht="22.25" hidden="1" customHeight="1" x14ac:dyDescent="0.35">
      <c r="A102" s="3">
        <v>181987</v>
      </c>
      <c r="B102" s="3" t="s">
        <v>72</v>
      </c>
      <c r="C102" s="45" t="s">
        <v>292</v>
      </c>
      <c r="D102" s="23" t="s">
        <v>83</v>
      </c>
    </row>
    <row r="103" spans="1:6" ht="22.25" customHeight="1" x14ac:dyDescent="0.35">
      <c r="A103" s="3">
        <v>151186</v>
      </c>
      <c r="B103" s="3" t="s">
        <v>72</v>
      </c>
      <c r="C103" s="41" t="s">
        <v>378</v>
      </c>
      <c r="D103" s="23" t="s">
        <v>86</v>
      </c>
      <c r="F103" t="s">
        <v>963</v>
      </c>
    </row>
    <row r="104" spans="1:6" ht="22.25" customHeight="1" x14ac:dyDescent="0.35">
      <c r="A104" s="3">
        <v>168006</v>
      </c>
      <c r="B104" s="3" t="s">
        <v>72</v>
      </c>
      <c r="C104" s="41" t="s">
        <v>357</v>
      </c>
      <c r="D104" s="23" t="s">
        <v>86</v>
      </c>
      <c r="F104" t="s">
        <v>964</v>
      </c>
    </row>
    <row r="105" spans="1:6" ht="22.25" hidden="1" customHeight="1" x14ac:dyDescent="0.35">
      <c r="A105" s="3">
        <v>112466</v>
      </c>
      <c r="B105" s="3" t="s">
        <v>72</v>
      </c>
      <c r="C105" s="43" t="s">
        <v>295</v>
      </c>
      <c r="D105" s="23" t="s">
        <v>78</v>
      </c>
    </row>
    <row r="106" spans="1:6" ht="22.25" customHeight="1" x14ac:dyDescent="0.35">
      <c r="A106" s="3">
        <v>198751</v>
      </c>
      <c r="B106" s="3" t="s">
        <v>72</v>
      </c>
      <c r="C106" s="41" t="s">
        <v>87</v>
      </c>
      <c r="D106" s="23" t="s">
        <v>86</v>
      </c>
      <c r="F106" t="s">
        <v>965</v>
      </c>
    </row>
    <row r="107" spans="1:6" ht="22.25" customHeight="1" x14ac:dyDescent="0.35">
      <c r="A107" s="3">
        <v>112431</v>
      </c>
      <c r="B107" s="3" t="s">
        <v>72</v>
      </c>
      <c r="C107" s="40" t="s">
        <v>212</v>
      </c>
      <c r="D107" s="23" t="s">
        <v>86</v>
      </c>
      <c r="F107" t="s">
        <v>964</v>
      </c>
    </row>
    <row r="108" spans="1:6" ht="22.25" hidden="1" customHeight="1" x14ac:dyDescent="0.35">
      <c r="A108" s="3">
        <v>112426</v>
      </c>
      <c r="B108" s="3" t="s">
        <v>72</v>
      </c>
      <c r="C108" s="40" t="s">
        <v>298</v>
      </c>
      <c r="D108" s="23" t="s">
        <v>83</v>
      </c>
    </row>
  </sheetData>
  <autoFilter ref="A1:K108" xr:uid="{A73F55E1-9804-4114-8E94-76E9F76F884F}">
    <filterColumn colId="3">
      <filters>
        <filter val="Abhinav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5AA3-26B2-48FB-AFDE-1DF850E60B40}">
  <dimension ref="A1:CE13"/>
  <sheetViews>
    <sheetView workbookViewId="0">
      <pane xSplit="3" ySplit="1" topLeftCell="AU2" activePane="bottomRight" state="frozen"/>
      <selection pane="topRight" activeCell="D1" sqref="D1"/>
      <selection pane="bottomLeft" activeCell="A2" sqref="A2"/>
      <selection pane="bottomRight" activeCell="BA1" sqref="AZ1:BA1048576"/>
    </sheetView>
  </sheetViews>
  <sheetFormatPr defaultRowHeight="15.5" x14ac:dyDescent="0.35"/>
  <cols>
    <col min="2" max="2" width="18" customWidth="1"/>
    <col min="3" max="3" width="10.7265625" customWidth="1"/>
    <col min="4" max="4" width="10.90625" customWidth="1"/>
    <col min="5" max="5" width="10.6328125" customWidth="1"/>
    <col min="6" max="7" width="8.81640625" customWidth="1"/>
    <col min="8" max="9" width="9.26953125" customWidth="1"/>
    <col min="10" max="11" width="8.81640625" customWidth="1"/>
    <col min="12" max="13" width="9.26953125" customWidth="1"/>
    <col min="14" max="15" width="8.81640625" customWidth="1"/>
    <col min="16" max="17" width="9.26953125" customWidth="1"/>
    <col min="18" max="19" width="8.81640625" customWidth="1"/>
    <col min="20" max="21" width="9.26953125" customWidth="1"/>
    <col min="22" max="23" width="8.81640625" customWidth="1"/>
    <col min="24" max="25" width="9.26953125" customWidth="1"/>
    <col min="26" max="27" width="8.81640625" customWidth="1"/>
    <col min="28" max="29" width="9.26953125" customWidth="1"/>
    <col min="30" max="31" width="8.81640625" customWidth="1"/>
    <col min="32" max="33" width="9.26953125" customWidth="1"/>
    <col min="34" max="35" width="8.81640625" customWidth="1"/>
    <col min="36" max="37" width="9.26953125" customWidth="1"/>
    <col min="38" max="39" width="8.81640625" customWidth="1"/>
    <col min="40" max="41" width="9.26953125" customWidth="1"/>
    <col min="42" max="43" width="8.81640625" customWidth="1"/>
    <col min="44" max="45" width="9.26953125" customWidth="1"/>
    <col min="46" max="47" width="8.81640625" customWidth="1"/>
    <col min="48" max="49" width="9.26953125" customWidth="1"/>
    <col min="50" max="51" width="8.81640625" customWidth="1"/>
    <col min="52" max="53" width="8.7265625" hidden="1" customWidth="1"/>
    <col min="54" max="58" width="8.7265625" customWidth="1"/>
    <col min="59" max="59" width="10" customWidth="1"/>
    <col min="60" max="61" width="8.7265625" customWidth="1"/>
  </cols>
  <sheetData>
    <row r="1" spans="1:83" ht="15.5" customHeight="1" x14ac:dyDescent="0.35">
      <c r="B1" t="s">
        <v>1027</v>
      </c>
      <c r="C1" t="s">
        <v>1090</v>
      </c>
      <c r="D1" s="109" t="s">
        <v>1002</v>
      </c>
      <c r="E1" s="110" t="s">
        <v>7</v>
      </c>
      <c r="F1" s="111" t="s">
        <v>8</v>
      </c>
      <c r="G1" s="112" t="s">
        <v>9</v>
      </c>
      <c r="H1" s="109" t="s">
        <v>10</v>
      </c>
      <c r="I1" s="110" t="s">
        <v>11</v>
      </c>
      <c r="J1" s="111" t="s">
        <v>12</v>
      </c>
      <c r="K1" s="112" t="s">
        <v>13</v>
      </c>
      <c r="L1" s="109" t="s">
        <v>14</v>
      </c>
      <c r="M1" s="110" t="s">
        <v>15</v>
      </c>
      <c r="N1" s="111" t="s">
        <v>16</v>
      </c>
      <c r="O1" s="112" t="s">
        <v>17</v>
      </c>
      <c r="P1" s="109" t="s">
        <v>1028</v>
      </c>
      <c r="Q1" s="110" t="s">
        <v>1029</v>
      </c>
      <c r="R1" s="111" t="s">
        <v>1030</v>
      </c>
      <c r="S1" s="112" t="s">
        <v>1031</v>
      </c>
      <c r="T1" s="109" t="s">
        <v>18</v>
      </c>
      <c r="U1" s="110" t="s">
        <v>19</v>
      </c>
      <c r="V1" s="111" t="s">
        <v>20</v>
      </c>
      <c r="W1" s="112" t="s">
        <v>21</v>
      </c>
      <c r="X1" s="109" t="s">
        <v>22</v>
      </c>
      <c r="Y1" s="110" t="s">
        <v>23</v>
      </c>
      <c r="Z1" s="111" t="s">
        <v>24</v>
      </c>
      <c r="AA1" s="112" t="s">
        <v>25</v>
      </c>
      <c r="AB1" s="109" t="s">
        <v>26</v>
      </c>
      <c r="AC1" s="110" t="s">
        <v>27</v>
      </c>
      <c r="AD1" s="111" t="s">
        <v>28</v>
      </c>
      <c r="AE1" s="112" t="s">
        <v>29</v>
      </c>
      <c r="AF1" s="109" t="s">
        <v>30</v>
      </c>
      <c r="AG1" s="110" t="s">
        <v>31</v>
      </c>
      <c r="AH1" s="111" t="s">
        <v>32</v>
      </c>
      <c r="AI1" s="112" t="s">
        <v>33</v>
      </c>
      <c r="AJ1" s="109" t="s">
        <v>34</v>
      </c>
      <c r="AK1" s="110" t="s">
        <v>35</v>
      </c>
      <c r="AL1" s="111" t="s">
        <v>36</v>
      </c>
      <c r="AM1" s="112" t="s">
        <v>37</v>
      </c>
      <c r="AN1" s="109" t="s">
        <v>38</v>
      </c>
      <c r="AO1" s="110" t="s">
        <v>39</v>
      </c>
      <c r="AP1" s="111" t="s">
        <v>40</v>
      </c>
      <c r="AQ1" s="112" t="s">
        <v>1008</v>
      </c>
      <c r="AR1" s="109" t="s">
        <v>41</v>
      </c>
      <c r="AS1" s="110" t="s">
        <v>42</v>
      </c>
      <c r="AT1" s="111" t="s">
        <v>43</v>
      </c>
      <c r="AU1" s="112" t="s">
        <v>44</v>
      </c>
      <c r="AV1" s="109" t="s">
        <v>45</v>
      </c>
      <c r="AW1" s="110" t="s">
        <v>46</v>
      </c>
      <c r="AX1" s="111" t="s">
        <v>47</v>
      </c>
      <c r="AY1" s="112" t="s">
        <v>48</v>
      </c>
      <c r="AZ1" s="1" t="s">
        <v>50</v>
      </c>
      <c r="BA1" s="1" t="s">
        <v>51</v>
      </c>
      <c r="BB1" s="144" t="s">
        <v>52</v>
      </c>
      <c r="BC1" s="144" t="s">
        <v>53</v>
      </c>
      <c r="BD1" s="145" t="s">
        <v>54</v>
      </c>
      <c r="BE1" s="145" t="s">
        <v>55</v>
      </c>
      <c r="BF1" s="146" t="s">
        <v>56</v>
      </c>
      <c r="BG1" s="146" t="s">
        <v>57</v>
      </c>
      <c r="BH1" s="145" t="s">
        <v>58</v>
      </c>
      <c r="BI1" s="145" t="s">
        <v>59</v>
      </c>
      <c r="BJ1" s="147" t="s">
        <v>60</v>
      </c>
      <c r="BK1" s="147" t="s">
        <v>61</v>
      </c>
      <c r="BL1" s="145" t="s">
        <v>62</v>
      </c>
      <c r="BM1" s="145" t="s">
        <v>63</v>
      </c>
      <c r="BN1" s="146" t="s">
        <v>64</v>
      </c>
      <c r="BO1" s="146" t="s">
        <v>65</v>
      </c>
      <c r="BP1" s="145" t="s">
        <v>66</v>
      </c>
      <c r="BQ1" s="145" t="s">
        <v>67</v>
      </c>
      <c r="BR1" s="129" t="s">
        <v>1012</v>
      </c>
      <c r="BS1" s="129" t="s">
        <v>1013</v>
      </c>
      <c r="BT1" s="129" t="s">
        <v>1017</v>
      </c>
      <c r="BU1" s="129" t="s">
        <v>1014</v>
      </c>
      <c r="BV1" s="129" t="s">
        <v>1015</v>
      </c>
      <c r="BW1" s="129" t="s">
        <v>1016</v>
      </c>
      <c r="BX1" s="92" t="s">
        <v>1018</v>
      </c>
      <c r="BY1" s="92" t="s">
        <v>1019</v>
      </c>
      <c r="BZ1" s="92" t="s">
        <v>1020</v>
      </c>
      <c r="CA1" s="92" t="s">
        <v>1021</v>
      </c>
      <c r="CB1" s="92" t="s">
        <v>1022</v>
      </c>
      <c r="CC1" s="92" t="s">
        <v>1023</v>
      </c>
      <c r="CD1" s="130" t="s">
        <v>1024</v>
      </c>
      <c r="CE1" s="130" t="s">
        <v>1025</v>
      </c>
    </row>
    <row r="2" spans="1:83" x14ac:dyDescent="0.35">
      <c r="A2" s="150" t="s">
        <v>1032</v>
      </c>
      <c r="B2" s="108" t="s">
        <v>72</v>
      </c>
      <c r="C2" s="113" cm="1">
        <f t="array" aca="1" ref="C2" ca="1">SUMPRODUCT(SUBTOTAL(103,OFFSET(Data!J2,ROW(Data!$J$2:$J$398)-ROW(Data!$J$2),0,1)),--(Data!$B$2:$B$398=$B2))</f>
        <v>104</v>
      </c>
      <c r="D2" s="113" cm="1">
        <f t="array" aca="1" ref="D2" ca="1">SUMPRODUCT(SUBTOTAL(109,OFFSET(Data!J2,ROW(Data!$J$2:$J$398)-ROW(Data!$J$2),0,1)),--(Data!$B$2:$B$398=$B2))</f>
        <v>31480.710133000011</v>
      </c>
      <c r="E2" s="114" cm="1">
        <f t="array" aca="1" ref="E2" ca="1">SUMPRODUCT(SUBTOTAL(109,OFFSET(Data!K2,ROW(Data!$J$2:$J$398)-ROW(Data!$J$2),0,1)),--(Data!$B$2:$B$398=$B2))</f>
        <v>33292</v>
      </c>
      <c r="F2" s="115" cm="1">
        <f t="array" aca="1" ref="F2" ca="1">SUMPRODUCT(SUBTOTAL(109,OFFSET(Data!L2,ROW(Data!$J$2:$J$398)-ROW(Data!$J$2),0,1)),--(Data!$B$2:$B$398=$B2))</f>
        <v>14575.824999999999</v>
      </c>
      <c r="G2" s="116" cm="1">
        <f t="array" aca="1" ref="G2" ca="1">SUMPRODUCT(SUBTOTAL(109,OFFSET(Data!M2,ROW(Data!$J$2:$J$398)-ROW(Data!$J$2),0,1)),--(Data!$B$2:$B$398=$B2))</f>
        <v>13850.282999999999</v>
      </c>
      <c r="H2" s="113" cm="1">
        <f t="array" aca="1" ref="H2" ca="1">SUMPRODUCT(SUBTOTAL(109,OFFSET(Data!N2,ROW(Data!$J$2:$J$398)-ROW(Data!$J$2),0,1)),--(Data!$B$2:$B$398=$B2))</f>
        <v>34671.59716200002</v>
      </c>
      <c r="I2" s="114" cm="1">
        <f t="array" aca="1" ref="I2" ca="1">SUMPRODUCT(SUBTOTAL(109,OFFSET(Data!O2,ROW(Data!$J$2:$J$398)-ROW(Data!$J$2),0,1)),--(Data!$B$2:$B$398=$B2))</f>
        <v>34289.5</v>
      </c>
      <c r="J2" s="115" cm="1">
        <f t="array" aca="1" ref="J2" ca="1">SUMPRODUCT(SUBTOTAL(109,OFFSET(Data!P2,ROW(Data!$J$2:$J$398)-ROW(Data!$J$2),0,1)),--(Data!$B$2:$B$398=$B2))</f>
        <v>16447.936999999998</v>
      </c>
      <c r="K2" s="116" cm="1">
        <f t="array" aca="1" ref="K2" ca="1">SUMPRODUCT(SUBTOTAL(109,OFFSET(Data!Q2,ROW(Data!$J$2:$J$398)-ROW(Data!$J$2),0,1)),--(Data!$B$2:$B$398=$B2))</f>
        <v>14507.5</v>
      </c>
      <c r="L2" s="113" cm="1">
        <f t="array" aca="1" ref="L2" ca="1">SUMPRODUCT(SUBTOTAL(109,OFFSET(Data!R2,ROW(Data!$J$2:$J$398)-ROW(Data!$J$2),0,1)),--(Data!$B$2:$B$398=$B2))</f>
        <v>32931.800000000003</v>
      </c>
      <c r="M2" s="114" cm="1">
        <f t="array" aca="1" ref="M2" ca="1">SUMPRODUCT(SUBTOTAL(109,OFFSET(Data!S2,ROW(Data!$J$2:$J$398)-ROW(Data!$J$2),0,1)),--(Data!$B$2:$B$398=$B2))</f>
        <v>32819.115149000012</v>
      </c>
      <c r="N2" s="115" cm="1">
        <f t="array" aca="1" ref="N2" ca="1">SUMPRODUCT(SUBTOTAL(109,OFFSET(Data!T2,ROW(Data!$J$2:$J$398)-ROW(Data!$J$2),0,1)),--(Data!$B$2:$B$398=$B2))</f>
        <v>14029.5</v>
      </c>
      <c r="O2" s="116" cm="1">
        <f t="array" aca="1" ref="O2" ca="1">SUMPRODUCT(SUBTOTAL(109,OFFSET(Data!U2,ROW(Data!$J$2:$J$398)-ROW(Data!$J$2),0,1)),--(Data!$B$2:$B$398=$B2))</f>
        <v>16070.511999999999</v>
      </c>
      <c r="P2" s="113" cm="1">
        <f t="array" aca="1" ref="P2" ca="1">SUMPRODUCT(SUBTOTAL(109,OFFSET(Data!V2,ROW(Data!$J$2:$J$398)-ROW(Data!$J$2),0,1)),--(Data!$B$2:$B$398=$B2))</f>
        <v>35694.5</v>
      </c>
      <c r="Q2" s="114" cm="1">
        <f t="array" aca="1" ref="Q2" ca="1">SUMPRODUCT(SUBTOTAL(109,OFFSET(Data!W2,ROW(Data!$J$2:$J$398)-ROW(Data!$J$2),0,1)),--(Data!$B$2:$B$398=$B2))</f>
        <v>34534.391054000007</v>
      </c>
      <c r="R2" s="115" cm="1">
        <f t="array" aca="1" ref="R2" ca="1">SUMPRODUCT(SUBTOTAL(109,OFFSET(Data!X2,ROW(Data!$J$2:$J$398)-ROW(Data!$J$2),0,1)),--(Data!$B$2:$B$398=$B2))</f>
        <v>13817.5</v>
      </c>
      <c r="S2" s="116" cm="1">
        <f t="array" aca="1" ref="S2" ca="1">SUMPRODUCT(SUBTOTAL(109,OFFSET(Data!Y2,ROW(Data!$J$2:$J$398)-ROW(Data!$J$2),0,1)),--(Data!$B$2:$B$398=$B2))</f>
        <v>15898.574999999999</v>
      </c>
      <c r="T2" s="113" cm="1">
        <f t="array" aca="1" ref="T2" ca="1">SUMPRODUCT(SUBTOTAL(109,OFFSET(Data!Z2,ROW(Data!$J$2:$J$398)-ROW(Data!$J$2),0,1)),--(Data!$B$2:$B$398=$B2))</f>
        <v>35684.6</v>
      </c>
      <c r="U2" s="114" cm="1">
        <f t="array" aca="1" ref="U2" ca="1">SUMPRODUCT(SUBTOTAL(109,OFFSET(Data!AA2,ROW(Data!$J$2:$J$398)-ROW(Data!$J$2),0,1)),--(Data!$B$2:$B$398=$B2))</f>
        <v>34347.18402700001</v>
      </c>
      <c r="V2" s="115" cm="1">
        <f t="array" aca="1" ref="V2" ca="1">SUMPRODUCT(SUBTOTAL(109,OFFSET(Data!AB2,ROW(Data!$J$2:$J$398)-ROW(Data!$J$2),0,1)),--(Data!$B$2:$B$398=$B2))</f>
        <v>13540.9</v>
      </c>
      <c r="W2" s="116" cm="1">
        <f t="array" aca="1" ref="W2" ca="1">SUMPRODUCT(SUBTOTAL(109,OFFSET(Data!AC2,ROW(Data!$J$2:$J$398)-ROW(Data!$J$2),0,1)),--(Data!$B$2:$B$398=$B2))</f>
        <v>15324.159000000001</v>
      </c>
      <c r="X2" s="113" cm="1">
        <f t="array" aca="1" ref="X2" ca="1">SUMPRODUCT(SUBTOTAL(109,OFFSET(Data!AD2,ROW(Data!$J$2:$J$398)-ROW(Data!$J$2),0,1)),--(Data!$B$2:$B$398=$B2))</f>
        <v>34737.5</v>
      </c>
      <c r="Y2" s="114" cm="1">
        <f t="array" aca="1" ref="Y2" ca="1">SUMPRODUCT(SUBTOTAL(109,OFFSET(Data!AE2,ROW(Data!$J$2:$J$398)-ROW(Data!$J$2),0,1)),--(Data!$B$2:$B$398=$B2))</f>
        <v>33220.628042000018</v>
      </c>
      <c r="Z2" s="115" cm="1">
        <f t="array" aca="1" ref="Z2" ca="1">SUMPRODUCT(SUBTOTAL(109,OFFSET(Data!AF2,ROW(Data!$J$2:$J$398)-ROW(Data!$J$2),0,1)),--(Data!$B$2:$B$398=$B2))</f>
        <v>13958.5</v>
      </c>
      <c r="AA2" s="116" cm="1">
        <f t="array" aca="1" ref="AA2" ca="1">SUMPRODUCT(SUBTOTAL(109,OFFSET(Data!AG2,ROW(Data!$J$2:$J$398)-ROW(Data!$J$2),0,1)),--(Data!$B$2:$B$398=$B2))</f>
        <v>14350.531999999999</v>
      </c>
      <c r="AB2" s="113" cm="1">
        <f t="array" aca="1" ref="AB2" ca="1">SUMPRODUCT(SUBTOTAL(109,OFFSET(Data!AH2,ROW(Data!$J$2:$J$398)-ROW(Data!$J$2),0,1)),--(Data!$B$2:$B$398=$B2))</f>
        <v>35462</v>
      </c>
      <c r="AC2" s="114" cm="1">
        <f t="array" aca="1" ref="AC2" ca="1">SUMPRODUCT(SUBTOTAL(109,OFFSET(Data!AI2,ROW(Data!$J$2:$J$398)-ROW(Data!$J$2),0,1)),--(Data!$B$2:$B$398=$B2))</f>
        <v>34299.288</v>
      </c>
      <c r="AD2" s="115" cm="1">
        <f t="array" aca="1" ref="AD2" ca="1">SUMPRODUCT(SUBTOTAL(109,OFFSET(Data!AJ2,ROW(Data!$J$2:$J$398)-ROW(Data!$J$2),0,1)),--(Data!$B$2:$B$398=$B2))</f>
        <v>13746</v>
      </c>
      <c r="AE2" s="116" cm="1">
        <f t="array" aca="1" ref="AE2" ca="1">SUMPRODUCT(SUBTOTAL(109,OFFSET(Data!AK2,ROW(Data!$J$2:$J$398)-ROW(Data!$J$2),0,1)),--(Data!$B$2:$B$398=$B2))</f>
        <v>15866.498</v>
      </c>
      <c r="AF2" s="113" cm="1">
        <f t="array" aca="1" ref="AF2" ca="1">SUMPRODUCT(SUBTOTAL(109,OFFSET(Data!AL2,ROW(Data!$J$2:$J$398)-ROW(Data!$J$2),0,1)),--(Data!$B$2:$B$398=$B2))</f>
        <v>33198.5</v>
      </c>
      <c r="AG2" s="114" cm="1">
        <f t="array" aca="1" ref="AG2" ca="1">SUMPRODUCT(SUBTOTAL(109,OFFSET(Data!AM2,ROW(Data!$J$2:$J$398)-ROW(Data!$J$2),0,1)),--(Data!$B$2:$B$398=$B2))</f>
        <v>32317.471111000003</v>
      </c>
      <c r="AH2" s="115" cm="1">
        <f t="array" aca="1" ref="AH2" ca="1">SUMPRODUCT(SUBTOTAL(109,OFFSET(Data!AN2,ROW(Data!$J$2:$J$398)-ROW(Data!$J$2),0,1)),--(Data!$B$2:$B$398=$B2))</f>
        <v>13395.5</v>
      </c>
      <c r="AI2" s="116" cm="1">
        <f t="array" aca="1" ref="AI2" ca="1">SUMPRODUCT(SUBTOTAL(109,OFFSET(Data!AO2,ROW(Data!$J$2:$J$398)-ROW(Data!$J$2),0,1)),--(Data!$B$2:$B$398=$B2))</f>
        <v>13236.225</v>
      </c>
      <c r="AJ2" s="113" cm="1">
        <f t="array" aca="1" ref="AJ2" ca="1">SUMPRODUCT(SUBTOTAL(109,OFFSET(Data!AP2,ROW(Data!$J$2:$J$398)-ROW(Data!$J$2),0,1)),--(Data!$B$2:$B$398=$B2))</f>
        <v>32476.808000000001</v>
      </c>
      <c r="AK2" s="114" cm="1">
        <f t="array" aca="1" ref="AK2" ca="1">SUMPRODUCT(SUBTOTAL(109,OFFSET(Data!AQ2,ROW(Data!$J$2:$J$398)-ROW(Data!$J$2),0,1)),--(Data!$B$2:$B$398=$B2))</f>
        <v>31773.823</v>
      </c>
      <c r="AL2" s="115" cm="1">
        <f t="array" aca="1" ref="AL2" ca="1">SUMPRODUCT(SUBTOTAL(109,OFFSET(Data!AR2,ROW(Data!$J$2:$J$398)-ROW(Data!$J$2),0,1)),--(Data!$B$2:$B$398=$B2))</f>
        <v>12254</v>
      </c>
      <c r="AM2" s="116" cm="1">
        <f t="array" aca="1" ref="AM2" ca="1">SUMPRODUCT(SUBTOTAL(109,OFFSET(Data!AS2,ROW(Data!$J$2:$J$398)-ROW(Data!$J$2),0,1)),--(Data!$B$2:$B$398=$B2))</f>
        <v>12898.150989999998</v>
      </c>
      <c r="AN2" s="113" cm="1">
        <f t="array" aca="1" ref="AN2" ca="1">SUMPRODUCT(SUBTOTAL(109,OFFSET(Data!AT2,ROW(Data!$J$2:$J$398)-ROW(Data!$J$2),0,1)),--(Data!$B$2:$B$398=$B2))</f>
        <v>31253.653000000002</v>
      </c>
      <c r="AO2" s="114" cm="1">
        <f t="array" aca="1" ref="AO2" ca="1">SUMPRODUCT(SUBTOTAL(109,OFFSET(Data!AU2,ROW(Data!$J$2:$J$398)-ROW(Data!$J$2),0,1)),--(Data!$B$2:$B$398=$B2))</f>
        <v>31210.954000000002</v>
      </c>
      <c r="AP2" s="115" cm="1">
        <f t="array" aca="1" ref="AP2" ca="1">SUMPRODUCT(SUBTOTAL(109,OFFSET(Data!AV2,ROW(Data!$J$2:$J$398)-ROW(Data!$J$2),0,1)),--(Data!$B$2:$B$398=$B2))</f>
        <v>12294.737000000001</v>
      </c>
      <c r="AQ2" s="116" cm="1">
        <f t="array" aca="1" ref="AQ2" ca="1">SUMPRODUCT(SUBTOTAL(109,OFFSET(Data!AW2,ROW(Data!$J$2:$J$398)-ROW(Data!$J$2),0,1)),--(Data!$B$2:$B$398=$B2))</f>
        <v>13842.627999999999</v>
      </c>
      <c r="AR2" s="113" cm="1">
        <f t="array" aca="1" ref="AR2" ca="1">SUMPRODUCT(SUBTOTAL(109,OFFSET(Data!AX2,ROW(Data!$J$2:$J$398)-ROW(Data!$J$2),0,1)),--(Data!$B$2:$B$398=$B2))</f>
        <v>31167.37</v>
      </c>
      <c r="AS2" s="114" cm="1">
        <f t="array" aca="1" ref="AS2" ca="1">SUMPRODUCT(SUBTOTAL(109,OFFSET(Data!AY2,ROW(Data!$J$2:$J$398)-ROW(Data!$J$2),0,1)),--(Data!$B$2:$B$398=$B2))</f>
        <v>29210.371999999996</v>
      </c>
      <c r="AT2" s="115" cm="1">
        <f t="array" aca="1" ref="AT2" ca="1">SUMPRODUCT(SUBTOTAL(109,OFFSET(Data!AZ2,ROW(Data!$J$2:$J$398)-ROW(Data!$J$2),0,1)),--(Data!$B$2:$B$398=$B2))</f>
        <v>12669.377</v>
      </c>
      <c r="AU2" s="116" cm="1">
        <f t="array" aca="1" ref="AU2" ca="1">SUMPRODUCT(SUBTOTAL(109,OFFSET(Data!BA2,ROW(Data!$J$2:$J$398)-ROW(Data!$J$2),0,1)),--(Data!$B$2:$B$398=$B2))</f>
        <v>13524.544</v>
      </c>
      <c r="AV2" s="113" cm="1">
        <f t="array" aca="1" ref="AV2" ca="1">SUMPRODUCT(SUBTOTAL(109,OFFSET(Data!BB2,ROW(Data!$J$2:$J$398)-ROW(Data!$J$2),0,1)),--(Data!$B$2:$B$398=$B2))</f>
        <v>34081.377999999997</v>
      </c>
      <c r="AW2" s="114" cm="1">
        <f t="array" aca="1" ref="AW2" ca="1">SUMPRODUCT(SUBTOTAL(109,OFFSET(Data!BC2,ROW(Data!$J$2:$J$398)-ROW(Data!$J$2),0,1)),--(Data!$B$2:$B$398=$B2))</f>
        <v>32561.649000000001</v>
      </c>
      <c r="AX2" s="115" cm="1">
        <f t="array" aca="1" ref="AX2" ca="1">SUMPRODUCT(SUBTOTAL(109,OFFSET(Data!BD2,ROW(Data!$J$2:$J$398)-ROW(Data!$J$2),0,1)),--(Data!$B$2:$B$398=$B2))</f>
        <v>14169.581</v>
      </c>
      <c r="AY2" s="116" cm="1">
        <f t="array" aca="1" ref="AY2" ca="1">SUMPRODUCT(SUBTOTAL(109,OFFSET(Data!BE2,ROW(Data!$J$2:$J$398)-ROW(Data!$J$2),0,1)),--(Data!$B$2:$B$398=$B2))</f>
        <v>14522.246000000001</v>
      </c>
      <c r="BB2" s="113" cm="1">
        <f t="array" aca="1" ref="BB2" ca="1">SUMPRODUCT(SUBTOTAL(109,OFFSET(Data!BH2,ROW(Data!$J$2:$J$398)-ROW(Data!$J$2),0,1)),--(Data!$B$2:$B$398=$B2))</f>
        <v>34081.377999999997</v>
      </c>
      <c r="BC2" s="114" cm="1">
        <f t="array" aca="1" ref="BC2" ca="1">SUMPRODUCT(SUBTOTAL(109,OFFSET(Data!BI2,ROW(Data!$J$2:$J$398)-ROW(Data!$J$2),0,1)),--(Data!$B$2:$B$398=$B2))</f>
        <v>32561.649000000001</v>
      </c>
      <c r="BD2" s="115" cm="1">
        <f t="array" aca="1" ref="BD2" ca="1">SUMPRODUCT(SUBTOTAL(109,OFFSET(Data!BJ2,ROW(Data!$J$2:$J$398)-ROW(Data!$J$2),0,1)),--(Data!$B$2:$B$398=$B2))</f>
        <v>1519.729</v>
      </c>
      <c r="BE2" s="122">
        <f ca="1">BD2/BC2</f>
        <v>4.6672359867278218E-2</v>
      </c>
      <c r="BF2" s="113" cm="1">
        <f t="array" aca="1" ref="BF2" ca="1">SUMPRODUCT(SUBTOTAL(109,OFFSET(Data!BL2,ROW(Data!$J$2:$J$398)-ROW(Data!$J$2),0,1)),--(Data!$B$2:$B$398=$B2))</f>
        <v>14169.581</v>
      </c>
      <c r="BG2" s="114" cm="1">
        <f t="array" aca="1" ref="BG2" ca="1">SUMPRODUCT(SUBTOTAL(109,OFFSET(Data!BM2,ROW(Data!$J$2:$J$398)-ROW(Data!$J$2),0,1)),--(Data!$B$2:$B$398=$B2))</f>
        <v>14522.246000000001</v>
      </c>
      <c r="BH2" s="115" cm="1">
        <f t="array" aca="1" ref="BH2" ca="1">SUMPRODUCT(SUBTOTAL(109,OFFSET(Data!BN2,ROW(Data!$J$2:$J$398)-ROW(Data!$J$2),0,1)),--(Data!$B$2:$B$398=$B2))</f>
        <v>-352.66499999999996</v>
      </c>
      <c r="BI2" s="122">
        <f ca="1">BH2/BG2</f>
        <v>-2.4284466741577023E-2</v>
      </c>
      <c r="BJ2" s="113" cm="1">
        <f t="array" aca="1" ref="BJ2" ca="1">SUMPRODUCT(SUBTOTAL(109,OFFSET(Data!BP2,ROW(Data!$J$2:$J$398)-ROW(Data!$J$2),0,1)),--(Data!$B$2:$B$398=$B2))</f>
        <v>404269.609</v>
      </c>
      <c r="BK2" s="114" cm="1">
        <f t="array" aca="1" ref="BK2" ca="1">SUMPRODUCT(SUBTOTAL(109,OFFSET(Data!BQ2,ROW(Data!$J$2:$J$398)-ROW(Data!$J$2),0,1)),--(Data!$B$2:$B$398=$B2))</f>
        <v>392447.18267800024</v>
      </c>
      <c r="BL2" s="115" cm="1">
        <f t="array" aca="1" ref="BL2" ca="1">SUMPRODUCT(SUBTOTAL(109,OFFSET(Data!BR2,ROW(Data!$J$2:$J$398)-ROW(Data!$J$2),0,1)),--(Data!$B$2:$B$398=$B2))</f>
        <v>11822.426321999998</v>
      </c>
      <c r="BM2" s="122">
        <f ca="1">BL2/BK2</f>
        <v>3.0124885191748729E-2</v>
      </c>
      <c r="BN2" s="113" cm="1">
        <f t="array" aca="1" ref="BN2" ca="1">SUMPRODUCT(SUBTOTAL(109,OFFSET(Data!BT2,ROW(Data!$J$2:$J$398)-ROW(Data!$J$2),0,1)),--(Data!$B$2:$B$398=$B2))</f>
        <v>162233.378</v>
      </c>
      <c r="BO2" s="114" cm="1">
        <f t="array" aca="1" ref="BO2" ca="1">SUMPRODUCT(SUBTOTAL(109,OFFSET(Data!BU2,ROW(Data!$J$2:$J$398)-ROW(Data!$J$2),0,1)),--(Data!$B$2:$B$398=$B2))</f>
        <v>176557.83199000001</v>
      </c>
      <c r="BP2" s="115" cm="1">
        <f t="array" aca="1" ref="BP2" ca="1">SUMPRODUCT(SUBTOTAL(109,OFFSET(Data!BV2,ROW(Data!$J$2:$J$398)-ROW(Data!$J$2),0,1)),--(Data!$B$2:$B$398=$B2))</f>
        <v>-14324.45399</v>
      </c>
      <c r="BQ2" s="122">
        <f ca="1">BP2/BO2</f>
        <v>-8.1131795902496792E-2</v>
      </c>
    </row>
    <row r="3" spans="1:83" x14ac:dyDescent="0.35">
      <c r="A3" s="150"/>
      <c r="B3" t="s">
        <v>380</v>
      </c>
      <c r="C3" s="113" cm="1">
        <f t="array" aca="1" ref="C3" ca="1">SUMPRODUCT(SUBTOTAL(103,OFFSET(Data!J2,ROW(Data!$J$2:$J$398)-ROW(Data!$J$2),0,1)),--(Data!$B$2:$B$398=$B3))</f>
        <v>97</v>
      </c>
      <c r="D3" s="113" cm="1">
        <f t="array" aca="1" ref="D3" ca="1">SUMPRODUCT(SUBTOTAL(109,OFFSET(Data!J2,ROW(Data!$J$2:$J$398)-ROW(Data!$J$2),0,1)),--(Data!$B$2:$B$398=$B3))</f>
        <v>28554.324219999999</v>
      </c>
      <c r="E3" s="114" cm="1">
        <f t="array" aca="1" ref="E3" ca="1">SUMPRODUCT(SUBTOTAL(109,OFFSET(Data!K2,ROW(Data!$J$2:$J$398)-ROW(Data!$J$2),0,1)),--(Data!$B$2:$B$398=$B3))</f>
        <v>31042.771710000001</v>
      </c>
      <c r="F3" s="115" cm="1">
        <f t="array" aca="1" ref="F3" ca="1">SUMPRODUCT(SUBTOTAL(109,OFFSET(Data!L2,ROW(Data!$J$2:$J$398)-ROW(Data!$J$2),0,1)),--(Data!$B$2:$B$398=$B3))</f>
        <v>13465.547369999998</v>
      </c>
      <c r="G3" s="116" cm="1">
        <f t="array" aca="1" ref="G3" ca="1">SUMPRODUCT(SUBTOTAL(109,OFFSET(Data!M2,ROW(Data!$J$2:$J$398)-ROW(Data!$J$2),0,1)),--(Data!$B$2:$B$398=$B3))</f>
        <v>13467.69282</v>
      </c>
      <c r="H3" s="113" cm="1">
        <f t="array" aca="1" ref="H3" ca="1">SUMPRODUCT(SUBTOTAL(109,OFFSET(Data!N2,ROW(Data!$J$2:$J$398)-ROW(Data!$J$2),0,1)),--(Data!$B$2:$B$398=$B3))</f>
        <v>31732.380268999997</v>
      </c>
      <c r="I3" s="114" cm="1">
        <f t="array" aca="1" ref="I3" ca="1">SUMPRODUCT(SUBTOTAL(109,OFFSET(Data!O2,ROW(Data!$J$2:$J$398)-ROW(Data!$J$2),0,1)),--(Data!$B$2:$B$398=$B3))</f>
        <v>34206.973180000001</v>
      </c>
      <c r="J3" s="115" cm="1">
        <f t="array" aca="1" ref="J3" ca="1">SUMPRODUCT(SUBTOTAL(109,OFFSET(Data!P2,ROW(Data!$J$2:$J$398)-ROW(Data!$J$2),0,1)),--(Data!$B$2:$B$398=$B3))</f>
        <v>15273.332410000001</v>
      </c>
      <c r="K3" s="116" cm="1">
        <f t="array" aca="1" ref="K3" ca="1">SUMPRODUCT(SUBTOTAL(109,OFFSET(Data!Q2,ROW(Data!$J$2:$J$398)-ROW(Data!$J$2),0,1)),--(Data!$B$2:$B$398=$B3))</f>
        <v>14661.945899999999</v>
      </c>
      <c r="L3" s="113" cm="1">
        <f t="array" aca="1" ref="L3" ca="1">SUMPRODUCT(SUBTOTAL(109,OFFSET(Data!R2,ROW(Data!$J$2:$J$398)-ROW(Data!$J$2),0,1)),--(Data!$B$2:$B$398=$B3))</f>
        <v>31826.38882</v>
      </c>
      <c r="M3" s="114" cm="1">
        <f t="array" aca="1" ref="M3" ca="1">SUMPRODUCT(SUBTOTAL(109,OFFSET(Data!S2,ROW(Data!$J$2:$J$398)-ROW(Data!$J$2),0,1)),--(Data!$B$2:$B$398=$B3))</f>
        <v>30402.832039999998</v>
      </c>
      <c r="N3" s="115" cm="1">
        <f t="array" aca="1" ref="N3" ca="1">SUMPRODUCT(SUBTOTAL(109,OFFSET(Data!T2,ROW(Data!$J$2:$J$398)-ROW(Data!$J$2),0,1)),--(Data!$B$2:$B$398=$B3))</f>
        <v>13158.73936</v>
      </c>
      <c r="O3" s="116" cm="1">
        <f t="array" aca="1" ref="O3" ca="1">SUMPRODUCT(SUBTOTAL(109,OFFSET(Data!U2,ROW(Data!$J$2:$J$398)-ROW(Data!$J$2),0,1)),--(Data!$B$2:$B$398=$B3))</f>
        <v>14516.159300000001</v>
      </c>
      <c r="P3" s="113" cm="1">
        <f t="array" aca="1" ref="P3" ca="1">SUMPRODUCT(SUBTOTAL(109,OFFSET(Data!V2,ROW(Data!$J$2:$J$398)-ROW(Data!$J$2),0,1)),--(Data!$B$2:$B$398=$B3))</f>
        <v>33729.218509999999</v>
      </c>
      <c r="Q3" s="114" cm="1">
        <f t="array" aca="1" ref="Q3" ca="1">SUMPRODUCT(SUBTOTAL(109,OFFSET(Data!W2,ROW(Data!$J$2:$J$398)-ROW(Data!$J$2),0,1)),--(Data!$B$2:$B$398=$B3))</f>
        <v>31587.978169999998</v>
      </c>
      <c r="R3" s="115" cm="1">
        <f t="array" aca="1" ref="R3" ca="1">SUMPRODUCT(SUBTOTAL(109,OFFSET(Data!X2,ROW(Data!$J$2:$J$398)-ROW(Data!$J$2),0,1)),--(Data!$B$2:$B$398=$B3))</f>
        <v>12867.58143</v>
      </c>
      <c r="S3" s="116" cm="1">
        <f t="array" aca="1" ref="S3" ca="1">SUMPRODUCT(SUBTOTAL(109,OFFSET(Data!Y2,ROW(Data!$J$2:$J$398)-ROW(Data!$J$2),0,1)),--(Data!$B$2:$B$398=$B3))</f>
        <v>14196.811760000001</v>
      </c>
      <c r="T3" s="113" cm="1">
        <f t="array" aca="1" ref="T3" ca="1">SUMPRODUCT(SUBTOTAL(109,OFFSET(Data!Z2,ROW(Data!$J$2:$J$398)-ROW(Data!$J$2),0,1)),--(Data!$B$2:$B$398=$B3))</f>
        <v>34348.606</v>
      </c>
      <c r="U3" s="114" cm="1">
        <f t="array" aca="1" ref="U3" ca="1">SUMPRODUCT(SUBTOTAL(109,OFFSET(Data!AA2,ROW(Data!$J$2:$J$398)-ROW(Data!$J$2),0,1)),--(Data!$B$2:$B$398=$B3))</f>
        <v>32227.836299999999</v>
      </c>
      <c r="V3" s="115" cm="1">
        <f t="array" aca="1" ref="V3" ca="1">SUMPRODUCT(SUBTOTAL(109,OFFSET(Data!AB2,ROW(Data!$J$2:$J$398)-ROW(Data!$J$2),0,1)),--(Data!$B$2:$B$398=$B3))</f>
        <v>12724.781870000001</v>
      </c>
      <c r="W3" s="116" cm="1">
        <f t="array" aca="1" ref="W3" ca="1">SUMPRODUCT(SUBTOTAL(109,OFFSET(Data!AC2,ROW(Data!$J$2:$J$398)-ROW(Data!$J$2),0,1)),--(Data!$B$2:$B$398=$B3))</f>
        <v>14140.402900000001</v>
      </c>
      <c r="X3" s="113" cm="1">
        <f t="array" aca="1" ref="X3" ca="1">SUMPRODUCT(SUBTOTAL(109,OFFSET(Data!AD2,ROW(Data!$J$2:$J$398)-ROW(Data!$J$2),0,1)),--(Data!$B$2:$B$398=$B3))</f>
        <v>32794</v>
      </c>
      <c r="Y3" s="114" cm="1">
        <f t="array" aca="1" ref="Y3" ca="1">SUMPRODUCT(SUBTOTAL(109,OFFSET(Data!AE2,ROW(Data!$J$2:$J$398)-ROW(Data!$J$2),0,1)),--(Data!$B$2:$B$398=$B3))</f>
        <v>30860.962999999996</v>
      </c>
      <c r="Z3" s="115" cm="1">
        <f t="array" aca="1" ref="Z3" ca="1">SUMPRODUCT(SUBTOTAL(109,OFFSET(Data!AF2,ROW(Data!$J$2:$J$398)-ROW(Data!$J$2),0,1)),--(Data!$B$2:$B$398=$B3))</f>
        <v>12914.07252</v>
      </c>
      <c r="AA3" s="116" cm="1">
        <f t="array" aca="1" ref="AA3" ca="1">SUMPRODUCT(SUBTOTAL(109,OFFSET(Data!AG2,ROW(Data!$J$2:$J$398)-ROW(Data!$J$2),0,1)),--(Data!$B$2:$B$398=$B3))</f>
        <v>13756.780999999999</v>
      </c>
      <c r="AB3" s="113" cm="1">
        <f t="array" aca="1" ref="AB3" ca="1">SUMPRODUCT(SUBTOTAL(109,OFFSET(Data!AH2,ROW(Data!$J$2:$J$398)-ROW(Data!$J$2),0,1)),--(Data!$B$2:$B$398=$B3))</f>
        <v>34061.55025</v>
      </c>
      <c r="AC3" s="114" cm="1">
        <f t="array" aca="1" ref="AC3" ca="1">SUMPRODUCT(SUBTOTAL(109,OFFSET(Data!AI2,ROW(Data!$J$2:$J$398)-ROW(Data!$J$2),0,1)),--(Data!$B$2:$B$398=$B3))</f>
        <v>32029.212</v>
      </c>
      <c r="AD3" s="115" cm="1">
        <f t="array" aca="1" ref="AD3" ca="1">SUMPRODUCT(SUBTOTAL(109,OFFSET(Data!AJ2,ROW(Data!$J$2:$J$398)-ROW(Data!$J$2),0,1)),--(Data!$B$2:$B$398=$B3))</f>
        <v>12966.49229</v>
      </c>
      <c r="AE3" s="116" cm="1">
        <f t="array" aca="1" ref="AE3" ca="1">SUMPRODUCT(SUBTOTAL(109,OFFSET(Data!AK2,ROW(Data!$J$2:$J$398)-ROW(Data!$J$2),0,1)),--(Data!$B$2:$B$398=$B3))</f>
        <v>14492.395</v>
      </c>
      <c r="AF3" s="113" cm="1">
        <f t="array" aca="1" ref="AF3" ca="1">SUMPRODUCT(SUBTOTAL(109,OFFSET(Data!AL2,ROW(Data!$J$2:$J$398)-ROW(Data!$J$2),0,1)),--(Data!$B$2:$B$398=$B3))</f>
        <v>32768.167149999994</v>
      </c>
      <c r="AG3" s="114" cm="1">
        <f t="array" aca="1" ref="AG3" ca="1">SUMPRODUCT(SUBTOTAL(109,OFFSET(Data!AM2,ROW(Data!$J$2:$J$398)-ROW(Data!$J$2),0,1)),--(Data!$B$2:$B$398=$B3))</f>
        <v>31115.679</v>
      </c>
      <c r="AH3" s="115" cm="1">
        <f t="array" aca="1" ref="AH3" ca="1">SUMPRODUCT(SUBTOTAL(109,OFFSET(Data!AN2,ROW(Data!$J$2:$J$398)-ROW(Data!$J$2),0,1)),--(Data!$B$2:$B$398=$B3))</f>
        <v>12159.952160000001</v>
      </c>
      <c r="AI3" s="116" cm="1">
        <f t="array" aca="1" ref="AI3" ca="1">SUMPRODUCT(SUBTOTAL(109,OFFSET(Data!AO2,ROW(Data!$J$2:$J$398)-ROW(Data!$J$2),0,1)),--(Data!$B$2:$B$398=$B3))</f>
        <v>12338.037</v>
      </c>
      <c r="AJ3" s="113" cm="1">
        <f t="array" aca="1" ref="AJ3" ca="1">SUMPRODUCT(SUBTOTAL(109,OFFSET(Data!AP2,ROW(Data!$J$2:$J$398)-ROW(Data!$J$2),0,1)),--(Data!$B$2:$B$398=$B3))</f>
        <v>31999.542110000002</v>
      </c>
      <c r="AK3" s="114" cm="1">
        <f t="array" aca="1" ref="AK3" ca="1">SUMPRODUCT(SUBTOTAL(109,OFFSET(Data!AQ2,ROW(Data!$J$2:$J$398)-ROW(Data!$J$2),0,1)),--(Data!$B$2:$B$398=$B3))</f>
        <v>29528.897000000001</v>
      </c>
      <c r="AL3" s="115" cm="1">
        <f t="array" aca="1" ref="AL3" ca="1">SUMPRODUCT(SUBTOTAL(109,OFFSET(Data!AR2,ROW(Data!$J$2:$J$398)-ROW(Data!$J$2),0,1)),--(Data!$B$2:$B$398=$B3))</f>
        <v>12033.529999999999</v>
      </c>
      <c r="AM3" s="116" cm="1">
        <f t="array" aca="1" ref="AM3" ca="1">SUMPRODUCT(SUBTOTAL(109,OFFSET(Data!AS2,ROW(Data!$J$2:$J$398)-ROW(Data!$J$2),0,1)),--(Data!$B$2:$B$398=$B3))</f>
        <v>11948.562999999998</v>
      </c>
      <c r="AN3" s="113" cm="1">
        <f t="array" aca="1" ref="AN3" ca="1">SUMPRODUCT(SUBTOTAL(109,OFFSET(Data!AT2,ROW(Data!$J$2:$J$398)-ROW(Data!$J$2),0,1)),--(Data!$B$2:$B$398=$B3))</f>
        <v>30812.573710000001</v>
      </c>
      <c r="AO3" s="114" cm="1">
        <f t="array" aca="1" ref="AO3" ca="1">SUMPRODUCT(SUBTOTAL(109,OFFSET(Data!AU2,ROW(Data!$J$2:$J$398)-ROW(Data!$J$2),0,1)),--(Data!$B$2:$B$398=$B3))</f>
        <v>29540.01</v>
      </c>
      <c r="AP3" s="115" cm="1">
        <f t="array" aca="1" ref="AP3" ca="1">SUMPRODUCT(SUBTOTAL(109,OFFSET(Data!AV2,ROW(Data!$J$2:$J$398)-ROW(Data!$J$2),0,1)),--(Data!$B$2:$B$398=$B3))</f>
        <v>11952.230829999999</v>
      </c>
      <c r="AQ3" s="116" cm="1">
        <f t="array" aca="1" ref="AQ3" ca="1">SUMPRODUCT(SUBTOTAL(109,OFFSET(Data!AW2,ROW(Data!$J$2:$J$398)-ROW(Data!$J$2),0,1)),--(Data!$B$2:$B$398=$B3))</f>
        <v>12891.365</v>
      </c>
      <c r="AR3" s="113" cm="1">
        <f t="array" aca="1" ref="AR3" ca="1">SUMPRODUCT(SUBTOTAL(109,OFFSET(Data!AX2,ROW(Data!$J$2:$J$398)-ROW(Data!$J$2),0,1)),--(Data!$B$2:$B$398=$B3))</f>
        <v>30076.319500000001</v>
      </c>
      <c r="AS3" s="114" cm="1">
        <f t="array" aca="1" ref="AS3" ca="1">SUMPRODUCT(SUBTOTAL(109,OFFSET(Data!AY2,ROW(Data!$J$2:$J$398)-ROW(Data!$J$2),0,1)),--(Data!$B$2:$B$398=$B3))</f>
        <v>27828.860999999997</v>
      </c>
      <c r="AT3" s="115" cm="1">
        <f t="array" aca="1" ref="AT3" ca="1">SUMPRODUCT(SUBTOTAL(109,OFFSET(Data!AZ2,ROW(Data!$J$2:$J$398)-ROW(Data!$J$2),0,1)),--(Data!$B$2:$B$398=$B3))</f>
        <v>11873.293489999998</v>
      </c>
      <c r="AU3" s="116" cm="1">
        <f t="array" aca="1" ref="AU3" ca="1">SUMPRODUCT(SUBTOTAL(109,OFFSET(Data!BA2,ROW(Data!$J$2:$J$398)-ROW(Data!$J$2),0,1)),--(Data!$B$2:$B$398=$B3))</f>
        <v>12888.928</v>
      </c>
      <c r="AV3" s="113" cm="1">
        <f t="array" aca="1" ref="AV3" ca="1">SUMPRODUCT(SUBTOTAL(109,OFFSET(Data!BB2,ROW(Data!$J$2:$J$398)-ROW(Data!$J$2),0,1)),--(Data!$B$2:$B$398=$B3))</f>
        <v>32051.270469999999</v>
      </c>
      <c r="AW3" s="114" cm="1">
        <f t="array" aca="1" ref="AW3" ca="1">SUMPRODUCT(SUBTOTAL(109,OFFSET(Data!BC2,ROW(Data!$J$2:$J$398)-ROW(Data!$J$2),0,1)),--(Data!$B$2:$B$398=$B3))</f>
        <v>31267.076999999997</v>
      </c>
      <c r="AX3" s="115" cm="1">
        <f t="array" aca="1" ref="AX3" ca="1">SUMPRODUCT(SUBTOTAL(109,OFFSET(Data!BD2,ROW(Data!$J$2:$J$398)-ROW(Data!$J$2),0,1)),--(Data!$B$2:$B$398=$B3))</f>
        <v>11863.328959999999</v>
      </c>
      <c r="AY3" s="116" cm="1">
        <f t="array" aca="1" ref="AY3" ca="1">SUMPRODUCT(SUBTOTAL(109,OFFSET(Data!BE2,ROW(Data!$J$2:$J$398)-ROW(Data!$J$2),0,1)),--(Data!$B$2:$B$398=$B3))</f>
        <v>13609.208000000001</v>
      </c>
      <c r="BB3" s="113" cm="1">
        <f t="array" aca="1" ref="BB3" ca="1">SUMPRODUCT(SUBTOTAL(109,OFFSET(Data!BH2,ROW(Data!$J$2:$J$398)-ROW(Data!$J$2),0,1)),--(Data!$B$2:$B$398=$B3))</f>
        <v>32051.270469999999</v>
      </c>
      <c r="BC3" s="114" cm="1">
        <f t="array" aca="1" ref="BC3" ca="1">SUMPRODUCT(SUBTOTAL(109,OFFSET(Data!BI2,ROW(Data!$J$2:$J$398)-ROW(Data!$J$2),0,1)),--(Data!$B$2:$B$398=$B3))</f>
        <v>31267.076999999997</v>
      </c>
      <c r="BD3" s="115" cm="1">
        <f t="array" aca="1" ref="BD3" ca="1">SUMPRODUCT(SUBTOTAL(109,OFFSET(Data!BJ2,ROW(Data!$J$2:$J$398)-ROW(Data!$J$2),0,1)),--(Data!$B$2:$B$398=$B3))</f>
        <v>784.19346999999993</v>
      </c>
      <c r="BE3" s="122">
        <f t="shared" ref="BE3:BE5" ca="1" si="0">BD3/BC3</f>
        <v>2.5080485457594899E-2</v>
      </c>
      <c r="BF3" s="113" cm="1">
        <f t="array" aca="1" ref="BF3" ca="1">SUMPRODUCT(SUBTOTAL(109,OFFSET(Data!BL2,ROW(Data!$J$2:$J$398)-ROW(Data!$J$2),0,1)),--(Data!$B$2:$B$398=$B3))</f>
        <v>11863.328959999999</v>
      </c>
      <c r="BG3" s="114" cm="1">
        <f t="array" aca="1" ref="BG3" ca="1">SUMPRODUCT(SUBTOTAL(109,OFFSET(Data!BM2,ROW(Data!$J$2:$J$398)-ROW(Data!$J$2),0,1)),--(Data!$B$2:$B$398=$B3))</f>
        <v>13609.208000000001</v>
      </c>
      <c r="BH3" s="115" cm="1">
        <f t="array" aca="1" ref="BH3" ca="1">SUMPRODUCT(SUBTOTAL(109,OFFSET(Data!BN2,ROW(Data!$J$2:$J$398)-ROW(Data!$J$2),0,1)),--(Data!$B$2:$B$398=$B3))</f>
        <v>-1745.87904</v>
      </c>
      <c r="BI3" s="122">
        <f t="shared" ref="BI3:BI5" ca="1" si="1">BH3/BG3</f>
        <v>-0.1282866012482137</v>
      </c>
      <c r="BJ3" s="113" cm="1">
        <f t="array" aca="1" ref="BJ3" ca="1">SUMPRODUCT(SUBTOTAL(109,OFFSET(Data!BP2,ROW(Data!$J$2:$J$398)-ROW(Data!$J$2),0,1)),--(Data!$B$2:$B$398=$B3))</f>
        <v>389717.38141000003</v>
      </c>
      <c r="BK3" s="114" cm="1">
        <f t="array" aca="1" ref="BK3" ca="1">SUMPRODUCT(SUBTOTAL(109,OFFSET(Data!BQ2,ROW(Data!$J$2:$J$398)-ROW(Data!$J$2),0,1)),--(Data!$B$2:$B$398=$B3))</f>
        <v>366676.04999899998</v>
      </c>
      <c r="BL3" s="115" cm="1">
        <f t="array" aca="1" ref="BL3" ca="1">SUMPRODUCT(SUBTOTAL(109,OFFSET(Data!BR2,ROW(Data!$J$2:$J$398)-ROW(Data!$J$2),0,1)),--(Data!$B$2:$B$398=$B3))</f>
        <v>23041.331410999999</v>
      </c>
      <c r="BM3" s="122">
        <f t="shared" ref="BM3:BM5" ca="1" si="2">BL3/BK3</f>
        <v>6.2838386666003512E-2</v>
      </c>
      <c r="BN3" s="113" cm="1">
        <f t="array" aca="1" ref="BN3" ca="1">SUMPRODUCT(SUBTOTAL(109,OFFSET(Data!BT2,ROW(Data!$J$2:$J$398)-ROW(Data!$J$2),0,1)),--(Data!$B$2:$B$398=$B3))</f>
        <v>152643.64162999997</v>
      </c>
      <c r="BO3" s="114" cm="1">
        <f t="array" aca="1" ref="BO3" ca="1">SUMPRODUCT(SUBTOTAL(109,OFFSET(Data!BU2,ROW(Data!$J$2:$J$398)-ROW(Data!$J$2),0,1)),--(Data!$B$2:$B$398=$B3))</f>
        <v>163517.53073999999</v>
      </c>
      <c r="BP3" s="115" cm="1">
        <f t="array" aca="1" ref="BP3" ca="1">SUMPRODUCT(SUBTOTAL(109,OFFSET(Data!BV2,ROW(Data!$J$2:$J$398)-ROW(Data!$J$2),0,1)),--(Data!$B$2:$B$398=$B3))</f>
        <v>-10873.889109999998</v>
      </c>
      <c r="BQ3" s="122">
        <f t="shared" ref="BQ3:BQ5" ca="1" si="3">BP3/BO3</f>
        <v>-6.649983681131999E-2</v>
      </c>
    </row>
    <row r="4" spans="1:83" x14ac:dyDescent="0.35">
      <c r="A4" s="150"/>
      <c r="B4" t="s">
        <v>581</v>
      </c>
      <c r="C4" s="113" cm="1">
        <f t="array" aca="1" ref="C4" ca="1">SUMPRODUCT(SUBTOTAL(103,OFFSET(Data!J2,ROW(Data!$J$2:$J$398)-ROW(Data!$J$2),0,1)),--(Data!$B$2:$B$398=$B4))</f>
        <v>192</v>
      </c>
      <c r="D4" s="113" cm="1">
        <f t="array" aca="1" ref="D4" ca="1">SUMPRODUCT(SUBTOTAL(109,OFFSET(Data!J2,ROW(Data!$J$2:$J$398)-ROW(Data!$J$2),0,1)),--(Data!$B$2:$B$398=$B4))</f>
        <v>54784.243000000009</v>
      </c>
      <c r="E4" s="114" cm="1">
        <f t="array" aca="1" ref="E4" ca="1">SUMPRODUCT(SUBTOTAL(109,OFFSET(Data!K2,ROW(Data!$J$2:$J$398)-ROW(Data!$J$2),0,1)),--(Data!$B$2:$B$398=$B4))</f>
        <v>59156.647999999994</v>
      </c>
      <c r="F4" s="115" cm="1">
        <f t="array" aca="1" ref="F4" ca="1">SUMPRODUCT(SUBTOTAL(109,OFFSET(Data!L2,ROW(Data!$J$2:$J$398)-ROW(Data!$J$2),0,1)),--(Data!$B$2:$B$398=$B4))</f>
        <v>22272.631000000001</v>
      </c>
      <c r="G4" s="116" cm="1">
        <f t="array" aca="1" ref="G4" ca="1">SUMPRODUCT(SUBTOTAL(109,OFFSET(Data!M2,ROW(Data!$J$2:$J$398)-ROW(Data!$J$2),0,1)),--(Data!$B$2:$B$398=$B4))</f>
        <v>21580.201999999997</v>
      </c>
      <c r="H4" s="113" cm="1">
        <f t="array" aca="1" ref="H4" ca="1">SUMPRODUCT(SUBTOTAL(109,OFFSET(Data!N2,ROW(Data!$J$2:$J$398)-ROW(Data!$J$2),0,1)),--(Data!$B$2:$B$398=$B4))</f>
        <v>58676.715999999993</v>
      </c>
      <c r="I4" s="114" cm="1">
        <f t="array" aca="1" ref="I4" ca="1">SUMPRODUCT(SUBTOTAL(109,OFFSET(Data!O2,ROW(Data!$J$2:$J$398)-ROW(Data!$J$2),0,1)),--(Data!$B$2:$B$398=$B4))</f>
        <v>61433.575000000004</v>
      </c>
      <c r="J4" s="115" cm="1">
        <f t="array" aca="1" ref="J4" ca="1">SUMPRODUCT(SUBTOTAL(109,OFFSET(Data!P2,ROW(Data!$J$2:$J$398)-ROW(Data!$J$2),0,1)),--(Data!$B$2:$B$398=$B4))</f>
        <v>24041.7</v>
      </c>
      <c r="K4" s="116" cm="1">
        <f t="array" aca="1" ref="K4" ca="1">SUMPRODUCT(SUBTOTAL(109,OFFSET(Data!Q2,ROW(Data!$J$2:$J$398)-ROW(Data!$J$2),0,1)),--(Data!$B$2:$B$398=$B4))</f>
        <v>21697.048000000003</v>
      </c>
      <c r="L4" s="113" cm="1">
        <f t="array" aca="1" ref="L4" ca="1">SUMPRODUCT(SUBTOTAL(109,OFFSET(Data!R2,ROW(Data!$J$2:$J$398)-ROW(Data!$J$2),0,1)),--(Data!$B$2:$B$398=$B4))</f>
        <v>58583</v>
      </c>
      <c r="M4" s="114" cm="1">
        <f t="array" aca="1" ref="M4" ca="1">SUMPRODUCT(SUBTOTAL(109,OFFSET(Data!S2,ROW(Data!$J$2:$J$398)-ROW(Data!$J$2),0,1)),--(Data!$B$2:$B$398=$B4))</f>
        <v>57160.963000000003</v>
      </c>
      <c r="N4" s="115" cm="1">
        <f t="array" aca="1" ref="N4" ca="1">SUMPRODUCT(SUBTOTAL(109,OFFSET(Data!T2,ROW(Data!$J$2:$J$398)-ROW(Data!$J$2),0,1)),--(Data!$B$2:$B$398=$B4))</f>
        <v>20265.5</v>
      </c>
      <c r="O4" s="116" cm="1">
        <f t="array" aca="1" ref="O4" ca="1">SUMPRODUCT(SUBTOTAL(109,OFFSET(Data!U2,ROW(Data!$J$2:$J$398)-ROW(Data!$J$2),0,1)),--(Data!$B$2:$B$398=$B4))</f>
        <v>22720.756000000001</v>
      </c>
      <c r="P4" s="113" cm="1">
        <f t="array" aca="1" ref="P4" ca="1">SUMPRODUCT(SUBTOTAL(109,OFFSET(Data!V2,ROW(Data!$J$2:$J$398)-ROW(Data!$J$2),0,1)),--(Data!$B$2:$B$398=$B4))</f>
        <v>62863.32499999999</v>
      </c>
      <c r="Q4" s="114" cm="1">
        <f t="array" aca="1" ref="Q4" ca="1">SUMPRODUCT(SUBTOTAL(109,OFFSET(Data!W2,ROW(Data!$J$2:$J$398)-ROW(Data!$J$2),0,1)),--(Data!$B$2:$B$398=$B4))</f>
        <v>59633.114000000001</v>
      </c>
      <c r="R4" s="115" cm="1">
        <f t="array" aca="1" ref="R4" ca="1">SUMPRODUCT(SUBTOTAL(109,OFFSET(Data!X2,ROW(Data!$J$2:$J$398)-ROW(Data!$J$2),0,1)),--(Data!$B$2:$B$398=$B4))</f>
        <v>19957.907000000003</v>
      </c>
      <c r="S4" s="116" cm="1">
        <f t="array" aca="1" ref="S4" ca="1">SUMPRODUCT(SUBTOTAL(109,OFFSET(Data!Y2,ROW(Data!$J$2:$J$398)-ROW(Data!$J$2),0,1)),--(Data!$B$2:$B$398=$B4))</f>
        <v>23293.620999999999</v>
      </c>
      <c r="T4" s="113" cm="1">
        <f t="array" aca="1" ref="T4" ca="1">SUMPRODUCT(SUBTOTAL(109,OFFSET(Data!Z2,ROW(Data!$J$2:$J$398)-ROW(Data!$J$2),0,1)),--(Data!$B$2:$B$398=$B4))</f>
        <v>63342.447999999997</v>
      </c>
      <c r="U4" s="114" cm="1">
        <f t="array" aca="1" ref="U4" ca="1">SUMPRODUCT(SUBTOTAL(109,OFFSET(Data!AA2,ROW(Data!$J$2:$J$398)-ROW(Data!$J$2),0,1)),--(Data!$B$2:$B$398=$B4))</f>
        <v>60056.335000000006</v>
      </c>
      <c r="V4" s="115" cm="1">
        <f t="array" aca="1" ref="V4" ca="1">SUMPRODUCT(SUBTOTAL(109,OFFSET(Data!AB2,ROW(Data!$J$2:$J$398)-ROW(Data!$J$2),0,1)),--(Data!$B$2:$B$398=$B4))</f>
        <v>19854.265999999996</v>
      </c>
      <c r="W4" s="116" cm="1">
        <f t="array" aca="1" ref="W4" ca="1">SUMPRODUCT(SUBTOTAL(109,OFFSET(Data!AC2,ROW(Data!$J$2:$J$398)-ROW(Data!$J$2),0,1)),--(Data!$B$2:$B$398=$B4))</f>
        <v>21882.19</v>
      </c>
      <c r="X4" s="113" cm="1">
        <f t="array" aca="1" ref="X4" ca="1">SUMPRODUCT(SUBTOTAL(109,OFFSET(Data!AD2,ROW(Data!$J$2:$J$398)-ROW(Data!$J$2),0,1)),--(Data!$B$2:$B$398=$B4))</f>
        <v>60127.802999999993</v>
      </c>
      <c r="Y4" s="114" cm="1">
        <f t="array" aca="1" ref="Y4" ca="1">SUMPRODUCT(SUBTOTAL(109,OFFSET(Data!AE2,ROW(Data!$J$2:$J$398)-ROW(Data!$J$2),0,1)),--(Data!$B$2:$B$398=$B4))</f>
        <v>56980.987999999998</v>
      </c>
      <c r="Z4" s="115" cm="1">
        <f t="array" aca="1" ref="Z4" ca="1">SUMPRODUCT(SUBTOTAL(109,OFFSET(Data!AF2,ROW(Data!$J$2:$J$398)-ROW(Data!$J$2),0,1)),--(Data!$B$2:$B$398=$B4))</f>
        <v>20239.881000000001</v>
      </c>
      <c r="AA4" s="116" cm="1">
        <f t="array" aca="1" ref="AA4" ca="1">SUMPRODUCT(SUBTOTAL(109,OFFSET(Data!AG2,ROW(Data!$J$2:$J$398)-ROW(Data!$J$2),0,1)),--(Data!$B$2:$B$398=$B4))</f>
        <v>21375.228999999999</v>
      </c>
      <c r="AB4" s="113" cm="1">
        <f t="array" aca="1" ref="AB4" ca="1">SUMPRODUCT(SUBTOTAL(109,OFFSET(Data!AH2,ROW(Data!$J$2:$J$398)-ROW(Data!$J$2),0,1)),--(Data!$B$2:$B$398=$B4))</f>
        <v>62810.28100000001</v>
      </c>
      <c r="AC4" s="114" cm="1">
        <f t="array" aca="1" ref="AC4" ca="1">SUMPRODUCT(SUBTOTAL(109,OFFSET(Data!AI2,ROW(Data!$J$2:$J$398)-ROW(Data!$J$2),0,1)),--(Data!$B$2:$B$398=$B4))</f>
        <v>60198.5</v>
      </c>
      <c r="AD4" s="115" cm="1">
        <f t="array" aca="1" ref="AD4" ca="1">SUMPRODUCT(SUBTOTAL(109,OFFSET(Data!AJ2,ROW(Data!$J$2:$J$398)-ROW(Data!$J$2),0,1)),--(Data!$B$2:$B$398=$B4))</f>
        <v>19937.637999999999</v>
      </c>
      <c r="AE4" s="116" cm="1">
        <f t="array" aca="1" ref="AE4" ca="1">SUMPRODUCT(SUBTOTAL(109,OFFSET(Data!AK2,ROW(Data!$J$2:$J$398)-ROW(Data!$J$2),0,1)),--(Data!$B$2:$B$398=$B4))</f>
        <v>22738.5</v>
      </c>
      <c r="AF4" s="113" cm="1">
        <f t="array" aca="1" ref="AF4" ca="1">SUMPRODUCT(SUBTOTAL(109,OFFSET(Data!AL2,ROW(Data!$J$2:$J$398)-ROW(Data!$J$2),0,1)),--(Data!$B$2:$B$398=$B4))</f>
        <v>59625.508000000002</v>
      </c>
      <c r="AG4" s="114" cm="1">
        <f t="array" aca="1" ref="AG4" ca="1">SUMPRODUCT(SUBTOTAL(109,OFFSET(Data!AM2,ROW(Data!$J$2:$J$398)-ROW(Data!$J$2),0,1)),--(Data!$B$2:$B$398=$B4))</f>
        <v>56514.078999999998</v>
      </c>
      <c r="AH4" s="115" cm="1">
        <f t="array" aca="1" ref="AH4" ca="1">SUMPRODUCT(SUBTOTAL(109,OFFSET(Data!AN2,ROW(Data!$J$2:$J$398)-ROW(Data!$J$2),0,1)),--(Data!$B$2:$B$398=$B4))</f>
        <v>19220.410000000003</v>
      </c>
      <c r="AI4" s="116" cm="1">
        <f t="array" aca="1" ref="AI4" ca="1">SUMPRODUCT(SUBTOTAL(109,OFFSET(Data!AO2,ROW(Data!$J$2:$J$398)-ROW(Data!$J$2),0,1)),--(Data!$B$2:$B$398=$B4))</f>
        <v>18634.859</v>
      </c>
      <c r="AJ4" s="113" cm="1">
        <f t="array" aca="1" ref="AJ4" ca="1">SUMPRODUCT(SUBTOTAL(109,OFFSET(Data!AP2,ROW(Data!$J$2:$J$398)-ROW(Data!$J$2),0,1)),--(Data!$B$2:$B$398=$B4))</f>
        <v>58477.509999999995</v>
      </c>
      <c r="AK4" s="114" cm="1">
        <f t="array" aca="1" ref="AK4" ca="1">SUMPRODUCT(SUBTOTAL(109,OFFSET(Data!AQ2,ROW(Data!$J$2:$J$398)-ROW(Data!$J$2),0,1)),--(Data!$B$2:$B$398=$B4))</f>
        <v>55655.19</v>
      </c>
      <c r="AL4" s="115" cm="1">
        <f t="array" aca="1" ref="AL4" ca="1">SUMPRODUCT(SUBTOTAL(109,OFFSET(Data!AR2,ROW(Data!$J$2:$J$398)-ROW(Data!$J$2),0,1)),--(Data!$B$2:$B$398=$B4))</f>
        <v>17899.228999999999</v>
      </c>
      <c r="AM4" s="116" cm="1">
        <f t="array" aca="1" ref="AM4" ca="1">SUMPRODUCT(SUBTOTAL(109,OFFSET(Data!AS2,ROW(Data!$J$2:$J$398)-ROW(Data!$J$2),0,1)),--(Data!$B$2:$B$398=$B4))</f>
        <v>17978.947</v>
      </c>
      <c r="AN4" s="113" cm="1">
        <f t="array" aca="1" ref="AN4" ca="1">SUMPRODUCT(SUBTOTAL(109,OFFSET(Data!AT2,ROW(Data!$J$2:$J$398)-ROW(Data!$J$2),0,1)),--(Data!$B$2:$B$398=$B4))</f>
        <v>56454.482000000004</v>
      </c>
      <c r="AO4" s="114" cm="1">
        <f t="array" aca="1" ref="AO4" ca="1">SUMPRODUCT(SUBTOTAL(109,OFFSET(Data!AU2,ROW(Data!$J$2:$J$398)-ROW(Data!$J$2),0,1)),--(Data!$B$2:$B$398=$B4))</f>
        <v>54430.892999999996</v>
      </c>
      <c r="AP4" s="115" cm="1">
        <f t="array" aca="1" ref="AP4" ca="1">SUMPRODUCT(SUBTOTAL(109,OFFSET(Data!AV2,ROW(Data!$J$2:$J$398)-ROW(Data!$J$2),0,1)),--(Data!$B$2:$B$398=$B4))</f>
        <v>18105.907999999999</v>
      </c>
      <c r="AQ4" s="116" cm="1">
        <f t="array" aca="1" ref="AQ4" ca="1">SUMPRODUCT(SUBTOTAL(109,OFFSET(Data!AW2,ROW(Data!$J$2:$J$398)-ROW(Data!$J$2),0,1)),--(Data!$B$2:$B$398=$B4))</f>
        <v>19242.182999999997</v>
      </c>
      <c r="AR4" s="113" cm="1">
        <f t="array" aca="1" ref="AR4" ca="1">SUMPRODUCT(SUBTOTAL(109,OFFSET(Data!AX2,ROW(Data!$J$2:$J$398)-ROW(Data!$J$2),0,1)),--(Data!$B$2:$B$398=$B4))</f>
        <v>55835.346999999994</v>
      </c>
      <c r="AS4" s="114" cm="1">
        <f t="array" aca="1" ref="AS4" ca="1">SUMPRODUCT(SUBTOTAL(109,OFFSET(Data!AY2,ROW(Data!$J$2:$J$398)-ROW(Data!$J$2),0,1)),--(Data!$B$2:$B$398=$B4))</f>
        <v>51540.88</v>
      </c>
      <c r="AT4" s="115" cm="1">
        <f t="array" aca="1" ref="AT4" ca="1">SUMPRODUCT(SUBTOTAL(109,OFFSET(Data!AZ2,ROW(Data!$J$2:$J$398)-ROW(Data!$J$2),0,1)),--(Data!$B$2:$B$398=$B4))</f>
        <v>18712.663</v>
      </c>
      <c r="AU4" s="116" cm="1">
        <f t="array" aca="1" ref="AU4" ca="1">SUMPRODUCT(SUBTOTAL(109,OFFSET(Data!BA2,ROW(Data!$J$2:$J$398)-ROW(Data!$J$2),0,1)),--(Data!$B$2:$B$398=$B4))</f>
        <v>19243.078000000001</v>
      </c>
      <c r="AV4" s="113" cm="1">
        <f t="array" aca="1" ref="AV4" ca="1">SUMPRODUCT(SUBTOTAL(109,OFFSET(Data!BB2,ROW(Data!$J$2:$J$398)-ROW(Data!$J$2),0,1)),--(Data!$B$2:$B$398=$B4))</f>
        <v>61440.563999999984</v>
      </c>
      <c r="AW4" s="114" cm="1">
        <f t="array" aca="1" ref="AW4" ca="1">SUMPRODUCT(SUBTOTAL(109,OFFSET(Data!BC2,ROW(Data!$J$2:$J$398)-ROW(Data!$J$2),0,1)),--(Data!$B$2:$B$398=$B4))</f>
        <v>56851.722999999998</v>
      </c>
      <c r="AX4" s="115" cm="1">
        <f t="array" aca="1" ref="AX4" ca="1">SUMPRODUCT(SUBTOTAL(109,OFFSET(Data!BD2,ROW(Data!$J$2:$J$398)-ROW(Data!$J$2),0,1)),--(Data!$B$2:$B$398=$B4))</f>
        <v>20712.574999999997</v>
      </c>
      <c r="AY4" s="116" cm="1">
        <f t="array" aca="1" ref="AY4" ca="1">SUMPRODUCT(SUBTOTAL(109,OFFSET(Data!BE2,ROW(Data!$J$2:$J$398)-ROW(Data!$J$2),0,1)),--(Data!$B$2:$B$398=$B4))</f>
        <v>20199.945999999996</v>
      </c>
      <c r="BB4" s="113" cm="1">
        <f t="array" aca="1" ref="BB4" ca="1">SUMPRODUCT(SUBTOTAL(109,OFFSET(Data!BH2,ROW(Data!$J$2:$J$398)-ROW(Data!$J$2),0,1)),--(Data!$B$2:$B$398=$B4))</f>
        <v>61440.563999999984</v>
      </c>
      <c r="BC4" s="114" cm="1">
        <f t="array" aca="1" ref="BC4" ca="1">SUMPRODUCT(SUBTOTAL(109,OFFSET(Data!BI2,ROW(Data!$J$2:$J$398)-ROW(Data!$J$2),0,1)),--(Data!$B$2:$B$398=$B4))</f>
        <v>56851.722999999998</v>
      </c>
      <c r="BD4" s="115" cm="1">
        <f t="array" aca="1" ref="BD4" ca="1">SUMPRODUCT(SUBTOTAL(109,OFFSET(Data!BJ2,ROW(Data!$J$2:$J$398)-ROW(Data!$J$2),0,1)),--(Data!$B$2:$B$398=$B4))</f>
        <v>4588.840999999994</v>
      </c>
      <c r="BE4" s="122">
        <f t="shared" ca="1" si="0"/>
        <v>8.071595297120536E-2</v>
      </c>
      <c r="BF4" s="113" cm="1">
        <f t="array" aca="1" ref="BF4" ca="1">SUMPRODUCT(SUBTOTAL(109,OFFSET(Data!BL2,ROW(Data!$J$2:$J$398)-ROW(Data!$J$2),0,1)),--(Data!$B$2:$B$398=$B4))</f>
        <v>20712.574999999997</v>
      </c>
      <c r="BG4" s="114" cm="1">
        <f t="array" aca="1" ref="BG4" ca="1">SUMPRODUCT(SUBTOTAL(109,OFFSET(Data!BM2,ROW(Data!$J$2:$J$398)-ROW(Data!$J$2),0,1)),--(Data!$B$2:$B$398=$B4))</f>
        <v>20199.945999999996</v>
      </c>
      <c r="BH4" s="115" cm="1">
        <f t="array" aca="1" ref="BH4" ca="1">SUMPRODUCT(SUBTOTAL(109,OFFSET(Data!BN2,ROW(Data!$J$2:$J$398)-ROW(Data!$J$2),0,1)),--(Data!$B$2:$B$398=$B4))</f>
        <v>512.62900000000013</v>
      </c>
      <c r="BI4" s="122">
        <f t="shared" ca="1" si="1"/>
        <v>2.5377741108812878E-2</v>
      </c>
      <c r="BJ4" s="113" cm="1">
        <f t="array" aca="1" ref="BJ4" ca="1">SUMPRODUCT(SUBTOTAL(109,OFFSET(Data!BP2,ROW(Data!$J$2:$J$398)-ROW(Data!$J$2),0,1)),--(Data!$B$2:$B$398=$B4))</f>
        <v>720150.49100000004</v>
      </c>
      <c r="BK4" s="114" cm="1">
        <f t="array" aca="1" ref="BK4" ca="1">SUMPRODUCT(SUBTOTAL(109,OFFSET(Data!BQ2,ROW(Data!$J$2:$J$398)-ROW(Data!$J$2),0,1)),--(Data!$B$2:$B$398=$B4))</f>
        <v>682483.62400000007</v>
      </c>
      <c r="BL4" s="115" cm="1">
        <f t="array" aca="1" ref="BL4" ca="1">SUMPRODUCT(SUBTOTAL(109,OFFSET(Data!BR2,ROW(Data!$J$2:$J$398)-ROW(Data!$J$2),0,1)),--(Data!$B$2:$B$398=$B4))</f>
        <v>37666.866999999991</v>
      </c>
      <c r="BM4" s="122">
        <f t="shared" ca="1" si="2"/>
        <v>5.5190872975437115E-2</v>
      </c>
      <c r="BN4" s="113" cm="1">
        <f t="array" aca="1" ref="BN4" ca="1">SUMPRODUCT(SUBTOTAL(109,OFFSET(Data!BT2,ROW(Data!$J$2:$J$398)-ROW(Data!$J$2),0,1)),--(Data!$B$2:$B$398=$B4))</f>
        <v>238183.22700000001</v>
      </c>
      <c r="BO4" s="114" cm="1">
        <f t="array" aca="1" ref="BO4" ca="1">SUMPRODUCT(SUBTOTAL(109,OFFSET(Data!BU2,ROW(Data!$J$2:$J$398)-ROW(Data!$J$2),0,1)),--(Data!$B$2:$B$398=$B4))</f>
        <v>253623.64</v>
      </c>
      <c r="BP4" s="115" cm="1">
        <f t="array" aca="1" ref="BP4" ca="1">SUMPRODUCT(SUBTOTAL(109,OFFSET(Data!BV2,ROW(Data!$J$2:$J$398)-ROW(Data!$J$2),0,1)),--(Data!$B$2:$B$398=$B4))</f>
        <v>-15440.413</v>
      </c>
      <c r="BQ4" s="122">
        <f t="shared" ca="1" si="3"/>
        <v>-6.0879234285889122E-2</v>
      </c>
    </row>
    <row r="5" spans="1:83" x14ac:dyDescent="0.35">
      <c r="A5" s="150"/>
      <c r="B5" t="s">
        <v>974</v>
      </c>
      <c r="C5" s="143">
        <f ca="1">SUM(C2:C4)</f>
        <v>393</v>
      </c>
      <c r="D5" s="113">
        <f ca="1">SUM(D2:D4)</f>
        <v>114819.27735300001</v>
      </c>
      <c r="E5" s="114">
        <f t="shared" ref="E5:AY5" ca="1" si="4">SUM(E2:E4)</f>
        <v>123491.41970999999</v>
      </c>
      <c r="F5" s="115">
        <f t="shared" ca="1" si="4"/>
        <v>50314.003369999999</v>
      </c>
      <c r="G5" s="116">
        <f t="shared" ca="1" si="4"/>
        <v>48898.177819999997</v>
      </c>
      <c r="H5" s="113">
        <f t="shared" ca="1" si="4"/>
        <v>125080.69343100002</v>
      </c>
      <c r="I5" s="114">
        <f t="shared" ca="1" si="4"/>
        <v>129930.04818000001</v>
      </c>
      <c r="J5" s="115">
        <f t="shared" ca="1" si="4"/>
        <v>55762.969410000005</v>
      </c>
      <c r="K5" s="116">
        <f t="shared" ca="1" si="4"/>
        <v>50866.493900000001</v>
      </c>
      <c r="L5" s="113">
        <f t="shared" ca="1" si="4"/>
        <v>123341.18882000001</v>
      </c>
      <c r="M5" s="114">
        <f t="shared" ca="1" si="4"/>
        <v>120382.91018900002</v>
      </c>
      <c r="N5" s="115">
        <f t="shared" ca="1" si="4"/>
        <v>47453.73936</v>
      </c>
      <c r="O5" s="116">
        <f t="shared" ca="1" si="4"/>
        <v>53307.427300000003</v>
      </c>
      <c r="P5" s="113">
        <f t="shared" ca="1" si="4"/>
        <v>132287.04350999999</v>
      </c>
      <c r="Q5" s="114">
        <f t="shared" ca="1" si="4"/>
        <v>125755.48322400001</v>
      </c>
      <c r="R5" s="115">
        <f t="shared" ca="1" si="4"/>
        <v>46642.988429999998</v>
      </c>
      <c r="S5" s="116">
        <f t="shared" ca="1" si="4"/>
        <v>53389.00776</v>
      </c>
      <c r="T5" s="113">
        <f t="shared" ca="1" si="4"/>
        <v>133375.65400000001</v>
      </c>
      <c r="U5" s="114">
        <f t="shared" ca="1" si="4"/>
        <v>126631.35532700001</v>
      </c>
      <c r="V5" s="115">
        <f t="shared" ca="1" si="4"/>
        <v>46119.947869999996</v>
      </c>
      <c r="W5" s="116">
        <f t="shared" ca="1" si="4"/>
        <v>51346.751900000003</v>
      </c>
      <c r="X5" s="113">
        <f t="shared" ca="1" si="4"/>
        <v>127659.30299999999</v>
      </c>
      <c r="Y5" s="114">
        <f t="shared" ca="1" si="4"/>
        <v>121062.57904200001</v>
      </c>
      <c r="Z5" s="115">
        <f t="shared" ca="1" si="4"/>
        <v>47112.453520000003</v>
      </c>
      <c r="AA5" s="116">
        <f t="shared" ca="1" si="4"/>
        <v>49482.542000000001</v>
      </c>
      <c r="AB5" s="113">
        <f t="shared" ca="1" si="4"/>
        <v>132333.83125000002</v>
      </c>
      <c r="AC5" s="114">
        <f t="shared" ca="1" si="4"/>
        <v>126527</v>
      </c>
      <c r="AD5" s="115">
        <f t="shared" ca="1" si="4"/>
        <v>46650.130290000001</v>
      </c>
      <c r="AE5" s="116">
        <f t="shared" ca="1" si="4"/>
        <v>53097.392999999996</v>
      </c>
      <c r="AF5" s="113">
        <f t="shared" ca="1" si="4"/>
        <v>125592.17515</v>
      </c>
      <c r="AG5" s="114">
        <f t="shared" ca="1" si="4"/>
        <v>119947.22911099999</v>
      </c>
      <c r="AH5" s="115">
        <f t="shared" ca="1" si="4"/>
        <v>44775.862160000004</v>
      </c>
      <c r="AI5" s="116">
        <f t="shared" ca="1" si="4"/>
        <v>44209.120999999999</v>
      </c>
      <c r="AJ5" s="113">
        <f t="shared" ca="1" si="4"/>
        <v>122953.86010999999</v>
      </c>
      <c r="AK5" s="114">
        <f t="shared" ca="1" si="4"/>
        <v>116957.91</v>
      </c>
      <c r="AL5" s="115">
        <f t="shared" ca="1" si="4"/>
        <v>42186.758999999998</v>
      </c>
      <c r="AM5" s="116">
        <f t="shared" ca="1" si="4"/>
        <v>42825.660989999997</v>
      </c>
      <c r="AN5" s="113">
        <f t="shared" ca="1" si="4"/>
        <v>118520.70871000001</v>
      </c>
      <c r="AO5" s="114">
        <f t="shared" ca="1" si="4"/>
        <v>115181.85699999999</v>
      </c>
      <c r="AP5" s="115">
        <f t="shared" ca="1" si="4"/>
        <v>42352.875830000004</v>
      </c>
      <c r="AQ5" s="116">
        <f t="shared" ca="1" si="4"/>
        <v>45976.175999999992</v>
      </c>
      <c r="AR5" s="113">
        <f t="shared" ca="1" si="4"/>
        <v>117079.03649999999</v>
      </c>
      <c r="AS5" s="114">
        <f t="shared" ca="1" si="4"/>
        <v>108580.11299999998</v>
      </c>
      <c r="AT5" s="115">
        <f t="shared" ca="1" si="4"/>
        <v>43255.333489999997</v>
      </c>
      <c r="AU5" s="116">
        <f t="shared" ca="1" si="4"/>
        <v>45656.55</v>
      </c>
      <c r="AV5" s="113">
        <f t="shared" ca="1" si="4"/>
        <v>127573.21246999998</v>
      </c>
      <c r="AW5" s="114">
        <f t="shared" ca="1" si="4"/>
        <v>120680.44899999999</v>
      </c>
      <c r="AX5" s="115">
        <f t="shared" ca="1" si="4"/>
        <v>46745.484959999994</v>
      </c>
      <c r="AY5" s="116">
        <f t="shared" ca="1" si="4"/>
        <v>48331.399999999994</v>
      </c>
      <c r="BB5" s="113">
        <f t="shared" ref="BB5:BD5" ca="1" si="5">SUM(BB2:BB4)</f>
        <v>127573.21246999998</v>
      </c>
      <c r="BC5" s="114">
        <f t="shared" ca="1" si="5"/>
        <v>120680.44899999999</v>
      </c>
      <c r="BD5" s="115">
        <f t="shared" ca="1" si="5"/>
        <v>6892.7634699999944</v>
      </c>
      <c r="BE5" s="122">
        <f t="shared" ca="1" si="0"/>
        <v>5.7115825530281168E-2</v>
      </c>
      <c r="BF5" s="113">
        <f t="shared" ref="BF5:BL5" ca="1" si="6">SUM(BF2:BF4)</f>
        <v>46745.484959999994</v>
      </c>
      <c r="BG5" s="114">
        <f t="shared" ca="1" si="6"/>
        <v>48331.399999999994</v>
      </c>
      <c r="BH5" s="115">
        <f t="shared" ca="1" si="6"/>
        <v>-1585.9150399999996</v>
      </c>
      <c r="BI5" s="122">
        <f t="shared" ca="1" si="1"/>
        <v>-3.2813347844258593E-2</v>
      </c>
      <c r="BJ5" s="113">
        <f t="shared" ca="1" si="6"/>
        <v>1514137.48141</v>
      </c>
      <c r="BK5" s="114">
        <f t="shared" ca="1" si="6"/>
        <v>1441606.8566770004</v>
      </c>
      <c r="BL5" s="115">
        <f t="shared" ca="1" si="6"/>
        <v>72530.62473299999</v>
      </c>
      <c r="BM5" s="122">
        <f t="shared" ca="1" si="2"/>
        <v>5.0312347223561281E-2</v>
      </c>
      <c r="BN5" s="113">
        <f t="shared" ref="BN5:BP5" ca="1" si="7">SUM(BN2:BN4)</f>
        <v>553060.24662999995</v>
      </c>
      <c r="BO5" s="114">
        <f t="shared" ca="1" si="7"/>
        <v>593699.00273000007</v>
      </c>
      <c r="BP5" s="115">
        <f t="shared" ca="1" si="7"/>
        <v>-40638.756099999999</v>
      </c>
      <c r="BQ5" s="122">
        <f t="shared" ca="1" si="3"/>
        <v>-6.8450099988598967E-2</v>
      </c>
    </row>
    <row r="6" spans="1:83" x14ac:dyDescent="0.35">
      <c r="A6" s="107"/>
      <c r="D6" s="117"/>
      <c r="G6" s="118"/>
      <c r="H6" s="117"/>
      <c r="K6" s="118"/>
      <c r="L6" s="117"/>
      <c r="O6" s="118"/>
      <c r="P6" s="117"/>
      <c r="S6" s="118"/>
      <c r="T6" s="117"/>
      <c r="W6" s="118"/>
      <c r="X6" s="117"/>
      <c r="AA6" s="118"/>
      <c r="AB6" s="117"/>
      <c r="AE6" s="118"/>
      <c r="AF6" s="117"/>
      <c r="AI6" s="118"/>
      <c r="AJ6" s="117"/>
      <c r="AM6" s="118"/>
      <c r="AN6" s="117"/>
      <c r="AQ6" s="118"/>
      <c r="AR6" s="117"/>
      <c r="AU6" s="118"/>
      <c r="AV6" s="117"/>
      <c r="AY6" s="118"/>
      <c r="BB6" s="117"/>
      <c r="BE6" s="118"/>
      <c r="BF6" s="117"/>
      <c r="BI6" s="118"/>
      <c r="BJ6" s="117"/>
      <c r="BL6">
        <f ca="1">BL5/BK5</f>
        <v>5.0312347223561281E-2</v>
      </c>
      <c r="BM6" s="118"/>
      <c r="BN6" s="117"/>
      <c r="BQ6" s="118"/>
    </row>
    <row r="7" spans="1:83" x14ac:dyDescent="0.35">
      <c r="A7" s="150" t="s">
        <v>1033</v>
      </c>
      <c r="B7" s="108" t="s">
        <v>72</v>
      </c>
      <c r="C7" s="119">
        <f t="shared" ref="C7:D9" ca="1" si="8">C2/C$5</f>
        <v>0.26463104325699743</v>
      </c>
      <c r="D7" s="119">
        <f t="shared" ca="1" si="8"/>
        <v>0.27417617371180469</v>
      </c>
      <c r="E7" s="120">
        <f t="shared" ref="E7:AY7" ca="1" si="9">E2/E$5</f>
        <v>0.26958958021683599</v>
      </c>
      <c r="F7" s="121">
        <f t="shared" ca="1" si="9"/>
        <v>0.28969718217037993</v>
      </c>
      <c r="G7" s="122">
        <f t="shared" ca="1" si="9"/>
        <v>0.28324742592626939</v>
      </c>
      <c r="H7" s="119">
        <f t="shared" ca="1" si="9"/>
        <v>0.27719383552287696</v>
      </c>
      <c r="I7" s="120">
        <f t="shared" ca="1" si="9"/>
        <v>0.26390739078689995</v>
      </c>
      <c r="J7" s="121">
        <f t="shared" ca="1" si="9"/>
        <v>0.29496164164188826</v>
      </c>
      <c r="K7" s="122">
        <f t="shared" ca="1" si="9"/>
        <v>0.28520739071422413</v>
      </c>
      <c r="L7" s="119">
        <f t="shared" ca="1" si="9"/>
        <v>0.26699758868109796</v>
      </c>
      <c r="M7" s="120">
        <f t="shared" ca="1" si="9"/>
        <v>0.27262270946494244</v>
      </c>
      <c r="N7" s="121">
        <f t="shared" ca="1" si="9"/>
        <v>0.29564582663480959</v>
      </c>
      <c r="O7" s="122">
        <f t="shared" ca="1" si="9"/>
        <v>0.30146853476082119</v>
      </c>
      <c r="P7" s="119">
        <f t="shared" ca="1" si="9"/>
        <v>0.2698261224448768</v>
      </c>
      <c r="Q7" s="120">
        <f t="shared" ca="1" si="9"/>
        <v>0.27461538987120077</v>
      </c>
      <c r="R7" s="121">
        <f t="shared" ca="1" si="9"/>
        <v>0.29623959495512969</v>
      </c>
      <c r="S7" s="122">
        <f t="shared" ca="1" si="9"/>
        <v>0.29778742229990451</v>
      </c>
      <c r="T7" s="119">
        <f t="shared" ca="1" si="9"/>
        <v>0.26754957842605964</v>
      </c>
      <c r="U7" s="120">
        <f t="shared" ca="1" si="9"/>
        <v>0.2712375930772068</v>
      </c>
      <c r="V7" s="121">
        <f t="shared" ca="1" si="9"/>
        <v>0.2936018062762828</v>
      </c>
      <c r="W7" s="122">
        <f t="shared" ca="1" si="9"/>
        <v>0.29844456431916971</v>
      </c>
      <c r="X7" s="119">
        <f t="shared" ca="1" si="9"/>
        <v>0.27211099531069821</v>
      </c>
      <c r="Y7" s="120">
        <f t="shared" ca="1" si="9"/>
        <v>0.27440872567628721</v>
      </c>
      <c r="Z7" s="121">
        <f t="shared" ca="1" si="9"/>
        <v>0.29628047272202435</v>
      </c>
      <c r="AA7" s="122">
        <f t="shared" ca="1" si="9"/>
        <v>0.29001202080523669</v>
      </c>
      <c r="AB7" s="119">
        <f t="shared" ca="1" si="9"/>
        <v>0.26797380280637795</v>
      </c>
      <c r="AC7" s="120">
        <f t="shared" ca="1" si="9"/>
        <v>0.27108275703999934</v>
      </c>
      <c r="AD7" s="121">
        <f t="shared" ca="1" si="9"/>
        <v>0.2946615564532864</v>
      </c>
      <c r="AE7" s="122">
        <f t="shared" ca="1" si="9"/>
        <v>0.29881877628153986</v>
      </c>
      <c r="AF7" s="119">
        <f t="shared" ca="1" si="9"/>
        <v>0.264335735569112</v>
      </c>
      <c r="AG7" s="120">
        <f t="shared" ca="1" si="9"/>
        <v>0.26943074342378676</v>
      </c>
      <c r="AH7" s="121">
        <f t="shared" ca="1" si="9"/>
        <v>0.29916788541409067</v>
      </c>
      <c r="AI7" s="122">
        <f t="shared" ca="1" si="9"/>
        <v>0.2994003205809046</v>
      </c>
      <c r="AJ7" s="119">
        <f t="shared" ca="1" si="9"/>
        <v>0.26413817322160366</v>
      </c>
      <c r="AK7" s="120">
        <f t="shared" ca="1" si="9"/>
        <v>0.27166886788589162</v>
      </c>
      <c r="AL7" s="121">
        <f t="shared" ca="1" si="9"/>
        <v>0.29047028713440631</v>
      </c>
      <c r="AM7" s="122">
        <f t="shared" ca="1" si="9"/>
        <v>0.30117809490463626</v>
      </c>
      <c r="AN7" s="119">
        <f t="shared" ca="1" si="9"/>
        <v>0.26369782412010689</v>
      </c>
      <c r="AO7" s="120">
        <f t="shared" ca="1" si="9"/>
        <v>0.2709710957342874</v>
      </c>
      <c r="AP7" s="121">
        <f t="shared" ca="1" si="9"/>
        <v>0.29029284928253241</v>
      </c>
      <c r="AQ7" s="122">
        <f t="shared" ca="1" si="9"/>
        <v>0.30108263027355736</v>
      </c>
      <c r="AR7" s="119">
        <f t="shared" ca="1" si="9"/>
        <v>0.26620794748340793</v>
      </c>
      <c r="AS7" s="120">
        <f t="shared" ca="1" si="9"/>
        <v>0.2690213814752615</v>
      </c>
      <c r="AT7" s="121">
        <f t="shared" ca="1" si="9"/>
        <v>0.29289745281767338</v>
      </c>
      <c r="AU7" s="122">
        <f t="shared" ca="1" si="9"/>
        <v>0.29622352105010125</v>
      </c>
      <c r="AV7" s="119">
        <f t="shared" ca="1" si="9"/>
        <v>0.26715152295796069</v>
      </c>
      <c r="AW7" s="120">
        <f t="shared" ca="1" si="9"/>
        <v>0.26981710185715335</v>
      </c>
      <c r="AX7" s="121">
        <f t="shared" ca="1" si="9"/>
        <v>0.30312191673965688</v>
      </c>
      <c r="AY7" s="122">
        <f t="shared" ca="1" si="9"/>
        <v>0.30047228096020401</v>
      </c>
      <c r="BB7" s="119">
        <f t="shared" ref="BB7:BE7" ca="1" si="10">BB2/BB$5</f>
        <v>0.26715152295796069</v>
      </c>
      <c r="BC7" s="120">
        <f t="shared" ca="1" si="10"/>
        <v>0.26981710185715335</v>
      </c>
      <c r="BD7" s="121">
        <f t="shared" ca="1" si="10"/>
        <v>0.22048181496644353</v>
      </c>
      <c r="BE7" s="122">
        <f t="shared" ca="1" si="10"/>
        <v>0.81715285446647135</v>
      </c>
      <c r="BF7" s="119">
        <f t="shared" ref="BF7:BM7" ca="1" si="11">BF2/BF$5</f>
        <v>0.30312191673965688</v>
      </c>
      <c r="BG7" s="120">
        <f t="shared" ca="1" si="11"/>
        <v>0.30047228096020401</v>
      </c>
      <c r="BH7" s="121">
        <f t="shared" ca="1" si="11"/>
        <v>0.22237319850374837</v>
      </c>
      <c r="BI7" s="122">
        <f t="shared" ca="1" si="11"/>
        <v>0.74007891108331747</v>
      </c>
      <c r="BJ7" s="119">
        <f t="shared" ca="1" si="11"/>
        <v>0.26699663271233121</v>
      </c>
      <c r="BK7" s="120">
        <f t="shared" ca="1" si="11"/>
        <v>0.27222899284942159</v>
      </c>
      <c r="BL7" s="121">
        <f t="shared" ca="1" si="11"/>
        <v>0.16299909680249905</v>
      </c>
      <c r="BM7" s="122">
        <f t="shared" ca="1" si="11"/>
        <v>0.59875730022870488</v>
      </c>
      <c r="BN7" s="119">
        <f t="shared" ref="BN7:BQ7" ca="1" si="12">BN2/BN$5</f>
        <v>0.29333762277897896</v>
      </c>
      <c r="BO7" s="120">
        <f t="shared" ca="1" si="12"/>
        <v>0.29738610167464646</v>
      </c>
      <c r="BP7" s="121">
        <f t="shared" ca="1" si="12"/>
        <v>0.35248258964304274</v>
      </c>
      <c r="BQ7" s="122">
        <f t="shared" ca="1" si="12"/>
        <v>1.1852692094826756</v>
      </c>
    </row>
    <row r="8" spans="1:83" x14ac:dyDescent="0.35">
      <c r="A8" s="150"/>
      <c r="B8" t="s">
        <v>380</v>
      </c>
      <c r="C8" s="119">
        <f t="shared" ca="1" si="8"/>
        <v>0.24681933842239187</v>
      </c>
      <c r="D8" s="119">
        <f t="shared" ca="1" si="8"/>
        <v>0.2486892870106879</v>
      </c>
      <c r="E8" s="120">
        <f t="shared" ref="E8:AY8" ca="1" si="13">E3/E$5</f>
        <v>0.25137593998756375</v>
      </c>
      <c r="F8" s="121">
        <f t="shared" ca="1" si="13"/>
        <v>0.26763021163267053</v>
      </c>
      <c r="G8" s="122">
        <f t="shared" ca="1" si="13"/>
        <v>0.27542320430786149</v>
      </c>
      <c r="H8" s="119">
        <f t="shared" ca="1" si="13"/>
        <v>0.25369526981799928</v>
      </c>
      <c r="I8" s="120">
        <f t="shared" ca="1" si="13"/>
        <v>0.26327222731889544</v>
      </c>
      <c r="J8" s="121">
        <f t="shared" ca="1" si="13"/>
        <v>0.27389740129694429</v>
      </c>
      <c r="K8" s="122">
        <f t="shared" ca="1" si="13"/>
        <v>0.28824369001772299</v>
      </c>
      <c r="L8" s="119">
        <f t="shared" ca="1" si="13"/>
        <v>0.25803536616179662</v>
      </c>
      <c r="M8" s="120">
        <f t="shared" ca="1" si="13"/>
        <v>0.25255106387001147</v>
      </c>
      <c r="N8" s="121">
        <f t="shared" ca="1" si="13"/>
        <v>0.27729615278942266</v>
      </c>
      <c r="O8" s="122">
        <f t="shared" ca="1" si="13"/>
        <v>0.27231025834930889</v>
      </c>
      <c r="P8" s="119">
        <f t="shared" ca="1" si="13"/>
        <v>0.25496993216459857</v>
      </c>
      <c r="Q8" s="120">
        <f t="shared" ca="1" si="13"/>
        <v>0.25118569274418356</v>
      </c>
      <c r="R8" s="121">
        <f t="shared" ca="1" si="13"/>
        <v>0.27587386364214572</v>
      </c>
      <c r="S8" s="122">
        <f t="shared" ca="1" si="13"/>
        <v>0.26591263549641214</v>
      </c>
      <c r="T8" s="119">
        <f t="shared" ca="1" si="13"/>
        <v>0.25753280280072699</v>
      </c>
      <c r="U8" s="120">
        <f t="shared" ca="1" si="13"/>
        <v>0.25450123483854448</v>
      </c>
      <c r="V8" s="121">
        <f t="shared" ca="1" si="13"/>
        <v>0.27590625006489194</v>
      </c>
      <c r="W8" s="122">
        <f t="shared" ca="1" si="13"/>
        <v>0.27539040692464911</v>
      </c>
      <c r="X8" s="119">
        <f t="shared" ca="1" si="13"/>
        <v>0.25688687960328283</v>
      </c>
      <c r="Y8" s="120">
        <f t="shared" ca="1" si="13"/>
        <v>0.25491744223698937</v>
      </c>
      <c r="Z8" s="121">
        <f t="shared" ca="1" si="13"/>
        <v>0.27411165318566494</v>
      </c>
      <c r="AA8" s="122">
        <f t="shared" ca="1" si="13"/>
        <v>0.27801281914740755</v>
      </c>
      <c r="AB8" s="119">
        <f t="shared" ca="1" si="13"/>
        <v>0.25739109892203016</v>
      </c>
      <c r="AC8" s="120">
        <f t="shared" ca="1" si="13"/>
        <v>0.25314132161514935</v>
      </c>
      <c r="AD8" s="121">
        <f t="shared" ca="1" si="13"/>
        <v>0.27795189872769804</v>
      </c>
      <c r="AE8" s="122">
        <f t="shared" ca="1" si="13"/>
        <v>0.27293985977804974</v>
      </c>
      <c r="AF8" s="119">
        <f t="shared" ca="1" si="13"/>
        <v>0.26090930514471622</v>
      </c>
      <c r="AG8" s="120">
        <f t="shared" ca="1" si="13"/>
        <v>0.25941140308631339</v>
      </c>
      <c r="AH8" s="121">
        <f t="shared" ca="1" si="13"/>
        <v>0.27157382512363887</v>
      </c>
      <c r="AI8" s="122">
        <f t="shared" ca="1" si="13"/>
        <v>0.27908351762976696</v>
      </c>
      <c r="AJ8" s="119">
        <f t="shared" ca="1" si="13"/>
        <v>0.26025650663892769</v>
      </c>
      <c r="AK8" s="120">
        <f t="shared" ca="1" si="13"/>
        <v>0.25247456114768124</v>
      </c>
      <c r="AL8" s="121">
        <f t="shared" ca="1" si="13"/>
        <v>0.28524423978623242</v>
      </c>
      <c r="AM8" s="122">
        <f t="shared" ca="1" si="13"/>
        <v>0.27900475378045064</v>
      </c>
      <c r="AN8" s="119">
        <f t="shared" ca="1" si="13"/>
        <v>0.25997628638378395</v>
      </c>
      <c r="AO8" s="120">
        <f t="shared" ca="1" si="13"/>
        <v>0.25646408878439947</v>
      </c>
      <c r="AP8" s="121">
        <f t="shared" ca="1" si="13"/>
        <v>0.28220588556902249</v>
      </c>
      <c r="AQ8" s="122">
        <f t="shared" ca="1" si="13"/>
        <v>0.28039228403858557</v>
      </c>
      <c r="AR8" s="119">
        <f t="shared" ca="1" si="13"/>
        <v>0.25688902470597291</v>
      </c>
      <c r="AS8" s="120">
        <f t="shared" ca="1" si="13"/>
        <v>0.25629795577759257</v>
      </c>
      <c r="AT8" s="121">
        <f t="shared" ca="1" si="13"/>
        <v>0.27449316724710793</v>
      </c>
      <c r="AU8" s="122">
        <f t="shared" ca="1" si="13"/>
        <v>0.2823018383999667</v>
      </c>
      <c r="AV8" s="119">
        <f t="shared" ca="1" si="13"/>
        <v>0.25123824860596933</v>
      </c>
      <c r="AW8" s="120">
        <f t="shared" ca="1" si="13"/>
        <v>0.25908982986962537</v>
      </c>
      <c r="AX8" s="121">
        <f t="shared" ca="1" si="13"/>
        <v>0.25378555747472559</v>
      </c>
      <c r="AY8" s="122">
        <f t="shared" ca="1" si="13"/>
        <v>0.28158108393301251</v>
      </c>
      <c r="BB8" s="119">
        <f t="shared" ref="BB8:BE8" ca="1" si="14">BB3/BB$5</f>
        <v>0.25123824860596933</v>
      </c>
      <c r="BC8" s="120">
        <f t="shared" ca="1" si="14"/>
        <v>0.25908982986962537</v>
      </c>
      <c r="BD8" s="121">
        <f t="shared" ca="1" si="14"/>
        <v>0.11377054695306418</v>
      </c>
      <c r="BE8" s="122">
        <f t="shared" ca="1" si="14"/>
        <v>0.4391162208501731</v>
      </c>
      <c r="BF8" s="119">
        <f t="shared" ref="BF8:BM8" ca="1" si="15">BF3/BF$5</f>
        <v>0.25378555747472559</v>
      </c>
      <c r="BG8" s="120">
        <f t="shared" ca="1" si="15"/>
        <v>0.28158108393301251</v>
      </c>
      <c r="BH8" s="121">
        <f t="shared" ca="1" si="15"/>
        <v>1.1008654284532169</v>
      </c>
      <c r="BI8" s="122">
        <f t="shared" ca="1" si="15"/>
        <v>3.9095858751474584</v>
      </c>
      <c r="BJ8" s="119">
        <f t="shared" ca="1" si="15"/>
        <v>0.2573857302885641</v>
      </c>
      <c r="BK8" s="120">
        <f t="shared" ca="1" si="15"/>
        <v>0.25435232102337013</v>
      </c>
      <c r="BL8" s="121">
        <f t="shared" ca="1" si="15"/>
        <v>0.31767727764402742</v>
      </c>
      <c r="BM8" s="122">
        <f t="shared" ca="1" si="15"/>
        <v>1.2489655151007601</v>
      </c>
      <c r="BN8" s="119">
        <f t="shared" ref="BN8:BQ8" ca="1" si="16">BN3/BN$5</f>
        <v>0.2759982163970634</v>
      </c>
      <c r="BO8" s="120">
        <f t="shared" ca="1" si="16"/>
        <v>0.27542160250918224</v>
      </c>
      <c r="BP8" s="121">
        <f t="shared" ca="1" si="16"/>
        <v>0.26757435890120657</v>
      </c>
      <c r="BQ8" s="122">
        <f t="shared" ca="1" si="16"/>
        <v>0.97150824940206348</v>
      </c>
    </row>
    <row r="9" spans="1:83" x14ac:dyDescent="0.35">
      <c r="A9" s="150"/>
      <c r="B9" t="s">
        <v>581</v>
      </c>
      <c r="C9" s="119">
        <f t="shared" ca="1" si="8"/>
        <v>0.48854961832061067</v>
      </c>
      <c r="D9" s="119">
        <f t="shared" ca="1" si="8"/>
        <v>0.47713453927750749</v>
      </c>
      <c r="E9" s="120">
        <f t="shared" ref="E9:AY9" ca="1" si="17">E4/E$5</f>
        <v>0.47903447979560038</v>
      </c>
      <c r="F9" s="121">
        <f t="shared" ca="1" si="17"/>
        <v>0.44267260619694954</v>
      </c>
      <c r="G9" s="122">
        <f t="shared" ca="1" si="17"/>
        <v>0.44132936976586912</v>
      </c>
      <c r="H9" s="119">
        <f t="shared" ca="1" si="17"/>
        <v>0.46911089465912365</v>
      </c>
      <c r="I9" s="120">
        <f t="shared" ca="1" si="17"/>
        <v>0.47282038189420456</v>
      </c>
      <c r="J9" s="121">
        <f t="shared" ca="1" si="17"/>
        <v>0.43114095706116734</v>
      </c>
      <c r="K9" s="122">
        <f t="shared" ca="1" si="17"/>
        <v>0.42654891926805283</v>
      </c>
      <c r="L9" s="119">
        <f t="shared" ca="1" si="17"/>
        <v>0.47496704515710531</v>
      </c>
      <c r="M9" s="120">
        <f t="shared" ca="1" si="17"/>
        <v>0.47482622666504604</v>
      </c>
      <c r="N9" s="121">
        <f t="shared" ca="1" si="17"/>
        <v>0.42705802057576775</v>
      </c>
      <c r="O9" s="122">
        <f t="shared" ca="1" si="17"/>
        <v>0.42622120688986992</v>
      </c>
      <c r="P9" s="119">
        <f t="shared" ca="1" si="17"/>
        <v>0.47520394539052463</v>
      </c>
      <c r="Q9" s="120">
        <f t="shared" ca="1" si="17"/>
        <v>0.47419891738461567</v>
      </c>
      <c r="R9" s="121">
        <f t="shared" ca="1" si="17"/>
        <v>0.4278865414027247</v>
      </c>
      <c r="S9" s="122">
        <f t="shared" ca="1" si="17"/>
        <v>0.43629994220368329</v>
      </c>
      <c r="T9" s="119">
        <f t="shared" ca="1" si="17"/>
        <v>0.47491761877321326</v>
      </c>
      <c r="U9" s="120">
        <f t="shared" ca="1" si="17"/>
        <v>0.47426117208424878</v>
      </c>
      <c r="V9" s="121">
        <f t="shared" ca="1" si="17"/>
        <v>0.43049194365882526</v>
      </c>
      <c r="W9" s="122">
        <f t="shared" ca="1" si="17"/>
        <v>0.42616502875618112</v>
      </c>
      <c r="X9" s="119">
        <f t="shared" ca="1" si="17"/>
        <v>0.47100212508601902</v>
      </c>
      <c r="Y9" s="120">
        <f t="shared" ca="1" si="17"/>
        <v>0.47067383208672342</v>
      </c>
      <c r="Z9" s="121">
        <f t="shared" ca="1" si="17"/>
        <v>0.42960787409231072</v>
      </c>
      <c r="AA9" s="122">
        <f t="shared" ca="1" si="17"/>
        <v>0.43197516004735564</v>
      </c>
      <c r="AB9" s="119">
        <f t="shared" ca="1" si="17"/>
        <v>0.47463509827159184</v>
      </c>
      <c r="AC9" s="120">
        <f t="shared" ca="1" si="17"/>
        <v>0.4757759213448513</v>
      </c>
      <c r="AD9" s="121">
        <f t="shared" ca="1" si="17"/>
        <v>0.4273865448190155</v>
      </c>
      <c r="AE9" s="122">
        <f t="shared" ca="1" si="17"/>
        <v>0.42824136394041046</v>
      </c>
      <c r="AF9" s="119">
        <f t="shared" ca="1" si="17"/>
        <v>0.47475495928617178</v>
      </c>
      <c r="AG9" s="120">
        <f t="shared" ca="1" si="17"/>
        <v>0.47115785348989997</v>
      </c>
      <c r="AH9" s="121">
        <f t="shared" ca="1" si="17"/>
        <v>0.42925828946227046</v>
      </c>
      <c r="AI9" s="122">
        <f t="shared" ca="1" si="17"/>
        <v>0.42151616178932849</v>
      </c>
      <c r="AJ9" s="119">
        <f t="shared" ca="1" si="17"/>
        <v>0.47560532013946866</v>
      </c>
      <c r="AK9" s="120">
        <f t="shared" ca="1" si="17"/>
        <v>0.47585657096642714</v>
      </c>
      <c r="AL9" s="121">
        <f t="shared" ca="1" si="17"/>
        <v>0.42428547307936121</v>
      </c>
      <c r="AM9" s="122">
        <f t="shared" ca="1" si="17"/>
        <v>0.4198171513149131</v>
      </c>
      <c r="AN9" s="119">
        <f t="shared" ca="1" si="17"/>
        <v>0.47632588949610916</v>
      </c>
      <c r="AO9" s="120">
        <f t="shared" ca="1" si="17"/>
        <v>0.47256481548131318</v>
      </c>
      <c r="AP9" s="121">
        <f t="shared" ca="1" si="17"/>
        <v>0.427501265148445</v>
      </c>
      <c r="AQ9" s="122">
        <f t="shared" ca="1" si="17"/>
        <v>0.41852508568785712</v>
      </c>
      <c r="AR9" s="119">
        <f t="shared" ca="1" si="17"/>
        <v>0.47690302781061922</v>
      </c>
      <c r="AS9" s="120">
        <f t="shared" ca="1" si="17"/>
        <v>0.47468066274714604</v>
      </c>
      <c r="AT9" s="121">
        <f t="shared" ca="1" si="17"/>
        <v>0.43260937993521875</v>
      </c>
      <c r="AU9" s="122">
        <f t="shared" ca="1" si="17"/>
        <v>0.42147464054993206</v>
      </c>
      <c r="AV9" s="119">
        <f t="shared" ca="1" si="17"/>
        <v>0.48161022843606999</v>
      </c>
      <c r="AW9" s="120">
        <f t="shared" ca="1" si="17"/>
        <v>0.47109306827322128</v>
      </c>
      <c r="AX9" s="121">
        <f t="shared" ca="1" si="17"/>
        <v>0.44309252578561759</v>
      </c>
      <c r="AY9" s="122">
        <f t="shared" ca="1" si="17"/>
        <v>0.41794663510678354</v>
      </c>
      <c r="BB9" s="119">
        <f t="shared" ref="BB9:BE9" ca="1" si="18">BB4/BB$5</f>
        <v>0.48161022843606999</v>
      </c>
      <c r="BC9" s="120">
        <f t="shared" ca="1" si="18"/>
        <v>0.47109306827322128</v>
      </c>
      <c r="BD9" s="121">
        <f t="shared" ca="1" si="18"/>
        <v>0.6657476380804922</v>
      </c>
      <c r="BE9" s="122">
        <f t="shared" ca="1" si="18"/>
        <v>1.4131976947161884</v>
      </c>
      <c r="BF9" s="119">
        <f t="shared" ref="BF9:BM9" ca="1" si="19">BF4/BF$5</f>
        <v>0.44309252578561759</v>
      </c>
      <c r="BG9" s="120">
        <f t="shared" ca="1" si="19"/>
        <v>0.41794663510678354</v>
      </c>
      <c r="BH9" s="121">
        <f t="shared" ca="1" si="19"/>
        <v>-0.32323862695696504</v>
      </c>
      <c r="BI9" s="122">
        <f t="shared" ca="1" si="19"/>
        <v>-0.77339688803662454</v>
      </c>
      <c r="BJ9" s="119">
        <f t="shared" ca="1" si="19"/>
        <v>0.4756176369991047</v>
      </c>
      <c r="BK9" s="120">
        <f t="shared" ca="1" si="19"/>
        <v>0.47341868612720822</v>
      </c>
      <c r="BL9" s="121">
        <f t="shared" ca="1" si="19"/>
        <v>0.51932362555347356</v>
      </c>
      <c r="BM9" s="122">
        <f t="shared" ca="1" si="19"/>
        <v>1.096964781432245</v>
      </c>
      <c r="BN9" s="119">
        <f t="shared" ref="BN9:BQ9" ca="1" si="20">BN4/BN$5</f>
        <v>0.4306641608239577</v>
      </c>
      <c r="BO9" s="120">
        <f t="shared" ca="1" si="20"/>
        <v>0.42719229581617119</v>
      </c>
      <c r="BP9" s="121">
        <f t="shared" ca="1" si="20"/>
        <v>0.37994305145575064</v>
      </c>
      <c r="BQ9" s="122">
        <f t="shared" ca="1" si="20"/>
        <v>0.88939584158429508</v>
      </c>
    </row>
    <row r="10" spans="1:83" x14ac:dyDescent="0.35">
      <c r="A10" s="107"/>
      <c r="D10" s="117"/>
      <c r="G10" s="118"/>
      <c r="H10" s="117"/>
      <c r="K10" s="118"/>
      <c r="L10" s="117"/>
      <c r="O10" s="118"/>
      <c r="P10" s="117"/>
      <c r="S10" s="118"/>
      <c r="T10" s="117"/>
      <c r="W10" s="118"/>
      <c r="X10" s="117"/>
      <c r="AA10" s="118"/>
      <c r="AB10" s="117"/>
      <c r="AE10" s="118"/>
      <c r="AF10" s="117"/>
      <c r="AI10" s="118"/>
      <c r="AJ10" s="117"/>
      <c r="AM10" s="118"/>
      <c r="AN10" s="117"/>
      <c r="AQ10" s="118"/>
      <c r="AR10" s="117"/>
      <c r="AU10" s="118"/>
      <c r="AV10" s="117"/>
      <c r="AY10" s="118"/>
      <c r="BB10" s="117"/>
      <c r="BE10" s="118"/>
      <c r="BF10" s="117"/>
      <c r="BI10" s="118"/>
      <c r="BJ10" s="117"/>
      <c r="BM10" s="118"/>
      <c r="BN10" s="117"/>
      <c r="BQ10" s="118"/>
    </row>
    <row r="11" spans="1:83" x14ac:dyDescent="0.35">
      <c r="A11" s="150" t="s">
        <v>1034</v>
      </c>
      <c r="B11" s="108" t="s">
        <v>72</v>
      </c>
      <c r="C11" s="142"/>
      <c r="D11" s="148">
        <f ca="1">E7/$C7</f>
        <v>1.0187375483193899</v>
      </c>
      <c r="E11" s="123">
        <f ca="1">E7-D7</f>
        <v>-4.5865934949687048E-3</v>
      </c>
      <c r="G11" s="124">
        <f ca="1">G7-F7</f>
        <v>-6.4497562441105383E-3</v>
      </c>
      <c r="H11" s="148">
        <f ca="1">I7/$C7</f>
        <v>0.99726542864665091</v>
      </c>
      <c r="I11" s="123">
        <f ca="1">I7-H7</f>
        <v>-1.328644473597701E-2</v>
      </c>
      <c r="K11" s="124">
        <f ca="1">K7-J7</f>
        <v>-9.754250927664132E-3</v>
      </c>
      <c r="L11" s="148">
        <f ca="1">L7/$C7</f>
        <v>1.0089428110737646</v>
      </c>
      <c r="M11" s="123">
        <f ca="1">L7-M7</f>
        <v>-5.6251207838444728E-3</v>
      </c>
      <c r="O11" s="124">
        <f t="shared" ref="O11:O13" ca="1" si="21">O7-N7</f>
        <v>5.8227081260115998E-3</v>
      </c>
      <c r="P11" s="148">
        <f ca="1">P7/$C7</f>
        <v>1.0196314050080442</v>
      </c>
      <c r="Q11" s="123">
        <f t="shared" ref="Q11" ca="1" si="22">P7-Q7</f>
        <v>-4.7892674263239621E-3</v>
      </c>
      <c r="S11" s="124">
        <f ca="1">R7-S7</f>
        <v>-1.5478273447748214E-3</v>
      </c>
      <c r="T11" s="148"/>
      <c r="U11" s="123">
        <f t="shared" ref="U11" ca="1" si="23">T7-U7</f>
        <v>-3.6880146511471534E-3</v>
      </c>
      <c r="W11" s="124">
        <f ca="1">V7-W7</f>
        <v>-4.8427580428869188E-3</v>
      </c>
      <c r="X11" s="117"/>
      <c r="Y11" s="123">
        <f t="shared" ref="Y11" ca="1" si="24">X7-Y7</f>
        <v>-2.2977303655890013E-3</v>
      </c>
      <c r="AA11" s="124">
        <f ca="1">Z7-AA7</f>
        <v>6.268451916787654E-3</v>
      </c>
      <c r="AB11" s="117"/>
      <c r="AC11" s="123">
        <f t="shared" ref="AC11" ca="1" si="25">AB7-AC7</f>
        <v>-3.1089542336213971E-3</v>
      </c>
      <c r="AE11" s="124">
        <f ca="1">AD7-AE7</f>
        <v>-4.1572198282534556E-3</v>
      </c>
      <c r="AF11" s="117"/>
      <c r="AG11" s="123">
        <f t="shared" ref="AG11" ca="1" si="26">AF7-AG7</f>
        <v>-5.0950078546747601E-3</v>
      </c>
      <c r="AI11" s="124">
        <f ca="1">AH7-AI7</f>
        <v>-2.3243516681392684E-4</v>
      </c>
      <c r="AJ11" s="117"/>
      <c r="AK11" s="123">
        <f t="shared" ref="AK11" ca="1" si="27">AJ7-AK7</f>
        <v>-7.5306946642879624E-3</v>
      </c>
      <c r="AM11" s="124">
        <f ca="1">AL7-AM7</f>
        <v>-1.0707807770229949E-2</v>
      </c>
      <c r="AN11" s="117"/>
      <c r="AO11" s="123">
        <f t="shared" ref="AO11" ca="1" si="28">AN7-AO7</f>
        <v>-7.2732716141805098E-3</v>
      </c>
      <c r="AQ11" s="124">
        <f ca="1">AP7-AQ7</f>
        <v>-1.0789780991024955E-2</v>
      </c>
      <c r="AR11" s="117"/>
      <c r="AS11" s="123">
        <f t="shared" ref="AS11" ca="1" si="29">AR7-AS7</f>
        <v>-2.8134339918535756E-3</v>
      </c>
      <c r="AU11" s="124">
        <f ca="1">AT7-AU7</f>
        <v>-3.3260682324278701E-3</v>
      </c>
      <c r="AV11" s="117"/>
      <c r="AW11" s="123">
        <f t="shared" ref="AW11" ca="1" si="30">AV7-AW7</f>
        <v>-2.6655788991926666E-3</v>
      </c>
      <c r="AY11" s="124">
        <f ca="1">AX7-AY7</f>
        <v>2.6496357794528747E-3</v>
      </c>
      <c r="BB11" s="117"/>
      <c r="BC11" s="123">
        <f ca="1">BB7-BC7</f>
        <v>-2.6655788991926666E-3</v>
      </c>
      <c r="BE11" s="124">
        <f ca="1">BD7-BE7</f>
        <v>-0.59667103950002787</v>
      </c>
      <c r="BF11" s="117"/>
      <c r="BG11" s="123">
        <f ca="1">BF7-BG7</f>
        <v>2.6496357794528747E-3</v>
      </c>
      <c r="BI11" s="124">
        <f ca="1">BH7-BI7</f>
        <v>-0.5177057125795691</v>
      </c>
      <c r="BJ11" s="117"/>
      <c r="BK11" s="123">
        <f t="shared" ref="BK11:BK13" ca="1" si="31">BJ7-BK7</f>
        <v>-5.2323601370903861E-3</v>
      </c>
      <c r="BM11" s="124">
        <f ca="1">BL7-BM7</f>
        <v>-0.43575820342620586</v>
      </c>
      <c r="BN11" s="117"/>
      <c r="BO11" s="123">
        <f t="shared" ref="BO11:BO13" ca="1" si="32">BN7-BO7</f>
        <v>-4.0484788956675066E-3</v>
      </c>
      <c r="BQ11" s="124">
        <f ca="1">BP7-BQ7</f>
        <v>-0.83278661983963276</v>
      </c>
    </row>
    <row r="12" spans="1:83" x14ac:dyDescent="0.35">
      <c r="A12" s="150"/>
      <c r="B12" t="s">
        <v>380</v>
      </c>
      <c r="D12" s="148">
        <f ca="1">E8/$C8</f>
        <v>1.0184612826300263</v>
      </c>
      <c r="E12" s="123">
        <f t="shared" ref="E12:G13" ca="1" si="33">E8-D8</f>
        <v>2.6866529768758418E-3</v>
      </c>
      <c r="G12" s="124">
        <f t="shared" ca="1" si="33"/>
        <v>7.7929926751909573E-3</v>
      </c>
      <c r="H12" s="148">
        <f ca="1">I8/$C8</f>
        <v>1.066659642642535</v>
      </c>
      <c r="I12" s="123">
        <f t="shared" ref="I12" ca="1" si="34">I8-H8</f>
        <v>9.5769575008961549E-3</v>
      </c>
      <c r="K12" s="124">
        <f t="shared" ref="K12" ca="1" si="35">K8-J8</f>
        <v>1.4346288720778699E-2</v>
      </c>
      <c r="L12" s="148">
        <f ca="1">L8/$C8</f>
        <v>1.0454422567173822</v>
      </c>
      <c r="M12" s="123">
        <f ca="1">L8-M8</f>
        <v>5.4843022917851481E-3</v>
      </c>
      <c r="O12" s="124">
        <f t="shared" ca="1" si="21"/>
        <v>-4.9858944401137695E-3</v>
      </c>
      <c r="P12" s="148">
        <f ca="1">P8/$C8</f>
        <v>1.0330225086668787</v>
      </c>
      <c r="Q12" s="123">
        <f t="shared" ref="Q12" ca="1" si="36">P8-Q8</f>
        <v>3.7842394204150032E-3</v>
      </c>
      <c r="S12" s="124">
        <f ca="1">R8-S8</f>
        <v>9.9612281457335805E-3</v>
      </c>
      <c r="T12" s="148"/>
      <c r="U12" s="123">
        <f t="shared" ref="U12" ca="1" si="37">T8-U8</f>
        <v>3.0315679621825131E-3</v>
      </c>
      <c r="W12" s="124">
        <f ca="1">V8-W8</f>
        <v>5.1584314024283318E-4</v>
      </c>
      <c r="X12" s="117">
        <f ca="1">(Y12-Y11)*X5</f>
        <v>544.74365843620558</v>
      </c>
      <c r="Y12" s="123">
        <f t="shared" ref="Y12" ca="1" si="38">X8-Y8</f>
        <v>1.9694373662934583E-3</v>
      </c>
      <c r="Z12" s="117">
        <f ca="1">(AA12-AA11)*Z5</f>
        <v>-479.11564961841827</v>
      </c>
      <c r="AA12" s="124">
        <f ca="1">Z8-AA8</f>
        <v>-3.9011659617426142E-3</v>
      </c>
      <c r="AB12" s="117">
        <f ca="1">(AC12-AC11)*AB5</f>
        <v>973.80913789487158</v>
      </c>
      <c r="AC12" s="123">
        <f t="shared" ref="AC12" ca="1" si="39">AB8-AC8</f>
        <v>4.2497773068808087E-3</v>
      </c>
      <c r="AD12" s="117">
        <f ca="1">(AE12-AE11)*AD5</f>
        <v>427.7471166518431</v>
      </c>
      <c r="AE12" s="124">
        <f ca="1">AD8-AE8</f>
        <v>5.0120389496483009E-3</v>
      </c>
      <c r="AF12" s="117">
        <f ca="1">(AG12-AG11)*AF5</f>
        <v>828.01789655141238</v>
      </c>
      <c r="AG12" s="123">
        <f t="shared" ref="AG12" ca="1" si="40">AF8-AG8</f>
        <v>1.4979020584028335E-3</v>
      </c>
      <c r="AH12" s="117">
        <f ca="1">(AI12-AI11)*AH5</f>
        <v>-325.84547152797961</v>
      </c>
      <c r="AI12" s="124">
        <f ca="1">AH8-AI8</f>
        <v>-7.5096925061280961E-3</v>
      </c>
      <c r="AJ12" s="117">
        <f ca="1">(AK12-AK11)*AJ5</f>
        <v>1882.748215598346</v>
      </c>
      <c r="AK12" s="123">
        <f t="shared" ref="AK12" ca="1" si="41">AJ8-AK8</f>
        <v>7.7819454912464447E-3</v>
      </c>
      <c r="AL12" s="117">
        <f ca="1">(AM12-AM11)*AL5</f>
        <v>714.95139823080672</v>
      </c>
      <c r="AM12" s="124">
        <f ca="1">AL8-AM8</f>
        <v>6.2394860057817803E-3</v>
      </c>
      <c r="AN12" s="117">
        <f ca="1">(AO12-AO11)*AN5</f>
        <v>1278.3014549616091</v>
      </c>
      <c r="AO12" s="123">
        <f t="shared" ref="AO12" ca="1" si="42">AN8-AO8</f>
        <v>3.5121975993844812E-3</v>
      </c>
      <c r="AP12" s="117">
        <f ca="1">(AQ12-AQ11)*AP5</f>
        <v>533.789494969467</v>
      </c>
      <c r="AQ12" s="124">
        <f ca="1">AP8-AQ8</f>
        <v>1.8136015304369146E-3</v>
      </c>
      <c r="AR12" s="117">
        <f ca="1">(AS12-AS11)*AR5</f>
        <v>398.59592166242373</v>
      </c>
      <c r="AS12" s="123">
        <f t="shared" ref="AS12" ca="1" si="43">AR8-AS8</f>
        <v>5.9106892838034497E-4</v>
      </c>
      <c r="AT12" s="117">
        <f ca="1">(AU12-AU11)*AT5</f>
        <v>-193.89648422648651</v>
      </c>
      <c r="AU12" s="124">
        <f ca="1">AT8-AU8</f>
        <v>-7.8086711528587704E-3</v>
      </c>
      <c r="AV12" s="117">
        <f ca="1">(AW12-AW11)*AV5</f>
        <v>-661.59498151160801</v>
      </c>
      <c r="AW12" s="123">
        <f t="shared" ref="AW12" ca="1" si="44">AV8-AW8</f>
        <v>-7.8515812636560378E-3</v>
      </c>
      <c r="AX12" s="117">
        <f ca="1">(AY12-AY11)*AX5</f>
        <v>-1423.1738734890255</v>
      </c>
      <c r="AY12" s="124">
        <f ca="1">AX8-AY8</f>
        <v>-2.7795526458286923E-2</v>
      </c>
      <c r="BB12" s="117"/>
      <c r="BC12" s="123">
        <f t="shared" ref="BC12:BC13" ca="1" si="45">BB8-BC8</f>
        <v>-7.8515812636560378E-3</v>
      </c>
      <c r="BE12" s="124">
        <f ca="1">BD8-BE8</f>
        <v>-0.32534567389710889</v>
      </c>
      <c r="BF12" s="117"/>
      <c r="BG12" s="123">
        <f t="shared" ref="BG12:BG13" ca="1" si="46">BF8-BG8</f>
        <v>-2.7795526458286923E-2</v>
      </c>
      <c r="BI12" s="124">
        <f ca="1">BH8-BI8</f>
        <v>-2.8087204466942417</v>
      </c>
      <c r="BJ12" s="117"/>
      <c r="BK12" s="123">
        <f t="shared" ca="1" si="31"/>
        <v>3.0334092651939648E-3</v>
      </c>
      <c r="BM12" s="124">
        <f ca="1">BL8-BM8</f>
        <v>-0.93128823745673273</v>
      </c>
      <c r="BN12" s="117"/>
      <c r="BO12" s="123">
        <f t="shared" ca="1" si="32"/>
        <v>5.7661388788116108E-4</v>
      </c>
      <c r="BQ12" s="124">
        <f ca="1">BP8-BQ8</f>
        <v>-0.70393389050085697</v>
      </c>
    </row>
    <row r="13" spans="1:83" ht="16" thickBot="1" x14ac:dyDescent="0.4">
      <c r="A13" s="150"/>
      <c r="B13" t="s">
        <v>581</v>
      </c>
      <c r="D13" s="148">
        <f ca="1">E9/$C9</f>
        <v>0.98052370083161955</v>
      </c>
      <c r="E13" s="126">
        <f t="shared" ca="1" si="33"/>
        <v>1.8999405180928908E-3</v>
      </c>
      <c r="F13" s="127"/>
      <c r="G13" s="128">
        <f t="shared" ca="1" si="33"/>
        <v>-1.343236431080419E-3</v>
      </c>
      <c r="H13" s="148">
        <f ca="1">I9/$C9</f>
        <v>0.96780421918969994</v>
      </c>
      <c r="I13" s="126">
        <f t="shared" ref="I13" ca="1" si="47">I9-H9</f>
        <v>3.7094872350809105E-3</v>
      </c>
      <c r="J13" s="127"/>
      <c r="K13" s="128">
        <f t="shared" ref="K13" ca="1" si="48">K9-J9</f>
        <v>-4.5920377931145118E-3</v>
      </c>
      <c r="L13" s="149">
        <f ca="1">L9/C$9</f>
        <v>0.97219817055594993</v>
      </c>
      <c r="M13" s="126">
        <f ca="1">L9-M9</f>
        <v>1.4081849205926922E-4</v>
      </c>
      <c r="N13" s="127"/>
      <c r="O13" s="128">
        <f t="shared" ca="1" si="21"/>
        <v>-8.3681368589783034E-4</v>
      </c>
      <c r="P13" s="149">
        <f ca="1">P9/G$9</f>
        <v>1.0767557700558801</v>
      </c>
      <c r="Q13" s="126">
        <f t="shared" ref="Q13" ca="1" si="49">P9-Q9</f>
        <v>1.0050280059089589E-3</v>
      </c>
      <c r="R13" s="127"/>
      <c r="S13" s="128">
        <f ca="1">R9-S9</f>
        <v>-8.4134008009585926E-3</v>
      </c>
      <c r="T13" s="149"/>
      <c r="U13" s="126">
        <f t="shared" ref="U13" ca="1" si="50">T9-U9</f>
        <v>6.5644668896447378E-4</v>
      </c>
      <c r="V13" s="127"/>
      <c r="W13" s="128">
        <f ca="1">V9-W9</f>
        <v>4.3269149026441411E-3</v>
      </c>
      <c r="X13" s="125">
        <f ca="1">(Y13-Y11)*X5</f>
        <v>335.23631242288263</v>
      </c>
      <c r="Y13" s="126">
        <f t="shared" ref="Y13" ca="1" si="51">X9-Y9</f>
        <v>3.2829299929559852E-4</v>
      </c>
      <c r="Z13" s="125">
        <f ca="1">(AA13-AA11)*Z5</f>
        <v>-406.85079909761629</v>
      </c>
      <c r="AA13" s="128">
        <f ca="1">Z9-AA9</f>
        <v>-2.3672859550449288E-3</v>
      </c>
      <c r="AB13" s="125">
        <f ca="1">(AC13-AC11)*AB5</f>
        <v>260.45033685320237</v>
      </c>
      <c r="AC13" s="126">
        <f t="shared" ref="AC13" ca="1" si="52">AB9-AC9</f>
        <v>-1.1408230732594671E-3</v>
      </c>
      <c r="AD13" s="125">
        <f ca="1">(AE13-AE11)*AD5</f>
        <v>154.05742324473709</v>
      </c>
      <c r="AE13" s="128">
        <f ca="1">AD9-AE9</f>
        <v>-8.548191213949563E-4</v>
      </c>
      <c r="AF13" s="125">
        <f ca="1">(AG13-AG11)*AF5</f>
        <v>1091.6614600733883</v>
      </c>
      <c r="AG13" s="126">
        <f t="shared" ref="AG13" ca="1" si="53">AF9-AG9</f>
        <v>3.5971057962718156E-3</v>
      </c>
      <c r="AH13" s="125">
        <f ca="1">(AI13-AI11)*AH5</f>
        <v>357.06792649916815</v>
      </c>
      <c r="AI13" s="128">
        <f ca="1">AH9-AI9</f>
        <v>7.7421276729419675E-3</v>
      </c>
      <c r="AJ13" s="125">
        <f ca="1">(AK13-AK11)*AJ5</f>
        <v>895.03571925361041</v>
      </c>
      <c r="AK13" s="126">
        <f t="shared" ref="AK13" ca="1" si="54">AJ9-AK9</f>
        <v>-2.5125082695848233E-4</v>
      </c>
      <c r="AL13" s="125">
        <f ca="1">(AM13-AM11)*AL5</f>
        <v>640.2317192322455</v>
      </c>
      <c r="AM13" s="128">
        <f ca="1">AL9-AM9</f>
        <v>4.4683217644481132E-3</v>
      </c>
      <c r="AN13" s="125">
        <f ca="1">(AO13-AO11)*AN5</f>
        <v>1307.7984640973834</v>
      </c>
      <c r="AO13" s="126">
        <f t="shared" ref="AO13" ca="1" si="55">AN9-AO9</f>
        <v>3.7610740147959731E-3</v>
      </c>
      <c r="AP13" s="125">
        <f ca="1">(AQ13-AQ11)*AP5</f>
        <v>837.145268667849</v>
      </c>
      <c r="AQ13" s="128">
        <f ca="1">AP9-AQ9</f>
        <v>8.9761794605878742E-3</v>
      </c>
      <c r="AR13" s="125">
        <f ca="1">(AS13-AS11)*AR5</f>
        <v>589.58650140526606</v>
      </c>
      <c r="AS13" s="126">
        <f t="shared" ref="AS13" ca="1" si="56">AR9-AS9</f>
        <v>2.2223650634731751E-3</v>
      </c>
      <c r="AT13" s="125">
        <f ca="1">(AU13-AU11)*AT5</f>
        <v>625.50705603897597</v>
      </c>
      <c r="AU13" s="128">
        <f ca="1">AT9-AU9</f>
        <v>1.1134739385286696E-2</v>
      </c>
      <c r="AV13" s="125">
        <f ca="1">(AW13-AW11)*AV5</f>
        <v>1681.7643712983722</v>
      </c>
      <c r="AW13" s="126">
        <f t="shared" ref="AW13" ca="1" si="57">AV9-AW9</f>
        <v>1.0517160162848704E-2</v>
      </c>
      <c r="AX13" s="125">
        <f ca="1">(AY13-AY11)*AX5</f>
        <v>1051.5983450553488</v>
      </c>
      <c r="AY13" s="128">
        <f ca="1">AX9-AY9</f>
        <v>2.5145890678834049E-2</v>
      </c>
      <c r="BB13" s="125"/>
      <c r="BC13" s="126">
        <f t="shared" ca="1" si="45"/>
        <v>1.0517160162848704E-2</v>
      </c>
      <c r="BD13" s="127"/>
      <c r="BE13" s="128">
        <f ca="1">BD9-BE9</f>
        <v>-0.74745005663569619</v>
      </c>
      <c r="BF13" s="125"/>
      <c r="BG13" s="126">
        <f t="shared" ca="1" si="46"/>
        <v>2.5145890678834049E-2</v>
      </c>
      <c r="BH13" s="127"/>
      <c r="BI13" s="128">
        <f ca="1">BH9-BI9</f>
        <v>0.45015826107965951</v>
      </c>
      <c r="BJ13" s="125"/>
      <c r="BK13" s="126">
        <f t="shared" ca="1" si="31"/>
        <v>2.1989508718964768E-3</v>
      </c>
      <c r="BL13" s="127"/>
      <c r="BM13" s="128">
        <f ca="1">BL9-BM9</f>
        <v>-0.57764115587877141</v>
      </c>
      <c r="BN13" s="125"/>
      <c r="BO13" s="126">
        <f t="shared" ca="1" si="32"/>
        <v>3.4718650077865121E-3</v>
      </c>
      <c r="BP13" s="127"/>
      <c r="BQ13" s="128">
        <f ca="1">BP9-BQ9</f>
        <v>-0.50945279012854439</v>
      </c>
    </row>
  </sheetData>
  <mergeCells count="3">
    <mergeCell ref="A2:A5"/>
    <mergeCell ref="A7:A9"/>
    <mergeCell ref="A11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B18EB-C440-4BA5-A5AE-DA9037F269B4}">
  <dimension ref="C3:D4"/>
  <sheetViews>
    <sheetView workbookViewId="0">
      <selection activeCell="D5" sqref="D5"/>
    </sheetView>
  </sheetViews>
  <sheetFormatPr defaultRowHeight="15.5" x14ac:dyDescent="0.35"/>
  <sheetData>
    <row r="3" spans="3:4" x14ac:dyDescent="0.35">
      <c r="C3">
        <v>41017</v>
      </c>
      <c r="D3">
        <f>C3*1.06</f>
        <v>43478.020000000004</v>
      </c>
    </row>
    <row r="4" spans="3:4" x14ac:dyDescent="0.35">
      <c r="D4">
        <f>D3*0.3</f>
        <v>13043.406000000001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37AD-8927-4123-AC48-B53F59FBEF1B}">
  <dimension ref="B1:O26"/>
  <sheetViews>
    <sheetView workbookViewId="0">
      <selection activeCell="L7" sqref="L7"/>
    </sheetView>
  </sheetViews>
  <sheetFormatPr defaultRowHeight="15.5" x14ac:dyDescent="0.35"/>
  <cols>
    <col min="2" max="2" width="10.36328125" customWidth="1"/>
    <col min="6" max="6" width="8.90625" style="16"/>
    <col min="9" max="9" width="0" hidden="1" customWidth="1"/>
  </cols>
  <sheetData>
    <row r="1" spans="2:15" x14ac:dyDescent="0.35">
      <c r="B1" s="153" t="s">
        <v>966</v>
      </c>
      <c r="C1" s="153"/>
      <c r="D1" s="153"/>
      <c r="E1" s="153"/>
      <c r="F1" s="153"/>
      <c r="G1" s="153"/>
      <c r="H1" s="153"/>
      <c r="I1" s="153" t="s">
        <v>967</v>
      </c>
      <c r="J1" s="153"/>
      <c r="K1" s="153"/>
      <c r="L1" s="153"/>
      <c r="M1" s="153"/>
      <c r="N1" s="153"/>
      <c r="O1" s="153"/>
    </row>
    <row r="2" spans="2:15" ht="15.65" customHeight="1" thickBot="1" x14ac:dyDescent="0.4">
      <c r="B2" s="81" t="s">
        <v>968</v>
      </c>
      <c r="C2" s="151" t="s">
        <v>969</v>
      </c>
      <c r="D2" s="151"/>
      <c r="E2" s="151"/>
      <c r="F2" s="152" t="s">
        <v>970</v>
      </c>
      <c r="G2" s="152"/>
      <c r="H2" s="152"/>
      <c r="I2" s="56" t="s">
        <v>968</v>
      </c>
      <c r="J2" s="151" t="s">
        <v>969</v>
      </c>
      <c r="K2" s="151"/>
      <c r="L2" s="151"/>
      <c r="M2" s="152" t="s">
        <v>970</v>
      </c>
      <c r="N2" s="152"/>
      <c r="O2" s="152"/>
    </row>
    <row r="3" spans="2:15" ht="62" x14ac:dyDescent="0.35">
      <c r="B3" s="78" t="s">
        <v>1</v>
      </c>
      <c r="C3" s="58" t="s">
        <v>971</v>
      </c>
      <c r="D3" s="59" t="s">
        <v>972</v>
      </c>
      <c r="E3" s="60" t="s">
        <v>973</v>
      </c>
      <c r="F3" s="61" t="s">
        <v>971</v>
      </c>
      <c r="G3" s="62" t="s">
        <v>972</v>
      </c>
      <c r="H3" s="63" t="s">
        <v>973</v>
      </c>
      <c r="I3" s="57" t="s">
        <v>1</v>
      </c>
      <c r="J3" s="58" t="s">
        <v>971</v>
      </c>
      <c r="K3" s="59" t="s">
        <v>972</v>
      </c>
      <c r="L3" s="60" t="s">
        <v>973</v>
      </c>
      <c r="M3" s="61" t="s">
        <v>971</v>
      </c>
      <c r="N3" s="62" t="s">
        <v>972</v>
      </c>
      <c r="O3" s="63" t="s">
        <v>973</v>
      </c>
    </row>
    <row r="4" spans="2:15" x14ac:dyDescent="0.35">
      <c r="B4" s="79" t="s">
        <v>72</v>
      </c>
      <c r="C4" s="65">
        <f>SUMIFS(Data!BP$2:BP$398,Data!B$2:B$398,"BPC",Data!I$2:I$398,"Abhinav")</f>
        <v>153199.11499999999</v>
      </c>
      <c r="D4" s="66">
        <f>SUMIFS(Data!BR$2:BR$398,Data!B$2:B$398,"BPC",Data!I$2:I$398,"Abhinav",Data!BR$2:BR$398,"&lt;0")</f>
        <v>-1347.5000489999993</v>
      </c>
      <c r="E4" s="67">
        <f>D4/C4*-1</f>
        <v>8.7957430367662324E-3</v>
      </c>
      <c r="F4" s="68">
        <f>SUMIFS(Data!BH$2:BH$398,Data!B$2:B$398,"BPC",Data!I$2:I$398,"Abhinav")</f>
        <v>12892.092000000001</v>
      </c>
      <c r="G4" s="69">
        <f>SUMIFS(Data!BJ$2:BJ$398,Data!B$2:B$398,"BPC",Data!I$2:I$398,"Abhinav",Data!BJ$2:BJ$398,"&lt;0")</f>
        <v>-213.5</v>
      </c>
      <c r="H4" s="70">
        <f>G4/F4*-1</f>
        <v>1.6560539592798438E-2</v>
      </c>
      <c r="I4" s="64" t="s">
        <v>72</v>
      </c>
      <c r="J4" s="65">
        <f>SUMIFS(Data!BT$2:BT$398,Data!B$2:B$398,"BPC",Data!I$2:I$398,"Abhinav")</f>
        <v>56305.600999999995</v>
      </c>
      <c r="K4" s="66">
        <f>SUMIFS(Data!BV$2:BV$398,Data!B$2:B$398,"BPC",Data!I$2:I$398,"Abhinav",Data!BV$2:BV$398,"&lt;0")</f>
        <v>-8414.7250000000004</v>
      </c>
      <c r="L4" s="67">
        <f>K4/J4*-1</f>
        <v>0.14944738801384966</v>
      </c>
      <c r="M4" s="68">
        <f>SUMIFS(Data!BL$2:BL$398,Data!B$2:B$398,"BPC",Data!I$2:I$398,"Abhinav")</f>
        <v>5095.8639999999996</v>
      </c>
      <c r="N4" s="69">
        <f>SUMIFS(Data!BN$2:BN$398,Data!B$2:B$398,"BPC",Data!I$2:I$398,"Abhinav",Data!BN$2:BN$398,"&lt;0")</f>
        <v>-520.94200000000001</v>
      </c>
      <c r="O4" s="70">
        <f>N4/M4*-1</f>
        <v>0.10222839542028596</v>
      </c>
    </row>
    <row r="5" spans="2:15" x14ac:dyDescent="0.35">
      <c r="B5" s="79" t="s">
        <v>380</v>
      </c>
      <c r="C5" s="65">
        <f>SUMIFS(Data!BP$2:BP$398,Data!B$2:B$398,"HPC",Data!I$2:I$398,"Abhinav")</f>
        <v>140189.02000000002</v>
      </c>
      <c r="D5" s="66">
        <f>SUMIFS(Data!BR$2:BR$398,Data!B$2:B$398,"HPC",Data!I$2:I$398,"Abhinav",Data!BR$2:BR$398,"&lt;0")</f>
        <v>-246.98000000000002</v>
      </c>
      <c r="E5" s="67">
        <f t="shared" ref="E5:E7" si="0">D5/C5*-1</f>
        <v>1.7617642237601774E-3</v>
      </c>
      <c r="F5" s="68">
        <f>SUMIFS(Data!BH$2:BH$398,Data!B$2:B$398,"HPC",Data!I$2:I$398,"Abhinav")</f>
        <v>11484.5</v>
      </c>
      <c r="G5" s="69">
        <f>SUMIFS(Data!BJ$2:BJ$398,Data!B$2:B$398,"HPC",Data!I$2:I$398,"Abhinav",Data!BJ$2:BJ$398,"&lt;0")</f>
        <v>-411.5</v>
      </c>
      <c r="H5" s="70">
        <f t="shared" ref="H5:H7" si="1">G5/F5*-1</f>
        <v>3.5830902520788889E-2</v>
      </c>
      <c r="I5" s="64" t="s">
        <v>380</v>
      </c>
      <c r="J5" s="65">
        <f>SUMIFS(Data!BT$2:BT$398,Data!B$2:B$398,"HPC",Data!I$2:I$398,"Abhinav")</f>
        <v>50997.025000000001</v>
      </c>
      <c r="K5" s="66">
        <f>SUMIFS(Data!BV$2:BV$398,Data!B$2:B$398,"HPC",Data!I$2:I$398,"Abhinav",Data!BV$2:BV$398,"&lt;0")</f>
        <v>-5700.9750000000004</v>
      </c>
      <c r="L5" s="67">
        <f t="shared" ref="L5:L7" si="2">K5/J5*-1</f>
        <v>0.11179034463284869</v>
      </c>
      <c r="M5" s="68">
        <f>SUMIFS(Data!BL$2:BL$398,Data!B$2:B$398,"HPC",Data!I$2:I$398,"Abhinav")</f>
        <v>4010.5</v>
      </c>
      <c r="N5" s="69">
        <f>SUMIFS(Data!BN$2:BN$398,Data!B$2:B$398,"HPC",Data!I$2:I$398,"Abhinav",Data!BN$2:BN$398,"&lt;0")</f>
        <v>-744.5</v>
      </c>
      <c r="O5" s="70">
        <f t="shared" ref="O5:O7" si="3">N5/M5*-1</f>
        <v>0.18563770103478369</v>
      </c>
    </row>
    <row r="6" spans="2:15" x14ac:dyDescent="0.35">
      <c r="B6" s="79" t="s">
        <v>581</v>
      </c>
      <c r="C6" s="65">
        <f>SUMIFS(Data!BP$2:BP$398,Data!B$2:B$398,"IOC",Data!I$2:I$398,"Abhinav")</f>
        <v>245585.62400000001</v>
      </c>
      <c r="D6" s="66">
        <f>SUMIFS(Data!BR$2:BR$398,Data!B$2:B$398,"IOC",Data!I$2:I$398,"Abhinav",Data!BR$2:BR$398,"&lt;0")</f>
        <v>-3134</v>
      </c>
      <c r="E6" s="67">
        <f t="shared" si="0"/>
        <v>1.276133329367846E-2</v>
      </c>
      <c r="F6" s="68">
        <f>SUMIFS(Data!BH$2:BH$398,Data!B$2:B$398,"IOC",Data!I$2:I$398,"Abhinav")</f>
        <v>20974.478999999999</v>
      </c>
      <c r="G6" s="69">
        <f>SUMIFS(Data!BJ$2:BJ$398,Data!B$2:B$398,"IOC",Data!I$2:I$398,"Abhinav",Data!BJ$2:BJ$398,"&lt;0")</f>
        <v>-413.5</v>
      </c>
      <c r="H6" s="70">
        <f t="shared" si="1"/>
        <v>1.9714434861528622E-2</v>
      </c>
      <c r="I6" s="64" t="s">
        <v>581</v>
      </c>
      <c r="J6" s="65">
        <f>SUMIFS(Data!BT$2:BT$398,Data!B$2:B$398,"IOC",Data!I$2:I$398,"Abhinav")</f>
        <v>81520.245999999999</v>
      </c>
      <c r="K6" s="66">
        <f>SUMIFS(Data!BV$2:BV$398,Data!B$2:B$398,"IOC",Data!I$2:I$398,"Abhinav",Data!BV$2:BV$398,"&lt;0")</f>
        <v>-6898.1389999999992</v>
      </c>
      <c r="L6" s="67">
        <f t="shared" si="2"/>
        <v>8.4618721587272919E-2</v>
      </c>
      <c r="M6" s="68">
        <f>SUMIFS(Data!BL$2:BL$398,Data!B$2:B$398,"IOC",Data!I$2:I$398,"Abhinav")</f>
        <v>7054.9240000000009</v>
      </c>
      <c r="N6" s="69">
        <f>SUMIFS(Data!BN$2:BN$398,Data!B$2:B$398,"IOC",Data!I$2:I$398,"Abhinav",Data!BN$2:BN$398,"&lt;0")</f>
        <v>-758.5</v>
      </c>
      <c r="O6" s="70">
        <f t="shared" si="3"/>
        <v>0.10751356074140557</v>
      </c>
    </row>
    <row r="7" spans="2:15" ht="16" thickBot="1" x14ac:dyDescent="0.4">
      <c r="B7" s="80" t="s">
        <v>974</v>
      </c>
      <c r="C7" s="72">
        <f>SUM(C4:C6)</f>
        <v>538973.75900000008</v>
      </c>
      <c r="D7" s="73">
        <f>SUM(D4:D6)</f>
        <v>-4728.4800489999998</v>
      </c>
      <c r="E7" s="74">
        <f t="shared" si="0"/>
        <v>8.7731173736048228E-3</v>
      </c>
      <c r="F7" s="75">
        <f>SUM(F4:F6)</f>
        <v>45351.070999999996</v>
      </c>
      <c r="G7" s="76">
        <f>SUM(G4:G6)</f>
        <v>-1038.5</v>
      </c>
      <c r="H7" s="77">
        <f t="shared" si="1"/>
        <v>2.2899128446161727E-2</v>
      </c>
      <c r="I7" s="71" t="s">
        <v>974</v>
      </c>
      <c r="J7" s="72">
        <f>SUM(J4:J6)</f>
        <v>188822.87199999997</v>
      </c>
      <c r="K7" s="73">
        <f>SUM(K4:K6)</f>
        <v>-21013.839</v>
      </c>
      <c r="L7" s="74">
        <f t="shared" si="2"/>
        <v>0.11128863138995154</v>
      </c>
      <c r="M7" s="75">
        <f>SUM(M4:M6)</f>
        <v>16161.288</v>
      </c>
      <c r="N7" s="76">
        <f>SUM(N4:N6)</f>
        <v>-2023.942</v>
      </c>
      <c r="O7" s="77">
        <f t="shared" si="3"/>
        <v>0.1252339541254385</v>
      </c>
    </row>
    <row r="26" spans="2:2" x14ac:dyDescent="0.35">
      <c r="B26" t="s">
        <v>975</v>
      </c>
    </row>
  </sheetData>
  <mergeCells count="6">
    <mergeCell ref="C2:E2"/>
    <mergeCell ref="F2:H2"/>
    <mergeCell ref="B1:H1"/>
    <mergeCell ref="I1:O1"/>
    <mergeCell ref="J2:L2"/>
    <mergeCell ref="M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DA91-C4E9-47E6-8594-42CFBE27011F}">
  <sheetPr codeName="Sheet7"/>
  <dimension ref="A1:O108"/>
  <sheetViews>
    <sheetView workbookViewId="0">
      <selection activeCell="C12" sqref="C12"/>
    </sheetView>
  </sheetViews>
  <sheetFormatPr defaultRowHeight="15.5" x14ac:dyDescent="0.35"/>
  <cols>
    <col min="1" max="1" width="46.36328125" bestFit="1" customWidth="1"/>
    <col min="2" max="2" width="14.453125" bestFit="1" customWidth="1"/>
    <col min="3" max="3" width="28.54296875" customWidth="1"/>
    <col min="4" max="4" width="12.6328125" hidden="1" customWidth="1"/>
    <col min="5" max="5" width="13.6328125" hidden="1" customWidth="1"/>
    <col min="6" max="6" width="21.453125" hidden="1" customWidth="1"/>
    <col min="7" max="7" width="30.6328125" customWidth="1"/>
  </cols>
  <sheetData>
    <row r="1" spans="1:15" ht="46.5" x14ac:dyDescent="0.35">
      <c r="A1" s="1" t="s">
        <v>0</v>
      </c>
      <c r="B1" s="1" t="s">
        <v>1</v>
      </c>
      <c r="C1" s="1" t="s">
        <v>2</v>
      </c>
      <c r="D1" s="1" t="s">
        <v>976</v>
      </c>
      <c r="E1" s="1" t="s">
        <v>977</v>
      </c>
      <c r="F1" s="1" t="s">
        <v>978</v>
      </c>
      <c r="G1" s="1" t="s">
        <v>979</v>
      </c>
      <c r="H1" s="33" t="s">
        <v>60</v>
      </c>
      <c r="I1" s="33" t="s">
        <v>61</v>
      </c>
      <c r="J1" s="32" t="s">
        <v>62</v>
      </c>
      <c r="K1" s="32" t="s">
        <v>63</v>
      </c>
      <c r="L1" s="35" t="s">
        <v>64</v>
      </c>
      <c r="M1" s="35" t="s">
        <v>65</v>
      </c>
      <c r="N1" s="32" t="s">
        <v>66</v>
      </c>
      <c r="O1" s="32" t="s">
        <v>67</v>
      </c>
    </row>
    <row r="2" spans="1:15" x14ac:dyDescent="0.35">
      <c r="A2" s="3">
        <v>112420</v>
      </c>
      <c r="B2" s="3" t="s">
        <v>72</v>
      </c>
      <c r="C2" s="41" t="s">
        <v>202</v>
      </c>
      <c r="D2" s="30" t="s">
        <v>980</v>
      </c>
      <c r="E2" s="30" t="s">
        <v>981</v>
      </c>
      <c r="F2" s="30" t="s">
        <v>963</v>
      </c>
      <c r="G2" s="30" t="s">
        <v>982</v>
      </c>
      <c r="H2" s="38">
        <f>VLOOKUP(A2,Data!A$2:BW$398,66,FALSE)</f>
        <v>18</v>
      </c>
      <c r="I2" s="39">
        <f>VLOOKUP(A2,Data!A$2:BW$398,67,FALSE)</f>
        <v>19.565217391304348</v>
      </c>
      <c r="J2" s="37">
        <f>H2-I2</f>
        <v>-1.5652173913043477</v>
      </c>
      <c r="K2" s="37">
        <f>J2/I2*100</f>
        <v>-7.9999999999999991</v>
      </c>
      <c r="L2" s="36">
        <f>VLOOKUP(A2,Data!A$2:BW$398,70,FALSE)</f>
        <v>758.99999699999989</v>
      </c>
      <c r="M2" s="36">
        <f>VLOOKUP(A2,Data!A$2:BW$398,71,FALSE)</f>
        <v>16.588350923447695</v>
      </c>
      <c r="N2" s="37">
        <f>L2-M2</f>
        <v>742.41164607655219</v>
      </c>
      <c r="O2" s="37">
        <f>N2/M2*100</f>
        <v>4475.5000030000001</v>
      </c>
    </row>
    <row r="3" spans="1:15" x14ac:dyDescent="0.35">
      <c r="A3" s="3">
        <v>163708</v>
      </c>
      <c r="B3" s="3" t="s">
        <v>72</v>
      </c>
      <c r="C3" s="43" t="s">
        <v>286</v>
      </c>
      <c r="D3" s="30" t="s">
        <v>980</v>
      </c>
      <c r="E3" s="30" t="s">
        <v>981</v>
      </c>
      <c r="F3" s="30" t="s">
        <v>965</v>
      </c>
      <c r="G3" s="30" t="s">
        <v>983</v>
      </c>
      <c r="H3" s="38">
        <f>VLOOKUP(A3,Data!A$2:BW$398,66,FALSE)</f>
        <v>-18</v>
      </c>
      <c r="I3" s="39">
        <f>VLOOKUP(A3,Data!A$2:BW$398,67,FALSE)</f>
        <v>-16.666666666666664</v>
      </c>
      <c r="J3" s="37">
        <f t="shared" ref="J3:J41" si="0">H3-I3</f>
        <v>-1.3333333333333357</v>
      </c>
      <c r="K3" s="37">
        <f t="shared" ref="K3:K41" si="1">J3/I3*100</f>
        <v>8.000000000000016</v>
      </c>
      <c r="L3" s="36">
        <f>VLOOKUP(A3,Data!A$2:BW$398,70,FALSE)</f>
        <v>895.99998400000004</v>
      </c>
      <c r="M3" s="36">
        <f>VLOOKUP(A3,Data!A$2:BW$398,71,FALSE)</f>
        <v>16.26134267510318</v>
      </c>
      <c r="N3" s="37">
        <f t="shared" ref="N3:N66" si="2">L3-M3</f>
        <v>879.73864132489689</v>
      </c>
      <c r="O3" s="37">
        <f t="shared" ref="O3:O66" si="3">N3/M3*100</f>
        <v>5410.000016</v>
      </c>
    </row>
    <row r="4" spans="1:15" x14ac:dyDescent="0.35">
      <c r="A4" s="3">
        <v>244458</v>
      </c>
      <c r="B4" s="3" t="s">
        <v>72</v>
      </c>
      <c r="C4" s="43" t="s">
        <v>214</v>
      </c>
      <c r="D4" s="30" t="s">
        <v>980</v>
      </c>
      <c r="E4" s="30" t="s">
        <v>981</v>
      </c>
      <c r="F4" s="30" t="s">
        <v>965</v>
      </c>
      <c r="G4" s="30" t="s">
        <v>984</v>
      </c>
      <c r="H4" s="38">
        <f>VLOOKUP(A4,Data!A$2:BW$398,66,FALSE)</f>
        <v>-6.5</v>
      </c>
      <c r="I4" s="39">
        <f>VLOOKUP(A4,Data!A$2:BW$398,67,FALSE)</f>
        <v>-8.6666666666666679</v>
      </c>
      <c r="J4" s="37">
        <f t="shared" si="0"/>
        <v>2.1666666666666679</v>
      </c>
      <c r="K4" s="37">
        <f t="shared" si="1"/>
        <v>-25.000000000000011</v>
      </c>
      <c r="L4" s="36">
        <f>VLOOKUP(A4,Data!A$2:BW$398,70,FALSE)</f>
        <v>261.5</v>
      </c>
      <c r="M4" s="36">
        <f>VLOOKUP(A4,Data!A$2:BW$398,71,FALSE)</f>
        <v>10.527375201288244</v>
      </c>
      <c r="N4" s="37">
        <f t="shared" si="2"/>
        <v>250.97262479871176</v>
      </c>
      <c r="O4" s="37">
        <f t="shared" si="3"/>
        <v>2384.0000000000005</v>
      </c>
    </row>
    <row r="5" spans="1:15" x14ac:dyDescent="0.35">
      <c r="A5" s="3">
        <v>112458</v>
      </c>
      <c r="B5" s="3" t="s">
        <v>72</v>
      </c>
      <c r="C5" s="43" t="s">
        <v>327</v>
      </c>
      <c r="D5" s="30" t="s">
        <v>980</v>
      </c>
      <c r="E5" s="30" t="s">
        <v>985</v>
      </c>
      <c r="F5" s="30" t="s">
        <v>963</v>
      </c>
      <c r="G5" s="30" t="s">
        <v>982</v>
      </c>
      <c r="H5" s="38">
        <f>VLOOKUP(A5,Data!A$2:BW$398,66,FALSE)</f>
        <v>0</v>
      </c>
      <c r="I5" s="39">
        <f>VLOOKUP(A5,Data!A$2:BW$398,67,FALSE)</f>
        <v>0</v>
      </c>
      <c r="J5" s="37">
        <f t="shared" si="0"/>
        <v>0</v>
      </c>
      <c r="K5" s="37" t="e">
        <f t="shared" si="1"/>
        <v>#DIV/0!</v>
      </c>
      <c r="L5" s="36">
        <f>VLOOKUP(A5,Data!A$2:BW$398,70,FALSE)</f>
        <v>344</v>
      </c>
      <c r="M5" s="36">
        <f>VLOOKUP(A5,Data!A$2:BW$398,71,FALSE)</f>
        <v>3.480372318899231</v>
      </c>
      <c r="N5" s="37">
        <f t="shared" si="2"/>
        <v>340.51962768110076</v>
      </c>
      <c r="O5" s="37">
        <f t="shared" si="3"/>
        <v>9784</v>
      </c>
    </row>
    <row r="6" spans="1:15" x14ac:dyDescent="0.35">
      <c r="A6" s="3">
        <v>112390</v>
      </c>
      <c r="B6" s="3" t="s">
        <v>72</v>
      </c>
      <c r="C6" s="40" t="s">
        <v>338</v>
      </c>
      <c r="D6" s="30" t="s">
        <v>980</v>
      </c>
      <c r="E6" s="30" t="s">
        <v>985</v>
      </c>
      <c r="F6" s="30" t="s">
        <v>963</v>
      </c>
      <c r="G6" s="30" t="s">
        <v>986</v>
      </c>
      <c r="H6" s="38">
        <f>VLOOKUP(A6,Data!A$2:BW$398,66,FALSE)</f>
        <v>-25</v>
      </c>
      <c r="I6" s="39">
        <f>VLOOKUP(A6,Data!A$2:BW$398,67,FALSE)</f>
        <v>-21.739130434782609</v>
      </c>
      <c r="J6" s="37">
        <f t="shared" si="0"/>
        <v>-3.2608695652173907</v>
      </c>
      <c r="K6" s="37">
        <f t="shared" si="1"/>
        <v>14.999999999999996</v>
      </c>
      <c r="L6" s="36">
        <f>VLOOKUP(A6,Data!A$2:BW$398,70,FALSE)</f>
        <v>410.49998599999981</v>
      </c>
      <c r="M6" s="36">
        <f>VLOOKUP(A6,Data!A$2:BW$398,71,FALSE)</f>
        <v>5.3769072663204245</v>
      </c>
      <c r="N6" s="37">
        <f t="shared" si="2"/>
        <v>405.12307873367939</v>
      </c>
      <c r="O6" s="37">
        <f t="shared" si="3"/>
        <v>7534.5000139999993</v>
      </c>
    </row>
    <row r="7" spans="1:15" x14ac:dyDescent="0.35">
      <c r="A7" s="3">
        <v>112386</v>
      </c>
      <c r="B7" s="3" t="s">
        <v>72</v>
      </c>
      <c r="C7" s="40" t="s">
        <v>330</v>
      </c>
      <c r="D7" s="30" t="s">
        <v>980</v>
      </c>
      <c r="E7" s="30" t="s">
        <v>985</v>
      </c>
      <c r="F7" s="30" t="s">
        <v>963</v>
      </c>
      <c r="G7" s="30" t="s">
        <v>982</v>
      </c>
      <c r="H7" s="38">
        <f>VLOOKUP(A7,Data!A$2:BW$398,66,FALSE)</f>
        <v>2</v>
      </c>
      <c r="I7" s="39">
        <f>VLOOKUP(A7,Data!A$2:BW$398,67,FALSE)</f>
        <v>3.1746031746031744</v>
      </c>
      <c r="J7" s="37">
        <f t="shared" si="0"/>
        <v>-1.1746031746031744</v>
      </c>
      <c r="K7" s="37">
        <f t="shared" si="1"/>
        <v>-36.999999999999993</v>
      </c>
      <c r="L7" s="36">
        <f>VLOOKUP(A7,Data!A$2:BW$398,70,FALSE)</f>
        <v>150.5</v>
      </c>
      <c r="M7" s="36">
        <f>VLOOKUP(A7,Data!A$2:BW$398,71,FALSE)</f>
        <v>3.1419624217118995</v>
      </c>
      <c r="N7" s="37">
        <f t="shared" si="2"/>
        <v>147.3580375782881</v>
      </c>
      <c r="O7" s="37">
        <f t="shared" si="3"/>
        <v>4690.0000000000009</v>
      </c>
    </row>
    <row r="8" spans="1:15" x14ac:dyDescent="0.35">
      <c r="A8" s="3">
        <v>112419</v>
      </c>
      <c r="B8" s="3" t="s">
        <v>72</v>
      </c>
      <c r="C8" s="41" t="s">
        <v>322</v>
      </c>
      <c r="D8" s="30" t="s">
        <v>980</v>
      </c>
      <c r="E8" s="30" t="s">
        <v>981</v>
      </c>
      <c r="F8" s="30" t="s">
        <v>964</v>
      </c>
      <c r="G8" s="30" t="s">
        <v>982</v>
      </c>
      <c r="H8" s="38">
        <f>VLOOKUP(A8,Data!A$2:BW$398,66,FALSE)</f>
        <v>-38.5</v>
      </c>
      <c r="I8" s="39">
        <f>VLOOKUP(A8,Data!A$2:BW$398,67,FALSE)</f>
        <v>-24.444444444444443</v>
      </c>
      <c r="J8" s="37">
        <f t="shared" si="0"/>
        <v>-14.055555555555557</v>
      </c>
      <c r="K8" s="37">
        <f t="shared" si="1"/>
        <v>57.500000000000007</v>
      </c>
      <c r="L8" s="36">
        <f>VLOOKUP(A8,Data!A$2:BW$398,70,FALSE)</f>
        <v>258.49999399999979</v>
      </c>
      <c r="M8" s="36">
        <f>VLOOKUP(A8,Data!A$2:BW$398,71,FALSE)</f>
        <v>5.8991326710646241</v>
      </c>
      <c r="N8" s="37">
        <f t="shared" si="2"/>
        <v>252.60086132893517</v>
      </c>
      <c r="O8" s="37">
        <f t="shared" si="3"/>
        <v>4282.0000060000002</v>
      </c>
    </row>
    <row r="9" spans="1:15" x14ac:dyDescent="0.35">
      <c r="A9" s="3">
        <v>112402</v>
      </c>
      <c r="B9" s="3" t="s">
        <v>72</v>
      </c>
      <c r="C9" s="41" t="s">
        <v>235</v>
      </c>
      <c r="D9" s="30" t="s">
        <v>980</v>
      </c>
      <c r="E9" s="30" t="s">
        <v>985</v>
      </c>
      <c r="F9" s="30" t="s">
        <v>963</v>
      </c>
      <c r="G9" s="30" t="s">
        <v>982</v>
      </c>
      <c r="H9" s="38">
        <f>VLOOKUP(A9,Data!A$2:BW$398,66,FALSE)</f>
        <v>48.5</v>
      </c>
      <c r="I9" s="39">
        <f>VLOOKUP(A9,Data!A$2:BW$398,67,FALSE)</f>
        <v>17.290552584670234</v>
      </c>
      <c r="J9" s="37">
        <f t="shared" si="0"/>
        <v>31.209447415329766</v>
      </c>
      <c r="K9" s="37">
        <f t="shared" si="1"/>
        <v>180.49999999999997</v>
      </c>
      <c r="L9" s="36">
        <f>VLOOKUP(A9,Data!A$2:BW$398,70,FALSE)</f>
        <v>391</v>
      </c>
      <c r="M9" s="36">
        <f>VLOOKUP(A9,Data!A$2:BW$398,71,FALSE)</f>
        <v>19.171365530767346</v>
      </c>
      <c r="N9" s="37">
        <f t="shared" si="2"/>
        <v>371.82863446923267</v>
      </c>
      <c r="O9" s="37">
        <f t="shared" si="3"/>
        <v>1939.5</v>
      </c>
    </row>
    <row r="10" spans="1:15" x14ac:dyDescent="0.35">
      <c r="A10" s="3">
        <v>112414</v>
      </c>
      <c r="B10" s="3" t="s">
        <v>72</v>
      </c>
      <c r="C10" s="41" t="s">
        <v>346</v>
      </c>
      <c r="D10" s="30" t="s">
        <v>980</v>
      </c>
      <c r="E10" s="30" t="s">
        <v>981</v>
      </c>
      <c r="F10" s="30" t="s">
        <v>963</v>
      </c>
      <c r="G10" s="30" t="s">
        <v>982</v>
      </c>
      <c r="H10" s="38">
        <f>VLOOKUP(A10,Data!A$2:BW$398,66,FALSE)</f>
        <v>-31.5</v>
      </c>
      <c r="I10" s="39">
        <f>VLOOKUP(A10,Data!A$2:BW$398,67,FALSE)</f>
        <v>-29.166666666666668</v>
      </c>
      <c r="J10" s="37">
        <f t="shared" si="0"/>
        <v>-2.3333333333333321</v>
      </c>
      <c r="K10" s="37">
        <f t="shared" si="1"/>
        <v>7.9999999999999964</v>
      </c>
      <c r="L10" s="36">
        <f>VLOOKUP(A10,Data!A$2:BW$398,70,FALSE)</f>
        <v>200.49995500000023</v>
      </c>
      <c r="M10" s="36">
        <f>VLOOKUP(A10,Data!A$2:BW$398,71,FALSE)</f>
        <v>2.7745098422676371</v>
      </c>
      <c r="N10" s="37">
        <f t="shared" si="2"/>
        <v>197.72544515773259</v>
      </c>
      <c r="O10" s="37">
        <f t="shared" si="3"/>
        <v>7126.5000450000007</v>
      </c>
    </row>
    <row r="11" spans="1:15" x14ac:dyDescent="0.35">
      <c r="A11" s="3">
        <v>112450</v>
      </c>
      <c r="B11" s="3" t="s">
        <v>72</v>
      </c>
      <c r="C11" s="43" t="s">
        <v>347</v>
      </c>
      <c r="D11" s="30" t="s">
        <v>980</v>
      </c>
      <c r="E11" s="30" t="s">
        <v>985</v>
      </c>
      <c r="F11" s="30" t="s">
        <v>964</v>
      </c>
      <c r="G11" s="30" t="s">
        <v>982</v>
      </c>
      <c r="H11" s="38">
        <f>VLOOKUP(A11,Data!A$2:BW$398,66,FALSE)</f>
        <v>-27</v>
      </c>
      <c r="I11" s="39">
        <f>VLOOKUP(A11,Data!A$2:BW$398,67,FALSE)</f>
        <v>-29.347826086956523</v>
      </c>
      <c r="J11" s="37">
        <f t="shared" si="0"/>
        <v>2.3478260869565233</v>
      </c>
      <c r="K11" s="37">
        <f t="shared" si="1"/>
        <v>-8.0000000000000036</v>
      </c>
      <c r="L11" s="36">
        <f>VLOOKUP(A11,Data!A$2:BW$398,70,FALSE)</f>
        <v>308</v>
      </c>
      <c r="M11" s="36">
        <f>VLOOKUP(A11,Data!A$2:BW$398,71,FALSE)</f>
        <v>5.1825677267373385</v>
      </c>
      <c r="N11" s="37">
        <f t="shared" si="2"/>
        <v>302.81743227326268</v>
      </c>
      <c r="O11" s="37">
        <f t="shared" si="3"/>
        <v>5843</v>
      </c>
    </row>
    <row r="12" spans="1:15" x14ac:dyDescent="0.35">
      <c r="A12" s="3">
        <v>148413</v>
      </c>
      <c r="B12" s="3" t="s">
        <v>72</v>
      </c>
      <c r="C12" s="41" t="s">
        <v>305</v>
      </c>
      <c r="D12" s="30" t="s">
        <v>987</v>
      </c>
      <c r="E12" s="30" t="s">
        <v>985</v>
      </c>
      <c r="F12" s="30" t="s">
        <v>964</v>
      </c>
      <c r="G12" s="30" t="s">
        <v>982</v>
      </c>
      <c r="H12" s="38">
        <f>VLOOKUP(A12,Data!A$2:BW$398,66,FALSE)</f>
        <v>-10</v>
      </c>
      <c r="I12" s="39">
        <f>VLOOKUP(A12,Data!A$2:BW$398,67,FALSE)</f>
        <v>-20</v>
      </c>
      <c r="J12" s="37">
        <f t="shared" si="0"/>
        <v>10</v>
      </c>
      <c r="K12" s="37">
        <f t="shared" si="1"/>
        <v>-50</v>
      </c>
      <c r="L12" s="36">
        <f>VLOOKUP(A12,Data!A$2:BW$398,70,FALSE)</f>
        <v>229</v>
      </c>
      <c r="M12" s="36">
        <f>VLOOKUP(A12,Data!A$2:BW$398,71,FALSE)</f>
        <v>5.3058387395736792</v>
      </c>
      <c r="N12" s="37">
        <f t="shared" si="2"/>
        <v>223.69416126042631</v>
      </c>
      <c r="O12" s="37">
        <f t="shared" si="3"/>
        <v>4216</v>
      </c>
    </row>
    <row r="13" spans="1:15" x14ac:dyDescent="0.35">
      <c r="A13" s="3">
        <v>147286</v>
      </c>
      <c r="B13" s="3" t="s">
        <v>72</v>
      </c>
      <c r="C13" s="41" t="s">
        <v>376</v>
      </c>
      <c r="D13" s="30" t="s">
        <v>987</v>
      </c>
      <c r="E13" s="30" t="s">
        <v>985</v>
      </c>
      <c r="F13" s="30" t="s">
        <v>965</v>
      </c>
      <c r="G13" s="30" t="s">
        <v>982</v>
      </c>
      <c r="H13" s="38">
        <f>VLOOKUP(A13,Data!A$2:BW$398,66,FALSE)</f>
        <v>-13.5</v>
      </c>
      <c r="I13" s="39">
        <f>VLOOKUP(A13,Data!A$2:BW$398,67,FALSE)</f>
        <v>-33.333333333333329</v>
      </c>
      <c r="J13" s="37">
        <f t="shared" si="0"/>
        <v>19.833333333333329</v>
      </c>
      <c r="K13" s="37">
        <f t="shared" si="1"/>
        <v>-59.5</v>
      </c>
      <c r="L13" s="36">
        <f>VLOOKUP(A13,Data!A$2:BW$398,70,FALSE)</f>
        <v>-246.50000399999954</v>
      </c>
      <c r="M13" s="36">
        <f>VLOOKUP(A13,Data!A$2:BW$398,71,FALSE)</f>
        <v>-5.6981045717077068</v>
      </c>
      <c r="N13" s="37">
        <f t="shared" si="2"/>
        <v>-240.80189942829182</v>
      </c>
      <c r="O13" s="37">
        <f t="shared" si="3"/>
        <v>4226.0000039999995</v>
      </c>
    </row>
    <row r="14" spans="1:15" x14ac:dyDescent="0.35">
      <c r="A14" s="3">
        <v>112415</v>
      </c>
      <c r="B14" s="3" t="s">
        <v>72</v>
      </c>
      <c r="C14" s="41" t="s">
        <v>308</v>
      </c>
      <c r="D14" s="30" t="s">
        <v>988</v>
      </c>
      <c r="E14" s="30" t="s">
        <v>985</v>
      </c>
      <c r="F14" s="30" t="s">
        <v>965</v>
      </c>
      <c r="G14" s="30" t="s">
        <v>982</v>
      </c>
      <c r="H14" s="38">
        <f>VLOOKUP(A14,Data!A$2:BW$398,66,FALSE)</f>
        <v>-6.5</v>
      </c>
      <c r="I14" s="39">
        <f>VLOOKUP(A14,Data!A$2:BW$398,67,FALSE)</f>
        <v>-14.942528735632186</v>
      </c>
      <c r="J14" s="37">
        <f t="shared" si="0"/>
        <v>8.4425287356321856</v>
      </c>
      <c r="K14" s="37">
        <f t="shared" si="1"/>
        <v>-56.500000000000007</v>
      </c>
      <c r="L14" s="36">
        <f>VLOOKUP(A14,Data!A$2:BW$398,70,FALSE)</f>
        <v>164</v>
      </c>
      <c r="M14" s="36">
        <f>VLOOKUP(A14,Data!A$2:BW$398,71,FALSE)</f>
        <v>7.0492155598538577</v>
      </c>
      <c r="N14" s="37">
        <f t="shared" si="2"/>
        <v>156.95078444014615</v>
      </c>
      <c r="O14" s="37">
        <f t="shared" si="3"/>
        <v>2226.5</v>
      </c>
    </row>
    <row r="15" spans="1:15" ht="24.5" x14ac:dyDescent="0.35">
      <c r="A15" s="3">
        <v>200922</v>
      </c>
      <c r="B15" s="3" t="s">
        <v>72</v>
      </c>
      <c r="C15" s="41" t="s">
        <v>329</v>
      </c>
      <c r="D15" s="30" t="s">
        <v>980</v>
      </c>
      <c r="E15" s="30" t="s">
        <v>981</v>
      </c>
      <c r="F15" s="30" t="s">
        <v>963</v>
      </c>
      <c r="G15" s="30" t="s">
        <v>982</v>
      </c>
      <c r="H15" s="38">
        <f>VLOOKUP(A15,Data!A$2:BW$398,66,FALSE)</f>
        <v>-1.9419999999999931</v>
      </c>
      <c r="I15" s="39">
        <f>VLOOKUP(A15,Data!A$2:BW$398,67,FALSE)</f>
        <v>-2.8640533286139767</v>
      </c>
      <c r="J15" s="37">
        <f t="shared" si="0"/>
        <v>0.92205332861398359</v>
      </c>
      <c r="K15" s="37">
        <f t="shared" si="1"/>
        <v>-32.194000000000003</v>
      </c>
      <c r="L15" s="36">
        <f>VLOOKUP(A15,Data!A$2:BW$398,70,FALSE)</f>
        <v>221.92599999999993</v>
      </c>
      <c r="M15" s="36">
        <f>VLOOKUP(A15,Data!A$2:BW$398,71,FALSE)</f>
        <v>6.6690727408721173</v>
      </c>
      <c r="N15" s="37">
        <f t="shared" si="2"/>
        <v>215.25692725912782</v>
      </c>
      <c r="O15" s="37">
        <f t="shared" si="3"/>
        <v>3227.6889999999994</v>
      </c>
    </row>
    <row r="16" spans="1:15" x14ac:dyDescent="0.35">
      <c r="A16" s="3">
        <v>112418</v>
      </c>
      <c r="B16" s="3" t="s">
        <v>72</v>
      </c>
      <c r="C16" s="41" t="s">
        <v>313</v>
      </c>
      <c r="D16" s="30" t="s">
        <v>980</v>
      </c>
      <c r="E16" s="30" t="s">
        <v>981</v>
      </c>
      <c r="F16" s="30" t="s">
        <v>964</v>
      </c>
      <c r="G16" s="30" t="s">
        <v>982</v>
      </c>
      <c r="H16" s="38">
        <f>VLOOKUP(A16,Data!A$2:BW$398,66,FALSE)</f>
        <v>-104</v>
      </c>
      <c r="I16" s="39">
        <f>VLOOKUP(A16,Data!A$2:BW$398,67,FALSE)</f>
        <v>-40.388349514563103</v>
      </c>
      <c r="J16" s="37">
        <f t="shared" si="0"/>
        <v>-63.611650485436897</v>
      </c>
      <c r="K16" s="37">
        <f t="shared" si="1"/>
        <v>157.50000000000003</v>
      </c>
      <c r="L16" s="36">
        <f>VLOOKUP(A16,Data!A$2:BW$398,70,FALSE)</f>
        <v>351.99998899999991</v>
      </c>
      <c r="M16" s="36">
        <f>VLOOKUP(A16,Data!A$2:BW$398,71,FALSE)</f>
        <v>10.837438048272221</v>
      </c>
      <c r="N16" s="37">
        <f t="shared" si="2"/>
        <v>341.16255095172767</v>
      </c>
      <c r="O16" s="37">
        <f t="shared" si="3"/>
        <v>3148.0000110000001</v>
      </c>
    </row>
    <row r="17" spans="1:15" x14ac:dyDescent="0.35">
      <c r="A17" s="3">
        <v>144329</v>
      </c>
      <c r="B17" s="3" t="s">
        <v>72</v>
      </c>
      <c r="C17" s="41" t="s">
        <v>190</v>
      </c>
      <c r="D17" s="30" t="s">
        <v>980</v>
      </c>
      <c r="E17" s="30" t="s">
        <v>981</v>
      </c>
      <c r="F17" s="30" t="s">
        <v>965</v>
      </c>
      <c r="G17" s="30" t="s">
        <v>989</v>
      </c>
      <c r="H17" s="38">
        <f>VLOOKUP(A17,Data!A$2:BW$398,66,FALSE)</f>
        <v>129</v>
      </c>
      <c r="I17" s="39">
        <f>VLOOKUP(A17,Data!A$2:BW$398,67,FALSE)</f>
        <v>37.941176470588232</v>
      </c>
      <c r="J17" s="37">
        <f t="shared" si="0"/>
        <v>91.058823529411768</v>
      </c>
      <c r="K17" s="37">
        <f t="shared" si="1"/>
        <v>240.00000000000003</v>
      </c>
      <c r="L17" s="36">
        <f>VLOOKUP(A17,Data!A$2:BW$398,70,FALSE)</f>
        <v>407.5</v>
      </c>
      <c r="M17" s="36">
        <f>VLOOKUP(A17,Data!A$2:BW$398,71,FALSE)</f>
        <v>11.927411093224059</v>
      </c>
      <c r="N17" s="37">
        <f t="shared" si="2"/>
        <v>395.57258890677593</v>
      </c>
      <c r="O17" s="37">
        <f t="shared" si="3"/>
        <v>3316.5</v>
      </c>
    </row>
    <row r="18" spans="1:15" x14ac:dyDescent="0.35">
      <c r="A18" s="3">
        <v>112440</v>
      </c>
      <c r="B18" s="3" t="s">
        <v>72</v>
      </c>
      <c r="C18" s="45" t="s">
        <v>319</v>
      </c>
      <c r="D18" s="30" t="s">
        <v>980</v>
      </c>
      <c r="E18" s="30" t="s">
        <v>985</v>
      </c>
      <c r="F18" s="30" t="s">
        <v>963</v>
      </c>
      <c r="G18" s="30" t="s">
        <v>982</v>
      </c>
      <c r="H18" s="38">
        <f>VLOOKUP(A18,Data!A$2:BW$398,66,FALSE)</f>
        <v>-7</v>
      </c>
      <c r="I18" s="39">
        <f>VLOOKUP(A18,Data!A$2:BW$398,67,FALSE)</f>
        <v>-26.923076923076923</v>
      </c>
      <c r="J18" s="37">
        <f t="shared" si="0"/>
        <v>19.923076923076923</v>
      </c>
      <c r="K18" s="37">
        <f t="shared" si="1"/>
        <v>-74</v>
      </c>
      <c r="L18" s="36">
        <f>VLOOKUP(A18,Data!A$2:BW$398,70,FALSE)</f>
        <v>-42.000000999999884</v>
      </c>
      <c r="M18" s="36">
        <f>VLOOKUP(A18,Data!A$2:BW$398,71,FALSE)</f>
        <v>-1.7220172604665729</v>
      </c>
      <c r="N18" s="37">
        <f t="shared" si="2"/>
        <v>-40.277983739533312</v>
      </c>
      <c r="O18" s="37">
        <f t="shared" si="3"/>
        <v>2339.0000010000003</v>
      </c>
    </row>
    <row r="19" spans="1:15" x14ac:dyDescent="0.35">
      <c r="A19" s="3">
        <v>136152</v>
      </c>
      <c r="B19" s="3" t="s">
        <v>72</v>
      </c>
      <c r="C19" s="43" t="s">
        <v>343</v>
      </c>
      <c r="D19" s="30" t="s">
        <v>987</v>
      </c>
      <c r="E19" s="30" t="s">
        <v>985</v>
      </c>
      <c r="F19" s="30" t="s">
        <v>964</v>
      </c>
      <c r="G19" s="30" t="s">
        <v>982</v>
      </c>
      <c r="H19" s="38">
        <f>VLOOKUP(A19,Data!A$2:BW$398,66,FALSE)</f>
        <v>-21</v>
      </c>
      <c r="I19" s="39">
        <f>VLOOKUP(A19,Data!A$2:BW$398,67,FALSE)</f>
        <v>-26.582278481012654</v>
      </c>
      <c r="J19" s="37">
        <f t="shared" si="0"/>
        <v>5.5822784810126542</v>
      </c>
      <c r="K19" s="37">
        <f t="shared" si="1"/>
        <v>-20.999999999999989</v>
      </c>
      <c r="L19" s="36">
        <f>VLOOKUP(A19,Data!A$2:BW$398,70,FALSE)</f>
        <v>174.49999200000002</v>
      </c>
      <c r="M19" s="36">
        <f>VLOOKUP(A19,Data!A$2:BW$398,71,FALSE)</f>
        <v>4.7117589205632324</v>
      </c>
      <c r="N19" s="37">
        <f t="shared" si="2"/>
        <v>169.78823307943679</v>
      </c>
      <c r="O19" s="37">
        <f t="shared" si="3"/>
        <v>3603.5000080000004</v>
      </c>
    </row>
    <row r="20" spans="1:15" x14ac:dyDescent="0.35">
      <c r="A20" s="3">
        <v>112422</v>
      </c>
      <c r="B20" s="3" t="s">
        <v>72</v>
      </c>
      <c r="C20" s="42" t="s">
        <v>368</v>
      </c>
      <c r="D20" s="30" t="s">
        <v>980</v>
      </c>
      <c r="E20" s="30" t="s">
        <v>981</v>
      </c>
      <c r="F20" s="30" t="s">
        <v>963</v>
      </c>
      <c r="G20" s="30" t="s">
        <v>982</v>
      </c>
      <c r="H20" s="38">
        <f>VLOOKUP(A20,Data!A$2:BW$398,66,FALSE)</f>
        <v>-29</v>
      </c>
      <c r="I20" s="39">
        <f>VLOOKUP(A20,Data!A$2:BW$398,67,FALSE)</f>
        <v>-30.051813471502591</v>
      </c>
      <c r="J20" s="37">
        <f t="shared" si="0"/>
        <v>1.0518134715025909</v>
      </c>
      <c r="K20" s="37">
        <f t="shared" si="1"/>
        <v>-3.5000000000000004</v>
      </c>
      <c r="L20" s="36">
        <f>VLOOKUP(A20,Data!A$2:BW$398,70,FALSE)</f>
        <v>-281.50001599999996</v>
      </c>
      <c r="M20" s="36">
        <f>VLOOKUP(A20,Data!A$2:BW$398,71,FALSE)</f>
        <v>-3.7894597212584826</v>
      </c>
      <c r="N20" s="37">
        <f t="shared" si="2"/>
        <v>-277.71055627874148</v>
      </c>
      <c r="O20" s="37">
        <f t="shared" si="3"/>
        <v>7328.5000160000009</v>
      </c>
    </row>
    <row r="21" spans="1:15" x14ac:dyDescent="0.35">
      <c r="A21" s="3">
        <v>112424</v>
      </c>
      <c r="B21" s="3" t="s">
        <v>72</v>
      </c>
      <c r="C21" s="40" t="s">
        <v>185</v>
      </c>
      <c r="D21" s="30" t="s">
        <v>988</v>
      </c>
      <c r="E21" s="30" t="s">
        <v>985</v>
      </c>
      <c r="F21" s="30" t="s">
        <v>964</v>
      </c>
      <c r="G21" s="30" t="s">
        <v>990</v>
      </c>
      <c r="H21" s="38">
        <f>VLOOKUP(A21,Data!A$2:BW$398,66,FALSE)</f>
        <v>-32</v>
      </c>
      <c r="I21" s="39">
        <f>VLOOKUP(A21,Data!A$2:BW$398,67,FALSE)</f>
        <v>-10</v>
      </c>
      <c r="J21" s="37">
        <f t="shared" si="0"/>
        <v>-22</v>
      </c>
      <c r="K21" s="37">
        <f t="shared" si="1"/>
        <v>220.00000000000003</v>
      </c>
      <c r="L21" s="36">
        <f>VLOOKUP(A21,Data!A$2:BW$398,70,FALSE)</f>
        <v>170</v>
      </c>
      <c r="M21" s="36">
        <f>VLOOKUP(A21,Data!A$2:BW$398,71,FALSE)</f>
        <v>10.506798516687269</v>
      </c>
      <c r="N21" s="37">
        <f t="shared" si="2"/>
        <v>159.49320148331273</v>
      </c>
      <c r="O21" s="37">
        <f t="shared" si="3"/>
        <v>1518</v>
      </c>
    </row>
    <row r="22" spans="1:15" x14ac:dyDescent="0.35">
      <c r="A22" s="3">
        <v>112385</v>
      </c>
      <c r="B22" s="3" t="s">
        <v>72</v>
      </c>
      <c r="C22" s="40" t="s">
        <v>351</v>
      </c>
      <c r="D22" s="30" t="s">
        <v>980</v>
      </c>
      <c r="E22" s="30" t="s">
        <v>985</v>
      </c>
      <c r="F22" s="30" t="s">
        <v>964</v>
      </c>
      <c r="G22" s="30" t="s">
        <v>990</v>
      </c>
      <c r="H22" s="38">
        <f>VLOOKUP(A22,Data!A$2:BW$398,66,FALSE)</f>
        <v>15</v>
      </c>
      <c r="I22" s="39">
        <f>VLOOKUP(A22,Data!A$2:BW$398,67,FALSE)</f>
        <v>27.27272727272727</v>
      </c>
      <c r="J22" s="37">
        <f t="shared" si="0"/>
        <v>-12.27272727272727</v>
      </c>
      <c r="K22" s="37">
        <f t="shared" si="1"/>
        <v>-44.999999999999993</v>
      </c>
      <c r="L22" s="36">
        <f>VLOOKUP(A22,Data!A$2:BW$398,70,FALSE)</f>
        <v>70</v>
      </c>
      <c r="M22" s="36">
        <f>VLOOKUP(A22,Data!A$2:BW$398,71,FALSE)</f>
        <v>1.4271151885830784</v>
      </c>
      <c r="N22" s="37">
        <f t="shared" si="2"/>
        <v>68.572884811416927</v>
      </c>
      <c r="O22" s="37">
        <f t="shared" si="3"/>
        <v>4805</v>
      </c>
    </row>
    <row r="23" spans="1:15" x14ac:dyDescent="0.35">
      <c r="A23" s="3">
        <v>112438</v>
      </c>
      <c r="B23" s="3" t="s">
        <v>72</v>
      </c>
      <c r="C23" s="43" t="s">
        <v>371</v>
      </c>
      <c r="D23" s="30" t="s">
        <v>980</v>
      </c>
      <c r="E23" s="30" t="s">
        <v>981</v>
      </c>
      <c r="F23" s="30" t="s">
        <v>963</v>
      </c>
      <c r="G23" s="30" t="s">
        <v>982</v>
      </c>
      <c r="H23" s="38">
        <f>VLOOKUP(A23,Data!A$2:BW$398,66,FALSE)</f>
        <v>-18.5</v>
      </c>
      <c r="I23" s="39">
        <f>VLOOKUP(A23,Data!A$2:BW$398,67,FALSE)</f>
        <v>-25.694444444444443</v>
      </c>
      <c r="J23" s="37">
        <f t="shared" si="0"/>
        <v>7.1944444444444429</v>
      </c>
      <c r="K23" s="37">
        <f t="shared" si="1"/>
        <v>-27.999999999999996</v>
      </c>
      <c r="L23" s="36">
        <f>VLOOKUP(A23,Data!A$2:BW$398,70,FALSE)</f>
        <v>-5.5000090000003183</v>
      </c>
      <c r="M23" s="36">
        <f>VLOOKUP(A23,Data!A$2:BW$398,71,FALSE)</f>
        <v>-0.149375583556668</v>
      </c>
      <c r="N23" s="37">
        <f t="shared" si="2"/>
        <v>-5.3506334164436504</v>
      </c>
      <c r="O23" s="37">
        <f t="shared" si="3"/>
        <v>3582.0000089999999</v>
      </c>
    </row>
    <row r="24" spans="1:15" x14ac:dyDescent="0.35">
      <c r="A24" s="3">
        <v>112431</v>
      </c>
      <c r="B24" s="3" t="s">
        <v>72</v>
      </c>
      <c r="C24" s="40" t="s">
        <v>212</v>
      </c>
      <c r="D24" s="30" t="s">
        <v>980</v>
      </c>
      <c r="E24" s="30" t="s">
        <v>981</v>
      </c>
      <c r="F24" s="30" t="s">
        <v>965</v>
      </c>
      <c r="G24" s="30" t="s">
        <v>989</v>
      </c>
      <c r="H24" s="38">
        <f>VLOOKUP(A24,Data!A$2:BW$398,66,FALSE)</f>
        <v>27</v>
      </c>
      <c r="I24" s="39">
        <f>VLOOKUP(A24,Data!A$2:BW$398,67,FALSE)</f>
        <v>150</v>
      </c>
      <c r="J24" s="37">
        <f t="shared" si="0"/>
        <v>-123</v>
      </c>
      <c r="K24" s="37">
        <f t="shared" si="1"/>
        <v>-82</v>
      </c>
      <c r="L24" s="36">
        <f>VLOOKUP(A24,Data!A$2:BW$398,70,FALSE)</f>
        <v>72</v>
      </c>
      <c r="M24" s="36">
        <f>VLOOKUP(A24,Data!A$2:BW$398,71,FALSE)</f>
        <v>28.07017543859649</v>
      </c>
      <c r="N24" s="37">
        <f t="shared" si="2"/>
        <v>43.929824561403507</v>
      </c>
      <c r="O24" s="37">
        <f t="shared" si="3"/>
        <v>156.5</v>
      </c>
    </row>
    <row r="25" spans="1:15" ht="24.5" x14ac:dyDescent="0.35">
      <c r="A25" s="3">
        <v>198868</v>
      </c>
      <c r="B25" s="3" t="s">
        <v>72</v>
      </c>
      <c r="C25" s="41" t="s">
        <v>175</v>
      </c>
      <c r="D25" s="30" t="s">
        <v>988</v>
      </c>
      <c r="E25" s="30" t="s">
        <v>981</v>
      </c>
      <c r="F25" s="30" t="s">
        <v>965</v>
      </c>
      <c r="G25" s="30" t="s">
        <v>991</v>
      </c>
      <c r="H25" s="38">
        <f>VLOOKUP(A25,Data!A$2:BW$398,66,FALSE)</f>
        <v>94</v>
      </c>
      <c r="I25" s="39">
        <f>VLOOKUP(A25,Data!A$2:BW$398,67,FALSE)</f>
        <v>44.339622641509436</v>
      </c>
      <c r="J25" s="37">
        <f t="shared" si="0"/>
        <v>49.660377358490564</v>
      </c>
      <c r="K25" s="37">
        <f t="shared" si="1"/>
        <v>111.99999999999999</v>
      </c>
      <c r="L25" s="36">
        <f>VLOOKUP(A25,Data!A$2:BW$398,70,FALSE)</f>
        <v>175</v>
      </c>
      <c r="M25" s="36">
        <f>VLOOKUP(A25,Data!A$2:BW$398,71,FALSE)</f>
        <v>15.350877192982457</v>
      </c>
      <c r="N25" s="37">
        <f t="shared" si="2"/>
        <v>159.64912280701753</v>
      </c>
      <c r="O25" s="37">
        <f t="shared" si="3"/>
        <v>1039.9999999999998</v>
      </c>
    </row>
    <row r="26" spans="1:15" x14ac:dyDescent="0.35">
      <c r="A26" s="3">
        <v>112456</v>
      </c>
      <c r="B26" s="3" t="s">
        <v>72</v>
      </c>
      <c r="C26" s="43" t="s">
        <v>359</v>
      </c>
      <c r="D26" s="30" t="s">
        <v>980</v>
      </c>
      <c r="E26" s="30" t="s">
        <v>981</v>
      </c>
      <c r="F26" s="30" t="s">
        <v>963</v>
      </c>
      <c r="G26" s="30" t="s">
        <v>982</v>
      </c>
      <c r="H26" s="38">
        <f>VLOOKUP(A26,Data!A$2:BW$398,66,FALSE)</f>
        <v>-45</v>
      </c>
      <c r="I26" s="39">
        <f>VLOOKUP(A26,Data!A$2:BW$398,67,FALSE)</f>
        <v>-25.714285714285712</v>
      </c>
      <c r="J26" s="37">
        <f t="shared" si="0"/>
        <v>-19.285714285714288</v>
      </c>
      <c r="K26" s="37">
        <f t="shared" si="1"/>
        <v>75.000000000000028</v>
      </c>
      <c r="L26" s="36">
        <f>VLOOKUP(A26,Data!A$2:BW$398,70,FALSE)</f>
        <v>17.999985000000379</v>
      </c>
      <c r="M26" s="36">
        <f>VLOOKUP(A26,Data!A$2:BW$398,71,FALSE)</f>
        <v>0.41618462283405055</v>
      </c>
      <c r="N26" s="37">
        <f t="shared" si="2"/>
        <v>17.583800377166327</v>
      </c>
      <c r="O26" s="37">
        <f t="shared" si="3"/>
        <v>4225.0000149999987</v>
      </c>
    </row>
    <row r="27" spans="1:15" ht="36.5" x14ac:dyDescent="0.35">
      <c r="A27" s="3">
        <v>198751</v>
      </c>
      <c r="B27" s="3" t="s">
        <v>72</v>
      </c>
      <c r="C27" s="41" t="s">
        <v>87</v>
      </c>
      <c r="D27" s="30" t="s">
        <v>980</v>
      </c>
      <c r="E27" s="30" t="s">
        <v>992</v>
      </c>
      <c r="F27" s="30" t="s">
        <v>965</v>
      </c>
      <c r="G27" s="30" t="s">
        <v>983</v>
      </c>
      <c r="H27" s="38">
        <f>VLOOKUP(A27,Data!A$2:BW$398,66,FALSE)</f>
        <v>-16</v>
      </c>
      <c r="I27" s="39">
        <f>VLOOKUP(A27,Data!A$2:BW$398,67,FALSE)</f>
        <v>-57.142857142857139</v>
      </c>
      <c r="J27" s="37">
        <f t="shared" si="0"/>
        <v>41.142857142857139</v>
      </c>
      <c r="K27" s="37">
        <f t="shared" si="1"/>
        <v>-72</v>
      </c>
      <c r="L27" s="36">
        <f>VLOOKUP(A27,Data!A$2:BW$398,70,FALSE)</f>
        <v>29</v>
      </c>
      <c r="M27" s="36">
        <f>VLOOKUP(A27,Data!A$2:BW$398,71,FALSE)</f>
        <v>9.3699515347334401</v>
      </c>
      <c r="N27" s="37">
        <f t="shared" si="2"/>
        <v>19.630048465266562</v>
      </c>
      <c r="O27" s="37">
        <f t="shared" si="3"/>
        <v>209.50000000000006</v>
      </c>
    </row>
    <row r="28" spans="1:15" x14ac:dyDescent="0.35">
      <c r="A28" s="3">
        <v>112417</v>
      </c>
      <c r="B28" s="3" t="s">
        <v>72</v>
      </c>
      <c r="C28" s="41" t="s">
        <v>324</v>
      </c>
      <c r="D28" s="30" t="s">
        <v>988</v>
      </c>
      <c r="E28" s="30" t="s">
        <v>985</v>
      </c>
      <c r="F28" s="30" t="s">
        <v>965</v>
      </c>
      <c r="G28" s="30" t="s">
        <v>982</v>
      </c>
      <c r="H28" s="38">
        <f>VLOOKUP(A28,Data!A$2:BW$398,66,FALSE)</f>
        <v>0.5</v>
      </c>
      <c r="I28" s="39">
        <f>VLOOKUP(A28,Data!A$2:BW$398,67,FALSE)</f>
        <v>1.4084507042253522</v>
      </c>
      <c r="J28" s="37">
        <f t="shared" si="0"/>
        <v>-0.90845070422535223</v>
      </c>
      <c r="K28" s="37">
        <f t="shared" si="1"/>
        <v>-64.5</v>
      </c>
      <c r="L28" s="36">
        <f>VLOOKUP(A28,Data!A$2:BW$398,70,FALSE)</f>
        <v>290.99996699999974</v>
      </c>
      <c r="M28" s="36">
        <f>VLOOKUP(A28,Data!A$2:BW$398,71,FALSE)</f>
        <v>5.6786021099826529</v>
      </c>
      <c r="N28" s="37">
        <f t="shared" si="2"/>
        <v>285.32136489001709</v>
      </c>
      <c r="O28" s="37">
        <f t="shared" si="3"/>
        <v>5024.5000330000003</v>
      </c>
    </row>
    <row r="29" spans="1:15" x14ac:dyDescent="0.35">
      <c r="A29" s="3">
        <v>112407</v>
      </c>
      <c r="B29" s="3" t="s">
        <v>72</v>
      </c>
      <c r="C29" s="41" t="s">
        <v>349</v>
      </c>
      <c r="D29" s="30" t="s">
        <v>988</v>
      </c>
      <c r="E29" s="30" t="s">
        <v>985</v>
      </c>
      <c r="F29" s="30" t="s">
        <v>965</v>
      </c>
      <c r="G29" s="30" t="s">
        <v>982</v>
      </c>
      <c r="H29" s="38">
        <f>VLOOKUP(A29,Data!A$2:BW$398,66,FALSE)</f>
        <v>1.5</v>
      </c>
      <c r="I29" s="39">
        <f>VLOOKUP(A29,Data!A$2:BW$398,67,FALSE)</f>
        <v>12</v>
      </c>
      <c r="J29" s="37">
        <f t="shared" si="0"/>
        <v>-10.5</v>
      </c>
      <c r="K29" s="37">
        <f t="shared" si="1"/>
        <v>-87.5</v>
      </c>
      <c r="L29" s="36">
        <f>VLOOKUP(A29,Data!A$2:BW$398,70,FALSE)</f>
        <v>23.499999000000116</v>
      </c>
      <c r="M29" s="36">
        <f>VLOOKUP(A29,Data!A$2:BW$398,71,FALSE)</f>
        <v>1.2329485303080079</v>
      </c>
      <c r="N29" s="37">
        <f t="shared" si="2"/>
        <v>22.267050469692109</v>
      </c>
      <c r="O29" s="37">
        <f t="shared" si="3"/>
        <v>1806.0000009999999</v>
      </c>
    </row>
    <row r="30" spans="1:15" x14ac:dyDescent="0.35">
      <c r="A30" s="3">
        <v>168006</v>
      </c>
      <c r="B30" s="3" t="s">
        <v>72</v>
      </c>
      <c r="C30" s="41" t="s">
        <v>357</v>
      </c>
      <c r="D30" s="30" t="s">
        <v>980</v>
      </c>
      <c r="E30" s="30" t="s">
        <v>992</v>
      </c>
      <c r="F30" s="30" t="s">
        <v>965</v>
      </c>
      <c r="G30" s="30" t="s">
        <v>989</v>
      </c>
      <c r="H30" s="38">
        <f>VLOOKUP(A30,Data!A$2:BW$398,66,FALSE)</f>
        <v>-18.5</v>
      </c>
      <c r="I30" s="39">
        <f>VLOOKUP(A30,Data!A$2:BW$398,67,FALSE)</f>
        <v>-57.8125</v>
      </c>
      <c r="J30" s="37">
        <f t="shared" si="0"/>
        <v>39.3125</v>
      </c>
      <c r="K30" s="37">
        <f t="shared" si="1"/>
        <v>-68</v>
      </c>
      <c r="L30" s="36">
        <f>VLOOKUP(A30,Data!A$2:BW$398,70,FALSE)</f>
        <v>36</v>
      </c>
      <c r="M30" s="36">
        <f>VLOOKUP(A30,Data!A$2:BW$398,71,FALSE)</f>
        <v>6.0657118786857627</v>
      </c>
      <c r="N30" s="37">
        <f t="shared" si="2"/>
        <v>29.934288121314239</v>
      </c>
      <c r="O30" s="37">
        <f t="shared" si="3"/>
        <v>493.50000000000006</v>
      </c>
    </row>
    <row r="31" spans="1:15" x14ac:dyDescent="0.35">
      <c r="A31" s="3">
        <v>112439</v>
      </c>
      <c r="B31" s="3" t="s">
        <v>72</v>
      </c>
      <c r="C31" s="43" t="s">
        <v>354</v>
      </c>
      <c r="D31" s="30" t="s">
        <v>987</v>
      </c>
      <c r="E31" s="30" t="s">
        <v>981</v>
      </c>
      <c r="F31" s="30" t="s">
        <v>965</v>
      </c>
      <c r="G31" s="30" t="s">
        <v>990</v>
      </c>
      <c r="H31" s="38">
        <f>VLOOKUP(A31,Data!A$2:BW$398,66,FALSE)</f>
        <v>26</v>
      </c>
      <c r="I31" s="39">
        <f>VLOOKUP(A31,Data!A$2:BW$398,67,FALSE)</f>
        <v>10.276679841897234</v>
      </c>
      <c r="J31" s="37">
        <f t="shared" si="0"/>
        <v>15.723320158102766</v>
      </c>
      <c r="K31" s="37">
        <f t="shared" si="1"/>
        <v>152.99999999999997</v>
      </c>
      <c r="L31" s="36">
        <f>VLOOKUP(A31,Data!A$2:BW$398,70,FALSE)</f>
        <v>-9.5000079999999798</v>
      </c>
      <c r="M31" s="36">
        <f>VLOOKUP(A31,Data!A$2:BW$398,71,FALSE)</f>
        <v>-0.25665292393537065</v>
      </c>
      <c r="N31" s="37">
        <f t="shared" si="2"/>
        <v>-9.2433550760646099</v>
      </c>
      <c r="O31" s="37">
        <f t="shared" si="3"/>
        <v>3601.5000080000009</v>
      </c>
    </row>
    <row r="32" spans="1:15" x14ac:dyDescent="0.35">
      <c r="A32" s="3">
        <v>112448</v>
      </c>
      <c r="B32" s="3" t="s">
        <v>72</v>
      </c>
      <c r="C32" s="43" t="s">
        <v>301</v>
      </c>
      <c r="D32" s="30" t="s">
        <v>980</v>
      </c>
      <c r="E32" s="30" t="s">
        <v>985</v>
      </c>
      <c r="F32" s="30" t="s">
        <v>993</v>
      </c>
      <c r="G32" s="30" t="s">
        <v>982</v>
      </c>
      <c r="H32" s="38">
        <f>VLOOKUP(A32,Data!A$2:BW$398,66,FALSE)</f>
        <v>-3</v>
      </c>
      <c r="I32" s="39">
        <f>VLOOKUP(A32,Data!A$2:BW$398,67,FALSE)</f>
        <v>-4.4117647058823533</v>
      </c>
      <c r="J32" s="37">
        <f t="shared" si="0"/>
        <v>1.4117647058823533</v>
      </c>
      <c r="K32" s="37">
        <f t="shared" si="1"/>
        <v>-32.000000000000007</v>
      </c>
      <c r="L32" s="36">
        <f>VLOOKUP(A32,Data!A$2:BW$398,70,FALSE)</f>
        <v>215.49998499999992</v>
      </c>
      <c r="M32" s="36">
        <f>VLOOKUP(A32,Data!A$2:BW$398,71,FALSE)</f>
        <v>7.4105909177582969</v>
      </c>
      <c r="N32" s="37">
        <f t="shared" si="2"/>
        <v>208.08939408224163</v>
      </c>
      <c r="O32" s="37">
        <f t="shared" si="3"/>
        <v>2808.0000150000001</v>
      </c>
    </row>
    <row r="33" spans="1:15" ht="24.5" x14ac:dyDescent="0.35">
      <c r="A33" s="3">
        <v>128472</v>
      </c>
      <c r="B33" s="3" t="s">
        <v>72</v>
      </c>
      <c r="C33" s="43" t="s">
        <v>340</v>
      </c>
      <c r="D33" s="30" t="s">
        <v>987</v>
      </c>
      <c r="E33" s="30" t="s">
        <v>985</v>
      </c>
      <c r="F33" s="30" t="s">
        <v>963</v>
      </c>
      <c r="G33" s="30" t="s">
        <v>982</v>
      </c>
      <c r="H33" s="38">
        <f>VLOOKUP(A33,Data!A$2:BW$398,66,FALSE)</f>
        <v>0</v>
      </c>
      <c r="I33" s="39">
        <f>VLOOKUP(A33,Data!A$2:BW$398,67,FALSE)</f>
        <v>0</v>
      </c>
      <c r="J33" s="37">
        <f t="shared" si="0"/>
        <v>0</v>
      </c>
      <c r="K33" s="37" t="e">
        <f t="shared" si="1"/>
        <v>#DIV/0!</v>
      </c>
      <c r="L33" s="36">
        <f>VLOOKUP(A33,Data!A$2:BW$398,70,FALSE)</f>
        <v>92.5</v>
      </c>
      <c r="M33" s="36">
        <f>VLOOKUP(A33,Data!A$2:BW$398,71,FALSE)</f>
        <v>2.488231338264963</v>
      </c>
      <c r="N33" s="37">
        <f t="shared" si="2"/>
        <v>90.011768661735033</v>
      </c>
      <c r="O33" s="37">
        <f t="shared" si="3"/>
        <v>3617.4999999999995</v>
      </c>
    </row>
    <row r="34" spans="1:15" x14ac:dyDescent="0.35">
      <c r="A34" s="3">
        <v>151186</v>
      </c>
      <c r="B34" s="3" t="s">
        <v>72</v>
      </c>
      <c r="C34" s="41" t="s">
        <v>378</v>
      </c>
      <c r="D34" s="30" t="s">
        <v>980</v>
      </c>
      <c r="E34" s="30" t="s">
        <v>992</v>
      </c>
      <c r="F34" s="30" t="s">
        <v>965</v>
      </c>
      <c r="G34" s="30" t="s">
        <v>989</v>
      </c>
      <c r="H34" s="38">
        <f>VLOOKUP(A34,Data!A$2:BW$398,66,FALSE)</f>
        <v>-16</v>
      </c>
      <c r="I34" s="39">
        <f>VLOOKUP(A34,Data!A$2:BW$398,67,FALSE)</f>
        <v>-61.53846153846154</v>
      </c>
      <c r="J34" s="37">
        <f t="shared" si="0"/>
        <v>45.53846153846154</v>
      </c>
      <c r="K34" s="37">
        <f t="shared" si="1"/>
        <v>-74</v>
      </c>
      <c r="L34" s="36">
        <f>VLOOKUP(A34,Data!A$2:BW$398,70,FALSE)</f>
        <v>-100.5</v>
      </c>
      <c r="M34" s="36">
        <f>VLOOKUP(A34,Data!A$2:BW$398,71,FALSE)</f>
        <v>-13.701431492842536</v>
      </c>
      <c r="N34" s="37">
        <f t="shared" si="2"/>
        <v>-86.798568507157469</v>
      </c>
      <c r="O34" s="37">
        <f t="shared" si="3"/>
        <v>633.5</v>
      </c>
    </row>
    <row r="35" spans="1:15" x14ac:dyDescent="0.35">
      <c r="A35" s="3">
        <v>112446</v>
      </c>
      <c r="B35" s="3" t="s">
        <v>72</v>
      </c>
      <c r="C35" s="43" t="s">
        <v>362</v>
      </c>
      <c r="D35" s="30" t="s">
        <v>988</v>
      </c>
      <c r="E35" s="30" t="s">
        <v>985</v>
      </c>
      <c r="F35" s="30" t="s">
        <v>965</v>
      </c>
      <c r="G35" s="30" t="s">
        <v>982</v>
      </c>
      <c r="H35" s="38">
        <f>VLOOKUP(A35,Data!A$2:BW$398,66,FALSE)</f>
        <v>-12</v>
      </c>
      <c r="I35" s="39">
        <f>VLOOKUP(A35,Data!A$2:BW$398,67,FALSE)</f>
        <v>-30</v>
      </c>
      <c r="J35" s="37">
        <f t="shared" si="0"/>
        <v>18</v>
      </c>
      <c r="K35" s="37">
        <f t="shared" si="1"/>
        <v>-60</v>
      </c>
      <c r="L35" s="36">
        <f>VLOOKUP(A35,Data!A$2:BW$398,70,FALSE)</f>
        <v>-58.5</v>
      </c>
      <c r="M35" s="36">
        <f>VLOOKUP(A35,Data!A$2:BW$398,71,FALSE)</f>
        <v>-1.935483870967742</v>
      </c>
      <c r="N35" s="37">
        <f t="shared" si="2"/>
        <v>-56.564516129032256</v>
      </c>
      <c r="O35" s="37">
        <f t="shared" si="3"/>
        <v>2922.5</v>
      </c>
    </row>
    <row r="36" spans="1:15" x14ac:dyDescent="0.35">
      <c r="A36" s="3">
        <v>131712</v>
      </c>
      <c r="B36" s="3" t="s">
        <v>72</v>
      </c>
      <c r="C36" s="43" t="s">
        <v>311</v>
      </c>
      <c r="D36" s="30" t="s">
        <v>980</v>
      </c>
      <c r="E36" s="30" t="s">
        <v>981</v>
      </c>
      <c r="F36" s="30" t="s">
        <v>965</v>
      </c>
      <c r="G36" s="30" t="s">
        <v>994</v>
      </c>
      <c r="H36" s="38">
        <f>VLOOKUP(A36,Data!A$2:BW$398,66,FALSE)</f>
        <v>-0.5</v>
      </c>
      <c r="I36" s="39">
        <f>VLOOKUP(A36,Data!A$2:BW$398,67,FALSE)</f>
        <v>-0.46296296296296291</v>
      </c>
      <c r="J36" s="37">
        <f t="shared" si="0"/>
        <v>-3.703703703703709E-2</v>
      </c>
      <c r="K36" s="37">
        <f t="shared" si="1"/>
        <v>8.0000000000000124</v>
      </c>
      <c r="L36" s="36">
        <f>VLOOKUP(A36,Data!A$2:BW$398,70,FALSE)</f>
        <v>-30.5</v>
      </c>
      <c r="M36" s="36">
        <f>VLOOKUP(A36,Data!A$2:BW$398,71,FALSE)</f>
        <v>-1.8569254185692541</v>
      </c>
      <c r="N36" s="37">
        <f t="shared" si="2"/>
        <v>-28.643074581430746</v>
      </c>
      <c r="O36" s="37">
        <f t="shared" si="3"/>
        <v>1542.5</v>
      </c>
    </row>
    <row r="37" spans="1:15" ht="24.5" x14ac:dyDescent="0.35">
      <c r="A37" s="3">
        <v>244099</v>
      </c>
      <c r="B37" s="3" t="s">
        <v>72</v>
      </c>
      <c r="C37" s="43" t="s">
        <v>335</v>
      </c>
      <c r="D37" s="30" t="s">
        <v>988</v>
      </c>
      <c r="E37" s="30" t="s">
        <v>985</v>
      </c>
      <c r="F37" s="30" t="s">
        <v>965</v>
      </c>
      <c r="G37" s="30" t="s">
        <v>982</v>
      </c>
      <c r="H37" s="38">
        <f>VLOOKUP(A37,Data!A$2:BW$398,66,FALSE)</f>
        <v>-1</v>
      </c>
      <c r="I37" s="39">
        <f>VLOOKUP(A37,Data!A$2:BW$398,67,FALSE)</f>
        <v>-1.8181818181818181</v>
      </c>
      <c r="J37" s="37">
        <f t="shared" si="0"/>
        <v>0.81818181818181812</v>
      </c>
      <c r="K37" s="37">
        <f t="shared" si="1"/>
        <v>-44.999999999999993</v>
      </c>
      <c r="L37" s="36">
        <f>VLOOKUP(A37,Data!A$2:BW$398,70,FALSE)</f>
        <v>-27</v>
      </c>
      <c r="M37" s="36">
        <f>VLOOKUP(A37,Data!A$2:BW$398,71,FALSE)</f>
        <v>-0.53438891637803076</v>
      </c>
      <c r="N37" s="37">
        <f t="shared" si="2"/>
        <v>-26.465611083621969</v>
      </c>
      <c r="O37" s="37">
        <f t="shared" si="3"/>
        <v>4952.4999999999991</v>
      </c>
    </row>
    <row r="38" spans="1:15" x14ac:dyDescent="0.35">
      <c r="A38" s="3">
        <v>112461</v>
      </c>
      <c r="B38" s="3" t="s">
        <v>72</v>
      </c>
      <c r="C38" s="43" t="s">
        <v>364</v>
      </c>
      <c r="D38" s="30" t="s">
        <v>980</v>
      </c>
      <c r="E38" s="30" t="s">
        <v>981</v>
      </c>
      <c r="F38" s="30" t="s">
        <v>965</v>
      </c>
      <c r="G38" s="30" t="s">
        <v>995</v>
      </c>
      <c r="H38" s="38">
        <f>VLOOKUP(A38,Data!A$2:BW$398,66,FALSE)</f>
        <v>-14</v>
      </c>
      <c r="I38" s="39">
        <f>VLOOKUP(A38,Data!A$2:BW$398,67,FALSE)</f>
        <v>-3.8781163434903045</v>
      </c>
      <c r="J38" s="37">
        <f t="shared" si="0"/>
        <v>-10.121883656509695</v>
      </c>
      <c r="K38" s="37">
        <f t="shared" si="1"/>
        <v>261</v>
      </c>
      <c r="L38" s="36">
        <f>VLOOKUP(A38,Data!A$2:BW$398,70,FALSE)</f>
        <v>-258.00001099999963</v>
      </c>
      <c r="M38" s="36">
        <f>VLOOKUP(A38,Data!A$2:BW$398,71,FALSE)</f>
        <v>-6.6580647810996778</v>
      </c>
      <c r="N38" s="37">
        <f t="shared" si="2"/>
        <v>-251.34194621889995</v>
      </c>
      <c r="O38" s="37">
        <f t="shared" si="3"/>
        <v>3775.0000109999996</v>
      </c>
    </row>
    <row r="39" spans="1:15" x14ac:dyDescent="0.35">
      <c r="A39" s="3">
        <v>112442</v>
      </c>
      <c r="B39" s="3" t="s">
        <v>72</v>
      </c>
      <c r="C39" s="43" t="s">
        <v>374</v>
      </c>
      <c r="D39" s="30" t="s">
        <v>980</v>
      </c>
      <c r="E39" s="30" t="s">
        <v>981</v>
      </c>
      <c r="F39" s="30" t="s">
        <v>963</v>
      </c>
      <c r="G39" s="30" t="s">
        <v>983</v>
      </c>
      <c r="H39" s="38">
        <f>VLOOKUP(A39,Data!A$2:BW$398,66,FALSE)</f>
        <v>129.5</v>
      </c>
      <c r="I39" s="39">
        <f>VLOOKUP(A39,Data!A$2:BW$398,67,FALSE)</f>
        <v>14.816933638443935</v>
      </c>
      <c r="J39" s="37">
        <f t="shared" si="0"/>
        <v>114.68306636155606</v>
      </c>
      <c r="K39" s="37">
        <f t="shared" si="1"/>
        <v>774</v>
      </c>
      <c r="L39" s="36">
        <f>VLOOKUP(A39,Data!A$2:BW$398,70,FALSE)</f>
        <v>-288</v>
      </c>
      <c r="M39" s="36">
        <f>VLOOKUP(A39,Data!A$2:BW$398,71,FALSE)</f>
        <v>-8.4063047285464094</v>
      </c>
      <c r="N39" s="37">
        <f t="shared" si="2"/>
        <v>-279.59369527145361</v>
      </c>
      <c r="O39" s="37">
        <f t="shared" si="3"/>
        <v>3326.0000000000005</v>
      </c>
    </row>
    <row r="40" spans="1:15" x14ac:dyDescent="0.35">
      <c r="A40" s="3">
        <v>167171</v>
      </c>
      <c r="B40" s="3" t="s">
        <v>72</v>
      </c>
      <c r="C40" s="42" t="s">
        <v>333</v>
      </c>
      <c r="D40" s="30" t="s">
        <v>980</v>
      </c>
      <c r="E40" s="30" t="s">
        <v>981</v>
      </c>
      <c r="F40" s="30" t="s">
        <v>963</v>
      </c>
      <c r="G40" s="30" t="s">
        <v>990</v>
      </c>
      <c r="H40" s="38">
        <f>VLOOKUP(A40,Data!A$2:BW$398,66,FALSE)</f>
        <v>0.5</v>
      </c>
      <c r="I40" s="39">
        <f>VLOOKUP(A40,Data!A$2:BW$398,67,FALSE)</f>
        <v>1.4492753623188406</v>
      </c>
      <c r="J40" s="37">
        <f t="shared" si="0"/>
        <v>-0.94927536231884058</v>
      </c>
      <c r="K40" s="37">
        <f t="shared" si="1"/>
        <v>-65.5</v>
      </c>
      <c r="L40" s="36">
        <f>VLOOKUP(A40,Data!A$2:BW$398,70,FALSE)</f>
        <v>1.5</v>
      </c>
      <c r="M40" s="36">
        <f>VLOOKUP(A40,Data!A$2:BW$398,71,FALSE)</f>
        <v>0.13280212483399734</v>
      </c>
      <c r="N40" s="37">
        <f t="shared" si="2"/>
        <v>1.3671978751660028</v>
      </c>
      <c r="O40" s="37">
        <f t="shared" si="3"/>
        <v>1029.5000000000002</v>
      </c>
    </row>
    <row r="41" spans="1:15" x14ac:dyDescent="0.35">
      <c r="A41" s="3">
        <v>127090</v>
      </c>
      <c r="B41" s="3" t="s">
        <v>72</v>
      </c>
      <c r="C41" s="43" t="s">
        <v>316</v>
      </c>
      <c r="D41" s="30" t="s">
        <v>980</v>
      </c>
      <c r="E41" s="30" t="s">
        <v>985</v>
      </c>
      <c r="F41" s="30" t="s">
        <v>965</v>
      </c>
      <c r="G41" s="30" t="s">
        <v>982</v>
      </c>
      <c r="H41" s="38">
        <f>VLOOKUP(A41,Data!A$2:BW$398,66,FALSE)</f>
        <v>-5</v>
      </c>
      <c r="I41" s="39">
        <f>VLOOKUP(A41,Data!A$2:BW$398,67,FALSE)</f>
        <v>-5.8823529411764701</v>
      </c>
      <c r="J41" s="37">
        <f t="shared" si="0"/>
        <v>0.88235294117647012</v>
      </c>
      <c r="K41" s="37">
        <f t="shared" si="1"/>
        <v>-14.999999999999995</v>
      </c>
      <c r="L41" s="36">
        <f>VLOOKUP(A41,Data!A$2:BW$398,70,FALSE)</f>
        <v>119.5</v>
      </c>
      <c r="M41" s="36">
        <f>VLOOKUP(A41,Data!A$2:BW$398,71,FALSE)</f>
        <v>2.1204862035311862</v>
      </c>
      <c r="N41" s="37">
        <f t="shared" si="2"/>
        <v>117.37951379646881</v>
      </c>
      <c r="O41" s="37">
        <f t="shared" si="3"/>
        <v>5535.5</v>
      </c>
    </row>
    <row r="42" spans="1:15" x14ac:dyDescent="0.35">
      <c r="H42" s="38"/>
      <c r="I42" s="39"/>
      <c r="J42" s="37"/>
      <c r="K42" s="37"/>
      <c r="L42" s="36" t="e">
        <f>VLOOKUP(B42,Data!A$2:BW$398,70,FALSE)</f>
        <v>#N/A</v>
      </c>
      <c r="M42" s="36" t="e">
        <f>VLOOKUP(B42,Data!A$2:BW$398,71,FALSE)</f>
        <v>#N/A</v>
      </c>
      <c r="N42" s="37" t="e">
        <f t="shared" si="2"/>
        <v>#N/A</v>
      </c>
      <c r="O42" s="37" t="e">
        <f t="shared" si="3"/>
        <v>#N/A</v>
      </c>
    </row>
    <row r="43" spans="1:15" x14ac:dyDescent="0.35">
      <c r="H43" s="38"/>
      <c r="I43" s="39"/>
      <c r="J43" s="37"/>
      <c r="K43" s="37"/>
      <c r="L43" s="36" t="e">
        <f>VLOOKUP(B43,Data!A$2:BW$398,70,FALSE)</f>
        <v>#N/A</v>
      </c>
      <c r="M43" s="36" t="e">
        <f>VLOOKUP(B43,Data!A$2:BW$398,71,FALSE)</f>
        <v>#N/A</v>
      </c>
      <c r="N43" s="37" t="e">
        <f t="shared" si="2"/>
        <v>#N/A</v>
      </c>
      <c r="O43" s="37" t="e">
        <f t="shared" si="3"/>
        <v>#N/A</v>
      </c>
    </row>
    <row r="44" spans="1:15" x14ac:dyDescent="0.35">
      <c r="H44" s="38"/>
      <c r="I44" s="39"/>
      <c r="J44" s="37"/>
      <c r="K44" s="37"/>
      <c r="L44" s="36" t="e">
        <f>VLOOKUP(B44,Data!A$2:BW$398,70,FALSE)</f>
        <v>#N/A</v>
      </c>
      <c r="M44" s="36" t="e">
        <f>VLOOKUP(B44,Data!A$2:BW$398,71,FALSE)</f>
        <v>#N/A</v>
      </c>
      <c r="N44" s="37" t="e">
        <f t="shared" si="2"/>
        <v>#N/A</v>
      </c>
      <c r="O44" s="37" t="e">
        <f t="shared" si="3"/>
        <v>#N/A</v>
      </c>
    </row>
    <row r="45" spans="1:15" x14ac:dyDescent="0.35">
      <c r="H45" s="38"/>
      <c r="I45" s="39"/>
      <c r="J45" s="37"/>
      <c r="K45" s="37"/>
      <c r="L45" s="36" t="e">
        <f>VLOOKUP(B45,Data!A$2:BW$398,70,FALSE)</f>
        <v>#N/A</v>
      </c>
      <c r="M45" s="36" t="e">
        <f>VLOOKUP(B45,Data!A$2:BW$398,71,FALSE)</f>
        <v>#N/A</v>
      </c>
      <c r="N45" s="37" t="e">
        <f t="shared" si="2"/>
        <v>#N/A</v>
      </c>
      <c r="O45" s="37" t="e">
        <f t="shared" si="3"/>
        <v>#N/A</v>
      </c>
    </row>
    <row r="46" spans="1:15" x14ac:dyDescent="0.35">
      <c r="H46" s="38"/>
      <c r="I46" s="39"/>
      <c r="J46" s="37"/>
      <c r="K46" s="37"/>
      <c r="L46" s="36" t="e">
        <f>VLOOKUP(B46,Data!A$2:BW$398,70,FALSE)</f>
        <v>#N/A</v>
      </c>
      <c r="M46" s="36" t="e">
        <f>VLOOKUP(B46,Data!A$2:BW$398,71,FALSE)</f>
        <v>#N/A</v>
      </c>
      <c r="N46" s="37" t="e">
        <f t="shared" si="2"/>
        <v>#N/A</v>
      </c>
      <c r="O46" s="37" t="e">
        <f t="shared" si="3"/>
        <v>#N/A</v>
      </c>
    </row>
    <row r="47" spans="1:15" x14ac:dyDescent="0.35">
      <c r="H47" s="38"/>
      <c r="I47" s="39"/>
      <c r="J47" s="37"/>
      <c r="K47" s="37"/>
      <c r="L47" s="36" t="e">
        <f>VLOOKUP(A47,Data!A$2:BW$398,70,FALSE)</f>
        <v>#N/A</v>
      </c>
      <c r="M47" s="36" t="e">
        <f>VLOOKUP(A47,Data!A$2:BW$398,71,FALSE)</f>
        <v>#N/A</v>
      </c>
      <c r="N47" s="37" t="e">
        <f t="shared" si="2"/>
        <v>#N/A</v>
      </c>
      <c r="O47" s="37" t="e">
        <f t="shared" si="3"/>
        <v>#N/A</v>
      </c>
    </row>
    <row r="48" spans="1:15" x14ac:dyDescent="0.35">
      <c r="A48" s="52" t="s">
        <v>996</v>
      </c>
      <c r="B48" t="s">
        <v>997</v>
      </c>
      <c r="H48" s="38"/>
      <c r="I48" s="39"/>
      <c r="J48" s="37"/>
      <c r="K48" s="37"/>
      <c r="L48" s="36" t="e">
        <f>VLOOKUP(A48,Data!A$2:BW$398,70,FALSE)</f>
        <v>#N/A</v>
      </c>
      <c r="M48" s="36" t="e">
        <f>VLOOKUP(A48,Data!A$2:BW$398,71,FALSE)</f>
        <v>#N/A</v>
      </c>
      <c r="N48" s="37" t="e">
        <f t="shared" si="2"/>
        <v>#N/A</v>
      </c>
      <c r="O48" s="37" t="e">
        <f t="shared" si="3"/>
        <v>#N/A</v>
      </c>
    </row>
    <row r="49" spans="1:15" x14ac:dyDescent="0.35">
      <c r="A49" s="53" t="s">
        <v>980</v>
      </c>
      <c r="B49">
        <v>28</v>
      </c>
      <c r="H49" s="38"/>
      <c r="I49" s="39"/>
      <c r="J49" s="37"/>
      <c r="K49" s="37"/>
      <c r="L49" s="36" t="e">
        <f>VLOOKUP(A49,Data!A$2:BW$398,70,FALSE)</f>
        <v>#N/A</v>
      </c>
      <c r="M49" s="36" t="e">
        <f>VLOOKUP(A49,Data!A$2:BW$398,71,FALSE)</f>
        <v>#N/A</v>
      </c>
      <c r="N49" s="37" t="e">
        <f t="shared" si="2"/>
        <v>#N/A</v>
      </c>
      <c r="O49" s="37" t="e">
        <f t="shared" si="3"/>
        <v>#N/A</v>
      </c>
    </row>
    <row r="50" spans="1:15" x14ac:dyDescent="0.35">
      <c r="A50" s="53" t="s">
        <v>987</v>
      </c>
      <c r="B50">
        <v>5</v>
      </c>
      <c r="H50" s="38"/>
      <c r="I50" s="39"/>
      <c r="J50" s="37"/>
      <c r="K50" s="37"/>
      <c r="L50" s="36" t="e">
        <f>VLOOKUP(A50,Data!A$2:BW$398,70,FALSE)</f>
        <v>#N/A</v>
      </c>
      <c r="M50" s="36" t="e">
        <f>VLOOKUP(A50,Data!A$2:BW$398,71,FALSE)</f>
        <v>#N/A</v>
      </c>
      <c r="N50" s="37" t="e">
        <f t="shared" si="2"/>
        <v>#N/A</v>
      </c>
      <c r="O50" s="37" t="e">
        <f t="shared" si="3"/>
        <v>#N/A</v>
      </c>
    </row>
    <row r="51" spans="1:15" x14ac:dyDescent="0.35">
      <c r="A51" s="53" t="s">
        <v>988</v>
      </c>
      <c r="B51">
        <v>7</v>
      </c>
      <c r="H51" s="38"/>
      <c r="I51" s="39"/>
      <c r="J51" s="37"/>
      <c r="K51" s="37"/>
      <c r="L51" s="36" t="e">
        <f>VLOOKUP(A51,Data!A$2:BW$398,70,FALSE)</f>
        <v>#N/A</v>
      </c>
      <c r="M51" s="36" t="e">
        <f>VLOOKUP(A51,Data!A$2:BW$398,71,FALSE)</f>
        <v>#N/A</v>
      </c>
      <c r="N51" s="37" t="e">
        <f t="shared" si="2"/>
        <v>#N/A</v>
      </c>
      <c r="O51" s="37" t="e">
        <f t="shared" si="3"/>
        <v>#N/A</v>
      </c>
    </row>
    <row r="52" spans="1:15" x14ac:dyDescent="0.35">
      <c r="A52" s="53" t="s">
        <v>998</v>
      </c>
      <c r="B52">
        <v>40</v>
      </c>
      <c r="H52" s="38"/>
      <c r="I52" s="39"/>
      <c r="J52" s="37"/>
      <c r="K52" s="37"/>
      <c r="L52" s="36" t="e">
        <f>VLOOKUP(A52,Data!A$2:BW$398,70,FALSE)</f>
        <v>#N/A</v>
      </c>
      <c r="M52" s="36" t="e">
        <f>VLOOKUP(A52,Data!A$2:BW$398,71,FALSE)</f>
        <v>#N/A</v>
      </c>
      <c r="N52" s="37" t="e">
        <f t="shared" si="2"/>
        <v>#N/A</v>
      </c>
      <c r="O52" s="37" t="e">
        <f t="shared" si="3"/>
        <v>#N/A</v>
      </c>
    </row>
    <row r="53" spans="1:15" x14ac:dyDescent="0.35">
      <c r="H53" s="38"/>
      <c r="I53" s="39"/>
      <c r="J53" s="37"/>
      <c r="K53" s="37"/>
      <c r="L53" s="36" t="e">
        <f>VLOOKUP(A53,Data!A$2:BW$398,70,FALSE)</f>
        <v>#N/A</v>
      </c>
      <c r="M53" s="36" t="e">
        <f>VLOOKUP(A53,Data!A$2:BW$398,71,FALSE)</f>
        <v>#N/A</v>
      </c>
      <c r="N53" s="37" t="e">
        <f t="shared" si="2"/>
        <v>#N/A</v>
      </c>
      <c r="O53" s="37" t="e">
        <f t="shared" si="3"/>
        <v>#N/A</v>
      </c>
    </row>
    <row r="54" spans="1:15" x14ac:dyDescent="0.35">
      <c r="H54" s="38"/>
      <c r="I54" s="39"/>
      <c r="J54" s="37"/>
      <c r="K54" s="37"/>
      <c r="L54" s="36" t="e">
        <f>VLOOKUP(A54,Data!A$2:BW$398,70,FALSE)</f>
        <v>#N/A</v>
      </c>
      <c r="M54" s="36" t="e">
        <f>VLOOKUP(A54,Data!A$2:BW$398,71,FALSE)</f>
        <v>#N/A</v>
      </c>
      <c r="N54" s="37" t="e">
        <f t="shared" si="2"/>
        <v>#N/A</v>
      </c>
      <c r="O54" s="37" t="e">
        <f t="shared" si="3"/>
        <v>#N/A</v>
      </c>
    </row>
    <row r="55" spans="1:15" x14ac:dyDescent="0.35">
      <c r="A55" s="52" t="s">
        <v>999</v>
      </c>
      <c r="B55" t="s">
        <v>997</v>
      </c>
      <c r="H55" s="38"/>
      <c r="I55" s="39"/>
      <c r="J55" s="37"/>
      <c r="K55" s="37"/>
      <c r="L55" s="36" t="e">
        <f>VLOOKUP(A55,Data!A$2:BW$398,70,FALSE)</f>
        <v>#N/A</v>
      </c>
      <c r="M55" s="36" t="e">
        <f>VLOOKUP(A55,Data!A$2:BW$398,71,FALSE)</f>
        <v>#N/A</v>
      </c>
      <c r="N55" s="37" t="e">
        <f t="shared" si="2"/>
        <v>#N/A</v>
      </c>
      <c r="O55" s="37" t="e">
        <f t="shared" si="3"/>
        <v>#N/A</v>
      </c>
    </row>
    <row r="56" spans="1:15" x14ac:dyDescent="0.35">
      <c r="A56" s="53" t="s">
        <v>985</v>
      </c>
      <c r="B56">
        <v>19</v>
      </c>
      <c r="H56" s="38"/>
      <c r="I56" s="39"/>
      <c r="J56" s="37"/>
      <c r="K56" s="37"/>
      <c r="L56" s="36" t="e">
        <f>VLOOKUP(A56,Data!A$2:BW$398,70,FALSE)</f>
        <v>#N/A</v>
      </c>
      <c r="M56" s="36" t="e">
        <f>VLOOKUP(A56,Data!A$2:BW$398,71,FALSE)</f>
        <v>#N/A</v>
      </c>
      <c r="N56" s="37" t="e">
        <f t="shared" si="2"/>
        <v>#N/A</v>
      </c>
      <c r="O56" s="37" t="e">
        <f t="shared" si="3"/>
        <v>#N/A</v>
      </c>
    </row>
    <row r="57" spans="1:15" x14ac:dyDescent="0.35">
      <c r="A57" s="53" t="s">
        <v>981</v>
      </c>
      <c r="B57">
        <v>18</v>
      </c>
      <c r="H57" s="38"/>
      <c r="I57" s="39"/>
      <c r="J57" s="37"/>
      <c r="K57" s="37"/>
      <c r="L57" s="36" t="e">
        <f>VLOOKUP(A57,Data!A$2:BW$398,70,FALSE)</f>
        <v>#N/A</v>
      </c>
      <c r="M57" s="36" t="e">
        <f>VLOOKUP(A57,Data!A$2:BW$398,71,FALSE)</f>
        <v>#N/A</v>
      </c>
      <c r="N57" s="37" t="e">
        <f t="shared" si="2"/>
        <v>#N/A</v>
      </c>
      <c r="O57" s="37" t="e">
        <f t="shared" si="3"/>
        <v>#N/A</v>
      </c>
    </row>
    <row r="58" spans="1:15" x14ac:dyDescent="0.35">
      <c r="A58" s="53" t="s">
        <v>992</v>
      </c>
      <c r="B58">
        <v>3</v>
      </c>
      <c r="H58" s="38"/>
      <c r="I58" s="39"/>
      <c r="J58" s="37"/>
      <c r="K58" s="37"/>
      <c r="L58" s="36" t="e">
        <f>VLOOKUP(A58,Data!A$2:BW$398,70,FALSE)</f>
        <v>#N/A</v>
      </c>
      <c r="M58" s="36" t="e">
        <f>VLOOKUP(A58,Data!A$2:BW$398,71,FALSE)</f>
        <v>#N/A</v>
      </c>
      <c r="N58" s="37" t="e">
        <f t="shared" si="2"/>
        <v>#N/A</v>
      </c>
      <c r="O58" s="37" t="e">
        <f t="shared" si="3"/>
        <v>#N/A</v>
      </c>
    </row>
    <row r="59" spans="1:15" x14ac:dyDescent="0.35">
      <c r="A59" s="53" t="s">
        <v>998</v>
      </c>
      <c r="B59">
        <v>40</v>
      </c>
      <c r="H59" s="38"/>
      <c r="I59" s="39"/>
      <c r="J59" s="37"/>
      <c r="K59" s="37"/>
      <c r="L59" s="36" t="e">
        <f>VLOOKUP(A59,Data!A$2:BW$398,70,FALSE)</f>
        <v>#N/A</v>
      </c>
      <c r="M59" s="36" t="e">
        <f>VLOOKUP(A59,Data!A$2:BW$398,71,FALSE)</f>
        <v>#N/A</v>
      </c>
      <c r="N59" s="37" t="e">
        <f t="shared" si="2"/>
        <v>#N/A</v>
      </c>
      <c r="O59" s="37" t="e">
        <f t="shared" si="3"/>
        <v>#N/A</v>
      </c>
    </row>
    <row r="60" spans="1:15" x14ac:dyDescent="0.35">
      <c r="H60" s="38"/>
      <c r="I60" s="39"/>
      <c r="J60" s="37"/>
      <c r="K60" s="37"/>
      <c r="L60" s="36" t="e">
        <f>VLOOKUP(A60,Data!A$2:BW$398,70,FALSE)</f>
        <v>#N/A</v>
      </c>
      <c r="M60" s="36" t="e">
        <f>VLOOKUP(A60,Data!A$2:BW$398,71,FALSE)</f>
        <v>#N/A</v>
      </c>
      <c r="N60" s="37" t="e">
        <f t="shared" si="2"/>
        <v>#N/A</v>
      </c>
      <c r="O60" s="37" t="e">
        <f t="shared" si="3"/>
        <v>#N/A</v>
      </c>
    </row>
    <row r="61" spans="1:15" x14ac:dyDescent="0.35">
      <c r="H61" s="38"/>
      <c r="I61" s="39"/>
      <c r="J61" s="37"/>
      <c r="K61" s="37"/>
      <c r="L61" s="36" t="e">
        <f>VLOOKUP(A61,Data!A$2:BW$398,70,FALSE)</f>
        <v>#N/A</v>
      </c>
      <c r="M61" s="36" t="e">
        <f>VLOOKUP(A61,Data!A$2:BW$398,71,FALSE)</f>
        <v>#N/A</v>
      </c>
      <c r="N61" s="37" t="e">
        <f t="shared" si="2"/>
        <v>#N/A</v>
      </c>
      <c r="O61" s="37" t="e">
        <f t="shared" si="3"/>
        <v>#N/A</v>
      </c>
    </row>
    <row r="62" spans="1:15" x14ac:dyDescent="0.35">
      <c r="A62" s="54" t="s">
        <v>1000</v>
      </c>
      <c r="B62" s="54" t="s">
        <v>1001</v>
      </c>
      <c r="H62" s="38"/>
      <c r="I62" s="39"/>
      <c r="J62" s="37"/>
      <c r="K62" s="37"/>
      <c r="L62" s="36" t="e">
        <f>VLOOKUP(A62,Data!A$2:BW$398,70,FALSE)</f>
        <v>#N/A</v>
      </c>
      <c r="M62" s="36" t="e">
        <f>VLOOKUP(A62,Data!A$2:BW$398,71,FALSE)</f>
        <v>#N/A</v>
      </c>
      <c r="N62" s="37" t="e">
        <f t="shared" si="2"/>
        <v>#N/A</v>
      </c>
      <c r="O62" s="37" t="e">
        <f t="shared" si="3"/>
        <v>#N/A</v>
      </c>
    </row>
    <row r="63" spans="1:15" x14ac:dyDescent="0.35">
      <c r="A63" s="55" t="s">
        <v>984</v>
      </c>
      <c r="B63" s="54">
        <v>1</v>
      </c>
      <c r="H63" s="38"/>
      <c r="I63" s="39"/>
      <c r="J63" s="37"/>
      <c r="K63" s="37"/>
      <c r="L63" s="36" t="e">
        <f>VLOOKUP(A63,Data!A$2:BW$398,70,FALSE)</f>
        <v>#N/A</v>
      </c>
      <c r="M63" s="36" t="e">
        <f>VLOOKUP(A63,Data!A$2:BW$398,71,FALSE)</f>
        <v>#N/A</v>
      </c>
      <c r="N63" s="37" t="e">
        <f t="shared" si="2"/>
        <v>#N/A</v>
      </c>
      <c r="O63" s="37" t="e">
        <f t="shared" si="3"/>
        <v>#N/A</v>
      </c>
    </row>
    <row r="64" spans="1:15" x14ac:dyDescent="0.35">
      <c r="A64" s="55" t="s">
        <v>982</v>
      </c>
      <c r="B64" s="54">
        <v>24</v>
      </c>
      <c r="H64" s="38"/>
      <c r="I64" s="39"/>
      <c r="J64" s="37"/>
      <c r="K64" s="37"/>
      <c r="L64" s="36" t="e">
        <f>VLOOKUP(A64,Data!A$2:BW$398,70,FALSE)</f>
        <v>#N/A</v>
      </c>
      <c r="M64" s="36" t="e">
        <f>VLOOKUP(A64,Data!A$2:BW$398,71,FALSE)</f>
        <v>#N/A</v>
      </c>
      <c r="N64" s="37" t="e">
        <f t="shared" si="2"/>
        <v>#N/A</v>
      </c>
      <c r="O64" s="37" t="e">
        <f t="shared" si="3"/>
        <v>#N/A</v>
      </c>
    </row>
    <row r="65" spans="1:15" x14ac:dyDescent="0.35">
      <c r="A65" s="55" t="s">
        <v>994</v>
      </c>
      <c r="B65" s="54">
        <v>1</v>
      </c>
      <c r="H65" s="38"/>
      <c r="I65" s="39"/>
      <c r="J65" s="37"/>
      <c r="K65" s="37"/>
      <c r="L65" s="36" t="e">
        <f>VLOOKUP(A65,Data!A$2:BW$398,70,FALSE)</f>
        <v>#N/A</v>
      </c>
      <c r="M65" s="36" t="e">
        <f>VLOOKUP(A65,Data!A$2:BW$398,71,FALSE)</f>
        <v>#N/A</v>
      </c>
      <c r="N65" s="37" t="e">
        <f t="shared" si="2"/>
        <v>#N/A</v>
      </c>
      <c r="O65" s="37" t="e">
        <f t="shared" si="3"/>
        <v>#N/A</v>
      </c>
    </row>
    <row r="66" spans="1:15" x14ac:dyDescent="0.35">
      <c r="A66" s="55" t="s">
        <v>986</v>
      </c>
      <c r="B66" s="54">
        <v>1</v>
      </c>
      <c r="H66" s="38"/>
      <c r="I66" s="39"/>
      <c r="J66" s="37"/>
      <c r="K66" s="37"/>
      <c r="L66" s="36" t="e">
        <f>VLOOKUP(A66,Data!A$2:BW$398,70,FALSE)</f>
        <v>#N/A</v>
      </c>
      <c r="M66" s="36" t="e">
        <f>VLOOKUP(A66,Data!A$2:BW$398,71,FALSE)</f>
        <v>#N/A</v>
      </c>
      <c r="N66" s="37" t="e">
        <f t="shared" si="2"/>
        <v>#N/A</v>
      </c>
      <c r="O66" s="37" t="e">
        <f t="shared" si="3"/>
        <v>#N/A</v>
      </c>
    </row>
    <row r="67" spans="1:15" x14ac:dyDescent="0.35">
      <c r="A67" s="55" t="s">
        <v>990</v>
      </c>
      <c r="B67" s="54">
        <v>4</v>
      </c>
      <c r="H67" s="38"/>
      <c r="I67" s="39"/>
      <c r="J67" s="37"/>
      <c r="K67" s="37"/>
      <c r="L67" s="36" t="e">
        <f>VLOOKUP(A67,Data!A$2:BW$398,70,FALSE)</f>
        <v>#N/A</v>
      </c>
      <c r="M67" s="36" t="e">
        <f>VLOOKUP(A67,Data!A$2:BW$398,71,FALSE)</f>
        <v>#N/A</v>
      </c>
      <c r="N67" s="37" t="e">
        <f t="shared" ref="N67:N108" si="4">L67-M67</f>
        <v>#N/A</v>
      </c>
      <c r="O67" s="37" t="e">
        <f t="shared" ref="O67:O108" si="5">N67/M67*100</f>
        <v>#N/A</v>
      </c>
    </row>
    <row r="68" spans="1:15" x14ac:dyDescent="0.35">
      <c r="A68" s="55" t="s">
        <v>991</v>
      </c>
      <c r="B68" s="54">
        <v>1</v>
      </c>
      <c r="H68" s="38"/>
      <c r="I68" s="39"/>
      <c r="J68" s="37"/>
      <c r="K68" s="37"/>
      <c r="L68" s="36" t="e">
        <f>VLOOKUP(A68,Data!A$2:BW$398,70,FALSE)</f>
        <v>#N/A</v>
      </c>
      <c r="M68" s="36" t="e">
        <f>VLOOKUP(A68,Data!A$2:BW$398,71,FALSE)</f>
        <v>#N/A</v>
      </c>
      <c r="N68" s="37" t="e">
        <f t="shared" si="4"/>
        <v>#N/A</v>
      </c>
      <c r="O68" s="37" t="e">
        <f t="shared" si="5"/>
        <v>#N/A</v>
      </c>
    </row>
    <row r="69" spans="1:15" x14ac:dyDescent="0.35">
      <c r="A69" s="55" t="s">
        <v>989</v>
      </c>
      <c r="B69" s="54">
        <v>4</v>
      </c>
      <c r="H69" s="38"/>
      <c r="I69" s="39"/>
      <c r="J69" s="37"/>
      <c r="K69" s="37"/>
      <c r="L69" s="36" t="e">
        <f>VLOOKUP(A69,Data!A$2:BW$398,70,FALSE)</f>
        <v>#N/A</v>
      </c>
      <c r="M69" s="36" t="e">
        <f>VLOOKUP(A69,Data!A$2:BW$398,71,FALSE)</f>
        <v>#N/A</v>
      </c>
      <c r="N69" s="37" t="e">
        <f t="shared" si="4"/>
        <v>#N/A</v>
      </c>
      <c r="O69" s="37" t="e">
        <f t="shared" si="5"/>
        <v>#N/A</v>
      </c>
    </row>
    <row r="70" spans="1:15" x14ac:dyDescent="0.35">
      <c r="A70" s="55" t="s">
        <v>995</v>
      </c>
      <c r="B70" s="54">
        <v>1</v>
      </c>
      <c r="H70" s="38"/>
      <c r="I70" s="39"/>
      <c r="J70" s="37"/>
      <c r="K70" s="37"/>
      <c r="L70" s="36" t="e">
        <f>VLOOKUP(A70,Data!A$2:BW$398,70,FALSE)</f>
        <v>#N/A</v>
      </c>
      <c r="M70" s="36" t="e">
        <f>VLOOKUP(A70,Data!A$2:BW$398,71,FALSE)</f>
        <v>#N/A</v>
      </c>
      <c r="N70" s="37" t="e">
        <f t="shared" si="4"/>
        <v>#N/A</v>
      </c>
      <c r="O70" s="37" t="e">
        <f t="shared" si="5"/>
        <v>#N/A</v>
      </c>
    </row>
    <row r="71" spans="1:15" x14ac:dyDescent="0.35">
      <c r="A71" s="55" t="s">
        <v>983</v>
      </c>
      <c r="B71" s="54">
        <v>3</v>
      </c>
      <c r="H71" s="38"/>
      <c r="I71" s="39"/>
      <c r="J71" s="37"/>
      <c r="K71" s="37"/>
      <c r="L71" s="36" t="e">
        <f>VLOOKUP(A71,Data!A$2:BW$398,70,FALSE)</f>
        <v>#N/A</v>
      </c>
      <c r="M71" s="36" t="e">
        <f>VLOOKUP(A71,Data!A$2:BW$398,71,FALSE)</f>
        <v>#N/A</v>
      </c>
      <c r="N71" s="37" t="e">
        <f t="shared" si="4"/>
        <v>#N/A</v>
      </c>
      <c r="O71" s="37" t="e">
        <f t="shared" si="5"/>
        <v>#N/A</v>
      </c>
    </row>
    <row r="72" spans="1:15" x14ac:dyDescent="0.35">
      <c r="A72" s="55" t="s">
        <v>998</v>
      </c>
      <c r="B72" s="54">
        <v>40</v>
      </c>
      <c r="H72" s="38"/>
      <c r="I72" s="39"/>
      <c r="J72" s="37"/>
      <c r="K72" s="37"/>
      <c r="L72" s="36" t="e">
        <f>VLOOKUP(A72,Data!A$2:BW$398,70,FALSE)</f>
        <v>#N/A</v>
      </c>
      <c r="M72" s="36" t="e">
        <f>VLOOKUP(A72,Data!A$2:BW$398,71,FALSE)</f>
        <v>#N/A</v>
      </c>
      <c r="N72" s="37" t="e">
        <f t="shared" si="4"/>
        <v>#N/A</v>
      </c>
      <c r="O72" s="37" t="e">
        <f t="shared" si="5"/>
        <v>#N/A</v>
      </c>
    </row>
    <row r="73" spans="1:15" x14ac:dyDescent="0.35">
      <c r="H73" s="38"/>
      <c r="I73" s="39"/>
      <c r="J73" s="37"/>
      <c r="K73" s="37"/>
      <c r="L73" s="36" t="e">
        <f>VLOOKUP(A73,Data!A$2:BW$398,70,FALSE)</f>
        <v>#N/A</v>
      </c>
      <c r="M73" s="36" t="e">
        <f>VLOOKUP(A73,Data!A$2:BW$398,71,FALSE)</f>
        <v>#N/A</v>
      </c>
      <c r="N73" s="37" t="e">
        <f t="shared" si="4"/>
        <v>#N/A</v>
      </c>
      <c r="O73" s="37" t="e">
        <f t="shared" si="5"/>
        <v>#N/A</v>
      </c>
    </row>
    <row r="74" spans="1:15" x14ac:dyDescent="0.35">
      <c r="H74" s="38"/>
      <c r="I74" s="39"/>
      <c r="J74" s="37"/>
      <c r="K74" s="37"/>
      <c r="L74" s="36" t="e">
        <f>VLOOKUP(A74,Data!A$2:BW$398,70,FALSE)</f>
        <v>#N/A</v>
      </c>
      <c r="M74" s="36" t="e">
        <f>VLOOKUP(A74,Data!A$2:BW$398,71,FALSE)</f>
        <v>#N/A</v>
      </c>
      <c r="N74" s="37" t="e">
        <f t="shared" si="4"/>
        <v>#N/A</v>
      </c>
      <c r="O74" s="37" t="e">
        <f t="shared" si="5"/>
        <v>#N/A</v>
      </c>
    </row>
    <row r="75" spans="1:15" x14ac:dyDescent="0.35">
      <c r="H75" s="38"/>
      <c r="I75" s="39"/>
      <c r="J75" s="37"/>
      <c r="K75" s="37"/>
      <c r="L75" s="36" t="e">
        <f>VLOOKUP(A75,Data!A$2:BW$398,70,FALSE)</f>
        <v>#N/A</v>
      </c>
      <c r="M75" s="36" t="e">
        <f>VLOOKUP(A75,Data!A$2:BW$398,71,FALSE)</f>
        <v>#N/A</v>
      </c>
      <c r="N75" s="37" t="e">
        <f t="shared" si="4"/>
        <v>#N/A</v>
      </c>
      <c r="O75" s="37" t="e">
        <f t="shared" si="5"/>
        <v>#N/A</v>
      </c>
    </row>
    <row r="76" spans="1:15" x14ac:dyDescent="0.35">
      <c r="H76" s="38"/>
      <c r="I76" s="39"/>
      <c r="J76" s="37"/>
      <c r="K76" s="37"/>
      <c r="L76" s="36" t="e">
        <f>VLOOKUP(A76,Data!A$2:BW$398,70,FALSE)</f>
        <v>#N/A</v>
      </c>
      <c r="M76" s="36" t="e">
        <f>VLOOKUP(A76,Data!A$2:BW$398,71,FALSE)</f>
        <v>#N/A</v>
      </c>
      <c r="N76" s="37" t="e">
        <f t="shared" si="4"/>
        <v>#N/A</v>
      </c>
      <c r="O76" s="37" t="e">
        <f t="shared" si="5"/>
        <v>#N/A</v>
      </c>
    </row>
    <row r="77" spans="1:15" x14ac:dyDescent="0.35">
      <c r="H77" s="38"/>
      <c r="I77" s="39"/>
      <c r="J77" s="37"/>
      <c r="K77" s="37"/>
      <c r="L77" s="36" t="e">
        <f>VLOOKUP(A77,Data!A$2:BW$398,70,FALSE)</f>
        <v>#N/A</v>
      </c>
      <c r="M77" s="36" t="e">
        <f>VLOOKUP(A77,Data!A$2:BW$398,71,FALSE)</f>
        <v>#N/A</v>
      </c>
      <c r="N77" s="37" t="e">
        <f t="shared" si="4"/>
        <v>#N/A</v>
      </c>
      <c r="O77" s="37" t="e">
        <f t="shared" si="5"/>
        <v>#N/A</v>
      </c>
    </row>
    <row r="78" spans="1:15" x14ac:dyDescent="0.35">
      <c r="H78" s="38"/>
      <c r="I78" s="39"/>
      <c r="J78" s="37"/>
      <c r="K78" s="37"/>
      <c r="L78" s="36" t="e">
        <f>VLOOKUP(A78,Data!A$2:BW$398,70,FALSE)</f>
        <v>#N/A</v>
      </c>
      <c r="M78" s="36" t="e">
        <f>VLOOKUP(A78,Data!A$2:BW$398,71,FALSE)</f>
        <v>#N/A</v>
      </c>
      <c r="N78" s="37" t="e">
        <f t="shared" si="4"/>
        <v>#N/A</v>
      </c>
      <c r="O78" s="37" t="e">
        <f t="shared" si="5"/>
        <v>#N/A</v>
      </c>
    </row>
    <row r="79" spans="1:15" x14ac:dyDescent="0.35">
      <c r="H79" s="38"/>
      <c r="I79" s="39"/>
      <c r="J79" s="37"/>
      <c r="K79" s="37"/>
      <c r="L79" s="36" t="e">
        <f>VLOOKUP(A79,Data!A$2:BW$398,70,FALSE)</f>
        <v>#N/A</v>
      </c>
      <c r="M79" s="36" t="e">
        <f>VLOOKUP(A79,Data!A$2:BW$398,71,FALSE)</f>
        <v>#N/A</v>
      </c>
      <c r="N79" s="37" t="e">
        <f t="shared" si="4"/>
        <v>#N/A</v>
      </c>
      <c r="O79" s="37" t="e">
        <f t="shared" si="5"/>
        <v>#N/A</v>
      </c>
    </row>
    <row r="80" spans="1:15" x14ac:dyDescent="0.35">
      <c r="H80" s="38"/>
      <c r="I80" s="39"/>
      <c r="J80" s="37"/>
      <c r="K80" s="37"/>
      <c r="L80" s="36" t="e">
        <f>VLOOKUP(A80,Data!A$2:BW$398,70,FALSE)</f>
        <v>#N/A</v>
      </c>
      <c r="M80" s="36" t="e">
        <f>VLOOKUP(A80,Data!A$2:BW$398,71,FALSE)</f>
        <v>#N/A</v>
      </c>
      <c r="N80" s="37" t="e">
        <f t="shared" si="4"/>
        <v>#N/A</v>
      </c>
      <c r="O80" s="37" t="e">
        <f t="shared" si="5"/>
        <v>#N/A</v>
      </c>
    </row>
    <row r="81" spans="8:15" x14ac:dyDescent="0.35">
      <c r="H81" s="38"/>
      <c r="I81" s="39"/>
      <c r="J81" s="37"/>
      <c r="K81" s="37"/>
      <c r="L81" s="36" t="e">
        <f>VLOOKUP(A81,Data!A$2:BW$398,70,FALSE)</f>
        <v>#N/A</v>
      </c>
      <c r="M81" s="36" t="e">
        <f>VLOOKUP(A81,Data!A$2:BW$398,71,FALSE)</f>
        <v>#N/A</v>
      </c>
      <c r="N81" s="37" t="e">
        <f t="shared" si="4"/>
        <v>#N/A</v>
      </c>
      <c r="O81" s="37" t="e">
        <f t="shared" si="5"/>
        <v>#N/A</v>
      </c>
    </row>
    <row r="82" spans="8:15" x14ac:dyDescent="0.35">
      <c r="H82" s="38"/>
      <c r="I82" s="39"/>
      <c r="J82" s="37"/>
      <c r="K82" s="37"/>
      <c r="L82" s="36" t="e">
        <f>VLOOKUP(A82,Data!A$2:BW$398,70,FALSE)</f>
        <v>#N/A</v>
      </c>
      <c r="M82" s="36" t="e">
        <f>VLOOKUP(A82,Data!A$2:BW$398,71,FALSE)</f>
        <v>#N/A</v>
      </c>
      <c r="N82" s="37" t="e">
        <f t="shared" si="4"/>
        <v>#N/A</v>
      </c>
      <c r="O82" s="37" t="e">
        <f t="shared" si="5"/>
        <v>#N/A</v>
      </c>
    </row>
    <row r="83" spans="8:15" x14ac:dyDescent="0.35">
      <c r="H83" s="38"/>
      <c r="I83" s="39"/>
      <c r="J83" s="37"/>
      <c r="K83" s="37"/>
      <c r="L83" s="36" t="e">
        <f>VLOOKUP(A83,Data!A$2:BW$398,70,FALSE)</f>
        <v>#N/A</v>
      </c>
      <c r="M83" s="36" t="e">
        <f>VLOOKUP(A83,Data!A$2:BW$398,71,FALSE)</f>
        <v>#N/A</v>
      </c>
      <c r="N83" s="37" t="e">
        <f t="shared" si="4"/>
        <v>#N/A</v>
      </c>
      <c r="O83" s="37" t="e">
        <f t="shared" si="5"/>
        <v>#N/A</v>
      </c>
    </row>
    <row r="84" spans="8:15" x14ac:dyDescent="0.35">
      <c r="H84" s="38"/>
      <c r="I84" s="39"/>
      <c r="J84" s="37"/>
      <c r="K84" s="37"/>
      <c r="L84" s="36" t="e">
        <f>VLOOKUP(A84,Data!A$2:BW$398,70,FALSE)</f>
        <v>#N/A</v>
      </c>
      <c r="M84" s="36" t="e">
        <f>VLOOKUP(A84,Data!A$2:BW$398,71,FALSE)</f>
        <v>#N/A</v>
      </c>
      <c r="N84" s="37" t="e">
        <f t="shared" si="4"/>
        <v>#N/A</v>
      </c>
      <c r="O84" s="37" t="e">
        <f t="shared" si="5"/>
        <v>#N/A</v>
      </c>
    </row>
    <row r="85" spans="8:15" x14ac:dyDescent="0.35">
      <c r="H85" s="38"/>
      <c r="I85" s="39"/>
      <c r="J85" s="37"/>
      <c r="K85" s="37"/>
      <c r="L85" s="36" t="e">
        <f>VLOOKUP(A85,Data!A$2:BW$398,70,FALSE)</f>
        <v>#N/A</v>
      </c>
      <c r="M85" s="36" t="e">
        <f>VLOOKUP(A85,Data!A$2:BW$398,71,FALSE)</f>
        <v>#N/A</v>
      </c>
      <c r="N85" s="37" t="e">
        <f t="shared" si="4"/>
        <v>#N/A</v>
      </c>
      <c r="O85" s="37" t="e">
        <f t="shared" si="5"/>
        <v>#N/A</v>
      </c>
    </row>
    <row r="86" spans="8:15" x14ac:dyDescent="0.35">
      <c r="H86" s="38"/>
      <c r="I86" s="39"/>
      <c r="J86" s="37"/>
      <c r="K86" s="37"/>
      <c r="L86" s="36" t="e">
        <f>VLOOKUP(A86,Data!A$2:BW$398,70,FALSE)</f>
        <v>#N/A</v>
      </c>
      <c r="M86" s="36" t="e">
        <f>VLOOKUP(A86,Data!A$2:BW$398,71,FALSE)</f>
        <v>#N/A</v>
      </c>
      <c r="N86" s="37" t="e">
        <f t="shared" si="4"/>
        <v>#N/A</v>
      </c>
      <c r="O86" s="37" t="e">
        <f t="shared" si="5"/>
        <v>#N/A</v>
      </c>
    </row>
    <row r="87" spans="8:15" x14ac:dyDescent="0.35">
      <c r="H87" s="38"/>
      <c r="I87" s="39"/>
      <c r="J87" s="37"/>
      <c r="K87" s="37"/>
      <c r="L87" s="36" t="e">
        <f>VLOOKUP(A87,Data!A$2:BW$398,70,FALSE)</f>
        <v>#N/A</v>
      </c>
      <c r="M87" s="36" t="e">
        <f>VLOOKUP(A87,Data!A$2:BW$398,71,FALSE)</f>
        <v>#N/A</v>
      </c>
      <c r="N87" s="37" t="e">
        <f t="shared" si="4"/>
        <v>#N/A</v>
      </c>
      <c r="O87" s="37" t="e">
        <f t="shared" si="5"/>
        <v>#N/A</v>
      </c>
    </row>
    <row r="88" spans="8:15" x14ac:dyDescent="0.35">
      <c r="H88" s="38"/>
      <c r="I88" s="39"/>
      <c r="J88" s="37"/>
      <c r="K88" s="37"/>
      <c r="L88" s="36" t="e">
        <f>VLOOKUP(A88,Data!A$2:BW$398,70,FALSE)</f>
        <v>#N/A</v>
      </c>
      <c r="M88" s="36" t="e">
        <f>VLOOKUP(A88,Data!A$2:BW$398,71,FALSE)</f>
        <v>#N/A</v>
      </c>
      <c r="N88" s="37" t="e">
        <f t="shared" si="4"/>
        <v>#N/A</v>
      </c>
      <c r="O88" s="37" t="e">
        <f t="shared" si="5"/>
        <v>#N/A</v>
      </c>
    </row>
    <row r="89" spans="8:15" x14ac:dyDescent="0.35">
      <c r="H89" s="38"/>
      <c r="I89" s="39"/>
      <c r="J89" s="37"/>
      <c r="K89" s="37"/>
      <c r="L89" s="36" t="e">
        <f>VLOOKUP(A89,Data!A$2:BW$398,70,FALSE)</f>
        <v>#N/A</v>
      </c>
      <c r="M89" s="36" t="e">
        <f>VLOOKUP(A89,Data!A$2:BW$398,71,FALSE)</f>
        <v>#N/A</v>
      </c>
      <c r="N89" s="37" t="e">
        <f t="shared" si="4"/>
        <v>#N/A</v>
      </c>
      <c r="O89" s="37" t="e">
        <f t="shared" si="5"/>
        <v>#N/A</v>
      </c>
    </row>
    <row r="90" spans="8:15" x14ac:dyDescent="0.35">
      <c r="H90" s="38"/>
      <c r="I90" s="39"/>
      <c r="J90" s="37"/>
      <c r="K90" s="37"/>
      <c r="L90" s="36" t="e">
        <f>VLOOKUP(A90,Data!A$2:BW$398,70,FALSE)</f>
        <v>#N/A</v>
      </c>
      <c r="M90" s="36" t="e">
        <f>VLOOKUP(A90,Data!A$2:BW$398,71,FALSE)</f>
        <v>#N/A</v>
      </c>
      <c r="N90" s="37" t="e">
        <f t="shared" si="4"/>
        <v>#N/A</v>
      </c>
      <c r="O90" s="37" t="e">
        <f t="shared" si="5"/>
        <v>#N/A</v>
      </c>
    </row>
    <row r="91" spans="8:15" x14ac:dyDescent="0.35">
      <c r="H91" s="38"/>
      <c r="I91" s="39"/>
      <c r="J91" s="37"/>
      <c r="K91" s="37"/>
      <c r="L91" s="36" t="e">
        <f>VLOOKUP(A91,Data!A$2:BW$398,70,FALSE)</f>
        <v>#N/A</v>
      </c>
      <c r="M91" s="36" t="e">
        <f>VLOOKUP(A91,Data!A$2:BW$398,71,FALSE)</f>
        <v>#N/A</v>
      </c>
      <c r="N91" s="37" t="e">
        <f t="shared" si="4"/>
        <v>#N/A</v>
      </c>
      <c r="O91" s="37" t="e">
        <f t="shared" si="5"/>
        <v>#N/A</v>
      </c>
    </row>
    <row r="92" spans="8:15" x14ac:dyDescent="0.35">
      <c r="H92" s="38"/>
      <c r="I92" s="39"/>
      <c r="J92" s="37"/>
      <c r="K92" s="37"/>
      <c r="L92" s="36" t="e">
        <f>VLOOKUP(A92,Data!A$2:BW$398,70,FALSE)</f>
        <v>#N/A</v>
      </c>
      <c r="M92" s="36" t="e">
        <f>VLOOKUP(A92,Data!A$2:BW$398,71,FALSE)</f>
        <v>#N/A</v>
      </c>
      <c r="N92" s="37" t="e">
        <f t="shared" si="4"/>
        <v>#N/A</v>
      </c>
      <c r="O92" s="37" t="e">
        <f t="shared" si="5"/>
        <v>#N/A</v>
      </c>
    </row>
    <row r="93" spans="8:15" x14ac:dyDescent="0.35">
      <c r="H93" s="38"/>
      <c r="I93" s="39"/>
      <c r="J93" s="37"/>
      <c r="K93" s="37"/>
      <c r="L93" s="36" t="e">
        <f>VLOOKUP(A93,Data!A$2:BW$398,70,FALSE)</f>
        <v>#N/A</v>
      </c>
      <c r="M93" s="36" t="e">
        <f>VLOOKUP(A93,Data!A$2:BW$398,71,FALSE)</f>
        <v>#N/A</v>
      </c>
      <c r="N93" s="37" t="e">
        <f t="shared" si="4"/>
        <v>#N/A</v>
      </c>
      <c r="O93" s="37" t="e">
        <f t="shared" si="5"/>
        <v>#N/A</v>
      </c>
    </row>
    <row r="94" spans="8:15" x14ac:dyDescent="0.35">
      <c r="H94" s="38"/>
      <c r="I94" s="39"/>
      <c r="J94" s="37"/>
      <c r="K94" s="37"/>
      <c r="L94" s="36" t="e">
        <f>VLOOKUP(A94,Data!A$2:BW$398,70,FALSE)</f>
        <v>#N/A</v>
      </c>
      <c r="M94" s="36" t="e">
        <f>VLOOKUP(A94,Data!A$2:BW$398,71,FALSE)</f>
        <v>#N/A</v>
      </c>
      <c r="N94" s="37" t="e">
        <f t="shared" si="4"/>
        <v>#N/A</v>
      </c>
      <c r="O94" s="37" t="e">
        <f t="shared" si="5"/>
        <v>#N/A</v>
      </c>
    </row>
    <row r="95" spans="8:15" x14ac:dyDescent="0.35">
      <c r="H95" s="38"/>
      <c r="I95" s="39"/>
      <c r="J95" s="37"/>
      <c r="K95" s="37"/>
      <c r="L95" s="36" t="e">
        <f>VLOOKUP(A95,Data!A$2:BW$398,70,FALSE)</f>
        <v>#N/A</v>
      </c>
      <c r="M95" s="36" t="e">
        <f>VLOOKUP(A95,Data!A$2:BW$398,71,FALSE)</f>
        <v>#N/A</v>
      </c>
      <c r="N95" s="37" t="e">
        <f t="shared" si="4"/>
        <v>#N/A</v>
      </c>
      <c r="O95" s="37" t="e">
        <f t="shared" si="5"/>
        <v>#N/A</v>
      </c>
    </row>
    <row r="96" spans="8:15" x14ac:dyDescent="0.35">
      <c r="H96" s="38"/>
      <c r="I96" s="39"/>
      <c r="J96" s="37"/>
      <c r="K96" s="37"/>
      <c r="L96" s="36" t="e">
        <f>VLOOKUP(A96,Data!A$2:BW$398,70,FALSE)</f>
        <v>#N/A</v>
      </c>
      <c r="M96" s="36" t="e">
        <f>VLOOKUP(A96,Data!A$2:BW$398,71,FALSE)</f>
        <v>#N/A</v>
      </c>
      <c r="N96" s="37" t="e">
        <f t="shared" si="4"/>
        <v>#N/A</v>
      </c>
      <c r="O96" s="37" t="e">
        <f t="shared" si="5"/>
        <v>#N/A</v>
      </c>
    </row>
    <row r="97" spans="8:15" x14ac:dyDescent="0.35">
      <c r="H97" s="38"/>
      <c r="I97" s="39"/>
      <c r="J97" s="37"/>
      <c r="K97" s="37"/>
      <c r="L97" s="36" t="e">
        <f>VLOOKUP(A97,Data!A$2:BW$398,70,FALSE)</f>
        <v>#N/A</v>
      </c>
      <c r="M97" s="36" t="e">
        <f>VLOOKUP(A97,Data!A$2:BW$398,71,FALSE)</f>
        <v>#N/A</v>
      </c>
      <c r="N97" s="37" t="e">
        <f t="shared" si="4"/>
        <v>#N/A</v>
      </c>
      <c r="O97" s="37" t="e">
        <f t="shared" si="5"/>
        <v>#N/A</v>
      </c>
    </row>
    <row r="98" spans="8:15" x14ac:dyDescent="0.35">
      <c r="H98" s="38"/>
      <c r="I98" s="39"/>
      <c r="J98" s="37"/>
      <c r="K98" s="37"/>
      <c r="L98" s="36" t="e">
        <f>VLOOKUP(A98,Data!A$2:BW$398,70,FALSE)</f>
        <v>#N/A</v>
      </c>
      <c r="M98" s="36" t="e">
        <f>VLOOKUP(A98,Data!A$2:BW$398,71,FALSE)</f>
        <v>#N/A</v>
      </c>
      <c r="N98" s="37" t="e">
        <f t="shared" si="4"/>
        <v>#N/A</v>
      </c>
      <c r="O98" s="37" t="e">
        <f t="shared" si="5"/>
        <v>#N/A</v>
      </c>
    </row>
    <row r="99" spans="8:15" x14ac:dyDescent="0.35">
      <c r="H99" s="38"/>
      <c r="I99" s="39"/>
      <c r="J99" s="37"/>
      <c r="K99" s="37"/>
      <c r="L99" s="36" t="e">
        <f>VLOOKUP(A99,Data!A$2:BW$398,70,FALSE)</f>
        <v>#N/A</v>
      </c>
      <c r="M99" s="36" t="e">
        <f>VLOOKUP(A99,Data!A$2:BW$398,71,FALSE)</f>
        <v>#N/A</v>
      </c>
      <c r="N99" s="37" t="e">
        <f t="shared" si="4"/>
        <v>#N/A</v>
      </c>
      <c r="O99" s="37" t="e">
        <f t="shared" si="5"/>
        <v>#N/A</v>
      </c>
    </row>
    <row r="100" spans="8:15" x14ac:dyDescent="0.35">
      <c r="H100" s="38"/>
      <c r="I100" s="39"/>
      <c r="J100" s="37"/>
      <c r="K100" s="37"/>
      <c r="L100" s="36" t="e">
        <f>VLOOKUP(A100,Data!A$2:BW$398,70,FALSE)</f>
        <v>#N/A</v>
      </c>
      <c r="M100" s="36" t="e">
        <f>VLOOKUP(A100,Data!A$2:BW$398,71,FALSE)</f>
        <v>#N/A</v>
      </c>
      <c r="N100" s="37" t="e">
        <f t="shared" si="4"/>
        <v>#N/A</v>
      </c>
      <c r="O100" s="37" t="e">
        <f t="shared" si="5"/>
        <v>#N/A</v>
      </c>
    </row>
    <row r="101" spans="8:15" x14ac:dyDescent="0.35">
      <c r="H101" s="38"/>
      <c r="I101" s="39"/>
      <c r="J101" s="37"/>
      <c r="K101" s="37"/>
      <c r="L101" s="36" t="e">
        <f>VLOOKUP(A101,Data!A$2:BW$398,70,FALSE)</f>
        <v>#N/A</v>
      </c>
      <c r="M101" s="36" t="e">
        <f>VLOOKUP(A101,Data!A$2:BW$398,71,FALSE)</f>
        <v>#N/A</v>
      </c>
      <c r="N101" s="37" t="e">
        <f t="shared" si="4"/>
        <v>#N/A</v>
      </c>
      <c r="O101" s="37" t="e">
        <f t="shared" si="5"/>
        <v>#N/A</v>
      </c>
    </row>
    <row r="102" spans="8:15" x14ac:dyDescent="0.35">
      <c r="H102" s="38"/>
      <c r="I102" s="39"/>
      <c r="J102" s="37"/>
      <c r="K102" s="37"/>
      <c r="L102" s="36" t="e">
        <f>VLOOKUP(A102,Data!A$2:BW$398,70,FALSE)</f>
        <v>#N/A</v>
      </c>
      <c r="M102" s="36" t="e">
        <f>VLOOKUP(A102,Data!A$2:BW$398,71,FALSE)</f>
        <v>#N/A</v>
      </c>
      <c r="N102" s="37" t="e">
        <f t="shared" si="4"/>
        <v>#N/A</v>
      </c>
      <c r="O102" s="37" t="e">
        <f t="shared" si="5"/>
        <v>#N/A</v>
      </c>
    </row>
    <row r="103" spans="8:15" x14ac:dyDescent="0.35">
      <c r="H103" s="38"/>
      <c r="I103" s="39"/>
      <c r="J103" s="37"/>
      <c r="K103" s="37"/>
      <c r="L103" s="36" t="e">
        <f>VLOOKUP(A103,Data!A$2:BW$398,70,FALSE)</f>
        <v>#N/A</v>
      </c>
      <c r="M103" s="36" t="e">
        <f>VLOOKUP(A103,Data!A$2:BW$398,71,FALSE)</f>
        <v>#N/A</v>
      </c>
      <c r="N103" s="37" t="e">
        <f t="shared" si="4"/>
        <v>#N/A</v>
      </c>
      <c r="O103" s="37" t="e">
        <f t="shared" si="5"/>
        <v>#N/A</v>
      </c>
    </row>
    <row r="104" spans="8:15" x14ac:dyDescent="0.35">
      <c r="H104" s="38"/>
      <c r="I104" s="39"/>
      <c r="J104" s="37"/>
      <c r="K104" s="37"/>
      <c r="L104" s="36" t="e">
        <f>VLOOKUP(A104,Data!A$2:BW$398,70,FALSE)</f>
        <v>#N/A</v>
      </c>
      <c r="M104" s="36" t="e">
        <f>VLOOKUP(A104,Data!A$2:BW$398,71,FALSE)</f>
        <v>#N/A</v>
      </c>
      <c r="N104" s="37" t="e">
        <f t="shared" si="4"/>
        <v>#N/A</v>
      </c>
      <c r="O104" s="37" t="e">
        <f t="shared" si="5"/>
        <v>#N/A</v>
      </c>
    </row>
    <row r="105" spans="8:15" x14ac:dyDescent="0.35">
      <c r="H105" s="38"/>
      <c r="I105" s="39"/>
      <c r="J105" s="37"/>
      <c r="K105" s="37"/>
      <c r="L105" s="36" t="e">
        <f>VLOOKUP(A105,Data!A$2:BW$398,70,FALSE)</f>
        <v>#N/A</v>
      </c>
      <c r="M105" s="36" t="e">
        <f>VLOOKUP(A105,Data!A$2:BW$398,71,FALSE)</f>
        <v>#N/A</v>
      </c>
      <c r="N105" s="37" t="e">
        <f t="shared" si="4"/>
        <v>#N/A</v>
      </c>
      <c r="O105" s="37" t="e">
        <f t="shared" si="5"/>
        <v>#N/A</v>
      </c>
    </row>
    <row r="106" spans="8:15" x14ac:dyDescent="0.35">
      <c r="H106" s="38"/>
      <c r="I106" s="39"/>
      <c r="J106" s="37"/>
      <c r="K106" s="37"/>
      <c r="L106" s="36" t="e">
        <f>VLOOKUP(A106,Data!A$2:BW$398,70,FALSE)</f>
        <v>#N/A</v>
      </c>
      <c r="M106" s="36" t="e">
        <f>VLOOKUP(A106,Data!A$2:BW$398,71,FALSE)</f>
        <v>#N/A</v>
      </c>
      <c r="N106" s="37" t="e">
        <f t="shared" si="4"/>
        <v>#N/A</v>
      </c>
      <c r="O106" s="37" t="e">
        <f t="shared" si="5"/>
        <v>#N/A</v>
      </c>
    </row>
    <row r="107" spans="8:15" x14ac:dyDescent="0.35">
      <c r="H107" s="38"/>
      <c r="I107" s="39"/>
      <c r="J107" s="37"/>
      <c r="K107" s="37"/>
      <c r="L107" s="36" t="e">
        <f>VLOOKUP(A107,Data!A$2:BW$398,70,FALSE)</f>
        <v>#N/A</v>
      </c>
      <c r="M107" s="36" t="e">
        <f>VLOOKUP(A107,Data!A$2:BW$398,71,FALSE)</f>
        <v>#N/A</v>
      </c>
      <c r="N107" s="37" t="e">
        <f t="shared" si="4"/>
        <v>#N/A</v>
      </c>
      <c r="O107" s="37" t="e">
        <f t="shared" si="5"/>
        <v>#N/A</v>
      </c>
    </row>
    <row r="108" spans="8:15" x14ac:dyDescent="0.35">
      <c r="H108" s="38"/>
      <c r="I108" s="39"/>
      <c r="J108" s="37"/>
      <c r="K108" s="37"/>
      <c r="L108" s="36" t="e">
        <f>VLOOKUP(A108,Data!A$2:BW$398,70,FALSE)</f>
        <v>#N/A</v>
      </c>
      <c r="M108" s="36" t="e">
        <f>VLOOKUP(A108,Data!A$2:BW$398,71,FALSE)</f>
        <v>#N/A</v>
      </c>
      <c r="N108" s="37" t="e">
        <f t="shared" si="4"/>
        <v>#N/A</v>
      </c>
      <c r="O108" s="37" t="e">
        <f t="shared" si="5"/>
        <v>#N/A</v>
      </c>
    </row>
  </sheetData>
  <autoFilter ref="A1:O108" xr:uid="{A55EDA91-C4E9-47E6-8594-42CFBE27011F}"/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DEC0-9C8E-4CD8-82A1-30A1057A55C9}">
  <dimension ref="A2:C43"/>
  <sheetViews>
    <sheetView workbookViewId="0">
      <selection activeCell="A2" sqref="A2:C43"/>
    </sheetView>
  </sheetViews>
  <sheetFormatPr defaultRowHeight="15.5" x14ac:dyDescent="0.35"/>
  <sheetData>
    <row r="2" spans="1:3" ht="24" x14ac:dyDescent="0.35">
      <c r="A2" s="1" t="s">
        <v>0</v>
      </c>
      <c r="B2" s="1" t="s">
        <v>1</v>
      </c>
      <c r="C2" s="1" t="s">
        <v>2</v>
      </c>
    </row>
    <row r="3" spans="1:3" ht="48.5" x14ac:dyDescent="0.35">
      <c r="A3" s="3">
        <v>255872</v>
      </c>
      <c r="B3" s="3" t="s">
        <v>72</v>
      </c>
      <c r="C3" s="43" t="s">
        <v>84</v>
      </c>
    </row>
    <row r="4" spans="1:3" ht="84.5" x14ac:dyDescent="0.35">
      <c r="A4" s="3">
        <v>198751</v>
      </c>
      <c r="B4" s="3" t="s">
        <v>72</v>
      </c>
      <c r="C4" s="41" t="s">
        <v>87</v>
      </c>
    </row>
    <row r="5" spans="1:3" ht="84.5" x14ac:dyDescent="0.35">
      <c r="A5" s="3">
        <v>198868</v>
      </c>
      <c r="B5" s="3" t="s">
        <v>72</v>
      </c>
      <c r="C5" s="41" t="s">
        <v>175</v>
      </c>
    </row>
    <row r="6" spans="1:3" ht="24.5" x14ac:dyDescent="0.35">
      <c r="A6" s="3">
        <v>112424</v>
      </c>
      <c r="B6" s="3" t="s">
        <v>72</v>
      </c>
      <c r="C6" s="40" t="s">
        <v>185</v>
      </c>
    </row>
    <row r="7" spans="1:3" ht="36.5" x14ac:dyDescent="0.35">
      <c r="A7" s="3">
        <v>144329</v>
      </c>
      <c r="B7" s="3" t="s">
        <v>72</v>
      </c>
      <c r="C7" s="41" t="s">
        <v>190</v>
      </c>
    </row>
    <row r="8" spans="1:3" ht="36.5" x14ac:dyDescent="0.35">
      <c r="A8" s="3">
        <v>112420</v>
      </c>
      <c r="B8" s="3" t="s">
        <v>72</v>
      </c>
      <c r="C8" s="41" t="s">
        <v>202</v>
      </c>
    </row>
    <row r="9" spans="1:3" ht="48.5" x14ac:dyDescent="0.35">
      <c r="A9" s="3">
        <v>112431</v>
      </c>
      <c r="B9" s="3" t="s">
        <v>72</v>
      </c>
      <c r="C9" s="40" t="s">
        <v>212</v>
      </c>
    </row>
    <row r="10" spans="1:3" ht="36.5" x14ac:dyDescent="0.35">
      <c r="A10" s="3">
        <v>244458</v>
      </c>
      <c r="B10" s="3" t="s">
        <v>72</v>
      </c>
      <c r="C10" s="43" t="s">
        <v>214</v>
      </c>
    </row>
    <row r="11" spans="1:3" ht="36.5" x14ac:dyDescent="0.35">
      <c r="A11" s="3">
        <v>112402</v>
      </c>
      <c r="B11" s="3" t="s">
        <v>72</v>
      </c>
      <c r="C11" s="41" t="s">
        <v>235</v>
      </c>
    </row>
    <row r="12" spans="1:3" ht="36.5" x14ac:dyDescent="0.35">
      <c r="A12" s="3">
        <v>163708</v>
      </c>
      <c r="B12" s="3" t="s">
        <v>72</v>
      </c>
      <c r="C12" s="43" t="s">
        <v>286</v>
      </c>
    </row>
    <row r="13" spans="1:3" ht="24.5" x14ac:dyDescent="0.35">
      <c r="A13" s="3">
        <v>112448</v>
      </c>
      <c r="B13" s="3" t="s">
        <v>72</v>
      </c>
      <c r="C13" s="43" t="s">
        <v>301</v>
      </c>
    </row>
    <row r="14" spans="1:3" ht="36.5" x14ac:dyDescent="0.35">
      <c r="A14" s="3">
        <v>148413</v>
      </c>
      <c r="B14" s="3" t="s">
        <v>72</v>
      </c>
      <c r="C14" s="41" t="s">
        <v>305</v>
      </c>
    </row>
    <row r="15" spans="1:3" ht="48.5" x14ac:dyDescent="0.35">
      <c r="A15" s="3">
        <v>112415</v>
      </c>
      <c r="B15" s="3" t="s">
        <v>72</v>
      </c>
      <c r="C15" s="41" t="s">
        <v>308</v>
      </c>
    </row>
    <row r="16" spans="1:3" ht="36.5" x14ac:dyDescent="0.35">
      <c r="A16" s="3">
        <v>131712</v>
      </c>
      <c r="B16" s="3" t="s">
        <v>72</v>
      </c>
      <c r="C16" s="43" t="s">
        <v>311</v>
      </c>
    </row>
    <row r="17" spans="1:3" ht="48.5" x14ac:dyDescent="0.35">
      <c r="A17" s="3">
        <v>112418</v>
      </c>
      <c r="B17" s="3" t="s">
        <v>72</v>
      </c>
      <c r="C17" s="41" t="s">
        <v>313</v>
      </c>
    </row>
    <row r="18" spans="1:3" ht="36.5" x14ac:dyDescent="0.35">
      <c r="A18" s="3">
        <v>127090</v>
      </c>
      <c r="B18" s="3" t="s">
        <v>72</v>
      </c>
      <c r="C18" s="43" t="s">
        <v>316</v>
      </c>
    </row>
    <row r="19" spans="1:3" ht="24.5" x14ac:dyDescent="0.35">
      <c r="A19" s="3">
        <v>112440</v>
      </c>
      <c r="B19" s="3" t="s">
        <v>72</v>
      </c>
      <c r="C19" s="45" t="s">
        <v>319</v>
      </c>
    </row>
    <row r="20" spans="1:3" ht="48.5" x14ac:dyDescent="0.35">
      <c r="A20" s="3">
        <v>112419</v>
      </c>
      <c r="B20" s="3" t="s">
        <v>72</v>
      </c>
      <c r="C20" s="41" t="s">
        <v>322</v>
      </c>
    </row>
    <row r="21" spans="1:3" ht="36.5" x14ac:dyDescent="0.35">
      <c r="A21" s="3">
        <v>112417</v>
      </c>
      <c r="B21" s="3" t="s">
        <v>72</v>
      </c>
      <c r="C21" s="41" t="s">
        <v>324</v>
      </c>
    </row>
    <row r="22" spans="1:3" ht="36.5" x14ac:dyDescent="0.35">
      <c r="A22" s="3">
        <v>112458</v>
      </c>
      <c r="B22" s="3" t="s">
        <v>72</v>
      </c>
      <c r="C22" s="43" t="s">
        <v>327</v>
      </c>
    </row>
    <row r="23" spans="1:3" ht="72.5" x14ac:dyDescent="0.35">
      <c r="A23" s="3">
        <v>200922</v>
      </c>
      <c r="B23" s="3" t="s">
        <v>72</v>
      </c>
      <c r="C23" s="41" t="s">
        <v>329</v>
      </c>
    </row>
    <row r="24" spans="1:3" ht="36.5" x14ac:dyDescent="0.35">
      <c r="A24" s="3">
        <v>112386</v>
      </c>
      <c r="B24" s="3" t="s">
        <v>72</v>
      </c>
      <c r="C24" s="40" t="s">
        <v>330</v>
      </c>
    </row>
    <row r="25" spans="1:3" ht="36.5" x14ac:dyDescent="0.35">
      <c r="A25" s="3">
        <v>167171</v>
      </c>
      <c r="B25" s="3" t="s">
        <v>72</v>
      </c>
      <c r="C25" s="42" t="s">
        <v>333</v>
      </c>
    </row>
    <row r="26" spans="1:3" ht="96.5" x14ac:dyDescent="0.35">
      <c r="A26" s="3">
        <v>244099</v>
      </c>
      <c r="B26" s="3" t="s">
        <v>72</v>
      </c>
      <c r="C26" s="43" t="s">
        <v>335</v>
      </c>
    </row>
    <row r="27" spans="1:3" ht="24.5" x14ac:dyDescent="0.35">
      <c r="A27" s="3">
        <v>112390</v>
      </c>
      <c r="B27" s="3" t="s">
        <v>72</v>
      </c>
      <c r="C27" s="40" t="s">
        <v>338</v>
      </c>
    </row>
    <row r="28" spans="1:3" ht="48.5" x14ac:dyDescent="0.35">
      <c r="A28" s="3">
        <v>128472</v>
      </c>
      <c r="B28" s="3" t="s">
        <v>72</v>
      </c>
      <c r="C28" s="43" t="s">
        <v>340</v>
      </c>
    </row>
    <row r="29" spans="1:3" ht="36.5" x14ac:dyDescent="0.35">
      <c r="A29" s="3">
        <v>136152</v>
      </c>
      <c r="B29" s="3" t="s">
        <v>72</v>
      </c>
      <c r="C29" s="43" t="s">
        <v>343</v>
      </c>
    </row>
    <row r="30" spans="1:3" ht="36.5" x14ac:dyDescent="0.35">
      <c r="A30" s="3">
        <v>112414</v>
      </c>
      <c r="B30" s="3" t="s">
        <v>72</v>
      </c>
      <c r="C30" s="41" t="s">
        <v>346</v>
      </c>
    </row>
    <row r="31" spans="1:3" ht="36.5" x14ac:dyDescent="0.35">
      <c r="A31" s="3">
        <v>112450</v>
      </c>
      <c r="B31" s="3" t="s">
        <v>72</v>
      </c>
      <c r="C31" s="43" t="s">
        <v>347</v>
      </c>
    </row>
    <row r="32" spans="1:3" ht="36.5" x14ac:dyDescent="0.35">
      <c r="A32" s="3">
        <v>112407</v>
      </c>
      <c r="B32" s="3" t="s">
        <v>72</v>
      </c>
      <c r="C32" s="41" t="s">
        <v>349</v>
      </c>
    </row>
    <row r="33" spans="1:3" ht="48.5" x14ac:dyDescent="0.35">
      <c r="A33" s="3">
        <v>112385</v>
      </c>
      <c r="B33" s="3" t="s">
        <v>72</v>
      </c>
      <c r="C33" s="40" t="s">
        <v>351</v>
      </c>
    </row>
    <row r="34" spans="1:3" ht="36.5" x14ac:dyDescent="0.35">
      <c r="A34" s="3">
        <v>112439</v>
      </c>
      <c r="B34" s="3" t="s">
        <v>72</v>
      </c>
      <c r="C34" s="43" t="s">
        <v>354</v>
      </c>
    </row>
    <row r="35" spans="1:3" ht="48.5" x14ac:dyDescent="0.35">
      <c r="A35" s="3">
        <v>168006</v>
      </c>
      <c r="B35" s="3" t="s">
        <v>72</v>
      </c>
      <c r="C35" s="41" t="s">
        <v>357</v>
      </c>
    </row>
    <row r="36" spans="1:3" ht="36.5" x14ac:dyDescent="0.35">
      <c r="A36" s="3">
        <v>112456</v>
      </c>
      <c r="B36" s="3" t="s">
        <v>72</v>
      </c>
      <c r="C36" s="43" t="s">
        <v>359</v>
      </c>
    </row>
    <row r="37" spans="1:3" ht="36.5" x14ac:dyDescent="0.35">
      <c r="A37" s="3">
        <v>112446</v>
      </c>
      <c r="B37" s="3" t="s">
        <v>72</v>
      </c>
      <c r="C37" s="43" t="s">
        <v>362</v>
      </c>
    </row>
    <row r="38" spans="1:3" ht="36.5" x14ac:dyDescent="0.35">
      <c r="A38" s="3">
        <v>112461</v>
      </c>
      <c r="B38" s="3" t="s">
        <v>72</v>
      </c>
      <c r="C38" s="43" t="s">
        <v>364</v>
      </c>
    </row>
    <row r="39" spans="1:3" ht="36.5" x14ac:dyDescent="0.35">
      <c r="A39" s="3">
        <v>112422</v>
      </c>
      <c r="B39" s="3" t="s">
        <v>72</v>
      </c>
      <c r="C39" s="42" t="s">
        <v>368</v>
      </c>
    </row>
    <row r="40" spans="1:3" ht="24.5" x14ac:dyDescent="0.35">
      <c r="A40" s="3">
        <v>112438</v>
      </c>
      <c r="B40" s="3" t="s">
        <v>72</v>
      </c>
      <c r="C40" s="43" t="s">
        <v>371</v>
      </c>
    </row>
    <row r="41" spans="1:3" ht="36.5" x14ac:dyDescent="0.35">
      <c r="A41" s="3">
        <v>112442</v>
      </c>
      <c r="B41" s="3" t="s">
        <v>72</v>
      </c>
      <c r="C41" s="43" t="s">
        <v>374</v>
      </c>
    </row>
    <row r="42" spans="1:3" ht="48.5" x14ac:dyDescent="0.35">
      <c r="A42" s="3">
        <v>147286</v>
      </c>
      <c r="B42" s="3" t="s">
        <v>72</v>
      </c>
      <c r="C42" s="41" t="s">
        <v>376</v>
      </c>
    </row>
    <row r="43" spans="1:3" ht="36.5" x14ac:dyDescent="0.35">
      <c r="A43" s="3">
        <v>151186</v>
      </c>
      <c r="B43" s="3" t="s">
        <v>72</v>
      </c>
      <c r="C43" s="41" t="s">
        <v>378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19D3-200D-4857-84A5-7022F0ABA98E}">
  <dimension ref="A1:BJ399"/>
  <sheetViews>
    <sheetView topLeftCell="AX1" workbookViewId="0">
      <selection activeCell="AX6" sqref="AX1:AX1048576"/>
    </sheetView>
  </sheetViews>
  <sheetFormatPr defaultRowHeight="15.5" x14ac:dyDescent="0.35"/>
  <cols>
    <col min="1" max="1" width="0" hidden="1" customWidth="1"/>
    <col min="2" max="3" width="6.08984375" hidden="1" customWidth="1"/>
    <col min="4" max="13" width="0" hidden="1" customWidth="1"/>
    <col min="14" max="14" width="8.453125" hidden="1" customWidth="1"/>
    <col min="15" max="49" width="0" hidden="1" customWidth="1"/>
  </cols>
  <sheetData>
    <row r="1" spans="1:62" ht="46.5" x14ac:dyDescent="0.35">
      <c r="A1" t="s">
        <v>1003</v>
      </c>
      <c r="B1" t="s">
        <v>966</v>
      </c>
      <c r="C1" t="s">
        <v>967</v>
      </c>
      <c r="E1" t="s">
        <v>1003</v>
      </c>
      <c r="F1" s="88" t="s">
        <v>41</v>
      </c>
      <c r="G1" s="88" t="s">
        <v>45</v>
      </c>
      <c r="H1" s="17" t="s">
        <v>42</v>
      </c>
      <c r="I1" s="17" t="s">
        <v>46</v>
      </c>
      <c r="J1" s="89" t="s">
        <v>44</v>
      </c>
      <c r="K1" s="89" t="s">
        <v>48</v>
      </c>
      <c r="L1" s="21" t="s">
        <v>43</v>
      </c>
      <c r="M1" s="21" t="s">
        <v>47</v>
      </c>
      <c r="N1" s="1" t="s">
        <v>0</v>
      </c>
      <c r="O1" s="17" t="s">
        <v>45</v>
      </c>
      <c r="P1" s="17" t="s">
        <v>46</v>
      </c>
      <c r="Q1" s="21" t="s">
        <v>47</v>
      </c>
      <c r="R1" s="21" t="s">
        <v>48</v>
      </c>
      <c r="S1" s="17" t="s">
        <v>41</v>
      </c>
      <c r="T1" s="17" t="s">
        <v>42</v>
      </c>
      <c r="U1" s="21" t="s">
        <v>43</v>
      </c>
      <c r="V1" s="21" t="s">
        <v>44</v>
      </c>
      <c r="X1" s="1" t="s">
        <v>0</v>
      </c>
      <c r="Y1" s="34" t="s">
        <v>52</v>
      </c>
      <c r="Z1" s="34" t="s">
        <v>53</v>
      </c>
      <c r="AA1" s="35" t="s">
        <v>56</v>
      </c>
      <c r="AB1" s="35" t="s">
        <v>57</v>
      </c>
      <c r="AC1" s="33" t="s">
        <v>60</v>
      </c>
      <c r="AD1" s="33" t="s">
        <v>61</v>
      </c>
      <c r="AE1" s="35" t="s">
        <v>64</v>
      </c>
      <c r="AF1" s="35" t="s">
        <v>65</v>
      </c>
      <c r="AG1" s="1" t="s">
        <v>0</v>
      </c>
      <c r="AH1" s="34" t="s">
        <v>52</v>
      </c>
      <c r="AI1" s="34" t="s">
        <v>53</v>
      </c>
      <c r="AJ1" s="32" t="s">
        <v>54</v>
      </c>
      <c r="AK1" s="32" t="s">
        <v>55</v>
      </c>
      <c r="AL1" s="35" t="s">
        <v>56</v>
      </c>
      <c r="AM1" s="35" t="s">
        <v>57</v>
      </c>
      <c r="AN1" s="32" t="s">
        <v>58</v>
      </c>
      <c r="AO1" s="32" t="s">
        <v>59</v>
      </c>
      <c r="AP1" s="33" t="s">
        <v>60</v>
      </c>
      <c r="AQ1" s="33" t="s">
        <v>61</v>
      </c>
      <c r="AR1" s="32" t="s">
        <v>62</v>
      </c>
      <c r="AS1" s="32" t="s">
        <v>63</v>
      </c>
      <c r="AT1" s="35" t="s">
        <v>64</v>
      </c>
      <c r="AU1" s="35" t="s">
        <v>65</v>
      </c>
      <c r="AV1" s="32" t="s">
        <v>66</v>
      </c>
      <c r="AW1" s="32" t="s">
        <v>67</v>
      </c>
      <c r="AX1" s="82" t="s">
        <v>1003</v>
      </c>
      <c r="AY1" s="82" t="s">
        <v>1010</v>
      </c>
      <c r="AZ1" s="82" t="s">
        <v>1011</v>
      </c>
      <c r="BC1" s="1" t="s">
        <v>0</v>
      </c>
      <c r="BD1" s="1" t="s">
        <v>1</v>
      </c>
      <c r="BE1" s="1" t="s">
        <v>2</v>
      </c>
      <c r="BF1" s="1" t="s">
        <v>3</v>
      </c>
      <c r="BG1" s="2" t="s">
        <v>4</v>
      </c>
      <c r="BH1" s="2" t="s">
        <v>5</v>
      </c>
      <c r="BI1" s="1" t="s">
        <v>6</v>
      </c>
      <c r="BJ1" s="1" t="s">
        <v>1009</v>
      </c>
    </row>
    <row r="2" spans="1:62" ht="72.5" x14ac:dyDescent="0.35">
      <c r="A2">
        <v>371684</v>
      </c>
      <c r="B2" s="84">
        <f>VLOOKUP(A2,E$2:G$399,2,FALSE)</f>
        <v>52</v>
      </c>
      <c r="C2" s="84">
        <f>VLOOKUP(A2,E$2:G$399,3,FALSE)</f>
        <v>64</v>
      </c>
      <c r="E2" s="3">
        <v>112383</v>
      </c>
      <c r="F2" s="84">
        <v>463.5</v>
      </c>
      <c r="G2" s="86">
        <v>468</v>
      </c>
      <c r="H2" s="18">
        <v>423</v>
      </c>
      <c r="I2" s="18">
        <v>486</v>
      </c>
      <c r="J2" s="90">
        <v>99</v>
      </c>
      <c r="K2" s="90">
        <v>108</v>
      </c>
      <c r="L2" s="84">
        <v>94.5</v>
      </c>
      <c r="M2" s="86">
        <v>90</v>
      </c>
      <c r="N2" s="3">
        <v>236924</v>
      </c>
      <c r="O2">
        <f>VLOOKUP(N2,E$2:M$399,3,FALSE)</f>
        <v>0</v>
      </c>
      <c r="P2">
        <f>VLOOKUP(N2,E$2:M$399,5,FALSE)</f>
        <v>0</v>
      </c>
      <c r="Q2">
        <f>VLOOKUP(N2,E$2:M$399,9,FALSE)</f>
        <v>0</v>
      </c>
      <c r="R2">
        <f>VLOOKUP(N2,E$2:M$399,7,FALSE)</f>
        <v>0</v>
      </c>
      <c r="S2">
        <f>VLOOKUP(N2,E$2:M$399,2,FALSE)</f>
        <v>0</v>
      </c>
      <c r="T2">
        <f>VLOOKUP(N2,E$2:M$399,4,FALSE)</f>
        <v>0</v>
      </c>
      <c r="U2">
        <f>VLOOKUP(N2,E$2:M$399,8,FALSE)</f>
        <v>0</v>
      </c>
      <c r="V2">
        <f>VLOOKUP(N2,E$2:M$399,6,FALSE)</f>
        <v>0</v>
      </c>
      <c r="X2" s="9">
        <v>41056524</v>
      </c>
      <c r="Y2">
        <f>VLOOKUP(X2,AG$2:AI$398,2,FALSE)</f>
        <v>185.5</v>
      </c>
      <c r="Z2">
        <f>VLOOKUP(X2,AG$2:AI$398,3,FALSE)</f>
        <v>169.5</v>
      </c>
      <c r="AA2">
        <f>VLOOKUP(X2,AG$2:AM$398,6,FALSE)</f>
        <v>379.5</v>
      </c>
      <c r="AB2">
        <f>VLOOKUP(X2,AG$2:AM$398,7,FALSE)</f>
        <v>445.5</v>
      </c>
      <c r="AC2">
        <f>VLOOKUP(X2,AG$2:AU$398,10,FALSE)</f>
        <v>2205</v>
      </c>
      <c r="AD2">
        <f>VLOOKUP(X2,AG$2:AU$398,11,FALSE)</f>
        <v>1314</v>
      </c>
      <c r="AE2">
        <f>VLOOKUP(X2,AG$2:AU$398,14,FALSE)</f>
        <v>4223</v>
      </c>
      <c r="AF2">
        <f>VLOOKUP(X2,AG$2:AU$398,15,FALSE)</f>
        <v>4776.5</v>
      </c>
      <c r="AG2" s="3">
        <v>236924</v>
      </c>
      <c r="AH2" s="31">
        <v>0</v>
      </c>
      <c r="AI2" s="31">
        <v>0</v>
      </c>
      <c r="AJ2" s="37">
        <v>0</v>
      </c>
      <c r="AK2" s="37" t="e">
        <v>#DIV/0!</v>
      </c>
      <c r="AL2" s="36">
        <v>0</v>
      </c>
      <c r="AM2" s="36">
        <v>0</v>
      </c>
      <c r="AN2" s="37">
        <v>0</v>
      </c>
      <c r="AO2" s="37" t="e">
        <v>#DIV/0!</v>
      </c>
      <c r="AP2" s="38">
        <v>353</v>
      </c>
      <c r="AQ2" s="39">
        <v>1905.3889999999999</v>
      </c>
      <c r="AR2" s="37">
        <v>-1552.3889999999999</v>
      </c>
      <c r="AS2" s="37">
        <v>-81.473599354252585</v>
      </c>
      <c r="AT2" s="36">
        <v>308</v>
      </c>
      <c r="AU2" s="36">
        <v>1693.8810000000001</v>
      </c>
      <c r="AV2" s="37">
        <v>-1385.8810000000001</v>
      </c>
      <c r="AW2" s="37">
        <v>-81.816904493290849</v>
      </c>
      <c r="AX2" s="3">
        <v>112383</v>
      </c>
      <c r="AY2" t="str">
        <f>VLOOKUP(AX2,BC$2:BJ$398,6,FALSE)</f>
        <v>AIRPORT_SINGH_ANUP</v>
      </c>
      <c r="AZ2" t="str">
        <f>VLOOKUP(AX2,BC$2:BJ$398,8,FALSE)</f>
        <v>Outer Ring Road</v>
      </c>
      <c r="BC2" s="3">
        <v>236924</v>
      </c>
      <c r="BD2" s="3" t="s">
        <v>72</v>
      </c>
      <c r="BE2" s="43" t="s">
        <v>73</v>
      </c>
      <c r="BF2" s="12" t="s">
        <v>74</v>
      </c>
      <c r="BG2" s="4" t="s">
        <v>75</v>
      </c>
      <c r="BH2" s="4" t="s">
        <v>76</v>
      </c>
      <c r="BI2" s="12" t="s">
        <v>76</v>
      </c>
      <c r="BJ2" s="51" t="s">
        <v>77</v>
      </c>
    </row>
    <row r="3" spans="1:62" ht="60.5" x14ac:dyDescent="0.35">
      <c r="A3">
        <v>311776</v>
      </c>
      <c r="B3" s="84">
        <f t="shared" ref="B3:B66" si="0">VLOOKUP(A3,E$2:G$399,2,FALSE)</f>
        <v>348.5</v>
      </c>
      <c r="C3" s="84">
        <f t="shared" ref="C3:C66" si="1">VLOOKUP(A3,E$2:G$399,3,FALSE)</f>
        <v>345</v>
      </c>
      <c r="E3" s="3">
        <v>152706</v>
      </c>
      <c r="F3" s="84">
        <v>120</v>
      </c>
      <c r="G3" s="86">
        <v>130</v>
      </c>
      <c r="H3" s="18">
        <v>95</v>
      </c>
      <c r="I3" s="18">
        <v>110</v>
      </c>
      <c r="J3" s="90">
        <v>145</v>
      </c>
      <c r="K3" s="90">
        <v>150</v>
      </c>
      <c r="L3" s="84">
        <v>120</v>
      </c>
      <c r="M3" s="86">
        <v>190</v>
      </c>
      <c r="N3" s="3">
        <v>256507</v>
      </c>
      <c r="O3">
        <f t="shared" ref="O3:O66" si="2">VLOOKUP(N3,E$2:M$399,3,FALSE)</f>
        <v>0</v>
      </c>
      <c r="P3">
        <f t="shared" ref="P3:P66" si="3">VLOOKUP(N3,E$2:M$399,5,FALSE)</f>
        <v>0</v>
      </c>
      <c r="Q3">
        <f t="shared" ref="Q3:Q66" si="4">VLOOKUP(N3,E$2:M$399,9,FALSE)</f>
        <v>0</v>
      </c>
      <c r="R3">
        <f t="shared" ref="R3:R66" si="5">VLOOKUP(N3,E$2:M$399,7,FALSE)</f>
        <v>6</v>
      </c>
      <c r="S3">
        <f t="shared" ref="S3:S66" si="6">VLOOKUP(N3,E$2:M$399,2,FALSE)</f>
        <v>0</v>
      </c>
      <c r="T3">
        <f t="shared" ref="T3:T66" si="7">VLOOKUP(N3,E$2:M$399,4,FALSE)</f>
        <v>0</v>
      </c>
      <c r="U3">
        <f t="shared" ref="U3:U66" si="8">VLOOKUP(N3,E$2:M$399,8,FALSE)</f>
        <v>0</v>
      </c>
      <c r="V3">
        <f t="shared" ref="V3:V66" si="9">VLOOKUP(N3,E$2:M$399,6,FALSE)</f>
        <v>0</v>
      </c>
      <c r="X3" s="3">
        <v>112422</v>
      </c>
      <c r="Y3">
        <f t="shared" ref="Y3:Y66" si="10">VLOOKUP(X3,AG$2:AI$398,2,FALSE)</f>
        <v>606.5</v>
      </c>
      <c r="Z3">
        <f t="shared" ref="Z3:Z66" si="11">VLOOKUP(X3,AG$2:AI$398,3,FALSE)</f>
        <v>597.5</v>
      </c>
      <c r="AA3">
        <f t="shared" ref="AA3:AA66" si="12">VLOOKUP(X3,AG$2:AM$398,6,FALSE)</f>
        <v>67.5</v>
      </c>
      <c r="AB3">
        <f t="shared" ref="AB3:AB66" si="13">VLOOKUP(X3,AG$2:AM$398,7,FALSE)</f>
        <v>96.5</v>
      </c>
      <c r="AC3">
        <f t="shared" ref="AC3:AC66" si="14">VLOOKUP(X3,AG$2:AU$398,10,FALSE)</f>
        <v>7147</v>
      </c>
      <c r="AD3">
        <f t="shared" ref="AD3:AD66" si="15">VLOOKUP(X3,AG$2:AU$398,11,FALSE)</f>
        <v>6295.500016</v>
      </c>
      <c r="AE3">
        <f t="shared" ref="AE3:AE66" si="16">VLOOKUP(X3,AG$2:AU$398,14,FALSE)</f>
        <v>927</v>
      </c>
      <c r="AF3">
        <f t="shared" ref="AF3:AF66" si="17">VLOOKUP(X3,AG$2:AU$398,15,FALSE)</f>
        <v>1185.5</v>
      </c>
      <c r="AG3" s="3">
        <v>256507</v>
      </c>
      <c r="AH3" s="31">
        <v>0</v>
      </c>
      <c r="AI3" s="31">
        <v>0</v>
      </c>
      <c r="AJ3" s="37">
        <v>0</v>
      </c>
      <c r="AK3" s="37" t="e">
        <v>#DIV/0!</v>
      </c>
      <c r="AL3" s="36">
        <v>0</v>
      </c>
      <c r="AM3" s="36">
        <v>6</v>
      </c>
      <c r="AN3" s="37">
        <v>-6</v>
      </c>
      <c r="AO3" s="37">
        <v>-100</v>
      </c>
      <c r="AP3" s="38">
        <v>0</v>
      </c>
      <c r="AQ3" s="39">
        <v>0</v>
      </c>
      <c r="AR3" s="37">
        <v>0</v>
      </c>
      <c r="AS3" s="37" t="e">
        <v>#DIV/0!</v>
      </c>
      <c r="AT3" s="36">
        <v>114</v>
      </c>
      <c r="AU3" s="36">
        <v>6</v>
      </c>
      <c r="AV3" s="37">
        <v>108</v>
      </c>
      <c r="AW3" s="37">
        <v>1800</v>
      </c>
      <c r="AX3" s="3">
        <v>152706</v>
      </c>
      <c r="AY3" t="str">
        <f t="shared" ref="AY3:AY66" si="18">VLOOKUP(AX3,BC$2:BJ$398,6,FALSE)</f>
        <v>PAUL_AJANTA_JAIGANESH</v>
      </c>
      <c r="AZ3" t="str">
        <f t="shared" ref="AZ3:AZ66" si="19">VLOOKUP(AX3,BC$2:BJ$398,8,FALSE)</f>
        <v>New GT Road (NH44)</v>
      </c>
      <c r="BC3" s="3">
        <v>256507</v>
      </c>
      <c r="BD3" s="3" t="s">
        <v>72</v>
      </c>
      <c r="BE3" s="43" t="s">
        <v>79</v>
      </c>
      <c r="BF3" s="12" t="s">
        <v>80</v>
      </c>
      <c r="BG3" s="4" t="s">
        <v>81</v>
      </c>
      <c r="BH3" s="4" t="s">
        <v>81</v>
      </c>
      <c r="BI3" s="12" t="s">
        <v>81</v>
      </c>
      <c r="BJ3" s="51" t="s">
        <v>82</v>
      </c>
    </row>
    <row r="4" spans="1:62" ht="48.5" x14ac:dyDescent="0.35">
      <c r="A4">
        <v>186857</v>
      </c>
      <c r="B4" s="84">
        <f t="shared" si="0"/>
        <v>157.5</v>
      </c>
      <c r="C4" s="84">
        <f t="shared" si="1"/>
        <v>184.5</v>
      </c>
      <c r="E4" s="3">
        <v>129151</v>
      </c>
      <c r="F4" s="84">
        <v>1028</v>
      </c>
      <c r="G4" s="86">
        <v>1197</v>
      </c>
      <c r="H4" s="18">
        <v>931</v>
      </c>
      <c r="I4" s="18">
        <v>1008</v>
      </c>
      <c r="J4" s="90">
        <v>163</v>
      </c>
      <c r="K4" s="90">
        <v>172</v>
      </c>
      <c r="L4" s="84">
        <v>150</v>
      </c>
      <c r="M4" s="86">
        <v>175</v>
      </c>
      <c r="N4" s="3">
        <v>255872</v>
      </c>
      <c r="O4">
        <f t="shared" si="2"/>
        <v>0</v>
      </c>
      <c r="P4">
        <f t="shared" si="3"/>
        <v>0</v>
      </c>
      <c r="Q4">
        <f t="shared" si="4"/>
        <v>4</v>
      </c>
      <c r="R4">
        <f t="shared" si="5"/>
        <v>4</v>
      </c>
      <c r="S4">
        <f t="shared" si="6"/>
        <v>0</v>
      </c>
      <c r="T4">
        <f t="shared" si="7"/>
        <v>0</v>
      </c>
      <c r="U4">
        <f t="shared" si="8"/>
        <v>0</v>
      </c>
      <c r="V4">
        <f t="shared" si="9"/>
        <v>0</v>
      </c>
      <c r="X4" s="9">
        <v>41056983</v>
      </c>
      <c r="Y4">
        <f t="shared" si="10"/>
        <v>266</v>
      </c>
      <c r="Z4">
        <f t="shared" si="11"/>
        <v>297</v>
      </c>
      <c r="AA4">
        <f t="shared" si="12"/>
        <v>28</v>
      </c>
      <c r="AB4">
        <f t="shared" si="13"/>
        <v>48.5</v>
      </c>
      <c r="AC4">
        <f t="shared" si="14"/>
        <v>3623.5</v>
      </c>
      <c r="AD4">
        <f t="shared" si="15"/>
        <v>2999</v>
      </c>
      <c r="AE4">
        <f t="shared" si="16"/>
        <v>523.5</v>
      </c>
      <c r="AF4">
        <f t="shared" si="17"/>
        <v>649.5</v>
      </c>
      <c r="AG4" s="3">
        <v>255872</v>
      </c>
      <c r="AH4" s="31">
        <v>0</v>
      </c>
      <c r="AI4" s="31">
        <v>0</v>
      </c>
      <c r="AJ4" s="37">
        <v>0</v>
      </c>
      <c r="AK4" s="37" t="e">
        <v>#DIV/0!</v>
      </c>
      <c r="AL4" s="36">
        <v>4</v>
      </c>
      <c r="AM4" s="36">
        <v>4</v>
      </c>
      <c r="AN4" s="37">
        <v>0</v>
      </c>
      <c r="AO4" s="37">
        <v>0</v>
      </c>
      <c r="AP4" s="38">
        <v>0</v>
      </c>
      <c r="AQ4" s="39">
        <v>0</v>
      </c>
      <c r="AR4" s="37">
        <v>0</v>
      </c>
      <c r="AS4" s="37" t="e">
        <v>#DIV/0!</v>
      </c>
      <c r="AT4" s="36">
        <v>12</v>
      </c>
      <c r="AU4" s="36">
        <v>4</v>
      </c>
      <c r="AV4" s="37">
        <v>8</v>
      </c>
      <c r="AW4" s="37">
        <v>200</v>
      </c>
      <c r="AX4" s="3">
        <v>129151</v>
      </c>
      <c r="AY4" t="str">
        <f t="shared" si="18"/>
        <v>ALLIED_MASIH</v>
      </c>
      <c r="AZ4" t="str">
        <f t="shared" si="19"/>
        <v>Mayur Vihar -Anand Vihar -Preet Vihar</v>
      </c>
      <c r="BC4" s="3">
        <v>255872</v>
      </c>
      <c r="BD4" s="3" t="s">
        <v>72</v>
      </c>
      <c r="BE4" s="43" t="s">
        <v>84</v>
      </c>
      <c r="BF4" s="12" t="s">
        <v>80</v>
      </c>
      <c r="BG4" s="4" t="s">
        <v>85</v>
      </c>
      <c r="BH4" s="4" t="s">
        <v>85</v>
      </c>
      <c r="BI4" s="12" t="s">
        <v>85</v>
      </c>
      <c r="BJ4" s="51" t="s">
        <v>82</v>
      </c>
    </row>
    <row r="5" spans="1:62" ht="36.5" x14ac:dyDescent="0.35">
      <c r="A5">
        <v>41063936</v>
      </c>
      <c r="B5" s="84">
        <f t="shared" si="0"/>
        <v>246</v>
      </c>
      <c r="C5" s="84">
        <f t="shared" si="1"/>
        <v>279</v>
      </c>
      <c r="E5" s="3">
        <v>112384</v>
      </c>
      <c r="F5" s="84">
        <v>205</v>
      </c>
      <c r="G5" s="86">
        <v>234</v>
      </c>
      <c r="H5" s="18">
        <v>203</v>
      </c>
      <c r="I5" s="18">
        <v>232</v>
      </c>
      <c r="J5" s="90">
        <v>63</v>
      </c>
      <c r="K5" s="90">
        <v>62</v>
      </c>
      <c r="L5" s="84">
        <v>47</v>
      </c>
      <c r="M5" s="86">
        <v>60</v>
      </c>
      <c r="N5" s="3">
        <v>198751</v>
      </c>
      <c r="O5">
        <f t="shared" si="2"/>
        <v>24</v>
      </c>
      <c r="P5">
        <f t="shared" si="3"/>
        <v>32</v>
      </c>
      <c r="Q5">
        <f t="shared" si="4"/>
        <v>12</v>
      </c>
      <c r="R5">
        <f t="shared" si="5"/>
        <v>28</v>
      </c>
      <c r="S5">
        <f t="shared" si="6"/>
        <v>28.5</v>
      </c>
      <c r="T5">
        <f t="shared" si="7"/>
        <v>20</v>
      </c>
      <c r="U5">
        <f t="shared" si="8"/>
        <v>9.5</v>
      </c>
      <c r="V5">
        <f t="shared" si="9"/>
        <v>16</v>
      </c>
      <c r="X5" s="5">
        <v>106301</v>
      </c>
      <c r="Y5">
        <f t="shared" si="10"/>
        <v>112</v>
      </c>
      <c r="Z5">
        <f t="shared" si="11"/>
        <v>83.5</v>
      </c>
      <c r="AA5">
        <f t="shared" si="12"/>
        <v>40</v>
      </c>
      <c r="AB5">
        <f t="shared" si="13"/>
        <v>36.5</v>
      </c>
      <c r="AC5">
        <f t="shared" si="14"/>
        <v>1105.5</v>
      </c>
      <c r="AD5">
        <f t="shared" si="15"/>
        <v>825.5</v>
      </c>
      <c r="AE5">
        <f t="shared" si="16"/>
        <v>426.5</v>
      </c>
      <c r="AF5">
        <f t="shared" si="17"/>
        <v>493</v>
      </c>
      <c r="AG5" s="3">
        <v>198751</v>
      </c>
      <c r="AH5" s="31">
        <v>24</v>
      </c>
      <c r="AI5" s="31">
        <v>32</v>
      </c>
      <c r="AJ5" s="37">
        <v>-8</v>
      </c>
      <c r="AK5" s="37">
        <v>-25</v>
      </c>
      <c r="AL5" s="36">
        <v>12</v>
      </c>
      <c r="AM5" s="36">
        <v>28</v>
      </c>
      <c r="AN5" s="37">
        <v>-16</v>
      </c>
      <c r="AO5" s="37">
        <v>-57.142857142857139</v>
      </c>
      <c r="AP5" s="38">
        <v>338.5</v>
      </c>
      <c r="AQ5" s="39">
        <v>257.5</v>
      </c>
      <c r="AR5" s="37">
        <v>81</v>
      </c>
      <c r="AS5" s="37">
        <v>31.456310679611647</v>
      </c>
      <c r="AT5" s="36">
        <v>195.5</v>
      </c>
      <c r="AU5" s="36">
        <v>248.5</v>
      </c>
      <c r="AV5" s="37">
        <v>-53</v>
      </c>
      <c r="AW5" s="37">
        <v>-21.327967806841048</v>
      </c>
      <c r="AX5" s="3">
        <v>112384</v>
      </c>
      <c r="AY5" t="str">
        <f t="shared" si="18"/>
        <v>ANAND FS</v>
      </c>
      <c r="AZ5" t="str">
        <f t="shared" si="19"/>
        <v>Lutyens</v>
      </c>
      <c r="BC5" s="3">
        <v>198751</v>
      </c>
      <c r="BD5" s="3" t="s">
        <v>72</v>
      </c>
      <c r="BE5" s="41" t="s">
        <v>1005</v>
      </c>
      <c r="BF5" s="12" t="s">
        <v>88</v>
      </c>
      <c r="BG5" s="4" t="s">
        <v>89</v>
      </c>
      <c r="BH5" s="4" t="s">
        <v>90</v>
      </c>
      <c r="BI5" s="12" t="s">
        <v>90</v>
      </c>
      <c r="BJ5" s="51" t="s">
        <v>1004</v>
      </c>
    </row>
    <row r="6" spans="1:62" ht="48.5" x14ac:dyDescent="0.35">
      <c r="A6">
        <v>112383</v>
      </c>
      <c r="B6" s="84">
        <f t="shared" si="0"/>
        <v>463.5</v>
      </c>
      <c r="C6" s="84">
        <f t="shared" si="1"/>
        <v>468</v>
      </c>
      <c r="E6" s="3">
        <v>112385</v>
      </c>
      <c r="F6" s="84">
        <v>400</v>
      </c>
      <c r="G6" s="86">
        <v>390</v>
      </c>
      <c r="H6" s="18">
        <v>330</v>
      </c>
      <c r="I6" s="18">
        <v>405</v>
      </c>
      <c r="J6" s="90">
        <v>50</v>
      </c>
      <c r="K6" s="90">
        <v>55</v>
      </c>
      <c r="L6" s="84">
        <v>40</v>
      </c>
      <c r="M6" s="86">
        <v>70</v>
      </c>
      <c r="N6" s="3">
        <v>112397</v>
      </c>
      <c r="O6">
        <f t="shared" si="2"/>
        <v>760</v>
      </c>
      <c r="P6">
        <f t="shared" si="3"/>
        <v>639</v>
      </c>
      <c r="Q6">
        <f t="shared" si="4"/>
        <v>220</v>
      </c>
      <c r="R6">
        <f t="shared" si="5"/>
        <v>207</v>
      </c>
      <c r="S6">
        <f t="shared" si="6"/>
        <v>650</v>
      </c>
      <c r="T6">
        <f t="shared" si="7"/>
        <v>578</v>
      </c>
      <c r="U6">
        <f t="shared" si="8"/>
        <v>170</v>
      </c>
      <c r="V6">
        <f t="shared" si="9"/>
        <v>180</v>
      </c>
      <c r="X6" s="5">
        <v>106329</v>
      </c>
      <c r="Y6">
        <f t="shared" si="10"/>
        <v>344.5</v>
      </c>
      <c r="Z6">
        <f t="shared" si="11"/>
        <v>344</v>
      </c>
      <c r="AA6">
        <f t="shared" si="12"/>
        <v>61.5</v>
      </c>
      <c r="AB6">
        <f t="shared" si="13"/>
        <v>74</v>
      </c>
      <c r="AC6">
        <f t="shared" si="14"/>
        <v>4241</v>
      </c>
      <c r="AD6">
        <f t="shared" si="15"/>
        <v>3253</v>
      </c>
      <c r="AE6">
        <f t="shared" si="16"/>
        <v>727</v>
      </c>
      <c r="AF6">
        <f t="shared" si="17"/>
        <v>789</v>
      </c>
      <c r="AG6" s="3">
        <v>112397</v>
      </c>
      <c r="AH6" s="31">
        <v>760</v>
      </c>
      <c r="AI6" s="31">
        <v>639</v>
      </c>
      <c r="AJ6" s="37">
        <v>121</v>
      </c>
      <c r="AK6" s="37">
        <v>18.935837245696401</v>
      </c>
      <c r="AL6" s="36">
        <v>220</v>
      </c>
      <c r="AM6" s="36">
        <v>207</v>
      </c>
      <c r="AN6" s="37">
        <v>13</v>
      </c>
      <c r="AO6" s="37">
        <v>6.2801932367149762</v>
      </c>
      <c r="AP6" s="38">
        <v>8268.5</v>
      </c>
      <c r="AQ6" s="39">
        <v>6579.0000059999993</v>
      </c>
      <c r="AR6" s="37">
        <v>1689.4999940000007</v>
      </c>
      <c r="AS6" s="37">
        <v>25.680194443824128</v>
      </c>
      <c r="AT6" s="36">
        <v>2225.5</v>
      </c>
      <c r="AU6" s="36">
        <v>2448</v>
      </c>
      <c r="AV6" s="37">
        <v>-222.5</v>
      </c>
      <c r="AW6" s="37">
        <v>-9.0890522875816995</v>
      </c>
      <c r="AX6" s="3">
        <v>112385</v>
      </c>
      <c r="AY6" t="str">
        <f t="shared" si="18"/>
        <v>ANAND SUPER</v>
      </c>
      <c r="AZ6" t="str">
        <f t="shared" si="19"/>
        <v>Old Delhi</v>
      </c>
      <c r="BC6" s="3">
        <v>112397</v>
      </c>
      <c r="BD6" s="3" t="s">
        <v>72</v>
      </c>
      <c r="BE6" s="42" t="s">
        <v>92</v>
      </c>
      <c r="BF6" s="12" t="s">
        <v>93</v>
      </c>
      <c r="BG6" s="4" t="s">
        <v>94</v>
      </c>
      <c r="BH6" s="4" t="s">
        <v>95</v>
      </c>
      <c r="BI6" s="12" t="s">
        <v>95</v>
      </c>
      <c r="BJ6" s="51" t="s">
        <v>96</v>
      </c>
    </row>
    <row r="7" spans="1:62" ht="60.5" x14ac:dyDescent="0.35">
      <c r="A7">
        <v>41056396</v>
      </c>
      <c r="B7" s="84">
        <f t="shared" si="0"/>
        <v>276</v>
      </c>
      <c r="C7" s="84">
        <f t="shared" si="1"/>
        <v>285.5</v>
      </c>
      <c r="E7" s="3">
        <v>112386</v>
      </c>
      <c r="F7" s="84">
        <v>370</v>
      </c>
      <c r="G7" s="86">
        <v>435</v>
      </c>
      <c r="H7" s="18">
        <v>342</v>
      </c>
      <c r="I7" s="18">
        <v>387</v>
      </c>
      <c r="J7" s="90">
        <v>54</v>
      </c>
      <c r="K7" s="90">
        <v>63</v>
      </c>
      <c r="L7" s="84">
        <v>50</v>
      </c>
      <c r="M7" s="86">
        <v>65</v>
      </c>
      <c r="N7" s="3">
        <v>250828</v>
      </c>
      <c r="O7">
        <f t="shared" si="2"/>
        <v>341</v>
      </c>
      <c r="P7">
        <f t="shared" si="3"/>
        <v>324</v>
      </c>
      <c r="Q7">
        <f t="shared" si="4"/>
        <v>302</v>
      </c>
      <c r="R7">
        <f t="shared" si="5"/>
        <v>240</v>
      </c>
      <c r="S7">
        <f t="shared" si="6"/>
        <v>372</v>
      </c>
      <c r="T7">
        <f t="shared" si="7"/>
        <v>313</v>
      </c>
      <c r="U7">
        <f t="shared" si="8"/>
        <v>225</v>
      </c>
      <c r="V7">
        <f t="shared" si="9"/>
        <v>316</v>
      </c>
      <c r="X7" s="9">
        <v>41056793</v>
      </c>
      <c r="Y7">
        <f t="shared" si="10"/>
        <v>338</v>
      </c>
      <c r="Z7">
        <f t="shared" si="11"/>
        <v>288.5</v>
      </c>
      <c r="AA7">
        <f t="shared" si="12"/>
        <v>54</v>
      </c>
      <c r="AB7">
        <f t="shared" si="13"/>
        <v>56.5</v>
      </c>
      <c r="AC7">
        <f t="shared" si="14"/>
        <v>4144.5</v>
      </c>
      <c r="AD7">
        <f t="shared" si="15"/>
        <v>2835.5</v>
      </c>
      <c r="AE7">
        <f t="shared" si="16"/>
        <v>724.5</v>
      </c>
      <c r="AF7">
        <f t="shared" si="17"/>
        <v>719</v>
      </c>
      <c r="AG7" s="3">
        <v>250828</v>
      </c>
      <c r="AH7" s="31">
        <v>341</v>
      </c>
      <c r="AI7" s="31">
        <v>324</v>
      </c>
      <c r="AJ7" s="37">
        <v>17</v>
      </c>
      <c r="AK7" s="37">
        <v>5.2469135802469129</v>
      </c>
      <c r="AL7" s="36">
        <v>302</v>
      </c>
      <c r="AM7" s="36">
        <v>240</v>
      </c>
      <c r="AN7" s="37">
        <v>62</v>
      </c>
      <c r="AO7" s="37">
        <v>25.833333333333336</v>
      </c>
      <c r="AP7" s="38">
        <v>4467</v>
      </c>
      <c r="AQ7" s="39">
        <v>1843.6109999999999</v>
      </c>
      <c r="AR7" s="37">
        <v>2623.3890000000001</v>
      </c>
      <c r="AS7" s="37">
        <v>142.29623277361659</v>
      </c>
      <c r="AT7" s="36">
        <v>3265</v>
      </c>
      <c r="AU7" s="36">
        <v>2204.1190000000001</v>
      </c>
      <c r="AV7" s="37">
        <v>1060.8809999999999</v>
      </c>
      <c r="AW7" s="37">
        <v>48.131747877496622</v>
      </c>
      <c r="AX7" s="3">
        <v>112386</v>
      </c>
      <c r="AY7" t="str">
        <f t="shared" si="18"/>
        <v>ANIL-SHANKAR</v>
      </c>
      <c r="AZ7" t="str">
        <f t="shared" si="19"/>
        <v>Punjabi Bagh</v>
      </c>
      <c r="BC7" s="3">
        <v>250828</v>
      </c>
      <c r="BD7" s="3" t="s">
        <v>72</v>
      </c>
      <c r="BE7" s="43" t="s">
        <v>97</v>
      </c>
      <c r="BF7" s="12" t="s">
        <v>74</v>
      </c>
      <c r="BG7" s="4" t="s">
        <v>75</v>
      </c>
      <c r="BH7" s="4" t="s">
        <v>76</v>
      </c>
      <c r="BI7" s="12" t="s">
        <v>76</v>
      </c>
      <c r="BJ7" s="51" t="s">
        <v>77</v>
      </c>
    </row>
    <row r="8" spans="1:62" ht="60.5" x14ac:dyDescent="0.35">
      <c r="A8">
        <v>152706</v>
      </c>
      <c r="B8" s="84">
        <f t="shared" si="0"/>
        <v>120</v>
      </c>
      <c r="C8" s="84">
        <f t="shared" si="1"/>
        <v>130</v>
      </c>
      <c r="E8" s="3">
        <v>112387</v>
      </c>
      <c r="F8" s="84">
        <v>490.5</v>
      </c>
      <c r="G8" s="86">
        <v>553</v>
      </c>
      <c r="H8" s="18">
        <v>459</v>
      </c>
      <c r="I8" s="18">
        <v>504</v>
      </c>
      <c r="J8" s="90">
        <v>81</v>
      </c>
      <c r="K8" s="90">
        <v>102</v>
      </c>
      <c r="L8" s="84">
        <v>49.5</v>
      </c>
      <c r="M8" s="86">
        <v>89</v>
      </c>
      <c r="N8" s="3">
        <v>129151</v>
      </c>
      <c r="O8">
        <f t="shared" si="2"/>
        <v>1197</v>
      </c>
      <c r="P8">
        <f t="shared" si="3"/>
        <v>1008</v>
      </c>
      <c r="Q8">
        <f t="shared" si="4"/>
        <v>175</v>
      </c>
      <c r="R8">
        <f t="shared" si="5"/>
        <v>172</v>
      </c>
      <c r="S8">
        <f t="shared" si="6"/>
        <v>1028</v>
      </c>
      <c r="T8">
        <f t="shared" si="7"/>
        <v>931</v>
      </c>
      <c r="U8">
        <f t="shared" si="8"/>
        <v>150</v>
      </c>
      <c r="V8">
        <f t="shared" si="9"/>
        <v>163</v>
      </c>
      <c r="X8" s="3">
        <v>112383</v>
      </c>
      <c r="Y8">
        <f t="shared" si="10"/>
        <v>468</v>
      </c>
      <c r="Z8">
        <f t="shared" si="11"/>
        <v>486</v>
      </c>
      <c r="AA8">
        <f t="shared" si="12"/>
        <v>90</v>
      </c>
      <c r="AB8">
        <f t="shared" si="13"/>
        <v>108</v>
      </c>
      <c r="AC8">
        <f t="shared" si="14"/>
        <v>5728.5</v>
      </c>
      <c r="AD8">
        <f t="shared" si="15"/>
        <v>4860.0000010000003</v>
      </c>
      <c r="AE8">
        <f t="shared" si="16"/>
        <v>1093.5</v>
      </c>
      <c r="AF8">
        <f t="shared" si="17"/>
        <v>1341</v>
      </c>
      <c r="AG8" s="3">
        <v>129151</v>
      </c>
      <c r="AH8" s="31">
        <v>1197</v>
      </c>
      <c r="AI8" s="31">
        <v>1008</v>
      </c>
      <c r="AJ8" s="37">
        <v>189</v>
      </c>
      <c r="AK8" s="37">
        <v>18.75</v>
      </c>
      <c r="AL8" s="36">
        <v>175</v>
      </c>
      <c r="AM8" s="36">
        <v>172</v>
      </c>
      <c r="AN8" s="37">
        <v>3</v>
      </c>
      <c r="AO8" s="37">
        <v>1.7441860465116279</v>
      </c>
      <c r="AP8" s="38">
        <v>13654</v>
      </c>
      <c r="AQ8" s="39">
        <v>10266.500077000001</v>
      </c>
      <c r="AR8" s="37">
        <v>3387.4999229999994</v>
      </c>
      <c r="AS8" s="37">
        <v>32.995664516566869</v>
      </c>
      <c r="AT8" s="36">
        <v>1974</v>
      </c>
      <c r="AU8" s="36">
        <v>2138.5</v>
      </c>
      <c r="AV8" s="37">
        <v>-164.5</v>
      </c>
      <c r="AW8" s="37">
        <v>-7.6923076923076925</v>
      </c>
      <c r="AX8" s="3">
        <v>112387</v>
      </c>
      <c r="AY8" t="str">
        <f t="shared" si="18"/>
        <v>AIRPORT_SINGH_ANUP</v>
      </c>
      <c r="AZ8" t="str">
        <f t="shared" si="19"/>
        <v>Greater Kailash I &amp;II</v>
      </c>
      <c r="BC8" s="3">
        <v>129151</v>
      </c>
      <c r="BD8" s="3" t="s">
        <v>72</v>
      </c>
      <c r="BE8" s="40" t="s">
        <v>98</v>
      </c>
      <c r="BF8" s="12" t="s">
        <v>99</v>
      </c>
      <c r="BG8" s="4" t="s">
        <v>75</v>
      </c>
      <c r="BH8" s="4" t="s">
        <v>100</v>
      </c>
      <c r="BI8" s="12" t="s">
        <v>100</v>
      </c>
      <c r="BJ8" s="51" t="s">
        <v>77</v>
      </c>
    </row>
    <row r="9" spans="1:62" ht="36.5" x14ac:dyDescent="0.35">
      <c r="A9">
        <v>186849</v>
      </c>
      <c r="B9" s="84">
        <f t="shared" si="0"/>
        <v>156</v>
      </c>
      <c r="C9" s="84">
        <f t="shared" si="1"/>
        <v>170</v>
      </c>
      <c r="E9" s="3">
        <v>112389</v>
      </c>
      <c r="F9" s="84">
        <v>171</v>
      </c>
      <c r="G9" s="86">
        <v>169</v>
      </c>
      <c r="H9" s="18">
        <v>131</v>
      </c>
      <c r="I9" s="18">
        <v>145</v>
      </c>
      <c r="J9" s="90">
        <v>41</v>
      </c>
      <c r="K9" s="90">
        <v>59</v>
      </c>
      <c r="L9" s="84">
        <v>73</v>
      </c>
      <c r="M9" s="86">
        <v>41</v>
      </c>
      <c r="N9" s="3">
        <v>112403</v>
      </c>
      <c r="O9">
        <f t="shared" si="2"/>
        <v>327</v>
      </c>
      <c r="P9">
        <f t="shared" si="3"/>
        <v>306.5</v>
      </c>
      <c r="Q9">
        <f t="shared" si="4"/>
        <v>75</v>
      </c>
      <c r="R9">
        <f t="shared" si="5"/>
        <v>79.5</v>
      </c>
      <c r="S9">
        <f t="shared" si="6"/>
        <v>301</v>
      </c>
      <c r="T9">
        <f t="shared" si="7"/>
        <v>299</v>
      </c>
      <c r="U9">
        <f t="shared" si="8"/>
        <v>79</v>
      </c>
      <c r="V9">
        <f t="shared" si="9"/>
        <v>77</v>
      </c>
      <c r="X9" s="5">
        <v>106239</v>
      </c>
      <c r="Y9">
        <f t="shared" si="10"/>
        <v>460</v>
      </c>
      <c r="Z9">
        <f t="shared" si="11"/>
        <v>401.5</v>
      </c>
      <c r="AA9">
        <f t="shared" si="12"/>
        <v>80</v>
      </c>
      <c r="AB9">
        <f t="shared" si="13"/>
        <v>72.5</v>
      </c>
      <c r="AC9">
        <f t="shared" si="14"/>
        <v>5322</v>
      </c>
      <c r="AD9">
        <f t="shared" si="15"/>
        <v>3001.5</v>
      </c>
      <c r="AE9">
        <f t="shared" si="16"/>
        <v>850</v>
      </c>
      <c r="AF9">
        <f t="shared" si="17"/>
        <v>753</v>
      </c>
      <c r="AG9" s="3">
        <v>112403</v>
      </c>
      <c r="AH9" s="31">
        <v>327</v>
      </c>
      <c r="AI9" s="31">
        <v>306.5</v>
      </c>
      <c r="AJ9" s="37">
        <v>20.5</v>
      </c>
      <c r="AK9" s="37">
        <v>6.6884176182707993</v>
      </c>
      <c r="AL9" s="36">
        <v>75</v>
      </c>
      <c r="AM9" s="36">
        <v>79.5</v>
      </c>
      <c r="AN9" s="37">
        <v>-4.5</v>
      </c>
      <c r="AO9" s="37">
        <v>-5.6603773584905666</v>
      </c>
      <c r="AP9" s="38">
        <v>3801.808</v>
      </c>
      <c r="AQ9" s="39">
        <v>3211.5000019999998</v>
      </c>
      <c r="AR9" s="37">
        <v>590.30799800000023</v>
      </c>
      <c r="AS9" s="37">
        <v>18.381067963019738</v>
      </c>
      <c r="AT9" s="36">
        <v>887</v>
      </c>
      <c r="AU9" s="36">
        <v>1091</v>
      </c>
      <c r="AV9" s="37">
        <v>-204</v>
      </c>
      <c r="AW9" s="37">
        <v>-18.698441796516956</v>
      </c>
      <c r="AX9" s="3">
        <v>112389</v>
      </c>
      <c r="AY9" t="str">
        <f t="shared" si="18"/>
        <v>ARAVALI</v>
      </c>
      <c r="AZ9" t="str">
        <f t="shared" si="19"/>
        <v>Dwarka</v>
      </c>
      <c r="BC9" s="3">
        <v>112403</v>
      </c>
      <c r="BD9" s="3" t="s">
        <v>72</v>
      </c>
      <c r="BE9" s="41" t="s">
        <v>101</v>
      </c>
      <c r="BF9" s="12" t="s">
        <v>102</v>
      </c>
      <c r="BG9" s="4" t="s">
        <v>103</v>
      </c>
      <c r="BH9" s="4" t="s">
        <v>104</v>
      </c>
      <c r="BI9" s="12" t="s">
        <v>104</v>
      </c>
      <c r="BJ9" s="51" t="s">
        <v>105</v>
      </c>
    </row>
    <row r="10" spans="1:62" ht="60.5" x14ac:dyDescent="0.35">
      <c r="A10">
        <v>41030511</v>
      </c>
      <c r="B10" s="84">
        <f t="shared" si="0"/>
        <v>345</v>
      </c>
      <c r="C10" s="84">
        <f t="shared" si="1"/>
        <v>390</v>
      </c>
      <c r="E10" s="3">
        <v>112390</v>
      </c>
      <c r="F10" s="84">
        <v>630</v>
      </c>
      <c r="G10" s="86">
        <v>670</v>
      </c>
      <c r="H10" s="18">
        <v>555</v>
      </c>
      <c r="I10" s="18">
        <v>645</v>
      </c>
      <c r="J10" s="90">
        <v>85</v>
      </c>
      <c r="K10" s="90">
        <v>115</v>
      </c>
      <c r="L10" s="84">
        <v>90</v>
      </c>
      <c r="M10" s="86">
        <v>90</v>
      </c>
      <c r="N10" s="3">
        <v>112457</v>
      </c>
      <c r="O10">
        <f t="shared" si="2"/>
        <v>270.5</v>
      </c>
      <c r="P10">
        <f t="shared" si="3"/>
        <v>254.5</v>
      </c>
      <c r="Q10">
        <f t="shared" si="4"/>
        <v>33.5</v>
      </c>
      <c r="R10">
        <f t="shared" si="5"/>
        <v>37.5</v>
      </c>
      <c r="S10">
        <f t="shared" si="6"/>
        <v>265</v>
      </c>
      <c r="T10">
        <f t="shared" si="7"/>
        <v>238</v>
      </c>
      <c r="U10">
        <f t="shared" si="8"/>
        <v>41</v>
      </c>
      <c r="V10">
        <f t="shared" si="9"/>
        <v>30</v>
      </c>
      <c r="X10" s="3">
        <v>112443</v>
      </c>
      <c r="Y10">
        <f t="shared" si="10"/>
        <v>328</v>
      </c>
      <c r="Z10">
        <f t="shared" si="11"/>
        <v>322</v>
      </c>
      <c r="AA10">
        <f t="shared" si="12"/>
        <v>134</v>
      </c>
      <c r="AB10">
        <f t="shared" si="13"/>
        <v>126</v>
      </c>
      <c r="AC10">
        <f t="shared" si="14"/>
        <v>3993</v>
      </c>
      <c r="AD10">
        <f t="shared" si="15"/>
        <v>3095.5000140000002</v>
      </c>
      <c r="AE10">
        <f t="shared" si="16"/>
        <v>1257</v>
      </c>
      <c r="AF10">
        <f t="shared" si="17"/>
        <v>1217.5</v>
      </c>
      <c r="AG10" s="3">
        <v>112457</v>
      </c>
      <c r="AH10" s="31">
        <v>270.5</v>
      </c>
      <c r="AI10" s="31">
        <v>254.5</v>
      </c>
      <c r="AJ10" s="37">
        <v>16</v>
      </c>
      <c r="AK10" s="37">
        <v>6.2868369351669937</v>
      </c>
      <c r="AL10" s="36">
        <v>33.5</v>
      </c>
      <c r="AM10" s="36">
        <v>37.5</v>
      </c>
      <c r="AN10" s="37">
        <v>-4</v>
      </c>
      <c r="AO10" s="37">
        <v>-10.666666666666668</v>
      </c>
      <c r="AP10" s="38">
        <v>3181.5</v>
      </c>
      <c r="AQ10" s="39">
        <v>2484.500016</v>
      </c>
      <c r="AR10" s="37">
        <v>696.99998400000004</v>
      </c>
      <c r="AS10" s="37">
        <v>28.053933568580025</v>
      </c>
      <c r="AT10" s="36">
        <v>394.5</v>
      </c>
      <c r="AU10" s="36">
        <v>391</v>
      </c>
      <c r="AV10" s="37">
        <v>3.5</v>
      </c>
      <c r="AW10" s="37">
        <v>0.8951406649616368</v>
      </c>
      <c r="AX10" s="3">
        <v>112390</v>
      </c>
      <c r="AY10" t="str">
        <f t="shared" si="18"/>
        <v>AUTO CARE-WELCOME</v>
      </c>
      <c r="AZ10" t="str">
        <f t="shared" si="19"/>
        <v>Punjabi Bagh</v>
      </c>
      <c r="BC10" s="3">
        <v>112457</v>
      </c>
      <c r="BD10" s="3" t="s">
        <v>72</v>
      </c>
      <c r="BE10" s="45" t="s">
        <v>106</v>
      </c>
      <c r="BF10" s="12" t="s">
        <v>107</v>
      </c>
      <c r="BG10" s="4" t="s">
        <v>75</v>
      </c>
      <c r="BH10" s="4" t="s">
        <v>108</v>
      </c>
      <c r="BI10" s="12" t="s">
        <v>108</v>
      </c>
      <c r="BJ10" s="51" t="s">
        <v>77</v>
      </c>
    </row>
    <row r="11" spans="1:62" ht="36.5" x14ac:dyDescent="0.35">
      <c r="A11">
        <v>106217</v>
      </c>
      <c r="B11" s="84">
        <f t="shared" si="0"/>
        <v>346</v>
      </c>
      <c r="C11" s="84">
        <f t="shared" si="1"/>
        <v>389</v>
      </c>
      <c r="E11" s="3">
        <v>112391</v>
      </c>
      <c r="F11" s="84">
        <v>610</v>
      </c>
      <c r="G11" s="86">
        <v>667</v>
      </c>
      <c r="H11" s="18">
        <v>525</v>
      </c>
      <c r="I11" s="18">
        <v>625</v>
      </c>
      <c r="J11" s="90">
        <v>135</v>
      </c>
      <c r="K11" s="90">
        <v>155</v>
      </c>
      <c r="L11" s="84">
        <v>130</v>
      </c>
      <c r="M11" s="86">
        <v>145</v>
      </c>
      <c r="N11" s="3">
        <v>112434</v>
      </c>
      <c r="O11">
        <f t="shared" si="2"/>
        <v>340</v>
      </c>
      <c r="P11">
        <f t="shared" si="3"/>
        <v>292.5</v>
      </c>
      <c r="Q11">
        <f t="shared" si="4"/>
        <v>100</v>
      </c>
      <c r="R11">
        <f t="shared" si="5"/>
        <v>139.5</v>
      </c>
      <c r="S11">
        <f t="shared" si="6"/>
        <v>310</v>
      </c>
      <c r="T11">
        <f t="shared" si="7"/>
        <v>283.5</v>
      </c>
      <c r="U11">
        <f t="shared" si="8"/>
        <v>110</v>
      </c>
      <c r="V11">
        <f t="shared" si="9"/>
        <v>130.5</v>
      </c>
      <c r="X11" s="3">
        <v>112438</v>
      </c>
      <c r="Y11">
        <f t="shared" si="10"/>
        <v>299</v>
      </c>
      <c r="Z11">
        <f t="shared" si="11"/>
        <v>324</v>
      </c>
      <c r="AA11">
        <f t="shared" si="12"/>
        <v>53.5</v>
      </c>
      <c r="AB11">
        <f t="shared" si="13"/>
        <v>72</v>
      </c>
      <c r="AC11">
        <f t="shared" si="14"/>
        <v>3676.5</v>
      </c>
      <c r="AD11">
        <f t="shared" si="15"/>
        <v>3065.5000090000003</v>
      </c>
      <c r="AE11">
        <f t="shared" si="16"/>
        <v>756</v>
      </c>
      <c r="AF11">
        <f t="shared" si="17"/>
        <v>943</v>
      </c>
      <c r="AG11" s="3">
        <v>112434</v>
      </c>
      <c r="AH11" s="31">
        <v>340</v>
      </c>
      <c r="AI11" s="31">
        <v>292.5</v>
      </c>
      <c r="AJ11" s="37">
        <v>47.5</v>
      </c>
      <c r="AK11" s="37">
        <v>16.239316239316238</v>
      </c>
      <c r="AL11" s="36">
        <v>100</v>
      </c>
      <c r="AM11" s="36">
        <v>139.5</v>
      </c>
      <c r="AN11" s="37">
        <v>-39.5</v>
      </c>
      <c r="AO11" s="37">
        <v>-28.31541218637993</v>
      </c>
      <c r="AP11" s="38">
        <v>4062</v>
      </c>
      <c r="AQ11" s="39">
        <v>3258.0000199999999</v>
      </c>
      <c r="AR11" s="37">
        <v>803.99998000000005</v>
      </c>
      <c r="AS11" s="37">
        <v>24.677715625060063</v>
      </c>
      <c r="AT11" s="36">
        <v>1426</v>
      </c>
      <c r="AU11" s="36">
        <v>1728</v>
      </c>
      <c r="AV11" s="37">
        <v>-302</v>
      </c>
      <c r="AW11" s="37">
        <v>-17.476851851851851</v>
      </c>
      <c r="AX11" s="3">
        <v>112391</v>
      </c>
      <c r="AY11" t="str">
        <f t="shared" si="18"/>
        <v>AUTO CENTRE_NAVYUG_PREM</v>
      </c>
      <c r="AZ11" t="str">
        <f t="shared" si="19"/>
        <v>Greater Kailash I &amp;II</v>
      </c>
      <c r="BC11" s="3">
        <v>112434</v>
      </c>
      <c r="BD11" s="3" t="s">
        <v>72</v>
      </c>
      <c r="BE11" s="43" t="s">
        <v>109</v>
      </c>
      <c r="BF11" s="12" t="s">
        <v>110</v>
      </c>
      <c r="BG11" s="4" t="s">
        <v>111</v>
      </c>
      <c r="BH11" s="4" t="s">
        <v>112</v>
      </c>
      <c r="BI11" s="12" t="s">
        <v>112</v>
      </c>
      <c r="BJ11" s="51" t="s">
        <v>113</v>
      </c>
    </row>
    <row r="12" spans="1:62" ht="36.5" x14ac:dyDescent="0.35">
      <c r="A12">
        <v>106218</v>
      </c>
      <c r="B12" s="84">
        <f t="shared" si="0"/>
        <v>438.5</v>
      </c>
      <c r="C12" s="84">
        <f t="shared" si="1"/>
        <v>486</v>
      </c>
      <c r="E12" s="3">
        <v>112392</v>
      </c>
      <c r="F12" s="84">
        <v>365</v>
      </c>
      <c r="G12" s="86">
        <v>400</v>
      </c>
      <c r="H12" s="18">
        <v>387</v>
      </c>
      <c r="I12" s="18">
        <v>405</v>
      </c>
      <c r="J12" s="90">
        <v>225</v>
      </c>
      <c r="K12" s="90">
        <v>225</v>
      </c>
      <c r="L12" s="84">
        <v>195</v>
      </c>
      <c r="M12" s="86">
        <v>200</v>
      </c>
      <c r="N12" s="3">
        <v>112398</v>
      </c>
      <c r="O12">
        <f t="shared" si="2"/>
        <v>208.5</v>
      </c>
      <c r="P12">
        <f t="shared" si="3"/>
        <v>216</v>
      </c>
      <c r="Q12">
        <f t="shared" si="4"/>
        <v>63.5</v>
      </c>
      <c r="R12">
        <f t="shared" si="5"/>
        <v>54</v>
      </c>
      <c r="S12">
        <f t="shared" si="6"/>
        <v>198</v>
      </c>
      <c r="T12">
        <f t="shared" si="7"/>
        <v>207</v>
      </c>
      <c r="U12">
        <f t="shared" si="8"/>
        <v>54</v>
      </c>
      <c r="V12">
        <f t="shared" si="9"/>
        <v>45</v>
      </c>
      <c r="X12" s="9">
        <v>41056997</v>
      </c>
      <c r="Y12">
        <f t="shared" si="10"/>
        <v>20</v>
      </c>
      <c r="Z12">
        <f t="shared" si="11"/>
        <v>41</v>
      </c>
      <c r="AA12">
        <f t="shared" si="12"/>
        <v>40</v>
      </c>
      <c r="AB12">
        <f t="shared" si="13"/>
        <v>49</v>
      </c>
      <c r="AC12">
        <f t="shared" si="14"/>
        <v>431.5</v>
      </c>
      <c r="AD12">
        <f t="shared" si="15"/>
        <v>375.5</v>
      </c>
      <c r="AE12">
        <f t="shared" si="16"/>
        <v>802.5</v>
      </c>
      <c r="AF12">
        <f t="shared" si="17"/>
        <v>1250.5</v>
      </c>
      <c r="AG12" s="3">
        <v>112398</v>
      </c>
      <c r="AH12" s="31">
        <v>208.5</v>
      </c>
      <c r="AI12" s="31">
        <v>216</v>
      </c>
      <c r="AJ12" s="37">
        <v>-7.5</v>
      </c>
      <c r="AK12" s="37">
        <v>-3.4722222222222223</v>
      </c>
      <c r="AL12" s="36">
        <v>63.5</v>
      </c>
      <c r="AM12" s="36">
        <v>54</v>
      </c>
      <c r="AN12" s="37">
        <v>9.5</v>
      </c>
      <c r="AO12" s="37">
        <v>17.592592592592592</v>
      </c>
      <c r="AP12" s="38">
        <v>2605.5</v>
      </c>
      <c r="AQ12" s="39">
        <v>2151.5000099999997</v>
      </c>
      <c r="AR12" s="37">
        <v>453.99999000000025</v>
      </c>
      <c r="AS12" s="37">
        <v>21.101556490348344</v>
      </c>
      <c r="AT12" s="36">
        <v>666.5</v>
      </c>
      <c r="AU12" s="36">
        <v>697.5</v>
      </c>
      <c r="AV12" s="37">
        <v>-31</v>
      </c>
      <c r="AW12" s="37">
        <v>-4.4444444444444446</v>
      </c>
      <c r="AX12" s="3">
        <v>112392</v>
      </c>
      <c r="AY12" t="str">
        <f t="shared" si="18"/>
        <v>AUTO GRIT</v>
      </c>
      <c r="AZ12" t="str">
        <f t="shared" si="19"/>
        <v>Mehrauli Badarpur Road</v>
      </c>
      <c r="BC12" s="3">
        <v>112398</v>
      </c>
      <c r="BD12" s="3" t="s">
        <v>72</v>
      </c>
      <c r="BE12" s="41" t="s">
        <v>114</v>
      </c>
      <c r="BF12" s="12" t="s">
        <v>115</v>
      </c>
      <c r="BG12" s="4" t="s">
        <v>111</v>
      </c>
      <c r="BH12" s="4" t="s">
        <v>116</v>
      </c>
      <c r="BI12" s="12" t="s">
        <v>116</v>
      </c>
      <c r="BJ12" s="51" t="s">
        <v>105</v>
      </c>
    </row>
    <row r="13" spans="1:62" ht="36.5" x14ac:dyDescent="0.35">
      <c r="A13">
        <v>129151</v>
      </c>
      <c r="B13" s="84">
        <f t="shared" si="0"/>
        <v>1028</v>
      </c>
      <c r="C13" s="84">
        <f t="shared" si="1"/>
        <v>1197</v>
      </c>
      <c r="E13" s="3">
        <v>112393</v>
      </c>
      <c r="F13" s="84">
        <v>300</v>
      </c>
      <c r="G13" s="86">
        <v>340</v>
      </c>
      <c r="H13" s="18">
        <v>243</v>
      </c>
      <c r="I13" s="18">
        <v>261</v>
      </c>
      <c r="J13" s="90">
        <v>27</v>
      </c>
      <c r="K13" s="90">
        <v>27</v>
      </c>
      <c r="L13" s="84">
        <v>40</v>
      </c>
      <c r="M13" s="86">
        <v>60</v>
      </c>
      <c r="N13" s="3">
        <v>149238</v>
      </c>
      <c r="O13">
        <f t="shared" si="2"/>
        <v>393.18</v>
      </c>
      <c r="P13">
        <f t="shared" si="3"/>
        <v>372.839</v>
      </c>
      <c r="Q13">
        <f t="shared" si="4"/>
        <v>93.567999999999998</v>
      </c>
      <c r="R13">
        <f t="shared" si="5"/>
        <v>139.68799999999999</v>
      </c>
      <c r="S13">
        <f t="shared" si="6"/>
        <v>355.3</v>
      </c>
      <c r="T13">
        <f t="shared" si="7"/>
        <v>322.79500000000002</v>
      </c>
      <c r="U13">
        <f t="shared" si="8"/>
        <v>85.400999999999996</v>
      </c>
      <c r="V13">
        <f t="shared" si="9"/>
        <v>118.18</v>
      </c>
      <c r="X13" s="9">
        <v>41019252</v>
      </c>
      <c r="Y13">
        <f t="shared" si="10"/>
        <v>557</v>
      </c>
      <c r="Z13">
        <f t="shared" si="11"/>
        <v>529</v>
      </c>
      <c r="AA13">
        <f t="shared" si="12"/>
        <v>105</v>
      </c>
      <c r="AB13">
        <f t="shared" si="13"/>
        <v>109</v>
      </c>
      <c r="AC13">
        <f t="shared" si="14"/>
        <v>6636</v>
      </c>
      <c r="AD13">
        <f t="shared" si="15"/>
        <v>5210</v>
      </c>
      <c r="AE13">
        <f t="shared" si="16"/>
        <v>1222</v>
      </c>
      <c r="AF13">
        <f t="shared" si="17"/>
        <v>1305</v>
      </c>
      <c r="AG13" s="3">
        <v>149238</v>
      </c>
      <c r="AH13" s="31">
        <v>393.18</v>
      </c>
      <c r="AI13" s="31">
        <v>372.839</v>
      </c>
      <c r="AJ13" s="37">
        <v>20.341000000000008</v>
      </c>
      <c r="AK13" s="37">
        <v>5.4557060822499812</v>
      </c>
      <c r="AL13" s="36">
        <v>93.567999999999998</v>
      </c>
      <c r="AM13" s="36">
        <v>139.68799999999999</v>
      </c>
      <c r="AN13" s="37">
        <v>-46.11999999999999</v>
      </c>
      <c r="AO13" s="37">
        <v>-33.016436630204453</v>
      </c>
      <c r="AP13" s="38">
        <v>4623.8450000000003</v>
      </c>
      <c r="AQ13" s="39">
        <v>3985.1840000000002</v>
      </c>
      <c r="AR13" s="37">
        <v>638.66100000000006</v>
      </c>
      <c r="AS13" s="37">
        <v>16.025884877586584</v>
      </c>
      <c r="AT13" s="36">
        <v>1212.248</v>
      </c>
      <c r="AU13" s="36">
        <v>1604.5340000000001</v>
      </c>
      <c r="AV13" s="37">
        <v>-392.28600000000006</v>
      </c>
      <c r="AW13" s="37">
        <v>-24.448593797326826</v>
      </c>
      <c r="AX13" s="3">
        <v>112393</v>
      </c>
      <c r="AY13" t="str">
        <f t="shared" si="18"/>
        <v>AUTO REST_OKHLA</v>
      </c>
      <c r="AZ13" t="str">
        <f t="shared" si="19"/>
        <v>Mathura Road</v>
      </c>
      <c r="BC13" s="3">
        <v>149238</v>
      </c>
      <c r="BD13" s="3" t="s">
        <v>72</v>
      </c>
      <c r="BE13" s="41" t="s">
        <v>117</v>
      </c>
      <c r="BF13" s="12" t="s">
        <v>118</v>
      </c>
      <c r="BG13" s="4" t="s">
        <v>103</v>
      </c>
      <c r="BH13" s="4" t="s">
        <v>119</v>
      </c>
      <c r="BI13" s="12" t="s">
        <v>119</v>
      </c>
      <c r="BJ13" s="51" t="s">
        <v>120</v>
      </c>
    </row>
    <row r="14" spans="1:62" ht="36.5" x14ac:dyDescent="0.35">
      <c r="A14">
        <v>186863</v>
      </c>
      <c r="B14" s="84">
        <f t="shared" si="0"/>
        <v>117</v>
      </c>
      <c r="C14" s="84">
        <f t="shared" si="1"/>
        <v>188.5</v>
      </c>
      <c r="E14" s="3">
        <v>163741</v>
      </c>
      <c r="F14" s="84">
        <v>400</v>
      </c>
      <c r="G14" s="86">
        <v>460</v>
      </c>
      <c r="H14" s="18">
        <v>340</v>
      </c>
      <c r="I14" s="18">
        <v>400</v>
      </c>
      <c r="J14" s="90">
        <v>80</v>
      </c>
      <c r="K14" s="90">
        <v>80</v>
      </c>
      <c r="L14" s="84">
        <v>80</v>
      </c>
      <c r="M14" s="86">
        <v>80</v>
      </c>
      <c r="N14" s="3">
        <v>112393</v>
      </c>
      <c r="O14">
        <f t="shared" si="2"/>
        <v>340</v>
      </c>
      <c r="P14">
        <f t="shared" si="3"/>
        <v>261</v>
      </c>
      <c r="Q14">
        <f t="shared" si="4"/>
        <v>60</v>
      </c>
      <c r="R14">
        <f t="shared" si="5"/>
        <v>27</v>
      </c>
      <c r="S14">
        <f t="shared" si="6"/>
        <v>300</v>
      </c>
      <c r="T14">
        <f t="shared" si="7"/>
        <v>243</v>
      </c>
      <c r="U14">
        <f t="shared" si="8"/>
        <v>40</v>
      </c>
      <c r="V14">
        <f t="shared" si="9"/>
        <v>27</v>
      </c>
      <c r="X14" s="3">
        <v>142009</v>
      </c>
      <c r="Y14">
        <f t="shared" si="10"/>
        <v>127.5</v>
      </c>
      <c r="Z14">
        <f t="shared" si="11"/>
        <v>122</v>
      </c>
      <c r="AA14">
        <f t="shared" si="12"/>
        <v>78.5</v>
      </c>
      <c r="AB14">
        <f t="shared" si="13"/>
        <v>66</v>
      </c>
      <c r="AC14">
        <f t="shared" si="14"/>
        <v>1444</v>
      </c>
      <c r="AD14">
        <f t="shared" si="15"/>
        <v>1260.5</v>
      </c>
      <c r="AE14">
        <f t="shared" si="16"/>
        <v>686</v>
      </c>
      <c r="AF14">
        <f t="shared" si="17"/>
        <v>813</v>
      </c>
      <c r="AG14" s="3">
        <v>112393</v>
      </c>
      <c r="AH14" s="31">
        <v>340</v>
      </c>
      <c r="AI14" s="31">
        <v>261</v>
      </c>
      <c r="AJ14" s="37">
        <v>79</v>
      </c>
      <c r="AK14" s="37">
        <v>30.268199233716476</v>
      </c>
      <c r="AL14" s="36">
        <v>60</v>
      </c>
      <c r="AM14" s="36">
        <v>27</v>
      </c>
      <c r="AN14" s="37">
        <v>33</v>
      </c>
      <c r="AO14" s="37">
        <v>122.22222222222223</v>
      </c>
      <c r="AP14" s="38">
        <v>3485</v>
      </c>
      <c r="AQ14" s="39">
        <v>2722.5000190000001</v>
      </c>
      <c r="AR14" s="37">
        <v>762.49998099999993</v>
      </c>
      <c r="AS14" s="37">
        <v>28.007345295816506</v>
      </c>
      <c r="AT14" s="36">
        <v>421</v>
      </c>
      <c r="AU14" s="36">
        <v>373.5</v>
      </c>
      <c r="AV14" s="37">
        <v>47.5</v>
      </c>
      <c r="AW14" s="37">
        <v>12.717536813922356</v>
      </c>
      <c r="AX14" s="3">
        <v>163741</v>
      </c>
      <c r="AY14" t="str">
        <f t="shared" si="18"/>
        <v>BS DWARKA</v>
      </c>
      <c r="AZ14" t="str">
        <f t="shared" si="19"/>
        <v>Dwarka</v>
      </c>
      <c r="BC14" s="3">
        <v>112393</v>
      </c>
      <c r="BD14" s="3" t="s">
        <v>72</v>
      </c>
      <c r="BE14" s="41" t="s">
        <v>121</v>
      </c>
      <c r="BF14" s="12" t="s">
        <v>122</v>
      </c>
      <c r="BG14" s="4" t="s">
        <v>111</v>
      </c>
      <c r="BH14" s="4" t="s">
        <v>112</v>
      </c>
      <c r="BI14" s="12" t="s">
        <v>112</v>
      </c>
      <c r="BJ14" s="51" t="s">
        <v>113</v>
      </c>
    </row>
    <row r="15" spans="1:62" ht="36.5" x14ac:dyDescent="0.35">
      <c r="A15">
        <v>305312</v>
      </c>
      <c r="B15" s="84">
        <f t="shared" si="0"/>
        <v>146</v>
      </c>
      <c r="C15" s="84">
        <f t="shared" si="1"/>
        <v>147</v>
      </c>
      <c r="E15" s="3">
        <v>112395</v>
      </c>
      <c r="F15" s="84">
        <v>72</v>
      </c>
      <c r="G15" s="86">
        <v>69</v>
      </c>
      <c r="H15" s="18">
        <v>66</v>
      </c>
      <c r="I15" s="18">
        <v>70</v>
      </c>
      <c r="J15" s="90">
        <v>26</v>
      </c>
      <c r="K15" s="90">
        <v>26</v>
      </c>
      <c r="L15" s="84">
        <v>26</v>
      </c>
      <c r="M15" s="86">
        <v>29</v>
      </c>
      <c r="N15" s="3">
        <v>112387</v>
      </c>
      <c r="O15">
        <f t="shared" si="2"/>
        <v>553</v>
      </c>
      <c r="P15">
        <f t="shared" si="3"/>
        <v>504</v>
      </c>
      <c r="Q15">
        <f t="shared" si="4"/>
        <v>89</v>
      </c>
      <c r="R15">
        <f t="shared" si="5"/>
        <v>102</v>
      </c>
      <c r="S15">
        <f t="shared" si="6"/>
        <v>490.5</v>
      </c>
      <c r="T15">
        <f t="shared" si="7"/>
        <v>459</v>
      </c>
      <c r="U15">
        <f t="shared" si="8"/>
        <v>49.5</v>
      </c>
      <c r="V15">
        <f t="shared" si="9"/>
        <v>81</v>
      </c>
      <c r="X15" s="3">
        <v>163708</v>
      </c>
      <c r="Y15">
        <f t="shared" si="10"/>
        <v>570</v>
      </c>
      <c r="Z15">
        <f t="shared" si="11"/>
        <v>504</v>
      </c>
      <c r="AA15">
        <f t="shared" si="12"/>
        <v>90</v>
      </c>
      <c r="AB15">
        <f t="shared" si="13"/>
        <v>108</v>
      </c>
      <c r="AC15">
        <f t="shared" si="14"/>
        <v>6406</v>
      </c>
      <c r="AD15">
        <f t="shared" si="15"/>
        <v>4569.500016</v>
      </c>
      <c r="AE15">
        <f t="shared" si="16"/>
        <v>1030</v>
      </c>
      <c r="AF15">
        <f t="shared" si="17"/>
        <v>1114</v>
      </c>
      <c r="AG15" s="3">
        <v>112387</v>
      </c>
      <c r="AH15" s="31">
        <v>553</v>
      </c>
      <c r="AI15" s="31">
        <v>504</v>
      </c>
      <c r="AJ15" s="37">
        <v>49</v>
      </c>
      <c r="AK15" s="37">
        <v>9.7222222222222232</v>
      </c>
      <c r="AL15" s="36">
        <v>89</v>
      </c>
      <c r="AM15" s="36">
        <v>102</v>
      </c>
      <c r="AN15" s="37">
        <v>-13</v>
      </c>
      <c r="AO15" s="37">
        <v>-12.745098039215685</v>
      </c>
      <c r="AP15" s="38">
        <v>6595.5</v>
      </c>
      <c r="AQ15" s="39">
        <v>5340.0000389999996</v>
      </c>
      <c r="AR15" s="37">
        <v>1255.4999610000004</v>
      </c>
      <c r="AS15" s="37">
        <v>23.511235053007844</v>
      </c>
      <c r="AT15" s="36">
        <v>976.5</v>
      </c>
      <c r="AU15" s="36">
        <v>1199</v>
      </c>
      <c r="AV15" s="37">
        <v>-222.5</v>
      </c>
      <c r="AW15" s="37">
        <v>-18.557130942452044</v>
      </c>
      <c r="AX15" s="3">
        <v>112395</v>
      </c>
      <c r="AY15" t="str">
        <f t="shared" si="18"/>
        <v>BCC_KAMLA_NATIONAL_MODERN_SONDHI</v>
      </c>
      <c r="AZ15" t="str">
        <f t="shared" si="19"/>
        <v>Lutyens</v>
      </c>
      <c r="BC15" s="3">
        <v>112387</v>
      </c>
      <c r="BD15" s="3" t="s">
        <v>72</v>
      </c>
      <c r="BE15" s="40" t="s">
        <v>123</v>
      </c>
      <c r="BF15" s="12" t="s">
        <v>124</v>
      </c>
      <c r="BG15" s="4" t="s">
        <v>111</v>
      </c>
      <c r="BH15" s="4" t="s">
        <v>125</v>
      </c>
      <c r="BI15" s="12" t="s">
        <v>125</v>
      </c>
      <c r="BJ15" s="51" t="s">
        <v>126</v>
      </c>
    </row>
    <row r="16" spans="1:62" ht="48.5" x14ac:dyDescent="0.35">
      <c r="A16">
        <v>186838</v>
      </c>
      <c r="B16" s="84">
        <f t="shared" si="0"/>
        <v>235</v>
      </c>
      <c r="C16" s="84">
        <f t="shared" si="1"/>
        <v>235</v>
      </c>
      <c r="E16" s="3">
        <v>151186</v>
      </c>
      <c r="F16" s="84">
        <v>50</v>
      </c>
      <c r="G16" s="86">
        <v>30</v>
      </c>
      <c r="H16" s="18">
        <v>54.5</v>
      </c>
      <c r="I16" s="18">
        <v>64</v>
      </c>
      <c r="J16" s="90">
        <v>23.5</v>
      </c>
      <c r="K16" s="90">
        <v>26</v>
      </c>
      <c r="L16" s="84">
        <v>10</v>
      </c>
      <c r="M16" s="86">
        <v>10</v>
      </c>
      <c r="N16" s="3">
        <v>112436</v>
      </c>
      <c r="O16">
        <f t="shared" si="2"/>
        <v>569</v>
      </c>
      <c r="P16">
        <f t="shared" si="3"/>
        <v>592.5</v>
      </c>
      <c r="Q16">
        <f t="shared" si="4"/>
        <v>291</v>
      </c>
      <c r="R16">
        <f t="shared" si="5"/>
        <v>211.5</v>
      </c>
      <c r="S16">
        <f t="shared" si="6"/>
        <v>554</v>
      </c>
      <c r="T16">
        <f t="shared" si="7"/>
        <v>536</v>
      </c>
      <c r="U16">
        <f t="shared" si="8"/>
        <v>248</v>
      </c>
      <c r="V16">
        <f t="shared" si="9"/>
        <v>198</v>
      </c>
      <c r="X16" s="5">
        <v>106335</v>
      </c>
      <c r="Y16">
        <f t="shared" si="10"/>
        <v>27</v>
      </c>
      <c r="Z16">
        <f t="shared" si="11"/>
        <v>16</v>
      </c>
      <c r="AA16">
        <f t="shared" si="12"/>
        <v>9</v>
      </c>
      <c r="AB16">
        <f t="shared" si="13"/>
        <v>8</v>
      </c>
      <c r="AC16">
        <f t="shared" si="14"/>
        <v>282.5</v>
      </c>
      <c r="AD16">
        <f t="shared" si="15"/>
        <v>176.5</v>
      </c>
      <c r="AE16">
        <f t="shared" si="16"/>
        <v>109.5</v>
      </c>
      <c r="AF16">
        <f t="shared" si="17"/>
        <v>104.5</v>
      </c>
      <c r="AG16" s="3">
        <v>112436</v>
      </c>
      <c r="AH16" s="31">
        <v>569</v>
      </c>
      <c r="AI16" s="31">
        <v>592.5</v>
      </c>
      <c r="AJ16" s="37">
        <v>-23.5</v>
      </c>
      <c r="AK16" s="37">
        <v>-3.9662447257383966</v>
      </c>
      <c r="AL16" s="36">
        <v>291</v>
      </c>
      <c r="AM16" s="36">
        <v>211.5</v>
      </c>
      <c r="AN16" s="37">
        <v>79.5</v>
      </c>
      <c r="AO16" s="37">
        <v>37.588652482269502</v>
      </c>
      <c r="AP16" s="38">
        <v>7082.5</v>
      </c>
      <c r="AQ16" s="39">
        <v>6136.5000139999993</v>
      </c>
      <c r="AR16" s="37">
        <v>945.99998600000072</v>
      </c>
      <c r="AS16" s="37">
        <v>15.415953456233478</v>
      </c>
      <c r="AT16" s="36">
        <v>2583.5</v>
      </c>
      <c r="AU16" s="36">
        <v>2721</v>
      </c>
      <c r="AV16" s="37">
        <v>-137.5</v>
      </c>
      <c r="AW16" s="37">
        <v>-5.0532892319000373</v>
      </c>
      <c r="AX16" s="3">
        <v>151186</v>
      </c>
      <c r="AY16" t="str">
        <f t="shared" si="18"/>
        <v>BHAGWATI_GREENHRT_TRIYAMJIT</v>
      </c>
      <c r="AZ16" t="str">
        <f t="shared" si="19"/>
        <v>Narela- Bawana</v>
      </c>
      <c r="BC16" s="3">
        <v>112436</v>
      </c>
      <c r="BD16" s="3" t="s">
        <v>72</v>
      </c>
      <c r="BE16" s="43" t="s">
        <v>127</v>
      </c>
      <c r="BF16" s="12" t="s">
        <v>128</v>
      </c>
      <c r="BG16" s="4" t="s">
        <v>94</v>
      </c>
      <c r="BH16" s="4" t="s">
        <v>129</v>
      </c>
      <c r="BI16" s="12" t="s">
        <v>129</v>
      </c>
      <c r="BJ16" s="51" t="s">
        <v>126</v>
      </c>
    </row>
    <row r="17" spans="1:62" ht="36.5" x14ac:dyDescent="0.35">
      <c r="A17">
        <v>41056820</v>
      </c>
      <c r="B17" s="84">
        <f t="shared" si="0"/>
        <v>114</v>
      </c>
      <c r="C17" s="84">
        <f t="shared" si="1"/>
        <v>131</v>
      </c>
      <c r="E17" s="3">
        <v>198868</v>
      </c>
      <c r="F17" s="84">
        <v>104</v>
      </c>
      <c r="G17" s="86">
        <v>108</v>
      </c>
      <c r="H17" s="18">
        <v>91</v>
      </c>
      <c r="I17" s="18">
        <v>96</v>
      </c>
      <c r="J17" s="90">
        <v>203</v>
      </c>
      <c r="K17" s="90">
        <v>212</v>
      </c>
      <c r="L17" s="84">
        <v>134</v>
      </c>
      <c r="M17" s="86">
        <v>306</v>
      </c>
      <c r="N17" s="3">
        <v>123784</v>
      </c>
      <c r="O17">
        <f t="shared" si="2"/>
        <v>428.33300000000003</v>
      </c>
      <c r="P17">
        <f t="shared" si="3"/>
        <v>382.24200000000002</v>
      </c>
      <c r="Q17">
        <f t="shared" si="4"/>
        <v>108.511</v>
      </c>
      <c r="R17">
        <f t="shared" si="5"/>
        <v>116.31</v>
      </c>
      <c r="S17">
        <f t="shared" si="6"/>
        <v>396.01</v>
      </c>
      <c r="T17">
        <f t="shared" si="7"/>
        <v>366.06700000000001</v>
      </c>
      <c r="U17">
        <f t="shared" si="8"/>
        <v>107.426</v>
      </c>
      <c r="V17">
        <f t="shared" si="9"/>
        <v>116.824</v>
      </c>
      <c r="X17" s="5">
        <v>175977</v>
      </c>
      <c r="Y17">
        <f t="shared" si="10"/>
        <v>120</v>
      </c>
      <c r="Z17">
        <f t="shared" si="11"/>
        <v>135</v>
      </c>
      <c r="AA17">
        <f t="shared" si="12"/>
        <v>286</v>
      </c>
      <c r="AB17">
        <f t="shared" si="13"/>
        <v>225</v>
      </c>
      <c r="AC17">
        <f t="shared" si="14"/>
        <v>1420</v>
      </c>
      <c r="AD17">
        <f t="shared" si="15"/>
        <v>1388</v>
      </c>
      <c r="AE17">
        <f t="shared" si="16"/>
        <v>2562</v>
      </c>
      <c r="AF17">
        <f t="shared" si="17"/>
        <v>2576</v>
      </c>
      <c r="AG17" s="3">
        <v>123784</v>
      </c>
      <c r="AH17" s="31">
        <v>428.33300000000003</v>
      </c>
      <c r="AI17" s="31">
        <v>382.24200000000002</v>
      </c>
      <c r="AJ17" s="37">
        <v>46.091000000000008</v>
      </c>
      <c r="AK17" s="37">
        <v>12.058067925555015</v>
      </c>
      <c r="AL17" s="36">
        <v>108.511</v>
      </c>
      <c r="AM17" s="36">
        <v>116.31</v>
      </c>
      <c r="AN17" s="37">
        <v>-7.7990000000000066</v>
      </c>
      <c r="AO17" s="37">
        <v>-6.7053563752042011</v>
      </c>
      <c r="AP17" s="38">
        <v>4999.549</v>
      </c>
      <c r="AQ17" s="39">
        <v>3879.6070000000004</v>
      </c>
      <c r="AR17" s="37">
        <v>1119.9419999999996</v>
      </c>
      <c r="AS17" s="37">
        <v>28.867408477198836</v>
      </c>
      <c r="AT17" s="36">
        <v>1278.0179999999998</v>
      </c>
      <c r="AU17" s="36">
        <v>1397.1799900000001</v>
      </c>
      <c r="AV17" s="37">
        <v>-119.16199000000029</v>
      </c>
      <c r="AW17" s="37">
        <v>-8.5287501147221754</v>
      </c>
      <c r="AX17" s="3">
        <v>198868</v>
      </c>
      <c r="AY17" t="str">
        <f t="shared" si="18"/>
        <v>ZAKHIRA</v>
      </c>
      <c r="AZ17" t="str">
        <f t="shared" si="19"/>
        <v>Rohtak Road</v>
      </c>
      <c r="BC17" s="3">
        <v>123784</v>
      </c>
      <c r="BD17" s="3" t="s">
        <v>72</v>
      </c>
      <c r="BE17" s="41" t="s">
        <v>130</v>
      </c>
      <c r="BF17" s="12" t="s">
        <v>131</v>
      </c>
      <c r="BG17" s="4" t="s">
        <v>103</v>
      </c>
      <c r="BH17" s="4" t="s">
        <v>130</v>
      </c>
      <c r="BI17" s="12" t="s">
        <v>130</v>
      </c>
      <c r="BJ17" s="51" t="s">
        <v>105</v>
      </c>
    </row>
    <row r="18" spans="1:62" ht="36.5" x14ac:dyDescent="0.35">
      <c r="A18">
        <v>112384</v>
      </c>
      <c r="B18" s="84">
        <f t="shared" si="0"/>
        <v>205</v>
      </c>
      <c r="C18" s="84">
        <f t="shared" si="1"/>
        <v>234</v>
      </c>
      <c r="E18" s="3">
        <v>149238</v>
      </c>
      <c r="F18" s="84">
        <v>355.3</v>
      </c>
      <c r="G18" s="86">
        <v>393.18</v>
      </c>
      <c r="H18" s="18">
        <v>322.79500000000002</v>
      </c>
      <c r="I18" s="18">
        <v>372.839</v>
      </c>
      <c r="J18" s="90">
        <v>118.18</v>
      </c>
      <c r="K18" s="90">
        <v>139.68799999999999</v>
      </c>
      <c r="L18" s="84">
        <v>85.400999999999996</v>
      </c>
      <c r="M18" s="86">
        <v>93.567999999999998</v>
      </c>
      <c r="N18" s="3">
        <v>112408</v>
      </c>
      <c r="O18">
        <f t="shared" si="2"/>
        <v>324.5</v>
      </c>
      <c r="P18">
        <f t="shared" si="3"/>
        <v>239</v>
      </c>
      <c r="Q18">
        <f t="shared" si="4"/>
        <v>85.5</v>
      </c>
      <c r="R18">
        <f t="shared" si="5"/>
        <v>63</v>
      </c>
      <c r="S18">
        <f t="shared" si="6"/>
        <v>274.5</v>
      </c>
      <c r="T18">
        <f t="shared" si="7"/>
        <v>208</v>
      </c>
      <c r="U18">
        <f t="shared" si="8"/>
        <v>67.5</v>
      </c>
      <c r="V18">
        <f t="shared" si="9"/>
        <v>58</v>
      </c>
      <c r="X18" s="5">
        <v>283795</v>
      </c>
      <c r="Y18">
        <f t="shared" si="10"/>
        <v>92</v>
      </c>
      <c r="Z18">
        <f t="shared" si="11"/>
        <v>72</v>
      </c>
      <c r="AA18">
        <f t="shared" si="12"/>
        <v>52</v>
      </c>
      <c r="AB18">
        <f t="shared" si="13"/>
        <v>48</v>
      </c>
      <c r="AC18">
        <f t="shared" si="14"/>
        <v>944</v>
      </c>
      <c r="AD18">
        <f t="shared" si="15"/>
        <v>648.5</v>
      </c>
      <c r="AE18">
        <f t="shared" si="16"/>
        <v>568</v>
      </c>
      <c r="AF18">
        <f t="shared" si="17"/>
        <v>663.5</v>
      </c>
      <c r="AG18" s="3">
        <v>112408</v>
      </c>
      <c r="AH18" s="31">
        <v>324.5</v>
      </c>
      <c r="AI18" s="31">
        <v>239</v>
      </c>
      <c r="AJ18" s="37">
        <v>85.5</v>
      </c>
      <c r="AK18" s="37">
        <v>35.77405857740586</v>
      </c>
      <c r="AL18" s="36">
        <v>85.5</v>
      </c>
      <c r="AM18" s="36">
        <v>63</v>
      </c>
      <c r="AN18" s="37">
        <v>22.5</v>
      </c>
      <c r="AO18" s="37">
        <v>35.714285714285715</v>
      </c>
      <c r="AP18" s="38">
        <v>3216.5</v>
      </c>
      <c r="AQ18" s="39">
        <v>2389.5000099999997</v>
      </c>
      <c r="AR18" s="37">
        <v>826.99999000000025</v>
      </c>
      <c r="AS18" s="37">
        <v>34.60975043059323</v>
      </c>
      <c r="AT18" s="36">
        <v>823.5</v>
      </c>
      <c r="AU18" s="36">
        <v>827.5</v>
      </c>
      <c r="AV18" s="37">
        <v>-4</v>
      </c>
      <c r="AW18" s="37">
        <v>-0.4833836858006042</v>
      </c>
      <c r="AX18" s="3">
        <v>149238</v>
      </c>
      <c r="AY18" t="str">
        <f t="shared" si="18"/>
        <v>BP VASANT VIHAR</v>
      </c>
      <c r="AZ18" t="str">
        <f t="shared" si="19"/>
        <v>Outer Ring Road</v>
      </c>
      <c r="BC18" s="3">
        <v>112408</v>
      </c>
      <c r="BD18" s="3" t="s">
        <v>72</v>
      </c>
      <c r="BE18" s="41" t="s">
        <v>132</v>
      </c>
      <c r="BF18" s="12" t="s">
        <v>133</v>
      </c>
      <c r="BG18" s="4" t="s">
        <v>81</v>
      </c>
      <c r="BH18" s="4" t="s">
        <v>134</v>
      </c>
      <c r="BI18" s="12" t="s">
        <v>134</v>
      </c>
      <c r="BJ18" s="51" t="s">
        <v>135</v>
      </c>
    </row>
    <row r="19" spans="1:62" ht="48.5" x14ac:dyDescent="0.35">
      <c r="A19">
        <v>41056533</v>
      </c>
      <c r="B19" s="84">
        <f t="shared" si="0"/>
        <v>300</v>
      </c>
      <c r="C19" s="84">
        <f t="shared" si="1"/>
        <v>323.5</v>
      </c>
      <c r="E19" s="3">
        <v>200922</v>
      </c>
      <c r="F19" s="84">
        <v>271.88099999999997</v>
      </c>
      <c r="G19" s="86">
        <v>304.09199999999998</v>
      </c>
      <c r="H19" s="18">
        <v>239.46</v>
      </c>
      <c r="I19" s="18">
        <v>283.62900000000002</v>
      </c>
      <c r="J19" s="90">
        <v>62.372999999999998</v>
      </c>
      <c r="K19" s="90">
        <v>67.805999999999997</v>
      </c>
      <c r="L19" s="84">
        <v>63.048999999999999</v>
      </c>
      <c r="M19" s="86">
        <v>65.864000000000004</v>
      </c>
      <c r="N19" s="3">
        <v>112429</v>
      </c>
      <c r="O19">
        <f t="shared" si="2"/>
        <v>486</v>
      </c>
      <c r="P19">
        <f t="shared" si="3"/>
        <v>468</v>
      </c>
      <c r="Q19">
        <f t="shared" si="4"/>
        <v>108</v>
      </c>
      <c r="R19">
        <f t="shared" si="5"/>
        <v>126</v>
      </c>
      <c r="S19">
        <f t="shared" si="6"/>
        <v>450</v>
      </c>
      <c r="T19">
        <f t="shared" si="7"/>
        <v>400.5</v>
      </c>
      <c r="U19">
        <f t="shared" si="8"/>
        <v>108</v>
      </c>
      <c r="V19">
        <f t="shared" si="9"/>
        <v>103.5</v>
      </c>
      <c r="X19" s="3">
        <v>112384</v>
      </c>
      <c r="Y19">
        <f t="shared" si="10"/>
        <v>234</v>
      </c>
      <c r="Z19">
        <f t="shared" si="11"/>
        <v>232</v>
      </c>
      <c r="AA19">
        <f t="shared" si="12"/>
        <v>60</v>
      </c>
      <c r="AB19">
        <f t="shared" si="13"/>
        <v>62</v>
      </c>
      <c r="AC19">
        <f t="shared" si="14"/>
        <v>2685</v>
      </c>
      <c r="AD19">
        <f t="shared" si="15"/>
        <v>2408.0000009999999</v>
      </c>
      <c r="AE19">
        <f t="shared" si="16"/>
        <v>633</v>
      </c>
      <c r="AF19">
        <f t="shared" si="17"/>
        <v>830</v>
      </c>
      <c r="AG19" s="3">
        <v>112429</v>
      </c>
      <c r="AH19" s="31">
        <v>486</v>
      </c>
      <c r="AI19" s="31">
        <v>468</v>
      </c>
      <c r="AJ19" s="37">
        <v>18</v>
      </c>
      <c r="AK19" s="37">
        <v>3.8461538461538463</v>
      </c>
      <c r="AL19" s="36">
        <v>108</v>
      </c>
      <c r="AM19" s="36">
        <v>126</v>
      </c>
      <c r="AN19" s="37">
        <v>-18</v>
      </c>
      <c r="AO19" s="37">
        <v>-14.285714285714285</v>
      </c>
      <c r="AP19" s="38">
        <v>5988</v>
      </c>
      <c r="AQ19" s="39">
        <v>4869.0000190000001</v>
      </c>
      <c r="AR19" s="37">
        <v>1118.9999809999999</v>
      </c>
      <c r="AS19" s="37">
        <v>22.982131374684638</v>
      </c>
      <c r="AT19" s="36">
        <v>1422</v>
      </c>
      <c r="AU19" s="36">
        <v>1552.5</v>
      </c>
      <c r="AV19" s="37">
        <v>-130.5</v>
      </c>
      <c r="AW19" s="37">
        <v>-8.4057971014492754</v>
      </c>
      <c r="AX19" s="3">
        <v>200922</v>
      </c>
      <c r="AY19" t="str">
        <f t="shared" si="18"/>
        <v>ZAKHIRA</v>
      </c>
      <c r="AZ19" t="str">
        <f t="shared" si="19"/>
        <v>Rohtak Road</v>
      </c>
      <c r="BC19" s="3">
        <v>112429</v>
      </c>
      <c r="BD19" s="3" t="s">
        <v>72</v>
      </c>
      <c r="BE19" s="40" t="s">
        <v>136</v>
      </c>
      <c r="BF19" s="12" t="s">
        <v>137</v>
      </c>
      <c r="BG19" s="4" t="s">
        <v>94</v>
      </c>
      <c r="BH19" s="4" t="s">
        <v>129</v>
      </c>
      <c r="BI19" s="12" t="s">
        <v>129</v>
      </c>
      <c r="BJ19" s="51" t="s">
        <v>126</v>
      </c>
    </row>
    <row r="20" spans="1:62" ht="48.5" x14ac:dyDescent="0.35">
      <c r="A20">
        <v>112385</v>
      </c>
      <c r="B20" s="84">
        <f t="shared" si="0"/>
        <v>400</v>
      </c>
      <c r="C20" s="84">
        <f t="shared" si="1"/>
        <v>390</v>
      </c>
      <c r="E20" s="3">
        <v>156837</v>
      </c>
      <c r="F20" s="84">
        <v>520.17899999999997</v>
      </c>
      <c r="G20" s="86">
        <v>576.77300000000002</v>
      </c>
      <c r="H20" s="18">
        <v>422.05</v>
      </c>
      <c r="I20" s="18">
        <v>498.93900000000002</v>
      </c>
      <c r="J20" s="90">
        <v>103.167</v>
      </c>
      <c r="K20" s="90">
        <v>118.44199999999999</v>
      </c>
      <c r="L20" s="84">
        <v>103.501</v>
      </c>
      <c r="M20" s="86">
        <v>107.63800000000001</v>
      </c>
      <c r="N20" s="3">
        <v>112410</v>
      </c>
      <c r="O20">
        <f t="shared" si="2"/>
        <v>98</v>
      </c>
      <c r="P20">
        <f t="shared" si="3"/>
        <v>99</v>
      </c>
      <c r="Q20">
        <f t="shared" si="4"/>
        <v>48</v>
      </c>
      <c r="R20">
        <f t="shared" si="5"/>
        <v>41</v>
      </c>
      <c r="S20">
        <f t="shared" si="6"/>
        <v>87</v>
      </c>
      <c r="T20">
        <f t="shared" si="7"/>
        <v>92</v>
      </c>
      <c r="U20">
        <f t="shared" si="8"/>
        <v>21</v>
      </c>
      <c r="V20">
        <f t="shared" si="9"/>
        <v>38</v>
      </c>
      <c r="X20" s="9">
        <v>41057012</v>
      </c>
      <c r="Y20">
        <f t="shared" si="10"/>
        <v>281</v>
      </c>
      <c r="Z20">
        <f t="shared" si="11"/>
        <v>248</v>
      </c>
      <c r="AA20">
        <f t="shared" si="12"/>
        <v>61</v>
      </c>
      <c r="AB20">
        <f t="shared" si="13"/>
        <v>50</v>
      </c>
      <c r="AC20">
        <f t="shared" si="14"/>
        <v>3171</v>
      </c>
      <c r="AD20">
        <f t="shared" si="15"/>
        <v>2532.5</v>
      </c>
      <c r="AE20">
        <f t="shared" si="16"/>
        <v>674</v>
      </c>
      <c r="AF20">
        <f t="shared" si="17"/>
        <v>734.5</v>
      </c>
      <c r="AG20" s="3">
        <v>112410</v>
      </c>
      <c r="AH20" s="31">
        <v>98</v>
      </c>
      <c r="AI20" s="31">
        <v>99</v>
      </c>
      <c r="AJ20" s="37">
        <v>-1</v>
      </c>
      <c r="AK20" s="37">
        <v>-1.0101010101010102</v>
      </c>
      <c r="AL20" s="36">
        <v>48</v>
      </c>
      <c r="AM20" s="36">
        <v>41</v>
      </c>
      <c r="AN20" s="37">
        <v>7</v>
      </c>
      <c r="AO20" s="37">
        <v>17.073170731707318</v>
      </c>
      <c r="AP20" s="38">
        <v>1130</v>
      </c>
      <c r="AQ20" s="39">
        <v>1021.000001</v>
      </c>
      <c r="AR20" s="37">
        <v>108.999999</v>
      </c>
      <c r="AS20" s="37">
        <v>10.675807922942401</v>
      </c>
      <c r="AT20" s="36">
        <v>360</v>
      </c>
      <c r="AU20" s="36">
        <v>542</v>
      </c>
      <c r="AV20" s="37">
        <v>-182</v>
      </c>
      <c r="AW20" s="37">
        <v>-33.579335793357934</v>
      </c>
      <c r="AX20" s="3">
        <v>156837</v>
      </c>
      <c r="AY20" t="str">
        <f t="shared" si="18"/>
        <v>BP GREENPARK</v>
      </c>
      <c r="AZ20" t="str">
        <f t="shared" si="19"/>
        <v>Hauj Khas-Saket-Vasant Kunj</v>
      </c>
      <c r="BC20" s="3">
        <v>112410</v>
      </c>
      <c r="BD20" s="3" t="s">
        <v>72</v>
      </c>
      <c r="BE20" s="41" t="s">
        <v>138</v>
      </c>
      <c r="BF20" s="12" t="s">
        <v>139</v>
      </c>
      <c r="BG20" s="4" t="s">
        <v>81</v>
      </c>
      <c r="BH20" s="4" t="s">
        <v>140</v>
      </c>
      <c r="BI20" s="12" t="s">
        <v>140</v>
      </c>
      <c r="BJ20" s="51" t="s">
        <v>141</v>
      </c>
    </row>
    <row r="21" spans="1:62" ht="36.5" x14ac:dyDescent="0.35">
      <c r="A21">
        <v>112386</v>
      </c>
      <c r="B21" s="84">
        <f t="shared" si="0"/>
        <v>370</v>
      </c>
      <c r="C21" s="84">
        <f t="shared" si="1"/>
        <v>435</v>
      </c>
      <c r="E21" s="3">
        <v>123784</v>
      </c>
      <c r="F21" s="84">
        <v>396.01</v>
      </c>
      <c r="G21" s="86">
        <v>428.33300000000003</v>
      </c>
      <c r="H21" s="18">
        <v>366.06700000000001</v>
      </c>
      <c r="I21" s="18">
        <v>382.24200000000002</v>
      </c>
      <c r="J21" s="90">
        <v>116.824</v>
      </c>
      <c r="K21" s="90">
        <v>116.31</v>
      </c>
      <c r="L21" s="84">
        <v>107.426</v>
      </c>
      <c r="M21" s="86">
        <v>108.511</v>
      </c>
      <c r="N21" s="3">
        <v>112411</v>
      </c>
      <c r="O21">
        <f t="shared" si="2"/>
        <v>273</v>
      </c>
      <c r="P21">
        <f t="shared" si="3"/>
        <v>281</v>
      </c>
      <c r="Q21">
        <f t="shared" si="4"/>
        <v>79</v>
      </c>
      <c r="R21">
        <f t="shared" si="5"/>
        <v>79</v>
      </c>
      <c r="S21">
        <f t="shared" si="6"/>
        <v>288</v>
      </c>
      <c r="T21">
        <f t="shared" si="7"/>
        <v>253</v>
      </c>
      <c r="U21">
        <f t="shared" si="8"/>
        <v>70</v>
      </c>
      <c r="V21">
        <f t="shared" si="9"/>
        <v>65</v>
      </c>
      <c r="X21" s="3">
        <v>144329</v>
      </c>
      <c r="Y21">
        <f t="shared" si="10"/>
        <v>285</v>
      </c>
      <c r="Z21">
        <f t="shared" si="11"/>
        <v>310</v>
      </c>
      <c r="AA21">
        <f t="shared" si="12"/>
        <v>469</v>
      </c>
      <c r="AB21">
        <f t="shared" si="13"/>
        <v>340</v>
      </c>
      <c r="AC21">
        <f t="shared" si="14"/>
        <v>3824</v>
      </c>
      <c r="AD21">
        <f t="shared" si="15"/>
        <v>2826.5</v>
      </c>
      <c r="AE21">
        <f t="shared" si="16"/>
        <v>4092</v>
      </c>
      <c r="AF21">
        <f t="shared" si="17"/>
        <v>4807.5</v>
      </c>
      <c r="AG21" s="3">
        <v>112411</v>
      </c>
      <c r="AH21" s="31">
        <v>273</v>
      </c>
      <c r="AI21" s="31">
        <v>281</v>
      </c>
      <c r="AJ21" s="37">
        <v>-8</v>
      </c>
      <c r="AK21" s="37">
        <v>-2.8469750889679712</v>
      </c>
      <c r="AL21" s="36">
        <v>79</v>
      </c>
      <c r="AM21" s="36">
        <v>79</v>
      </c>
      <c r="AN21" s="37">
        <v>0</v>
      </c>
      <c r="AO21" s="37">
        <v>0</v>
      </c>
      <c r="AP21" s="38">
        <v>3514</v>
      </c>
      <c r="AQ21" s="39">
        <v>2754.5000110000001</v>
      </c>
      <c r="AR21" s="37">
        <v>759.49998899999991</v>
      </c>
      <c r="AS21" s="37">
        <v>27.573061752294905</v>
      </c>
      <c r="AT21" s="36">
        <v>938</v>
      </c>
      <c r="AU21" s="36">
        <v>939.5</v>
      </c>
      <c r="AV21" s="37">
        <v>-1.5</v>
      </c>
      <c r="AW21" s="37">
        <v>-0.15965939329430548</v>
      </c>
      <c r="AX21" s="3">
        <v>123784</v>
      </c>
      <c r="AY21" t="str">
        <f t="shared" si="18"/>
        <v>BP SHANTIPATH</v>
      </c>
      <c r="AZ21" t="str">
        <f t="shared" si="19"/>
        <v>Lutyens</v>
      </c>
      <c r="BC21" s="3">
        <v>112411</v>
      </c>
      <c r="BD21" s="3" t="s">
        <v>72</v>
      </c>
      <c r="BE21" s="41" t="s">
        <v>142</v>
      </c>
      <c r="BF21" s="12" t="s">
        <v>143</v>
      </c>
      <c r="BG21" s="4" t="s">
        <v>103</v>
      </c>
      <c r="BH21" s="4" t="s">
        <v>144</v>
      </c>
      <c r="BI21" s="12" t="s">
        <v>144</v>
      </c>
      <c r="BJ21" s="51" t="s">
        <v>105</v>
      </c>
    </row>
    <row r="22" spans="1:62" ht="48.5" x14ac:dyDescent="0.35">
      <c r="A22">
        <v>112387</v>
      </c>
      <c r="B22" s="84">
        <f t="shared" si="0"/>
        <v>490.5</v>
      </c>
      <c r="C22" s="84">
        <f t="shared" si="1"/>
        <v>553</v>
      </c>
      <c r="E22" s="3">
        <v>112397</v>
      </c>
      <c r="F22" s="84">
        <v>650</v>
      </c>
      <c r="G22" s="86">
        <v>760</v>
      </c>
      <c r="H22" s="18">
        <v>578</v>
      </c>
      <c r="I22" s="18">
        <v>639</v>
      </c>
      <c r="J22" s="90">
        <v>180</v>
      </c>
      <c r="K22" s="90">
        <v>207</v>
      </c>
      <c r="L22" s="84">
        <v>170</v>
      </c>
      <c r="M22" s="86">
        <v>220</v>
      </c>
      <c r="N22" s="3">
        <v>112437</v>
      </c>
      <c r="O22">
        <f t="shared" si="2"/>
        <v>665</v>
      </c>
      <c r="P22">
        <f t="shared" si="3"/>
        <v>600</v>
      </c>
      <c r="Q22">
        <f t="shared" si="4"/>
        <v>215</v>
      </c>
      <c r="R22">
        <f t="shared" si="5"/>
        <v>260</v>
      </c>
      <c r="S22">
        <f t="shared" si="6"/>
        <v>565</v>
      </c>
      <c r="T22">
        <f t="shared" si="7"/>
        <v>523</v>
      </c>
      <c r="U22">
        <f t="shared" si="8"/>
        <v>215</v>
      </c>
      <c r="V22">
        <f t="shared" si="9"/>
        <v>235</v>
      </c>
      <c r="X22" s="5">
        <v>186832</v>
      </c>
      <c r="Y22">
        <f t="shared" si="10"/>
        <v>644</v>
      </c>
      <c r="Z22">
        <f t="shared" si="11"/>
        <v>582</v>
      </c>
      <c r="AA22">
        <f t="shared" si="12"/>
        <v>82</v>
      </c>
      <c r="AB22">
        <f t="shared" si="13"/>
        <v>56</v>
      </c>
      <c r="AC22">
        <f t="shared" si="14"/>
        <v>7210</v>
      </c>
      <c r="AD22">
        <f t="shared" si="15"/>
        <v>5953</v>
      </c>
      <c r="AE22">
        <f t="shared" si="16"/>
        <v>898</v>
      </c>
      <c r="AF22">
        <f t="shared" si="17"/>
        <v>879</v>
      </c>
      <c r="AG22" s="3">
        <v>112437</v>
      </c>
      <c r="AH22" s="31">
        <v>665</v>
      </c>
      <c r="AI22" s="31">
        <v>600</v>
      </c>
      <c r="AJ22" s="37">
        <v>65</v>
      </c>
      <c r="AK22" s="37">
        <v>10.833333333333334</v>
      </c>
      <c r="AL22" s="36">
        <v>215</v>
      </c>
      <c r="AM22" s="36">
        <v>260</v>
      </c>
      <c r="AN22" s="37">
        <v>-45</v>
      </c>
      <c r="AO22" s="37">
        <v>-17.307692307692307</v>
      </c>
      <c r="AP22" s="38">
        <v>7471</v>
      </c>
      <c r="AQ22" s="39">
        <v>6033.5000120000004</v>
      </c>
      <c r="AR22" s="37">
        <v>1437.4999879999996</v>
      </c>
      <c r="AS22" s="37">
        <v>23.825308446854436</v>
      </c>
      <c r="AT22" s="36">
        <v>2485</v>
      </c>
      <c r="AU22" s="36">
        <v>2993.5</v>
      </c>
      <c r="AV22" s="37">
        <v>-508.5</v>
      </c>
      <c r="AW22" s="37">
        <v>-16.98680474361116</v>
      </c>
      <c r="AX22" s="3">
        <v>112397</v>
      </c>
      <c r="AY22" t="str">
        <f t="shared" si="18"/>
        <v>BSGS</v>
      </c>
      <c r="AZ22" t="str">
        <f t="shared" si="19"/>
        <v>Hauj Khas-Saket-Vasant Kunj</v>
      </c>
      <c r="BC22" s="3">
        <v>112437</v>
      </c>
      <c r="BD22" s="3" t="s">
        <v>72</v>
      </c>
      <c r="BE22" s="43" t="s">
        <v>145</v>
      </c>
      <c r="BF22" s="12" t="s">
        <v>146</v>
      </c>
      <c r="BG22" s="4" t="s">
        <v>103</v>
      </c>
      <c r="BH22" s="4" t="s">
        <v>145</v>
      </c>
      <c r="BI22" s="12" t="s">
        <v>145</v>
      </c>
      <c r="BJ22" s="51" t="s">
        <v>96</v>
      </c>
    </row>
    <row r="23" spans="1:62" ht="48.5" x14ac:dyDescent="0.35">
      <c r="A23">
        <v>102085</v>
      </c>
      <c r="B23" s="84">
        <f t="shared" si="0"/>
        <v>258</v>
      </c>
      <c r="C23" s="84">
        <f t="shared" si="1"/>
        <v>259</v>
      </c>
      <c r="E23" s="3">
        <v>112398</v>
      </c>
      <c r="F23" s="84">
        <v>198</v>
      </c>
      <c r="G23" s="86">
        <v>208.5</v>
      </c>
      <c r="H23" s="18">
        <v>207</v>
      </c>
      <c r="I23" s="18">
        <v>216</v>
      </c>
      <c r="J23" s="90">
        <v>45</v>
      </c>
      <c r="K23" s="90">
        <v>54</v>
      </c>
      <c r="L23" s="84">
        <v>54</v>
      </c>
      <c r="M23" s="86">
        <v>63.5</v>
      </c>
      <c r="N23" s="3">
        <v>112443</v>
      </c>
      <c r="O23">
        <f t="shared" si="2"/>
        <v>328</v>
      </c>
      <c r="P23">
        <f t="shared" si="3"/>
        <v>322</v>
      </c>
      <c r="Q23">
        <f t="shared" si="4"/>
        <v>134</v>
      </c>
      <c r="R23">
        <f t="shared" si="5"/>
        <v>126</v>
      </c>
      <c r="S23">
        <f t="shared" si="6"/>
        <v>320</v>
      </c>
      <c r="T23">
        <f t="shared" si="7"/>
        <v>295</v>
      </c>
      <c r="U23">
        <f t="shared" si="8"/>
        <v>100</v>
      </c>
      <c r="V23">
        <f t="shared" si="9"/>
        <v>97</v>
      </c>
      <c r="X23" s="5">
        <v>186871</v>
      </c>
      <c r="Y23">
        <f t="shared" si="10"/>
        <v>122</v>
      </c>
      <c r="Z23">
        <f t="shared" si="11"/>
        <v>124.5</v>
      </c>
      <c r="AA23">
        <f t="shared" si="12"/>
        <v>1048</v>
      </c>
      <c r="AB23">
        <f t="shared" si="13"/>
        <v>1151.5</v>
      </c>
      <c r="AC23">
        <f t="shared" si="14"/>
        <v>1485</v>
      </c>
      <c r="AD23">
        <f t="shared" si="15"/>
        <v>809</v>
      </c>
      <c r="AE23">
        <f t="shared" si="16"/>
        <v>13387</v>
      </c>
      <c r="AF23">
        <f t="shared" si="17"/>
        <v>15512.5</v>
      </c>
      <c r="AG23" s="3">
        <v>112443</v>
      </c>
      <c r="AH23" s="31">
        <v>328</v>
      </c>
      <c r="AI23" s="31">
        <v>322</v>
      </c>
      <c r="AJ23" s="37">
        <v>6</v>
      </c>
      <c r="AK23" s="37">
        <v>1.8633540372670807</v>
      </c>
      <c r="AL23" s="36">
        <v>134</v>
      </c>
      <c r="AM23" s="36">
        <v>126</v>
      </c>
      <c r="AN23" s="37">
        <v>8</v>
      </c>
      <c r="AO23" s="37">
        <v>6.3492063492063489</v>
      </c>
      <c r="AP23" s="38">
        <v>3993</v>
      </c>
      <c r="AQ23" s="39">
        <v>3095.5000140000002</v>
      </c>
      <c r="AR23" s="37">
        <v>897.49998599999981</v>
      </c>
      <c r="AS23" s="37">
        <v>28.993699949632752</v>
      </c>
      <c r="AT23" s="36">
        <v>1257</v>
      </c>
      <c r="AU23" s="36">
        <v>1217.5</v>
      </c>
      <c r="AV23" s="37">
        <v>39.5</v>
      </c>
      <c r="AW23" s="37">
        <v>3.2443531827515399</v>
      </c>
      <c r="AX23" s="3">
        <v>112398</v>
      </c>
      <c r="AY23" t="str">
        <f t="shared" si="18"/>
        <v>CAR CARE</v>
      </c>
      <c r="AZ23" t="str">
        <f t="shared" si="19"/>
        <v>Lutyens</v>
      </c>
      <c r="BC23" s="3">
        <v>112443</v>
      </c>
      <c r="BD23" s="3" t="s">
        <v>72</v>
      </c>
      <c r="BE23" s="43" t="s">
        <v>147</v>
      </c>
      <c r="BF23" s="12" t="s">
        <v>148</v>
      </c>
      <c r="BG23" s="4" t="s">
        <v>103</v>
      </c>
      <c r="BH23" s="4" t="s">
        <v>149</v>
      </c>
      <c r="BI23" s="12" t="s">
        <v>149</v>
      </c>
      <c r="BJ23" s="51" t="s">
        <v>105</v>
      </c>
    </row>
    <row r="24" spans="1:62" ht="48.5" x14ac:dyDescent="0.35">
      <c r="A24">
        <v>112389</v>
      </c>
      <c r="B24" s="84">
        <f t="shared" si="0"/>
        <v>171</v>
      </c>
      <c r="C24" s="84">
        <f t="shared" si="1"/>
        <v>169</v>
      </c>
      <c r="E24" s="3">
        <v>112399</v>
      </c>
      <c r="F24" s="84">
        <v>76</v>
      </c>
      <c r="G24" s="86">
        <v>63</v>
      </c>
      <c r="H24" s="18">
        <v>62</v>
      </c>
      <c r="I24" s="18">
        <v>72.5</v>
      </c>
      <c r="J24" s="90">
        <v>72</v>
      </c>
      <c r="K24" s="90">
        <v>85.5</v>
      </c>
      <c r="L24" s="84">
        <v>62</v>
      </c>
      <c r="M24" s="86">
        <v>99</v>
      </c>
      <c r="N24" s="3">
        <v>112391</v>
      </c>
      <c r="O24">
        <f t="shared" si="2"/>
        <v>667</v>
      </c>
      <c r="P24">
        <f t="shared" si="3"/>
        <v>625</v>
      </c>
      <c r="Q24">
        <f t="shared" si="4"/>
        <v>145</v>
      </c>
      <c r="R24">
        <f t="shared" si="5"/>
        <v>155</v>
      </c>
      <c r="S24">
        <f t="shared" si="6"/>
        <v>610</v>
      </c>
      <c r="T24">
        <f t="shared" si="7"/>
        <v>525</v>
      </c>
      <c r="U24">
        <f t="shared" si="8"/>
        <v>130</v>
      </c>
      <c r="V24">
        <f t="shared" si="9"/>
        <v>135</v>
      </c>
      <c r="X24" s="5">
        <v>106315</v>
      </c>
      <c r="Y24">
        <f t="shared" si="10"/>
        <v>171</v>
      </c>
      <c r="Z24">
        <f t="shared" si="11"/>
        <v>169.5</v>
      </c>
      <c r="AA24">
        <f t="shared" si="12"/>
        <v>63</v>
      </c>
      <c r="AB24">
        <f t="shared" si="13"/>
        <v>22.5</v>
      </c>
      <c r="AC24">
        <f t="shared" si="14"/>
        <v>2101.5</v>
      </c>
      <c r="AD24">
        <f t="shared" si="15"/>
        <v>1590.5</v>
      </c>
      <c r="AE24">
        <f t="shared" si="16"/>
        <v>472.5</v>
      </c>
      <c r="AF24">
        <f t="shared" si="17"/>
        <v>388</v>
      </c>
      <c r="AG24" s="3">
        <v>112391</v>
      </c>
      <c r="AH24" s="31">
        <v>667</v>
      </c>
      <c r="AI24" s="31">
        <v>625</v>
      </c>
      <c r="AJ24" s="37">
        <v>42</v>
      </c>
      <c r="AK24" s="37">
        <v>6.72</v>
      </c>
      <c r="AL24" s="36">
        <v>145</v>
      </c>
      <c r="AM24" s="36">
        <v>155</v>
      </c>
      <c r="AN24" s="37">
        <v>-10</v>
      </c>
      <c r="AO24" s="37">
        <v>-6.4516129032258061</v>
      </c>
      <c r="AP24" s="38">
        <v>7661</v>
      </c>
      <c r="AQ24" s="39">
        <v>6250.5000120000004</v>
      </c>
      <c r="AR24" s="37">
        <v>1410.4999879999996</v>
      </c>
      <c r="AS24" s="37">
        <v>22.56619446911537</v>
      </c>
      <c r="AT24" s="36">
        <v>1603</v>
      </c>
      <c r="AU24" s="36">
        <v>1887.5</v>
      </c>
      <c r="AV24" s="37">
        <v>-284.5</v>
      </c>
      <c r="AW24" s="37">
        <v>-15.072847682119207</v>
      </c>
      <c r="AX24" s="3">
        <v>112399</v>
      </c>
      <c r="AY24" t="str">
        <f t="shared" si="18"/>
        <v>DAWAR</v>
      </c>
      <c r="AZ24" t="str">
        <f t="shared" si="19"/>
        <v>Narela- Bawana</v>
      </c>
      <c r="BC24" s="3">
        <v>112391</v>
      </c>
      <c r="BD24" s="3" t="s">
        <v>72</v>
      </c>
      <c r="BE24" s="40" t="s">
        <v>150</v>
      </c>
      <c r="BF24" s="12" t="s">
        <v>151</v>
      </c>
      <c r="BG24" s="4" t="s">
        <v>111</v>
      </c>
      <c r="BH24" s="4" t="s">
        <v>129</v>
      </c>
      <c r="BI24" s="12" t="s">
        <v>129</v>
      </c>
      <c r="BJ24" s="51" t="s">
        <v>126</v>
      </c>
    </row>
    <row r="25" spans="1:62" ht="36.5" x14ac:dyDescent="0.35">
      <c r="A25">
        <v>106222</v>
      </c>
      <c r="B25" s="84">
        <f t="shared" si="0"/>
        <v>85.5</v>
      </c>
      <c r="C25" s="84">
        <f t="shared" si="1"/>
        <v>93</v>
      </c>
      <c r="E25" s="3">
        <v>112400</v>
      </c>
      <c r="F25" s="84">
        <v>375</v>
      </c>
      <c r="G25" s="86">
        <v>434</v>
      </c>
      <c r="H25" s="18">
        <v>390</v>
      </c>
      <c r="I25" s="18">
        <v>422</v>
      </c>
      <c r="J25" s="90">
        <v>300</v>
      </c>
      <c r="K25" s="90">
        <v>428</v>
      </c>
      <c r="L25" s="84">
        <v>376</v>
      </c>
      <c r="M25" s="86">
        <v>318</v>
      </c>
      <c r="N25" s="3">
        <v>163741</v>
      </c>
      <c r="O25">
        <f t="shared" si="2"/>
        <v>460</v>
      </c>
      <c r="P25">
        <f t="shared" si="3"/>
        <v>400</v>
      </c>
      <c r="Q25">
        <f t="shared" si="4"/>
        <v>80</v>
      </c>
      <c r="R25">
        <f t="shared" si="5"/>
        <v>80</v>
      </c>
      <c r="S25">
        <f t="shared" si="6"/>
        <v>400</v>
      </c>
      <c r="T25">
        <f t="shared" si="7"/>
        <v>340</v>
      </c>
      <c r="U25">
        <f t="shared" si="8"/>
        <v>80</v>
      </c>
      <c r="V25">
        <f t="shared" si="9"/>
        <v>80</v>
      </c>
      <c r="X25" s="3">
        <v>112431</v>
      </c>
      <c r="Y25">
        <f t="shared" si="10"/>
        <v>45</v>
      </c>
      <c r="Z25">
        <f t="shared" si="11"/>
        <v>18</v>
      </c>
      <c r="AA25">
        <f t="shared" si="12"/>
        <v>45</v>
      </c>
      <c r="AB25">
        <f t="shared" si="13"/>
        <v>18</v>
      </c>
      <c r="AC25">
        <f t="shared" si="14"/>
        <v>328.5</v>
      </c>
      <c r="AD25">
        <f t="shared" si="15"/>
        <v>211.5</v>
      </c>
      <c r="AE25">
        <f t="shared" si="16"/>
        <v>409.5</v>
      </c>
      <c r="AF25">
        <f t="shared" si="17"/>
        <v>373.5</v>
      </c>
      <c r="AG25" s="3">
        <v>163741</v>
      </c>
      <c r="AH25" s="31">
        <v>460</v>
      </c>
      <c r="AI25" s="31">
        <v>400</v>
      </c>
      <c r="AJ25" s="37">
        <v>60</v>
      </c>
      <c r="AK25" s="37">
        <v>15</v>
      </c>
      <c r="AL25" s="36">
        <v>80</v>
      </c>
      <c r="AM25" s="36">
        <v>80</v>
      </c>
      <c r="AN25" s="37">
        <v>0</v>
      </c>
      <c r="AO25" s="37">
        <v>0</v>
      </c>
      <c r="AP25" s="38">
        <v>5216</v>
      </c>
      <c r="AQ25" s="39">
        <v>3984</v>
      </c>
      <c r="AR25" s="37">
        <v>1232</v>
      </c>
      <c r="AS25" s="37">
        <v>30.923694779116467</v>
      </c>
      <c r="AT25" s="36">
        <v>976</v>
      </c>
      <c r="AU25" s="36">
        <v>1084</v>
      </c>
      <c r="AV25" s="37">
        <v>-108</v>
      </c>
      <c r="AW25" s="37">
        <v>-9.9630996309963091</v>
      </c>
      <c r="AX25" s="3">
        <v>112400</v>
      </c>
      <c r="AY25" t="str">
        <f t="shared" si="18"/>
        <v>DEEPAK AUTOMOBILES</v>
      </c>
      <c r="AZ25" t="str">
        <f t="shared" si="19"/>
        <v>Old GT Road (NH1)</v>
      </c>
      <c r="BC25" s="3">
        <v>163741</v>
      </c>
      <c r="BD25" s="3" t="s">
        <v>72</v>
      </c>
      <c r="BE25" s="41" t="s">
        <v>152</v>
      </c>
      <c r="BF25" s="12" t="s">
        <v>153</v>
      </c>
      <c r="BG25" s="4" t="s">
        <v>81</v>
      </c>
      <c r="BH25" s="4" t="s">
        <v>154</v>
      </c>
      <c r="BI25" s="12" t="s">
        <v>154</v>
      </c>
      <c r="BJ25" s="51" t="s">
        <v>135</v>
      </c>
    </row>
    <row r="26" spans="1:62" ht="48.5" x14ac:dyDescent="0.35">
      <c r="A26">
        <v>106223</v>
      </c>
      <c r="B26" s="84">
        <f t="shared" si="0"/>
        <v>145</v>
      </c>
      <c r="C26" s="84">
        <f t="shared" si="1"/>
        <v>180</v>
      </c>
      <c r="E26" s="3">
        <v>250828</v>
      </c>
      <c r="F26" s="84">
        <v>372</v>
      </c>
      <c r="G26" s="86">
        <v>341</v>
      </c>
      <c r="H26" s="18">
        <v>313</v>
      </c>
      <c r="I26" s="18">
        <v>324</v>
      </c>
      <c r="J26" s="90">
        <v>316</v>
      </c>
      <c r="K26" s="90">
        <v>240</v>
      </c>
      <c r="L26" s="84">
        <v>225</v>
      </c>
      <c r="M26" s="86">
        <v>302</v>
      </c>
      <c r="N26" s="3">
        <v>112459</v>
      </c>
      <c r="O26">
        <f t="shared" si="2"/>
        <v>416</v>
      </c>
      <c r="P26">
        <f t="shared" si="3"/>
        <v>379</v>
      </c>
      <c r="Q26">
        <f t="shared" si="4"/>
        <v>84</v>
      </c>
      <c r="R26">
        <f t="shared" si="5"/>
        <v>79</v>
      </c>
      <c r="S26">
        <f t="shared" si="6"/>
        <v>398</v>
      </c>
      <c r="T26">
        <f t="shared" si="7"/>
        <v>325</v>
      </c>
      <c r="U26">
        <f t="shared" si="8"/>
        <v>70</v>
      </c>
      <c r="V26">
        <f t="shared" si="9"/>
        <v>65</v>
      </c>
      <c r="X26" s="9">
        <v>41057009</v>
      </c>
      <c r="Y26">
        <f t="shared" si="10"/>
        <v>380</v>
      </c>
      <c r="Z26">
        <f t="shared" si="11"/>
        <v>340</v>
      </c>
      <c r="AA26">
        <f t="shared" si="12"/>
        <v>59</v>
      </c>
      <c r="AB26">
        <f t="shared" si="13"/>
        <v>42</v>
      </c>
      <c r="AC26">
        <f t="shared" si="14"/>
        <v>4240</v>
      </c>
      <c r="AD26">
        <f t="shared" si="15"/>
        <v>3785</v>
      </c>
      <c r="AE26">
        <f t="shared" si="16"/>
        <v>676</v>
      </c>
      <c r="AF26">
        <f t="shared" si="17"/>
        <v>840</v>
      </c>
      <c r="AG26" s="3">
        <v>112459</v>
      </c>
      <c r="AH26" s="31">
        <v>416</v>
      </c>
      <c r="AI26" s="31">
        <v>379</v>
      </c>
      <c r="AJ26" s="37">
        <v>37</v>
      </c>
      <c r="AK26" s="37">
        <v>9.7625329815303434</v>
      </c>
      <c r="AL26" s="36">
        <v>84</v>
      </c>
      <c r="AM26" s="36">
        <v>79</v>
      </c>
      <c r="AN26" s="37">
        <v>5</v>
      </c>
      <c r="AO26" s="37">
        <v>6.3291139240506329</v>
      </c>
      <c r="AP26" s="38">
        <v>4560.5</v>
      </c>
      <c r="AQ26" s="39">
        <v>3807.500008</v>
      </c>
      <c r="AR26" s="37">
        <v>752.99999200000002</v>
      </c>
      <c r="AS26" s="37">
        <v>19.77675615017359</v>
      </c>
      <c r="AT26" s="36">
        <v>1073.5</v>
      </c>
      <c r="AU26" s="36">
        <v>1024.5</v>
      </c>
      <c r="AV26" s="37">
        <v>49</v>
      </c>
      <c r="AW26" s="37">
        <v>4.7828208882381649</v>
      </c>
      <c r="AX26" s="3">
        <v>250828</v>
      </c>
      <c r="AY26" t="str">
        <f t="shared" si="18"/>
        <v>MATTA</v>
      </c>
      <c r="AZ26" t="str">
        <f t="shared" si="19"/>
        <v>Mayur Vihar -Anand Vihar -Preet Vihar</v>
      </c>
      <c r="BC26" s="3">
        <v>112459</v>
      </c>
      <c r="BD26" s="3" t="s">
        <v>72</v>
      </c>
      <c r="BE26" s="43" t="s">
        <v>155</v>
      </c>
      <c r="BF26" s="12" t="s">
        <v>146</v>
      </c>
      <c r="BG26" s="4" t="s">
        <v>103</v>
      </c>
      <c r="BH26" s="4" t="s">
        <v>145</v>
      </c>
      <c r="BI26" s="12" t="s">
        <v>145</v>
      </c>
      <c r="BJ26" s="51" t="s">
        <v>96</v>
      </c>
    </row>
    <row r="27" spans="1:62" ht="36.5" x14ac:dyDescent="0.35">
      <c r="A27">
        <v>106224</v>
      </c>
      <c r="B27" s="84">
        <f t="shared" si="0"/>
        <v>322</v>
      </c>
      <c r="C27" s="84">
        <f t="shared" si="1"/>
        <v>381.5</v>
      </c>
      <c r="E27" s="3">
        <v>147286</v>
      </c>
      <c r="F27" s="84">
        <v>292.5</v>
      </c>
      <c r="G27" s="86">
        <v>351</v>
      </c>
      <c r="H27" s="18">
        <v>315</v>
      </c>
      <c r="I27" s="18">
        <v>355.5</v>
      </c>
      <c r="J27" s="90">
        <v>45</v>
      </c>
      <c r="K27" s="90">
        <v>40.5</v>
      </c>
      <c r="L27" s="84">
        <v>31.5</v>
      </c>
      <c r="M27" s="86">
        <v>27</v>
      </c>
      <c r="N27" s="3">
        <v>112392</v>
      </c>
      <c r="O27">
        <f t="shared" si="2"/>
        <v>400</v>
      </c>
      <c r="P27">
        <f t="shared" si="3"/>
        <v>405</v>
      </c>
      <c r="Q27">
        <f t="shared" si="4"/>
        <v>200</v>
      </c>
      <c r="R27">
        <f t="shared" si="5"/>
        <v>225</v>
      </c>
      <c r="S27">
        <f t="shared" si="6"/>
        <v>365</v>
      </c>
      <c r="T27">
        <f t="shared" si="7"/>
        <v>387</v>
      </c>
      <c r="U27">
        <f t="shared" si="8"/>
        <v>195</v>
      </c>
      <c r="V27">
        <f t="shared" si="9"/>
        <v>225</v>
      </c>
      <c r="X27" s="5">
        <v>106320</v>
      </c>
      <c r="Y27">
        <f t="shared" si="10"/>
        <v>207</v>
      </c>
      <c r="Z27">
        <f t="shared" si="11"/>
        <v>177.5</v>
      </c>
      <c r="AA27">
        <f t="shared" si="12"/>
        <v>109</v>
      </c>
      <c r="AB27">
        <f t="shared" si="13"/>
        <v>56.5</v>
      </c>
      <c r="AC27">
        <f t="shared" si="14"/>
        <v>2374</v>
      </c>
      <c r="AD27">
        <f t="shared" si="15"/>
        <v>1543.5</v>
      </c>
      <c r="AE27">
        <f t="shared" si="16"/>
        <v>938</v>
      </c>
      <c r="AF27">
        <f t="shared" si="17"/>
        <v>601</v>
      </c>
      <c r="AG27" s="3">
        <v>112392</v>
      </c>
      <c r="AH27" s="31">
        <v>400</v>
      </c>
      <c r="AI27" s="31">
        <v>405</v>
      </c>
      <c r="AJ27" s="37">
        <v>-5</v>
      </c>
      <c r="AK27" s="37">
        <v>-1.2345679012345678</v>
      </c>
      <c r="AL27" s="36">
        <v>200</v>
      </c>
      <c r="AM27" s="36">
        <v>225</v>
      </c>
      <c r="AN27" s="37">
        <v>-25</v>
      </c>
      <c r="AO27" s="37">
        <v>-11.111111111111111</v>
      </c>
      <c r="AP27" s="38">
        <v>4735</v>
      </c>
      <c r="AQ27" s="39">
        <v>4068.0000359999999</v>
      </c>
      <c r="AR27" s="37">
        <v>666.99996400000009</v>
      </c>
      <c r="AS27" s="37">
        <v>16.396262490101908</v>
      </c>
      <c r="AT27" s="36">
        <v>2373</v>
      </c>
      <c r="AU27" s="36">
        <v>2808</v>
      </c>
      <c r="AV27" s="37">
        <v>-435</v>
      </c>
      <c r="AW27" s="37">
        <v>-15.491452991452991</v>
      </c>
      <c r="AX27" s="3">
        <v>147286</v>
      </c>
      <c r="AY27" t="str">
        <f t="shared" si="18"/>
        <v>FAST TRACK-VEEJAY</v>
      </c>
      <c r="AZ27" t="str">
        <f t="shared" si="19"/>
        <v>Ashok Vihar</v>
      </c>
      <c r="BC27" s="3">
        <v>112392</v>
      </c>
      <c r="BD27" s="3" t="s">
        <v>72</v>
      </c>
      <c r="BE27" s="40" t="s">
        <v>156</v>
      </c>
      <c r="BF27" s="12" t="s">
        <v>157</v>
      </c>
      <c r="BG27" s="4" t="s">
        <v>111</v>
      </c>
      <c r="BH27" s="4" t="s">
        <v>156</v>
      </c>
      <c r="BI27" s="12" t="s">
        <v>156</v>
      </c>
      <c r="BJ27" s="51" t="s">
        <v>158</v>
      </c>
    </row>
    <row r="28" spans="1:62" ht="48.5" x14ac:dyDescent="0.35">
      <c r="A28">
        <v>41056524</v>
      </c>
      <c r="B28" s="84">
        <f t="shared" si="0"/>
        <v>174</v>
      </c>
      <c r="C28" s="84">
        <f t="shared" si="1"/>
        <v>185.5</v>
      </c>
      <c r="E28" s="3">
        <v>112401</v>
      </c>
      <c r="F28" s="84">
        <v>138</v>
      </c>
      <c r="G28" s="86">
        <v>133</v>
      </c>
      <c r="H28" s="18">
        <v>121</v>
      </c>
      <c r="I28" s="18">
        <v>147</v>
      </c>
      <c r="J28" s="90">
        <v>19</v>
      </c>
      <c r="K28" s="90">
        <v>33</v>
      </c>
      <c r="L28" s="84">
        <v>30</v>
      </c>
      <c r="M28" s="86">
        <v>21</v>
      </c>
      <c r="N28" s="3">
        <v>156837</v>
      </c>
      <c r="O28">
        <f t="shared" si="2"/>
        <v>576.77300000000002</v>
      </c>
      <c r="P28">
        <f t="shared" si="3"/>
        <v>498.93900000000002</v>
      </c>
      <c r="Q28">
        <f t="shared" si="4"/>
        <v>107.63800000000001</v>
      </c>
      <c r="R28">
        <f t="shared" si="5"/>
        <v>118.44199999999999</v>
      </c>
      <c r="S28">
        <f t="shared" si="6"/>
        <v>520.17899999999997</v>
      </c>
      <c r="T28">
        <f t="shared" si="7"/>
        <v>422.05</v>
      </c>
      <c r="U28">
        <f t="shared" si="8"/>
        <v>103.501</v>
      </c>
      <c r="V28">
        <f t="shared" si="9"/>
        <v>103.167</v>
      </c>
      <c r="X28" s="5">
        <v>106360</v>
      </c>
      <c r="Y28">
        <f t="shared" si="10"/>
        <v>564</v>
      </c>
      <c r="Z28">
        <f t="shared" si="11"/>
        <v>527</v>
      </c>
      <c r="AA28">
        <f t="shared" si="12"/>
        <v>96</v>
      </c>
      <c r="AB28">
        <f t="shared" si="13"/>
        <v>89</v>
      </c>
      <c r="AC28">
        <f t="shared" si="14"/>
        <v>6642.5</v>
      </c>
      <c r="AD28">
        <f t="shared" si="15"/>
        <v>5309.5</v>
      </c>
      <c r="AE28">
        <f t="shared" si="16"/>
        <v>1007.5</v>
      </c>
      <c r="AF28">
        <f t="shared" si="17"/>
        <v>1172</v>
      </c>
      <c r="AG28" s="3">
        <v>156837</v>
      </c>
      <c r="AH28" s="31">
        <v>576.77300000000002</v>
      </c>
      <c r="AI28" s="31">
        <v>498.93900000000002</v>
      </c>
      <c r="AJ28" s="37">
        <v>77.834000000000003</v>
      </c>
      <c r="AK28" s="37">
        <v>15.599902994153595</v>
      </c>
      <c r="AL28" s="36">
        <v>107.63800000000001</v>
      </c>
      <c r="AM28" s="36">
        <v>118.44199999999999</v>
      </c>
      <c r="AN28" s="37">
        <v>-10.803999999999988</v>
      </c>
      <c r="AO28" s="37">
        <v>-9.1217642390368177</v>
      </c>
      <c r="AP28" s="38">
        <v>5713.7920000000004</v>
      </c>
      <c r="AQ28" s="39">
        <v>5233.2700000000013</v>
      </c>
      <c r="AR28" s="37">
        <v>480.52199999999903</v>
      </c>
      <c r="AS28" s="37">
        <v>9.1820601650593012</v>
      </c>
      <c r="AT28" s="36">
        <v>1135.011</v>
      </c>
      <c r="AU28" s="36">
        <v>1512.7919999999997</v>
      </c>
      <c r="AV28" s="37">
        <v>-377.78099999999972</v>
      </c>
      <c r="AW28" s="37">
        <v>-24.972435073691546</v>
      </c>
      <c r="AX28" s="3">
        <v>112401</v>
      </c>
      <c r="AY28" t="str">
        <f t="shared" si="18"/>
        <v>GS BHASIN</v>
      </c>
      <c r="AZ28" t="str">
        <f t="shared" si="19"/>
        <v>Mathura Road</v>
      </c>
      <c r="BC28" s="3">
        <v>156837</v>
      </c>
      <c r="BD28" s="3" t="s">
        <v>72</v>
      </c>
      <c r="BE28" s="41" t="s">
        <v>159</v>
      </c>
      <c r="BF28" s="12" t="s">
        <v>160</v>
      </c>
      <c r="BG28" s="4" t="s">
        <v>94</v>
      </c>
      <c r="BH28" s="4" t="s">
        <v>161</v>
      </c>
      <c r="BI28" s="12" t="s">
        <v>161</v>
      </c>
      <c r="BJ28" s="51" t="s">
        <v>96</v>
      </c>
    </row>
    <row r="29" spans="1:62" ht="36.5" x14ac:dyDescent="0.35">
      <c r="A29">
        <v>106226</v>
      </c>
      <c r="B29" s="84">
        <f t="shared" si="0"/>
        <v>192</v>
      </c>
      <c r="C29" s="84">
        <f t="shared" si="1"/>
        <v>226.5</v>
      </c>
      <c r="E29" s="3">
        <v>112402</v>
      </c>
      <c r="F29" s="84">
        <v>200</v>
      </c>
      <c r="G29" s="86">
        <v>205</v>
      </c>
      <c r="H29" s="18">
        <v>167</v>
      </c>
      <c r="I29" s="18">
        <v>203.5</v>
      </c>
      <c r="J29" s="90">
        <v>301</v>
      </c>
      <c r="K29" s="90">
        <v>280.5</v>
      </c>
      <c r="L29" s="84">
        <v>326</v>
      </c>
      <c r="M29" s="86">
        <v>329</v>
      </c>
      <c r="N29" s="3">
        <v>112453</v>
      </c>
      <c r="O29">
        <f t="shared" si="2"/>
        <v>627</v>
      </c>
      <c r="P29">
        <f t="shared" si="3"/>
        <v>598.5</v>
      </c>
      <c r="Q29">
        <f t="shared" si="4"/>
        <v>117</v>
      </c>
      <c r="R29">
        <f t="shared" si="5"/>
        <v>121.5</v>
      </c>
      <c r="S29">
        <f t="shared" si="6"/>
        <v>562.5</v>
      </c>
      <c r="T29">
        <f t="shared" si="7"/>
        <v>517.5</v>
      </c>
      <c r="U29">
        <f t="shared" si="8"/>
        <v>103.5</v>
      </c>
      <c r="V29">
        <f t="shared" si="9"/>
        <v>130.5</v>
      </c>
      <c r="X29" s="5">
        <v>186851</v>
      </c>
      <c r="Y29">
        <f t="shared" si="10"/>
        <v>72</v>
      </c>
      <c r="Z29">
        <f t="shared" si="11"/>
        <v>68</v>
      </c>
      <c r="AA29">
        <f t="shared" si="12"/>
        <v>48</v>
      </c>
      <c r="AB29">
        <f t="shared" si="13"/>
        <v>28</v>
      </c>
      <c r="AC29">
        <f t="shared" si="14"/>
        <v>737</v>
      </c>
      <c r="AD29">
        <f t="shared" si="15"/>
        <v>564</v>
      </c>
      <c r="AE29">
        <f t="shared" si="16"/>
        <v>541</v>
      </c>
      <c r="AF29">
        <f t="shared" si="17"/>
        <v>520</v>
      </c>
      <c r="AG29" s="3">
        <v>112453</v>
      </c>
      <c r="AH29" s="31">
        <v>627</v>
      </c>
      <c r="AI29" s="31">
        <v>598.5</v>
      </c>
      <c r="AJ29" s="37">
        <v>28.5</v>
      </c>
      <c r="AK29" s="37">
        <v>4.7619047619047619</v>
      </c>
      <c r="AL29" s="36">
        <v>117</v>
      </c>
      <c r="AM29" s="36">
        <v>121.5</v>
      </c>
      <c r="AN29" s="37">
        <v>-4.5</v>
      </c>
      <c r="AO29" s="37">
        <v>-3.7037037037037033</v>
      </c>
      <c r="AP29" s="38">
        <v>7304</v>
      </c>
      <c r="AQ29" s="39">
        <v>5970.5000280000004</v>
      </c>
      <c r="AR29" s="37">
        <v>1333.4999719999996</v>
      </c>
      <c r="AS29" s="37">
        <v>22.334812256029682</v>
      </c>
      <c r="AT29" s="36">
        <v>1346</v>
      </c>
      <c r="AU29" s="36">
        <v>1601.5</v>
      </c>
      <c r="AV29" s="37">
        <v>-255.5</v>
      </c>
      <c r="AW29" s="37">
        <v>-15.95379331876366</v>
      </c>
      <c r="AX29" s="3">
        <v>112402</v>
      </c>
      <c r="AY29" t="str">
        <f t="shared" si="18"/>
        <v>GANPATI</v>
      </c>
      <c r="AZ29" t="str">
        <f t="shared" si="19"/>
        <v>Rohini</v>
      </c>
      <c r="BC29" s="3">
        <v>112453</v>
      </c>
      <c r="BD29" s="3" t="s">
        <v>72</v>
      </c>
      <c r="BE29" s="43" t="s">
        <v>162</v>
      </c>
      <c r="BF29" s="12" t="s">
        <v>163</v>
      </c>
      <c r="BG29" s="4" t="s">
        <v>94</v>
      </c>
      <c r="BH29" s="4" t="s">
        <v>125</v>
      </c>
      <c r="BI29" s="12" t="s">
        <v>125</v>
      </c>
      <c r="BJ29" s="51" t="s">
        <v>126</v>
      </c>
    </row>
    <row r="30" spans="1:62" ht="36.5" x14ac:dyDescent="0.35">
      <c r="A30">
        <v>255872</v>
      </c>
      <c r="B30" s="84">
        <f t="shared" si="0"/>
        <v>0</v>
      </c>
      <c r="C30" s="84">
        <f t="shared" si="1"/>
        <v>0</v>
      </c>
      <c r="E30" s="3">
        <v>144329</v>
      </c>
      <c r="F30" s="84">
        <v>331</v>
      </c>
      <c r="G30" s="86">
        <v>285</v>
      </c>
      <c r="H30" s="18">
        <v>280</v>
      </c>
      <c r="I30" s="18">
        <v>310</v>
      </c>
      <c r="J30" s="90">
        <v>380</v>
      </c>
      <c r="K30" s="90">
        <v>340</v>
      </c>
      <c r="L30" s="84">
        <v>289</v>
      </c>
      <c r="M30" s="86">
        <v>469</v>
      </c>
      <c r="N30" s="3">
        <v>112454</v>
      </c>
      <c r="O30">
        <f t="shared" si="2"/>
        <v>465</v>
      </c>
      <c r="P30">
        <f t="shared" si="3"/>
        <v>420</v>
      </c>
      <c r="Q30">
        <f t="shared" si="4"/>
        <v>95</v>
      </c>
      <c r="R30">
        <f t="shared" si="5"/>
        <v>100</v>
      </c>
      <c r="S30">
        <f t="shared" si="6"/>
        <v>400</v>
      </c>
      <c r="T30">
        <f t="shared" si="7"/>
        <v>383.5</v>
      </c>
      <c r="U30">
        <f t="shared" si="8"/>
        <v>80</v>
      </c>
      <c r="V30">
        <f t="shared" si="9"/>
        <v>94.5</v>
      </c>
      <c r="X30" s="5">
        <v>180790</v>
      </c>
      <c r="Y30">
        <f t="shared" si="10"/>
        <v>408</v>
      </c>
      <c r="Z30">
        <f t="shared" si="11"/>
        <v>346.5</v>
      </c>
      <c r="AA30">
        <f t="shared" si="12"/>
        <v>76</v>
      </c>
      <c r="AB30">
        <f t="shared" si="13"/>
        <v>83.5</v>
      </c>
      <c r="AC30">
        <f t="shared" si="14"/>
        <v>4540</v>
      </c>
      <c r="AD30">
        <f t="shared" si="15"/>
        <v>3373</v>
      </c>
      <c r="AE30">
        <f t="shared" si="16"/>
        <v>826</v>
      </c>
      <c r="AF30">
        <f t="shared" si="17"/>
        <v>940</v>
      </c>
      <c r="AG30" s="3">
        <v>112454</v>
      </c>
      <c r="AH30" s="31">
        <v>465</v>
      </c>
      <c r="AI30" s="31">
        <v>420</v>
      </c>
      <c r="AJ30" s="37">
        <v>45</v>
      </c>
      <c r="AK30" s="37">
        <v>10.714285714285714</v>
      </c>
      <c r="AL30" s="36">
        <v>95</v>
      </c>
      <c r="AM30" s="36">
        <v>100</v>
      </c>
      <c r="AN30" s="37">
        <v>-5</v>
      </c>
      <c r="AO30" s="37">
        <v>-5</v>
      </c>
      <c r="AP30" s="38">
        <v>5457.5</v>
      </c>
      <c r="AQ30" s="39">
        <v>4410.5000110000001</v>
      </c>
      <c r="AR30" s="37">
        <v>1046.9999889999999</v>
      </c>
      <c r="AS30" s="37">
        <v>23.738804815525029</v>
      </c>
      <c r="AT30" s="36">
        <v>1058.5</v>
      </c>
      <c r="AU30" s="36">
        <v>1288</v>
      </c>
      <c r="AV30" s="37">
        <v>-229.5</v>
      </c>
      <c r="AW30" s="37">
        <v>-17.81832298136646</v>
      </c>
      <c r="AX30" s="3">
        <v>144329</v>
      </c>
      <c r="AY30" t="str">
        <f t="shared" si="18"/>
        <v>GARG-VIJAY-NEW HARYANA</v>
      </c>
      <c r="AZ30" t="str">
        <f t="shared" si="19"/>
        <v>Rohtak Road</v>
      </c>
      <c r="BC30" s="3">
        <v>112454</v>
      </c>
      <c r="BD30" s="3" t="s">
        <v>72</v>
      </c>
      <c r="BE30" s="43" t="s">
        <v>164</v>
      </c>
      <c r="BF30" s="12" t="s">
        <v>165</v>
      </c>
      <c r="BG30" s="4" t="s">
        <v>94</v>
      </c>
      <c r="BH30" s="4" t="s">
        <v>166</v>
      </c>
      <c r="BI30" s="12" t="s">
        <v>166</v>
      </c>
      <c r="BJ30" s="51" t="s">
        <v>120</v>
      </c>
    </row>
    <row r="31" spans="1:62" ht="60.5" x14ac:dyDescent="0.35">
      <c r="A31">
        <v>112390</v>
      </c>
      <c r="B31" s="84">
        <f t="shared" si="0"/>
        <v>630</v>
      </c>
      <c r="C31" s="84">
        <f t="shared" si="1"/>
        <v>670</v>
      </c>
      <c r="E31" s="3">
        <v>168006</v>
      </c>
      <c r="F31" s="84">
        <v>52</v>
      </c>
      <c r="G31" s="86">
        <v>52.5</v>
      </c>
      <c r="H31" s="18">
        <v>48</v>
      </c>
      <c r="I31" s="18">
        <v>52</v>
      </c>
      <c r="J31" s="90">
        <v>24</v>
      </c>
      <c r="K31" s="90">
        <v>32</v>
      </c>
      <c r="L31" s="84">
        <v>20</v>
      </c>
      <c r="M31" s="86">
        <v>13.5</v>
      </c>
      <c r="N31" s="3">
        <v>112720</v>
      </c>
      <c r="O31">
        <f t="shared" si="2"/>
        <v>754</v>
      </c>
      <c r="P31">
        <f t="shared" si="3"/>
        <v>706</v>
      </c>
      <c r="Q31">
        <f t="shared" si="4"/>
        <v>170</v>
      </c>
      <c r="R31">
        <f t="shared" si="5"/>
        <v>176</v>
      </c>
      <c r="S31">
        <f t="shared" si="6"/>
        <v>644</v>
      </c>
      <c r="T31">
        <f t="shared" si="7"/>
        <v>639</v>
      </c>
      <c r="U31">
        <f t="shared" si="8"/>
        <v>148</v>
      </c>
      <c r="V31">
        <f t="shared" si="9"/>
        <v>153</v>
      </c>
      <c r="X31" s="3">
        <v>151186</v>
      </c>
      <c r="Y31">
        <f t="shared" si="10"/>
        <v>30</v>
      </c>
      <c r="Z31">
        <f t="shared" si="11"/>
        <v>64</v>
      </c>
      <c r="AA31">
        <f t="shared" si="12"/>
        <v>10</v>
      </c>
      <c r="AB31">
        <f t="shared" si="13"/>
        <v>26</v>
      </c>
      <c r="AC31">
        <f t="shared" si="14"/>
        <v>633</v>
      </c>
      <c r="AD31">
        <f t="shared" si="15"/>
        <v>615</v>
      </c>
      <c r="AE31">
        <f t="shared" si="16"/>
        <v>171</v>
      </c>
      <c r="AF31">
        <f t="shared" si="17"/>
        <v>258.5</v>
      </c>
      <c r="AG31" s="3">
        <v>112720</v>
      </c>
      <c r="AH31" s="31">
        <v>754</v>
      </c>
      <c r="AI31" s="31">
        <v>706</v>
      </c>
      <c r="AJ31" s="37">
        <v>48</v>
      </c>
      <c r="AK31" s="37">
        <v>6.7988668555240803</v>
      </c>
      <c r="AL31" s="36">
        <v>170</v>
      </c>
      <c r="AM31" s="36">
        <v>176</v>
      </c>
      <c r="AN31" s="37">
        <v>-6</v>
      </c>
      <c r="AO31" s="37">
        <v>-3.4090909090909087</v>
      </c>
      <c r="AP31" s="38">
        <v>8822.5</v>
      </c>
      <c r="AQ31" s="39">
        <v>7245.0000030000001</v>
      </c>
      <c r="AR31" s="37">
        <v>1577.4999969999999</v>
      </c>
      <c r="AS31" s="37">
        <v>21.773636940604426</v>
      </c>
      <c r="AT31" s="36">
        <v>2085.5</v>
      </c>
      <c r="AU31" s="36">
        <v>2300</v>
      </c>
      <c r="AV31" s="37">
        <v>-214.5</v>
      </c>
      <c r="AW31" s="37">
        <v>-9.3260869565217401</v>
      </c>
      <c r="AX31" s="3">
        <v>168006</v>
      </c>
      <c r="AY31" t="str">
        <f t="shared" si="18"/>
        <v>BHAGWATI_GREENHRT_TRIYAMJIT</v>
      </c>
      <c r="AZ31" t="str">
        <f t="shared" si="19"/>
        <v>Narela- Bawana</v>
      </c>
      <c r="BC31" s="3">
        <v>112720</v>
      </c>
      <c r="BD31" s="3" t="s">
        <v>72</v>
      </c>
      <c r="BE31" s="40" t="s">
        <v>167</v>
      </c>
      <c r="BF31" s="12" t="s">
        <v>168</v>
      </c>
      <c r="BG31" s="4" t="s">
        <v>169</v>
      </c>
      <c r="BH31" s="4" t="s">
        <v>100</v>
      </c>
      <c r="BI31" s="12" t="s">
        <v>100</v>
      </c>
      <c r="BJ31" s="51" t="s">
        <v>77</v>
      </c>
    </row>
    <row r="32" spans="1:62" ht="36.5" x14ac:dyDescent="0.35">
      <c r="A32">
        <v>41019316</v>
      </c>
      <c r="B32" s="84">
        <f t="shared" si="0"/>
        <v>746</v>
      </c>
      <c r="C32" s="84">
        <f t="shared" si="1"/>
        <v>824</v>
      </c>
      <c r="E32" s="3">
        <v>112403</v>
      </c>
      <c r="F32" s="84">
        <v>301</v>
      </c>
      <c r="G32" s="86">
        <v>327</v>
      </c>
      <c r="H32" s="18">
        <v>299</v>
      </c>
      <c r="I32" s="18">
        <v>306.5</v>
      </c>
      <c r="J32" s="90">
        <v>77</v>
      </c>
      <c r="K32" s="90">
        <v>79.5</v>
      </c>
      <c r="L32" s="84">
        <v>79</v>
      </c>
      <c r="M32" s="86">
        <v>75</v>
      </c>
      <c r="N32" s="3">
        <v>112400</v>
      </c>
      <c r="O32">
        <f t="shared" si="2"/>
        <v>434</v>
      </c>
      <c r="P32">
        <f t="shared" si="3"/>
        <v>422</v>
      </c>
      <c r="Q32">
        <f t="shared" si="4"/>
        <v>318</v>
      </c>
      <c r="R32">
        <f t="shared" si="5"/>
        <v>428</v>
      </c>
      <c r="S32">
        <f t="shared" si="6"/>
        <v>375</v>
      </c>
      <c r="T32">
        <f t="shared" si="7"/>
        <v>390</v>
      </c>
      <c r="U32">
        <f t="shared" si="8"/>
        <v>376</v>
      </c>
      <c r="V32">
        <f t="shared" si="9"/>
        <v>300</v>
      </c>
      <c r="X32" s="5">
        <v>106287</v>
      </c>
      <c r="Y32">
        <f t="shared" si="10"/>
        <v>700</v>
      </c>
      <c r="Z32">
        <f t="shared" si="11"/>
        <v>750</v>
      </c>
      <c r="AA32">
        <f t="shared" si="12"/>
        <v>408</v>
      </c>
      <c r="AB32">
        <f t="shared" si="13"/>
        <v>308</v>
      </c>
      <c r="AC32">
        <f t="shared" si="14"/>
        <v>8725.5</v>
      </c>
      <c r="AD32">
        <f t="shared" si="15"/>
        <v>6932</v>
      </c>
      <c r="AE32">
        <f t="shared" si="16"/>
        <v>3524.5</v>
      </c>
      <c r="AF32">
        <f t="shared" si="17"/>
        <v>3538</v>
      </c>
      <c r="AG32" s="3">
        <v>112400</v>
      </c>
      <c r="AH32" s="31">
        <v>434</v>
      </c>
      <c r="AI32" s="31">
        <v>422</v>
      </c>
      <c r="AJ32" s="37">
        <v>12</v>
      </c>
      <c r="AK32" s="37">
        <v>2.8436018957345972</v>
      </c>
      <c r="AL32" s="36">
        <v>318</v>
      </c>
      <c r="AM32" s="36">
        <v>428</v>
      </c>
      <c r="AN32" s="37">
        <v>-110</v>
      </c>
      <c r="AO32" s="37">
        <v>-25.700934579439249</v>
      </c>
      <c r="AP32" s="38">
        <v>5043</v>
      </c>
      <c r="AQ32" s="39">
        <v>4290</v>
      </c>
      <c r="AR32" s="37">
        <v>753</v>
      </c>
      <c r="AS32" s="37">
        <v>17.552447552447553</v>
      </c>
      <c r="AT32" s="36">
        <v>4642</v>
      </c>
      <c r="AU32" s="36">
        <v>4687</v>
      </c>
      <c r="AV32" s="37">
        <v>-45</v>
      </c>
      <c r="AW32" s="37">
        <v>-0.96010241092383197</v>
      </c>
      <c r="AX32" s="3">
        <v>112403</v>
      </c>
      <c r="AY32" t="str">
        <f t="shared" si="18"/>
        <v>GYMKHANA</v>
      </c>
      <c r="AZ32" t="str">
        <f t="shared" si="19"/>
        <v>Lutyens</v>
      </c>
      <c r="BC32" s="3">
        <v>112400</v>
      </c>
      <c r="BD32" s="3" t="s">
        <v>72</v>
      </c>
      <c r="BE32" s="41" t="s">
        <v>170</v>
      </c>
      <c r="BF32" s="12" t="s">
        <v>171</v>
      </c>
      <c r="BG32" s="4" t="s">
        <v>169</v>
      </c>
      <c r="BH32" s="4" t="s">
        <v>170</v>
      </c>
      <c r="BI32" s="12" t="s">
        <v>170</v>
      </c>
      <c r="BJ32" s="51" t="s">
        <v>172</v>
      </c>
    </row>
    <row r="33" spans="1:62" ht="36.5" x14ac:dyDescent="0.35">
      <c r="A33">
        <v>112391</v>
      </c>
      <c r="B33" s="84">
        <f t="shared" si="0"/>
        <v>610</v>
      </c>
      <c r="C33" s="84">
        <f t="shared" si="1"/>
        <v>667</v>
      </c>
      <c r="E33" s="3">
        <v>112404</v>
      </c>
      <c r="F33" s="84">
        <v>387</v>
      </c>
      <c r="G33" s="86">
        <v>423</v>
      </c>
      <c r="H33" s="18">
        <v>400.5</v>
      </c>
      <c r="I33" s="18">
        <v>400</v>
      </c>
      <c r="J33" s="90">
        <v>229.5</v>
      </c>
      <c r="K33" s="90">
        <v>296</v>
      </c>
      <c r="L33" s="84">
        <v>315</v>
      </c>
      <c r="M33" s="86">
        <v>261</v>
      </c>
      <c r="N33" s="3">
        <v>112383</v>
      </c>
      <c r="O33">
        <f t="shared" si="2"/>
        <v>468</v>
      </c>
      <c r="P33">
        <f t="shared" si="3"/>
        <v>486</v>
      </c>
      <c r="Q33">
        <f t="shared" si="4"/>
        <v>90</v>
      </c>
      <c r="R33">
        <f t="shared" si="5"/>
        <v>108</v>
      </c>
      <c r="S33">
        <f t="shared" si="6"/>
        <v>463.5</v>
      </c>
      <c r="T33">
        <f t="shared" si="7"/>
        <v>423</v>
      </c>
      <c r="U33">
        <f t="shared" si="8"/>
        <v>94.5</v>
      </c>
      <c r="V33">
        <f t="shared" si="9"/>
        <v>99</v>
      </c>
      <c r="X33" s="3">
        <v>198666</v>
      </c>
      <c r="Y33">
        <f t="shared" si="10"/>
        <v>170</v>
      </c>
      <c r="Z33">
        <f t="shared" si="11"/>
        <v>148.5</v>
      </c>
      <c r="AA33">
        <f t="shared" si="12"/>
        <v>62</v>
      </c>
      <c r="AB33">
        <f t="shared" si="13"/>
        <v>35.5</v>
      </c>
      <c r="AC33">
        <f t="shared" si="14"/>
        <v>1881</v>
      </c>
      <c r="AD33">
        <f t="shared" si="15"/>
        <v>1544</v>
      </c>
      <c r="AE33">
        <f t="shared" si="16"/>
        <v>633</v>
      </c>
      <c r="AF33">
        <f t="shared" si="17"/>
        <v>614</v>
      </c>
      <c r="AG33" s="3">
        <v>112383</v>
      </c>
      <c r="AH33" s="31">
        <v>468</v>
      </c>
      <c r="AI33" s="31">
        <v>486</v>
      </c>
      <c r="AJ33" s="37">
        <v>-18</v>
      </c>
      <c r="AK33" s="37">
        <v>-3.7037037037037033</v>
      </c>
      <c r="AL33" s="36">
        <v>90</v>
      </c>
      <c r="AM33" s="36">
        <v>108</v>
      </c>
      <c r="AN33" s="37">
        <v>-18</v>
      </c>
      <c r="AO33" s="37">
        <v>-16.666666666666664</v>
      </c>
      <c r="AP33" s="38">
        <v>5728.5</v>
      </c>
      <c r="AQ33" s="39">
        <v>4860.0000010000003</v>
      </c>
      <c r="AR33" s="37">
        <v>868.49999899999966</v>
      </c>
      <c r="AS33" s="37">
        <v>17.870370346117202</v>
      </c>
      <c r="AT33" s="36">
        <v>1093.5</v>
      </c>
      <c r="AU33" s="36">
        <v>1341</v>
      </c>
      <c r="AV33" s="37">
        <v>-247.5</v>
      </c>
      <c r="AW33" s="37">
        <v>-18.456375838926174</v>
      </c>
      <c r="AX33" s="3">
        <v>112404</v>
      </c>
      <c r="AY33" t="str">
        <f t="shared" si="18"/>
        <v>HARICHAND</v>
      </c>
      <c r="AZ33" t="str">
        <f t="shared" si="19"/>
        <v>Wazirabad-Loni</v>
      </c>
      <c r="BC33" s="3">
        <v>112383</v>
      </c>
      <c r="BD33" s="3" t="s">
        <v>72</v>
      </c>
      <c r="BE33" s="40" t="s">
        <v>173</v>
      </c>
      <c r="BF33" s="12" t="s">
        <v>174</v>
      </c>
      <c r="BG33" s="4" t="s">
        <v>111</v>
      </c>
      <c r="BH33" s="4" t="s">
        <v>125</v>
      </c>
      <c r="BI33" s="12" t="s">
        <v>125</v>
      </c>
      <c r="BJ33" s="51" t="s">
        <v>120</v>
      </c>
    </row>
    <row r="34" spans="1:62" ht="36.5" x14ac:dyDescent="0.35">
      <c r="A34">
        <v>106229</v>
      </c>
      <c r="B34" s="84">
        <f t="shared" si="0"/>
        <v>340</v>
      </c>
      <c r="C34" s="84">
        <f t="shared" si="1"/>
        <v>390</v>
      </c>
      <c r="E34" s="3">
        <v>112407</v>
      </c>
      <c r="F34" s="84">
        <v>142</v>
      </c>
      <c r="G34" s="86">
        <v>140</v>
      </c>
      <c r="H34" s="18">
        <v>146</v>
      </c>
      <c r="I34" s="18">
        <v>157.5</v>
      </c>
      <c r="J34" s="90">
        <v>16</v>
      </c>
      <c r="K34" s="90">
        <v>12.5</v>
      </c>
      <c r="L34" s="84">
        <v>22</v>
      </c>
      <c r="M34" s="86">
        <v>14</v>
      </c>
      <c r="N34" s="3">
        <v>198868</v>
      </c>
      <c r="O34">
        <f t="shared" si="2"/>
        <v>108</v>
      </c>
      <c r="P34">
        <f t="shared" si="3"/>
        <v>96</v>
      </c>
      <c r="Q34">
        <f t="shared" si="4"/>
        <v>306</v>
      </c>
      <c r="R34">
        <f t="shared" si="5"/>
        <v>212</v>
      </c>
      <c r="S34">
        <f t="shared" si="6"/>
        <v>104</v>
      </c>
      <c r="T34">
        <f t="shared" si="7"/>
        <v>91</v>
      </c>
      <c r="U34">
        <f t="shared" si="8"/>
        <v>134</v>
      </c>
      <c r="V34">
        <f t="shared" si="9"/>
        <v>203</v>
      </c>
      <c r="X34" s="5">
        <v>186866</v>
      </c>
      <c r="Y34">
        <f t="shared" si="10"/>
        <v>809</v>
      </c>
      <c r="Z34">
        <f t="shared" si="11"/>
        <v>680</v>
      </c>
      <c r="AA34">
        <f t="shared" si="12"/>
        <v>221</v>
      </c>
      <c r="AB34">
        <f t="shared" si="13"/>
        <v>190</v>
      </c>
      <c r="AC34">
        <f t="shared" si="14"/>
        <v>9326.5</v>
      </c>
      <c r="AD34">
        <f t="shared" si="15"/>
        <v>6916.5</v>
      </c>
      <c r="AE34">
        <f t="shared" si="16"/>
        <v>2573.5</v>
      </c>
      <c r="AF34">
        <f t="shared" si="17"/>
        <v>2620.5</v>
      </c>
      <c r="AG34" s="3">
        <v>198868</v>
      </c>
      <c r="AH34" s="31">
        <v>108</v>
      </c>
      <c r="AI34" s="31">
        <v>96</v>
      </c>
      <c r="AJ34" s="37">
        <v>12</v>
      </c>
      <c r="AK34" s="37">
        <v>12.5</v>
      </c>
      <c r="AL34" s="36">
        <v>306</v>
      </c>
      <c r="AM34" s="36">
        <v>212</v>
      </c>
      <c r="AN34" s="37">
        <v>94</v>
      </c>
      <c r="AO34" s="37">
        <v>44.339622641509436</v>
      </c>
      <c r="AP34" s="38">
        <v>1315</v>
      </c>
      <c r="AQ34" s="39">
        <v>953</v>
      </c>
      <c r="AR34" s="37">
        <v>362</v>
      </c>
      <c r="AS34" s="37">
        <v>37.985309548793282</v>
      </c>
      <c r="AT34" s="36">
        <v>2337</v>
      </c>
      <c r="AU34" s="36">
        <v>3010</v>
      </c>
      <c r="AV34" s="37">
        <v>-673</v>
      </c>
      <c r="AW34" s="37">
        <v>-22.358803986710964</v>
      </c>
      <c r="AX34" s="3">
        <v>112407</v>
      </c>
      <c r="AY34" t="str">
        <f t="shared" si="18"/>
        <v>SHAURYABHUSHAN_JAGDISH</v>
      </c>
      <c r="AZ34" t="str">
        <f t="shared" si="19"/>
        <v>Rohini</v>
      </c>
      <c r="BC34" s="3">
        <v>198868</v>
      </c>
      <c r="BD34" s="3" t="s">
        <v>72</v>
      </c>
      <c r="BE34" s="41" t="s">
        <v>1006</v>
      </c>
      <c r="BF34" s="12" t="s">
        <v>176</v>
      </c>
      <c r="BG34" s="4" t="s">
        <v>89</v>
      </c>
      <c r="BH34" s="4" t="s">
        <v>177</v>
      </c>
      <c r="BI34" s="12" t="s">
        <v>177</v>
      </c>
      <c r="BJ34" s="51" t="s">
        <v>178</v>
      </c>
    </row>
    <row r="35" spans="1:62" ht="48.5" x14ac:dyDescent="0.35">
      <c r="A35">
        <v>112392</v>
      </c>
      <c r="B35" s="84">
        <f t="shared" si="0"/>
        <v>365</v>
      </c>
      <c r="C35" s="84">
        <f t="shared" si="1"/>
        <v>400</v>
      </c>
      <c r="E35" s="3">
        <v>112408</v>
      </c>
      <c r="F35" s="84">
        <v>274.5</v>
      </c>
      <c r="G35" s="86">
        <v>324.5</v>
      </c>
      <c r="H35" s="18">
        <v>208</v>
      </c>
      <c r="I35" s="18">
        <v>239</v>
      </c>
      <c r="J35" s="90">
        <v>58</v>
      </c>
      <c r="K35" s="90">
        <v>63</v>
      </c>
      <c r="L35" s="84">
        <v>67.5</v>
      </c>
      <c r="M35" s="86">
        <v>85.5</v>
      </c>
      <c r="N35" s="3">
        <v>112384</v>
      </c>
      <c r="O35">
        <f t="shared" si="2"/>
        <v>234</v>
      </c>
      <c r="P35">
        <f t="shared" si="3"/>
        <v>232</v>
      </c>
      <c r="Q35">
        <f t="shared" si="4"/>
        <v>60</v>
      </c>
      <c r="R35">
        <f t="shared" si="5"/>
        <v>62</v>
      </c>
      <c r="S35">
        <f t="shared" si="6"/>
        <v>205</v>
      </c>
      <c r="T35">
        <f t="shared" si="7"/>
        <v>203</v>
      </c>
      <c r="U35">
        <f t="shared" si="8"/>
        <v>47</v>
      </c>
      <c r="V35">
        <f t="shared" si="9"/>
        <v>63</v>
      </c>
      <c r="X35" s="5">
        <v>186856</v>
      </c>
      <c r="Y35">
        <f t="shared" si="10"/>
        <v>276</v>
      </c>
      <c r="Z35">
        <f t="shared" si="11"/>
        <v>317.5</v>
      </c>
      <c r="AA35">
        <f t="shared" si="12"/>
        <v>86</v>
      </c>
      <c r="AB35">
        <f t="shared" si="13"/>
        <v>84.5</v>
      </c>
      <c r="AC35">
        <f t="shared" si="14"/>
        <v>3736</v>
      </c>
      <c r="AD35">
        <f t="shared" si="15"/>
        <v>3053</v>
      </c>
      <c r="AE35">
        <f t="shared" si="16"/>
        <v>1090</v>
      </c>
      <c r="AF35">
        <f t="shared" si="17"/>
        <v>1112.5</v>
      </c>
      <c r="AG35" s="3">
        <v>112384</v>
      </c>
      <c r="AH35" s="31">
        <v>234</v>
      </c>
      <c r="AI35" s="31">
        <v>232</v>
      </c>
      <c r="AJ35" s="37">
        <v>2</v>
      </c>
      <c r="AK35" s="37">
        <v>0.86206896551724133</v>
      </c>
      <c r="AL35" s="36">
        <v>60</v>
      </c>
      <c r="AM35" s="36">
        <v>62</v>
      </c>
      <c r="AN35" s="37">
        <v>-2</v>
      </c>
      <c r="AO35" s="37">
        <v>-3.225806451612903</v>
      </c>
      <c r="AP35" s="38">
        <v>2685</v>
      </c>
      <c r="AQ35" s="39">
        <v>2408.0000009999999</v>
      </c>
      <c r="AR35" s="37">
        <v>276.99999900000012</v>
      </c>
      <c r="AS35" s="37">
        <v>11.503322212830852</v>
      </c>
      <c r="AT35" s="36">
        <v>633</v>
      </c>
      <c r="AU35" s="36">
        <v>830</v>
      </c>
      <c r="AV35" s="37">
        <v>-197</v>
      </c>
      <c r="AW35" s="37">
        <v>-23.734939759036145</v>
      </c>
      <c r="AX35" s="3">
        <v>112408</v>
      </c>
      <c r="AY35" t="str">
        <f t="shared" si="18"/>
        <v>JAGLAN FS</v>
      </c>
      <c r="AZ35" t="str">
        <f t="shared" si="19"/>
        <v>Dwarka</v>
      </c>
      <c r="BC35" s="3">
        <v>112384</v>
      </c>
      <c r="BD35" s="3" t="s">
        <v>72</v>
      </c>
      <c r="BE35" s="40" t="s">
        <v>179</v>
      </c>
      <c r="BF35" s="12" t="s">
        <v>180</v>
      </c>
      <c r="BG35" s="4" t="s">
        <v>103</v>
      </c>
      <c r="BH35" s="4" t="s">
        <v>181</v>
      </c>
      <c r="BI35" s="12" t="s">
        <v>181</v>
      </c>
      <c r="BJ35" s="51" t="s">
        <v>105</v>
      </c>
    </row>
    <row r="36" spans="1:62" ht="60.5" x14ac:dyDescent="0.35">
      <c r="A36">
        <v>112393</v>
      </c>
      <c r="B36" s="84">
        <f t="shared" si="0"/>
        <v>300</v>
      </c>
      <c r="C36" s="84">
        <f t="shared" si="1"/>
        <v>340</v>
      </c>
      <c r="E36" s="3">
        <v>168009</v>
      </c>
      <c r="F36" s="84">
        <v>62</v>
      </c>
      <c r="G36" s="86">
        <v>67</v>
      </c>
      <c r="H36" s="18">
        <v>64.5</v>
      </c>
      <c r="I36" s="18">
        <v>74</v>
      </c>
      <c r="J36" s="90">
        <v>39.5</v>
      </c>
      <c r="K36" s="90">
        <v>42</v>
      </c>
      <c r="L36" s="84">
        <v>42</v>
      </c>
      <c r="M36" s="86">
        <v>29</v>
      </c>
      <c r="N36" s="3">
        <v>149412</v>
      </c>
      <c r="O36">
        <f t="shared" si="2"/>
        <v>149</v>
      </c>
      <c r="P36">
        <f t="shared" si="3"/>
        <v>168.5</v>
      </c>
      <c r="Q36">
        <f t="shared" si="4"/>
        <v>45</v>
      </c>
      <c r="R36">
        <f t="shared" si="5"/>
        <v>47.5</v>
      </c>
      <c r="S36">
        <f t="shared" si="6"/>
        <v>126</v>
      </c>
      <c r="T36">
        <f t="shared" si="7"/>
        <v>147.5</v>
      </c>
      <c r="U36">
        <f t="shared" si="8"/>
        <v>42</v>
      </c>
      <c r="V36">
        <f t="shared" si="9"/>
        <v>46.5</v>
      </c>
      <c r="X36" s="5">
        <v>106353</v>
      </c>
      <c r="Y36">
        <f t="shared" si="10"/>
        <v>526.5</v>
      </c>
      <c r="Z36">
        <f t="shared" si="11"/>
        <v>468</v>
      </c>
      <c r="AA36">
        <f t="shared" si="12"/>
        <v>67.5</v>
      </c>
      <c r="AB36">
        <f t="shared" si="13"/>
        <v>72</v>
      </c>
      <c r="AC36">
        <f t="shared" si="14"/>
        <v>5832.5</v>
      </c>
      <c r="AD36">
        <f t="shared" si="15"/>
        <v>4636.5</v>
      </c>
      <c r="AE36">
        <f t="shared" si="16"/>
        <v>733.5</v>
      </c>
      <c r="AF36">
        <f t="shared" si="17"/>
        <v>837</v>
      </c>
      <c r="AG36" s="3">
        <v>149412</v>
      </c>
      <c r="AH36" s="31">
        <v>149</v>
      </c>
      <c r="AI36" s="31">
        <v>168.5</v>
      </c>
      <c r="AJ36" s="37">
        <v>-19.5</v>
      </c>
      <c r="AK36" s="37">
        <v>-11.572700296735905</v>
      </c>
      <c r="AL36" s="36">
        <v>45</v>
      </c>
      <c r="AM36" s="36">
        <v>47.5</v>
      </c>
      <c r="AN36" s="37">
        <v>-2.5</v>
      </c>
      <c r="AO36" s="37">
        <v>-5.2631578947368416</v>
      </c>
      <c r="AP36" s="38">
        <v>1724</v>
      </c>
      <c r="AQ36" s="39">
        <v>1828.0000069999999</v>
      </c>
      <c r="AR36" s="37">
        <v>-104.00000699999987</v>
      </c>
      <c r="AS36" s="37">
        <v>-5.6892782604896279</v>
      </c>
      <c r="AT36" s="36">
        <v>492</v>
      </c>
      <c r="AU36" s="36">
        <v>712</v>
      </c>
      <c r="AV36" s="37">
        <v>-220</v>
      </c>
      <c r="AW36" s="37">
        <v>-30.898876404494381</v>
      </c>
      <c r="AX36" s="3">
        <v>168009</v>
      </c>
      <c r="AY36" t="str">
        <f t="shared" si="18"/>
        <v>BPBAWANA_JAIMATA</v>
      </c>
      <c r="AZ36" t="str">
        <f t="shared" si="19"/>
        <v>Narela- Bawana</v>
      </c>
      <c r="BC36" s="3">
        <v>149412</v>
      </c>
      <c r="BD36" s="3" t="s">
        <v>72</v>
      </c>
      <c r="BE36" s="43" t="s">
        <v>182</v>
      </c>
      <c r="BF36" s="12" t="s">
        <v>183</v>
      </c>
      <c r="BG36" s="4" t="s">
        <v>81</v>
      </c>
      <c r="BH36" s="4" t="s">
        <v>184</v>
      </c>
      <c r="BI36" s="12" t="s">
        <v>184</v>
      </c>
      <c r="BJ36" s="51" t="s">
        <v>141</v>
      </c>
    </row>
    <row r="37" spans="1:62" ht="36.5" x14ac:dyDescent="0.35">
      <c r="A37">
        <v>106231</v>
      </c>
      <c r="B37" s="84">
        <f t="shared" si="0"/>
        <v>240</v>
      </c>
      <c r="C37" s="84">
        <f t="shared" si="1"/>
        <v>260</v>
      </c>
      <c r="E37" s="3">
        <v>148414</v>
      </c>
      <c r="F37" s="84">
        <v>239</v>
      </c>
      <c r="G37" s="86">
        <v>243</v>
      </c>
      <c r="H37" s="18">
        <v>173</v>
      </c>
      <c r="I37" s="18">
        <v>198</v>
      </c>
      <c r="J37" s="90">
        <v>307</v>
      </c>
      <c r="K37" s="90">
        <v>354</v>
      </c>
      <c r="L37" s="84">
        <v>385</v>
      </c>
      <c r="M37" s="86">
        <v>357</v>
      </c>
      <c r="N37" s="3">
        <v>112424</v>
      </c>
      <c r="O37">
        <f t="shared" si="2"/>
        <v>150</v>
      </c>
      <c r="P37">
        <f t="shared" si="3"/>
        <v>140</v>
      </c>
      <c r="Q37">
        <f t="shared" si="4"/>
        <v>288</v>
      </c>
      <c r="R37">
        <f t="shared" si="5"/>
        <v>320</v>
      </c>
      <c r="S37">
        <f t="shared" si="6"/>
        <v>130</v>
      </c>
      <c r="T37">
        <f t="shared" si="7"/>
        <v>120</v>
      </c>
      <c r="U37">
        <f t="shared" si="8"/>
        <v>270</v>
      </c>
      <c r="V37">
        <f t="shared" si="9"/>
        <v>320</v>
      </c>
      <c r="X37" s="3">
        <v>112466</v>
      </c>
      <c r="Y37">
        <f t="shared" si="10"/>
        <v>59</v>
      </c>
      <c r="Z37">
        <f t="shared" si="11"/>
        <v>16</v>
      </c>
      <c r="AA37">
        <f t="shared" si="12"/>
        <v>21</v>
      </c>
      <c r="AB37">
        <f t="shared" si="13"/>
        <v>8</v>
      </c>
      <c r="AC37">
        <f t="shared" si="14"/>
        <v>432</v>
      </c>
      <c r="AD37">
        <f t="shared" si="15"/>
        <v>360</v>
      </c>
      <c r="AE37">
        <f t="shared" si="16"/>
        <v>152</v>
      </c>
      <c r="AF37">
        <f t="shared" si="17"/>
        <v>174.5</v>
      </c>
      <c r="AG37" s="3">
        <v>112424</v>
      </c>
      <c r="AH37" s="31">
        <v>150</v>
      </c>
      <c r="AI37" s="31">
        <v>140</v>
      </c>
      <c r="AJ37" s="37">
        <v>10</v>
      </c>
      <c r="AK37" s="37">
        <v>7.1428571428571423</v>
      </c>
      <c r="AL37" s="36">
        <v>288</v>
      </c>
      <c r="AM37" s="36">
        <v>320</v>
      </c>
      <c r="AN37" s="37">
        <v>-32</v>
      </c>
      <c r="AO37" s="37">
        <v>-10</v>
      </c>
      <c r="AP37" s="38">
        <v>1788</v>
      </c>
      <c r="AQ37" s="39">
        <v>1358</v>
      </c>
      <c r="AR37" s="37">
        <v>430</v>
      </c>
      <c r="AS37" s="37">
        <v>31.664212076583208</v>
      </c>
      <c r="AT37" s="36">
        <v>3622</v>
      </c>
      <c r="AU37" s="36">
        <v>3668</v>
      </c>
      <c r="AV37" s="37">
        <v>-46</v>
      </c>
      <c r="AW37" s="37">
        <v>-1.2540894220283534</v>
      </c>
      <c r="AX37" s="3">
        <v>148414</v>
      </c>
      <c r="AY37" t="str">
        <f t="shared" si="18"/>
        <v>PAUL_AJANTA_JAIGANESH</v>
      </c>
      <c r="AZ37" t="str">
        <f t="shared" si="19"/>
        <v>New GT Road (NH44)</v>
      </c>
      <c r="BC37" s="3">
        <v>112424</v>
      </c>
      <c r="BD37" s="3" t="s">
        <v>72</v>
      </c>
      <c r="BE37" s="40" t="s">
        <v>185</v>
      </c>
      <c r="BF37" s="12" t="s">
        <v>186</v>
      </c>
      <c r="BG37" s="4" t="s">
        <v>187</v>
      </c>
      <c r="BH37" s="4" t="s">
        <v>188</v>
      </c>
      <c r="BI37" s="12" t="s">
        <v>188</v>
      </c>
      <c r="BJ37" s="51" t="s">
        <v>189</v>
      </c>
    </row>
    <row r="38" spans="1:62" ht="48.5" x14ac:dyDescent="0.35">
      <c r="A38">
        <v>41019264</v>
      </c>
      <c r="B38" s="84">
        <f t="shared" si="0"/>
        <v>11.782550000000001</v>
      </c>
      <c r="C38" s="84">
        <f t="shared" si="1"/>
        <v>14.345780000000001</v>
      </c>
      <c r="E38" s="3">
        <v>144348</v>
      </c>
      <c r="F38" s="84">
        <v>280</v>
      </c>
      <c r="G38" s="86">
        <v>330</v>
      </c>
      <c r="H38" s="18">
        <v>255</v>
      </c>
      <c r="I38" s="18">
        <v>280</v>
      </c>
      <c r="J38" s="90">
        <v>65</v>
      </c>
      <c r="K38" s="90">
        <v>80</v>
      </c>
      <c r="L38" s="84">
        <v>60</v>
      </c>
      <c r="M38" s="86">
        <v>70</v>
      </c>
      <c r="N38" s="3">
        <v>144329</v>
      </c>
      <c r="O38">
        <f t="shared" si="2"/>
        <v>285</v>
      </c>
      <c r="P38">
        <f t="shared" si="3"/>
        <v>310</v>
      </c>
      <c r="Q38">
        <f t="shared" si="4"/>
        <v>469</v>
      </c>
      <c r="R38">
        <f t="shared" si="5"/>
        <v>340</v>
      </c>
      <c r="S38">
        <f t="shared" si="6"/>
        <v>331</v>
      </c>
      <c r="T38">
        <f t="shared" si="7"/>
        <v>280</v>
      </c>
      <c r="U38">
        <f t="shared" si="8"/>
        <v>289</v>
      </c>
      <c r="V38">
        <f t="shared" si="9"/>
        <v>380</v>
      </c>
      <c r="X38" s="5">
        <v>102087</v>
      </c>
      <c r="Y38">
        <f t="shared" si="10"/>
        <v>260</v>
      </c>
      <c r="Z38">
        <f t="shared" si="11"/>
        <v>279</v>
      </c>
      <c r="AA38">
        <f t="shared" si="12"/>
        <v>52</v>
      </c>
      <c r="AB38">
        <f t="shared" si="13"/>
        <v>75</v>
      </c>
      <c r="AC38">
        <f t="shared" si="14"/>
        <v>3200</v>
      </c>
      <c r="AD38">
        <f t="shared" si="15"/>
        <v>2868.5</v>
      </c>
      <c r="AE38">
        <f t="shared" si="16"/>
        <v>642</v>
      </c>
      <c r="AF38">
        <f t="shared" si="17"/>
        <v>989.5</v>
      </c>
      <c r="AG38" s="3">
        <v>144329</v>
      </c>
      <c r="AH38" s="31">
        <v>285</v>
      </c>
      <c r="AI38" s="31">
        <v>310</v>
      </c>
      <c r="AJ38" s="37">
        <v>-25</v>
      </c>
      <c r="AK38" s="37">
        <v>-8.064516129032258</v>
      </c>
      <c r="AL38" s="36">
        <v>469</v>
      </c>
      <c r="AM38" s="36">
        <v>340</v>
      </c>
      <c r="AN38" s="37">
        <v>129</v>
      </c>
      <c r="AO38" s="37">
        <v>37.941176470588232</v>
      </c>
      <c r="AP38" s="38">
        <v>3824</v>
      </c>
      <c r="AQ38" s="39">
        <v>2826.5</v>
      </c>
      <c r="AR38" s="37">
        <v>997.5</v>
      </c>
      <c r="AS38" s="37">
        <v>35.290995931363881</v>
      </c>
      <c r="AT38" s="36">
        <v>4092</v>
      </c>
      <c r="AU38" s="36">
        <v>4807.5</v>
      </c>
      <c r="AV38" s="37">
        <v>-715.5</v>
      </c>
      <c r="AW38" s="37">
        <v>-14.882995319812792</v>
      </c>
      <c r="AX38" s="3">
        <v>144348</v>
      </c>
      <c r="AY38" t="str">
        <f t="shared" si="18"/>
        <v>SHOKEEN_JAI SHREEKRISHNA_SHANTI</v>
      </c>
      <c r="AZ38" t="str">
        <f t="shared" si="19"/>
        <v>Nazafgarh-Kapashera</v>
      </c>
      <c r="BC38" s="3">
        <v>144329</v>
      </c>
      <c r="BD38" s="3" t="s">
        <v>72</v>
      </c>
      <c r="BE38" s="41" t="s">
        <v>190</v>
      </c>
      <c r="BF38" s="12" t="s">
        <v>191</v>
      </c>
      <c r="BG38" s="4" t="s">
        <v>85</v>
      </c>
      <c r="BH38" s="4" t="s">
        <v>192</v>
      </c>
      <c r="BI38" s="12" t="s">
        <v>192</v>
      </c>
      <c r="BJ38" s="51" t="s">
        <v>178</v>
      </c>
    </row>
    <row r="39" spans="1:62" ht="36.5" x14ac:dyDescent="0.35">
      <c r="A39">
        <v>186856</v>
      </c>
      <c r="B39" s="84">
        <f t="shared" si="0"/>
        <v>289</v>
      </c>
      <c r="C39" s="84">
        <f t="shared" si="1"/>
        <v>276</v>
      </c>
      <c r="E39" s="3">
        <v>112410</v>
      </c>
      <c r="F39" s="84">
        <v>87</v>
      </c>
      <c r="G39" s="86">
        <v>98</v>
      </c>
      <c r="H39" s="18">
        <v>92</v>
      </c>
      <c r="I39" s="18">
        <v>99</v>
      </c>
      <c r="J39" s="90">
        <v>38</v>
      </c>
      <c r="K39" s="90">
        <v>41</v>
      </c>
      <c r="L39" s="84">
        <v>21</v>
      </c>
      <c r="M39" s="86">
        <v>48</v>
      </c>
      <c r="N39" s="3">
        <v>112451</v>
      </c>
      <c r="O39">
        <f t="shared" si="2"/>
        <v>853</v>
      </c>
      <c r="P39">
        <f t="shared" si="3"/>
        <v>928</v>
      </c>
      <c r="Q39">
        <f t="shared" si="4"/>
        <v>87</v>
      </c>
      <c r="R39">
        <f t="shared" si="5"/>
        <v>126</v>
      </c>
      <c r="S39">
        <f t="shared" si="6"/>
        <v>834</v>
      </c>
      <c r="T39">
        <f t="shared" si="7"/>
        <v>915.5</v>
      </c>
      <c r="U39">
        <f t="shared" si="8"/>
        <v>102</v>
      </c>
      <c r="V39">
        <f t="shared" si="9"/>
        <v>126.5</v>
      </c>
      <c r="X39" s="9">
        <v>41056400</v>
      </c>
      <c r="Y39">
        <f t="shared" si="10"/>
        <v>253</v>
      </c>
      <c r="Z39">
        <f t="shared" si="11"/>
        <v>301</v>
      </c>
      <c r="AA39">
        <f t="shared" si="12"/>
        <v>19</v>
      </c>
      <c r="AB39">
        <f t="shared" si="13"/>
        <v>23</v>
      </c>
      <c r="AC39">
        <f t="shared" si="14"/>
        <v>3257</v>
      </c>
      <c r="AD39">
        <f t="shared" si="15"/>
        <v>2493.5</v>
      </c>
      <c r="AE39">
        <f t="shared" si="16"/>
        <v>363</v>
      </c>
      <c r="AF39">
        <f t="shared" si="17"/>
        <v>338.5</v>
      </c>
      <c r="AG39" s="3">
        <v>112451</v>
      </c>
      <c r="AH39" s="31">
        <v>853</v>
      </c>
      <c r="AI39" s="31">
        <v>928</v>
      </c>
      <c r="AJ39" s="37">
        <v>-75</v>
      </c>
      <c r="AK39" s="37">
        <v>-8.0818965517241388</v>
      </c>
      <c r="AL39" s="36">
        <v>87</v>
      </c>
      <c r="AM39" s="36">
        <v>126</v>
      </c>
      <c r="AN39" s="37">
        <v>-39</v>
      </c>
      <c r="AO39" s="37">
        <v>-30.952380952380953</v>
      </c>
      <c r="AP39" s="38">
        <v>11478</v>
      </c>
      <c r="AQ39" s="39">
        <v>9618.0000280000004</v>
      </c>
      <c r="AR39" s="37">
        <v>1859.9999719999996</v>
      </c>
      <c r="AS39" s="37">
        <v>19.338739515337412</v>
      </c>
      <c r="AT39" s="36">
        <v>1324</v>
      </c>
      <c r="AU39" s="36">
        <v>1564.5</v>
      </c>
      <c r="AV39" s="37">
        <v>-240.5</v>
      </c>
      <c r="AW39" s="37">
        <v>-15.372323426014701</v>
      </c>
      <c r="AX39" s="3">
        <v>112410</v>
      </c>
      <c r="AY39" t="str">
        <f t="shared" si="18"/>
        <v>JAIPURGOLDEN_MANGAL</v>
      </c>
      <c r="AZ39" t="str">
        <f t="shared" si="19"/>
        <v>Nazafgarh-Kapashera</v>
      </c>
      <c r="BC39" s="3">
        <v>112451</v>
      </c>
      <c r="BD39" s="3" t="s">
        <v>72</v>
      </c>
      <c r="BE39" s="43" t="s">
        <v>193</v>
      </c>
      <c r="BF39" s="12" t="s">
        <v>194</v>
      </c>
      <c r="BG39" s="4" t="s">
        <v>81</v>
      </c>
      <c r="BH39" s="4" t="s">
        <v>195</v>
      </c>
      <c r="BI39" s="12" t="s">
        <v>195</v>
      </c>
      <c r="BJ39" s="51" t="s">
        <v>135</v>
      </c>
    </row>
    <row r="40" spans="1:62" ht="60.5" x14ac:dyDescent="0.35">
      <c r="A40">
        <v>41056998</v>
      </c>
      <c r="B40" s="84">
        <f t="shared" si="0"/>
        <v>143.5</v>
      </c>
      <c r="C40" s="84">
        <f t="shared" si="1"/>
        <v>157.5</v>
      </c>
      <c r="E40" s="3">
        <v>148413</v>
      </c>
      <c r="F40" s="84">
        <v>350</v>
      </c>
      <c r="G40" s="86">
        <v>380</v>
      </c>
      <c r="H40" s="18">
        <v>315</v>
      </c>
      <c r="I40" s="18">
        <v>350</v>
      </c>
      <c r="J40" s="90">
        <v>45</v>
      </c>
      <c r="K40" s="90">
        <v>50</v>
      </c>
      <c r="L40" s="84">
        <v>50</v>
      </c>
      <c r="M40" s="86">
        <v>40</v>
      </c>
      <c r="N40" s="3">
        <v>146411</v>
      </c>
      <c r="O40">
        <f t="shared" si="2"/>
        <v>85</v>
      </c>
      <c r="P40">
        <f t="shared" si="3"/>
        <v>93</v>
      </c>
      <c r="Q40">
        <f t="shared" si="4"/>
        <v>55</v>
      </c>
      <c r="R40">
        <f t="shared" si="5"/>
        <v>53</v>
      </c>
      <c r="S40">
        <f t="shared" si="6"/>
        <v>75</v>
      </c>
      <c r="T40">
        <f t="shared" si="7"/>
        <v>73</v>
      </c>
      <c r="U40">
        <f t="shared" si="8"/>
        <v>45</v>
      </c>
      <c r="V40">
        <f t="shared" si="9"/>
        <v>39</v>
      </c>
      <c r="X40" s="5">
        <v>106324</v>
      </c>
      <c r="Y40">
        <f t="shared" si="10"/>
        <v>502</v>
      </c>
      <c r="Z40">
        <f t="shared" si="11"/>
        <v>472.5</v>
      </c>
      <c r="AA40">
        <f t="shared" si="12"/>
        <v>90</v>
      </c>
      <c r="AB40">
        <f t="shared" si="13"/>
        <v>103.5</v>
      </c>
      <c r="AC40">
        <f t="shared" si="14"/>
        <v>5907.5</v>
      </c>
      <c r="AD40">
        <f t="shared" si="15"/>
        <v>4887</v>
      </c>
      <c r="AE40">
        <f t="shared" si="16"/>
        <v>1106.5</v>
      </c>
      <c r="AF40">
        <f t="shared" si="17"/>
        <v>1359</v>
      </c>
      <c r="AG40" s="3">
        <v>146411</v>
      </c>
      <c r="AH40" s="31">
        <v>85</v>
      </c>
      <c r="AI40" s="31">
        <v>93</v>
      </c>
      <c r="AJ40" s="37">
        <v>-8</v>
      </c>
      <c r="AK40" s="37">
        <v>-8.6021505376344098</v>
      </c>
      <c r="AL40" s="36">
        <v>55</v>
      </c>
      <c r="AM40" s="36">
        <v>53</v>
      </c>
      <c r="AN40" s="37">
        <v>2</v>
      </c>
      <c r="AO40" s="37">
        <v>3.7735849056603774</v>
      </c>
      <c r="AP40" s="38">
        <v>985</v>
      </c>
      <c r="AQ40" s="39">
        <v>817.00000399999999</v>
      </c>
      <c r="AR40" s="37">
        <v>167.99999600000001</v>
      </c>
      <c r="AS40" s="37">
        <v>20.563034905444137</v>
      </c>
      <c r="AT40" s="36">
        <v>595</v>
      </c>
      <c r="AU40" s="36">
        <v>599</v>
      </c>
      <c r="AV40" s="37">
        <v>-4</v>
      </c>
      <c r="AW40" s="37">
        <v>-0.667779632721202</v>
      </c>
      <c r="AX40" s="3">
        <v>148413</v>
      </c>
      <c r="AY40" t="str">
        <f t="shared" si="18"/>
        <v>JALVAYU</v>
      </c>
      <c r="AZ40" t="str">
        <f t="shared" si="19"/>
        <v>Rohini</v>
      </c>
      <c r="BC40" s="3">
        <v>146411</v>
      </c>
      <c r="BD40" s="3" t="s">
        <v>72</v>
      </c>
      <c r="BE40" s="43" t="s">
        <v>196</v>
      </c>
      <c r="BF40" s="12" t="s">
        <v>197</v>
      </c>
      <c r="BG40" s="4" t="s">
        <v>81</v>
      </c>
      <c r="BH40" s="4" t="s">
        <v>184</v>
      </c>
      <c r="BI40" s="12" t="s">
        <v>184</v>
      </c>
      <c r="BJ40" s="51" t="s">
        <v>141</v>
      </c>
    </row>
    <row r="41" spans="1:62" ht="36.5" x14ac:dyDescent="0.35">
      <c r="A41">
        <v>254645</v>
      </c>
      <c r="B41" s="84">
        <f t="shared" si="0"/>
        <v>61.5</v>
      </c>
      <c r="C41" s="84">
        <f t="shared" si="1"/>
        <v>48.5</v>
      </c>
      <c r="E41" s="3">
        <v>157172</v>
      </c>
      <c r="F41" s="84">
        <v>131</v>
      </c>
      <c r="G41" s="86">
        <v>115</v>
      </c>
      <c r="H41" s="18">
        <v>114</v>
      </c>
      <c r="I41" s="18">
        <v>108.5</v>
      </c>
      <c r="J41" s="90">
        <v>122</v>
      </c>
      <c r="K41" s="90">
        <v>115.5</v>
      </c>
      <c r="L41" s="84">
        <v>175</v>
      </c>
      <c r="M41" s="86">
        <v>143</v>
      </c>
      <c r="N41" s="3">
        <v>112399</v>
      </c>
      <c r="O41">
        <f t="shared" si="2"/>
        <v>63</v>
      </c>
      <c r="P41">
        <f t="shared" si="3"/>
        <v>72.5</v>
      </c>
      <c r="Q41">
        <f t="shared" si="4"/>
        <v>99</v>
      </c>
      <c r="R41">
        <f t="shared" si="5"/>
        <v>85.5</v>
      </c>
      <c r="S41">
        <f t="shared" si="6"/>
        <v>76</v>
      </c>
      <c r="T41">
        <f t="shared" si="7"/>
        <v>62</v>
      </c>
      <c r="U41">
        <f t="shared" si="8"/>
        <v>62</v>
      </c>
      <c r="V41">
        <f t="shared" si="9"/>
        <v>72</v>
      </c>
      <c r="X41" s="5">
        <v>106296</v>
      </c>
      <c r="Y41">
        <f t="shared" si="10"/>
        <v>229.5</v>
      </c>
      <c r="Z41">
        <f t="shared" si="11"/>
        <v>245</v>
      </c>
      <c r="AA41">
        <f t="shared" si="12"/>
        <v>22.5</v>
      </c>
      <c r="AB41">
        <f t="shared" si="13"/>
        <v>29</v>
      </c>
      <c r="AC41">
        <f t="shared" si="14"/>
        <v>3046</v>
      </c>
      <c r="AD41">
        <f t="shared" si="15"/>
        <v>2357.5</v>
      </c>
      <c r="AE41">
        <f t="shared" si="16"/>
        <v>364</v>
      </c>
      <c r="AF41">
        <f t="shared" si="17"/>
        <v>339.5</v>
      </c>
      <c r="AG41" s="3">
        <v>112399</v>
      </c>
      <c r="AH41" s="31">
        <v>63</v>
      </c>
      <c r="AI41" s="31">
        <v>72.5</v>
      </c>
      <c r="AJ41" s="37">
        <v>-9.5</v>
      </c>
      <c r="AK41" s="37">
        <v>-13.103448275862069</v>
      </c>
      <c r="AL41" s="36">
        <v>99</v>
      </c>
      <c r="AM41" s="36">
        <v>85.5</v>
      </c>
      <c r="AN41" s="37">
        <v>13.5</v>
      </c>
      <c r="AO41" s="37">
        <v>15.789473684210526</v>
      </c>
      <c r="AP41" s="38">
        <v>910</v>
      </c>
      <c r="AQ41" s="39">
        <v>761.5</v>
      </c>
      <c r="AR41" s="37">
        <v>148.5</v>
      </c>
      <c r="AS41" s="37">
        <v>19.500984898227184</v>
      </c>
      <c r="AT41" s="36">
        <v>1118</v>
      </c>
      <c r="AU41" s="36">
        <v>1138</v>
      </c>
      <c r="AV41" s="37">
        <v>-20</v>
      </c>
      <c r="AW41" s="37">
        <v>-1.7574692442882252</v>
      </c>
      <c r="AX41" s="3">
        <v>157172</v>
      </c>
      <c r="AY41" t="str">
        <f t="shared" si="18"/>
        <v>JFJ</v>
      </c>
      <c r="AZ41" t="str">
        <f t="shared" si="19"/>
        <v xml:space="preserve">Okhla </v>
      </c>
      <c r="BC41" s="3">
        <v>112399</v>
      </c>
      <c r="BD41" s="3" t="s">
        <v>72</v>
      </c>
      <c r="BE41" s="42" t="s">
        <v>198</v>
      </c>
      <c r="BF41" s="12" t="s">
        <v>199</v>
      </c>
      <c r="BG41" s="4" t="s">
        <v>200</v>
      </c>
      <c r="BH41" s="4" t="s">
        <v>201</v>
      </c>
      <c r="BI41" s="12" t="s">
        <v>201</v>
      </c>
      <c r="BJ41" s="51" t="s">
        <v>91</v>
      </c>
    </row>
    <row r="42" spans="1:62" ht="36.5" x14ac:dyDescent="0.35">
      <c r="A42">
        <v>41056983</v>
      </c>
      <c r="B42" s="84">
        <f t="shared" si="0"/>
        <v>251</v>
      </c>
      <c r="C42" s="84">
        <f t="shared" si="1"/>
        <v>266</v>
      </c>
      <c r="E42" s="3">
        <v>112411</v>
      </c>
      <c r="F42" s="84">
        <v>288</v>
      </c>
      <c r="G42" s="86">
        <v>273</v>
      </c>
      <c r="H42" s="18">
        <v>253</v>
      </c>
      <c r="I42" s="18">
        <v>281</v>
      </c>
      <c r="J42" s="90">
        <v>65</v>
      </c>
      <c r="K42" s="90">
        <v>79</v>
      </c>
      <c r="L42" s="84">
        <v>70</v>
      </c>
      <c r="M42" s="86">
        <v>79</v>
      </c>
      <c r="N42" s="3">
        <v>112420</v>
      </c>
      <c r="O42">
        <f t="shared" si="2"/>
        <v>478</v>
      </c>
      <c r="P42">
        <f t="shared" si="3"/>
        <v>400</v>
      </c>
      <c r="Q42">
        <f t="shared" si="4"/>
        <v>110</v>
      </c>
      <c r="R42">
        <f t="shared" si="5"/>
        <v>92</v>
      </c>
      <c r="S42">
        <f t="shared" si="6"/>
        <v>450.5</v>
      </c>
      <c r="T42">
        <f t="shared" si="7"/>
        <v>352</v>
      </c>
      <c r="U42">
        <f t="shared" si="8"/>
        <v>115.5</v>
      </c>
      <c r="V42">
        <f t="shared" si="9"/>
        <v>92</v>
      </c>
      <c r="X42" s="3">
        <v>112430</v>
      </c>
      <c r="Y42">
        <f t="shared" si="10"/>
        <v>185</v>
      </c>
      <c r="Z42">
        <f t="shared" si="11"/>
        <v>160</v>
      </c>
      <c r="AA42">
        <f t="shared" si="12"/>
        <v>255</v>
      </c>
      <c r="AB42">
        <f t="shared" si="13"/>
        <v>240</v>
      </c>
      <c r="AC42">
        <f t="shared" si="14"/>
        <v>2030</v>
      </c>
      <c r="AD42">
        <f t="shared" si="15"/>
        <v>1511</v>
      </c>
      <c r="AE42">
        <f t="shared" si="16"/>
        <v>2750</v>
      </c>
      <c r="AF42">
        <f t="shared" si="17"/>
        <v>3093</v>
      </c>
      <c r="AG42" s="3">
        <v>112420</v>
      </c>
      <c r="AH42" s="31">
        <v>478</v>
      </c>
      <c r="AI42" s="31">
        <v>400</v>
      </c>
      <c r="AJ42" s="37">
        <v>78</v>
      </c>
      <c r="AK42" s="37">
        <v>19.5</v>
      </c>
      <c r="AL42" s="36">
        <v>110</v>
      </c>
      <c r="AM42" s="36">
        <v>92</v>
      </c>
      <c r="AN42" s="37">
        <v>18</v>
      </c>
      <c r="AO42" s="37">
        <v>19.565217391304348</v>
      </c>
      <c r="AP42" s="38">
        <v>5334.5</v>
      </c>
      <c r="AQ42" s="39">
        <v>3823.5000030000001</v>
      </c>
      <c r="AR42" s="37">
        <v>1510.9999969999999</v>
      </c>
      <c r="AS42" s="37">
        <v>39.518765419496191</v>
      </c>
      <c r="AT42" s="36">
        <v>1253.5</v>
      </c>
      <c r="AU42" s="36">
        <v>1192.5</v>
      </c>
      <c r="AV42" s="37">
        <v>61</v>
      </c>
      <c r="AW42" s="37">
        <v>5.115303983228511</v>
      </c>
      <c r="AX42" s="3">
        <v>112411</v>
      </c>
      <c r="AY42" t="str">
        <f t="shared" si="18"/>
        <v>JIWAN</v>
      </c>
      <c r="AZ42" t="str">
        <f t="shared" si="19"/>
        <v>Lutyens</v>
      </c>
      <c r="BC42" s="3">
        <v>112420</v>
      </c>
      <c r="BD42" s="3" t="s">
        <v>72</v>
      </c>
      <c r="BE42" s="41" t="s">
        <v>202</v>
      </c>
      <c r="BF42" s="12" t="s">
        <v>203</v>
      </c>
      <c r="BG42" s="4" t="s">
        <v>89</v>
      </c>
      <c r="BH42" s="4" t="s">
        <v>204</v>
      </c>
      <c r="BI42" s="12" t="s">
        <v>204</v>
      </c>
      <c r="BJ42" s="51" t="s">
        <v>205</v>
      </c>
    </row>
    <row r="43" spans="1:62" ht="60.5" x14ac:dyDescent="0.35">
      <c r="A43">
        <v>163741</v>
      </c>
      <c r="B43" s="84">
        <f t="shared" si="0"/>
        <v>400</v>
      </c>
      <c r="C43" s="84">
        <f t="shared" si="1"/>
        <v>460</v>
      </c>
      <c r="E43" s="3">
        <v>112412</v>
      </c>
      <c r="F43" s="84">
        <v>92</v>
      </c>
      <c r="G43" s="86">
        <v>96</v>
      </c>
      <c r="H43" s="18">
        <v>76</v>
      </c>
      <c r="I43" s="18">
        <v>86</v>
      </c>
      <c r="J43" s="90">
        <v>20</v>
      </c>
      <c r="K43" s="90">
        <v>20</v>
      </c>
      <c r="L43" s="84">
        <v>16</v>
      </c>
      <c r="M43" s="86">
        <v>24</v>
      </c>
      <c r="N43" s="3">
        <v>112425</v>
      </c>
      <c r="O43">
        <f t="shared" si="2"/>
        <v>280</v>
      </c>
      <c r="P43">
        <f t="shared" si="3"/>
        <v>278</v>
      </c>
      <c r="Q43">
        <f t="shared" si="4"/>
        <v>98</v>
      </c>
      <c r="R43">
        <f t="shared" si="5"/>
        <v>124</v>
      </c>
      <c r="S43">
        <f t="shared" si="6"/>
        <v>225.5</v>
      </c>
      <c r="T43">
        <f t="shared" si="7"/>
        <v>233</v>
      </c>
      <c r="U43">
        <f t="shared" si="8"/>
        <v>90.5</v>
      </c>
      <c r="V43">
        <f t="shared" si="9"/>
        <v>115</v>
      </c>
      <c r="X43" s="5">
        <v>106326</v>
      </c>
      <c r="Y43">
        <f t="shared" si="10"/>
        <v>387</v>
      </c>
      <c r="Z43">
        <f t="shared" si="11"/>
        <v>305</v>
      </c>
      <c r="AA43">
        <f t="shared" si="12"/>
        <v>305</v>
      </c>
      <c r="AB43">
        <f t="shared" si="13"/>
        <v>235</v>
      </c>
      <c r="AC43">
        <f t="shared" si="14"/>
        <v>4142.5</v>
      </c>
      <c r="AD43">
        <f t="shared" si="15"/>
        <v>3091</v>
      </c>
      <c r="AE43">
        <f t="shared" si="16"/>
        <v>2727.5</v>
      </c>
      <c r="AF43">
        <f t="shared" si="17"/>
        <v>2724</v>
      </c>
      <c r="AG43" s="3">
        <v>112425</v>
      </c>
      <c r="AH43" s="31">
        <v>280</v>
      </c>
      <c r="AI43" s="31">
        <v>278</v>
      </c>
      <c r="AJ43" s="37">
        <v>2</v>
      </c>
      <c r="AK43" s="37">
        <v>0.71942446043165476</v>
      </c>
      <c r="AL43" s="36">
        <v>98</v>
      </c>
      <c r="AM43" s="36">
        <v>124</v>
      </c>
      <c r="AN43" s="37">
        <v>-26</v>
      </c>
      <c r="AO43" s="37">
        <v>-20.967741935483872</v>
      </c>
      <c r="AP43" s="38">
        <v>3229.5</v>
      </c>
      <c r="AQ43" s="39">
        <v>2697.5000239999999</v>
      </c>
      <c r="AR43" s="37">
        <v>531.99997600000006</v>
      </c>
      <c r="AS43" s="37">
        <v>19.721963717024238</v>
      </c>
      <c r="AT43" s="36">
        <v>1228.5</v>
      </c>
      <c r="AU43" s="36">
        <v>1461.5</v>
      </c>
      <c r="AV43" s="37">
        <v>-233</v>
      </c>
      <c r="AW43" s="37">
        <v>-15.942524803284297</v>
      </c>
      <c r="AX43" s="3">
        <v>112412</v>
      </c>
      <c r="AY43" t="str">
        <f t="shared" si="18"/>
        <v>BCC_KAMLA_NATIONAL_MODERN_SONDHI</v>
      </c>
      <c r="AZ43" t="str">
        <f t="shared" si="19"/>
        <v>Lutyens</v>
      </c>
      <c r="BC43" s="3">
        <v>112425</v>
      </c>
      <c r="BD43" s="3" t="s">
        <v>72</v>
      </c>
      <c r="BE43" s="40" t="s">
        <v>206</v>
      </c>
      <c r="BF43" s="12" t="s">
        <v>207</v>
      </c>
      <c r="BG43" s="4" t="s">
        <v>103</v>
      </c>
      <c r="BH43" s="4" t="s">
        <v>208</v>
      </c>
      <c r="BI43" s="12" t="s">
        <v>208</v>
      </c>
      <c r="BJ43" s="51" t="s">
        <v>105</v>
      </c>
    </row>
    <row r="44" spans="1:62" ht="36.5" x14ac:dyDescent="0.35">
      <c r="A44">
        <v>252146</v>
      </c>
      <c r="B44" s="84">
        <f t="shared" si="0"/>
        <v>49</v>
      </c>
      <c r="C44" s="84">
        <f t="shared" si="1"/>
        <v>52</v>
      </c>
      <c r="E44" s="3">
        <v>244458</v>
      </c>
      <c r="F44" s="84">
        <v>225</v>
      </c>
      <c r="G44" s="86">
        <v>241.5</v>
      </c>
      <c r="H44" s="18">
        <v>199</v>
      </c>
      <c r="I44" s="18">
        <v>217</v>
      </c>
      <c r="J44" s="90">
        <v>69</v>
      </c>
      <c r="K44" s="90">
        <v>75</v>
      </c>
      <c r="L44" s="84">
        <v>59</v>
      </c>
      <c r="M44" s="86">
        <v>68.5</v>
      </c>
      <c r="N44" s="3">
        <v>112389</v>
      </c>
      <c r="O44">
        <f t="shared" si="2"/>
        <v>169</v>
      </c>
      <c r="P44">
        <f t="shared" si="3"/>
        <v>145</v>
      </c>
      <c r="Q44">
        <f t="shared" si="4"/>
        <v>41</v>
      </c>
      <c r="R44">
        <f t="shared" si="5"/>
        <v>59</v>
      </c>
      <c r="S44">
        <f t="shared" si="6"/>
        <v>171</v>
      </c>
      <c r="T44">
        <f t="shared" si="7"/>
        <v>131</v>
      </c>
      <c r="U44">
        <f t="shared" si="8"/>
        <v>73</v>
      </c>
      <c r="V44">
        <f t="shared" si="9"/>
        <v>41</v>
      </c>
      <c r="X44" s="9">
        <v>41076270</v>
      </c>
      <c r="Y44">
        <f t="shared" si="10"/>
        <v>112</v>
      </c>
      <c r="Z44">
        <f t="shared" si="11"/>
        <v>18</v>
      </c>
      <c r="AA44">
        <f t="shared" si="12"/>
        <v>68</v>
      </c>
      <c r="AB44">
        <f t="shared" si="13"/>
        <v>4</v>
      </c>
      <c r="AC44">
        <f t="shared" si="14"/>
        <v>1146</v>
      </c>
      <c r="AD44">
        <f t="shared" si="15"/>
        <v>0</v>
      </c>
      <c r="AE44">
        <f t="shared" si="16"/>
        <v>629</v>
      </c>
      <c r="AF44">
        <f t="shared" si="17"/>
        <v>7</v>
      </c>
      <c r="AG44" s="3">
        <v>112389</v>
      </c>
      <c r="AH44" s="31">
        <v>169</v>
      </c>
      <c r="AI44" s="31">
        <v>145</v>
      </c>
      <c r="AJ44" s="37">
        <v>24</v>
      </c>
      <c r="AK44" s="37">
        <v>16.551724137931036</v>
      </c>
      <c r="AL44" s="36">
        <v>41</v>
      </c>
      <c r="AM44" s="36">
        <v>59</v>
      </c>
      <c r="AN44" s="37">
        <v>-18</v>
      </c>
      <c r="AO44" s="37">
        <v>-30.508474576271187</v>
      </c>
      <c r="AP44" s="38">
        <v>2029</v>
      </c>
      <c r="AQ44" s="39">
        <v>1430.000002</v>
      </c>
      <c r="AR44" s="37">
        <v>598.99999800000001</v>
      </c>
      <c r="AS44" s="37">
        <v>41.888111689666978</v>
      </c>
      <c r="AT44" s="36">
        <v>735</v>
      </c>
      <c r="AU44" s="36">
        <v>718</v>
      </c>
      <c r="AV44" s="37">
        <v>17</v>
      </c>
      <c r="AW44" s="37">
        <v>2.3676880222841223</v>
      </c>
      <c r="AX44" s="3">
        <v>244458</v>
      </c>
      <c r="AY44" t="str">
        <f t="shared" si="18"/>
        <v>SAI</v>
      </c>
      <c r="AZ44" t="str">
        <f t="shared" si="19"/>
        <v>Burari</v>
      </c>
      <c r="BC44" s="3">
        <v>112389</v>
      </c>
      <c r="BD44" s="3" t="s">
        <v>72</v>
      </c>
      <c r="BE44" s="40" t="s">
        <v>209</v>
      </c>
      <c r="BF44" s="12" t="s">
        <v>210</v>
      </c>
      <c r="BG44" s="4" t="s">
        <v>103</v>
      </c>
      <c r="BH44" s="4" t="s">
        <v>211</v>
      </c>
      <c r="BI44" s="12" t="s">
        <v>211</v>
      </c>
      <c r="BJ44" s="51" t="s">
        <v>135</v>
      </c>
    </row>
    <row r="45" spans="1:62" ht="48.5" x14ac:dyDescent="0.35">
      <c r="A45">
        <v>41056999</v>
      </c>
      <c r="B45" s="84">
        <f t="shared" si="0"/>
        <v>244</v>
      </c>
      <c r="C45" s="84">
        <f t="shared" si="1"/>
        <v>283</v>
      </c>
      <c r="E45" s="3">
        <v>112413</v>
      </c>
      <c r="F45" s="84">
        <v>93</v>
      </c>
      <c r="G45" s="86">
        <v>116</v>
      </c>
      <c r="H45" s="18">
        <v>97.5</v>
      </c>
      <c r="I45" s="18">
        <v>107.5</v>
      </c>
      <c r="J45" s="90">
        <v>12.5</v>
      </c>
      <c r="K45" s="90">
        <v>24.5</v>
      </c>
      <c r="L45" s="84">
        <v>17</v>
      </c>
      <c r="M45" s="86">
        <v>16</v>
      </c>
      <c r="N45" s="3">
        <v>112431</v>
      </c>
      <c r="O45">
        <f t="shared" si="2"/>
        <v>45</v>
      </c>
      <c r="P45">
        <f t="shared" si="3"/>
        <v>18</v>
      </c>
      <c r="Q45">
        <f t="shared" si="4"/>
        <v>45</v>
      </c>
      <c r="R45">
        <f t="shared" si="5"/>
        <v>18</v>
      </c>
      <c r="S45">
        <f t="shared" si="6"/>
        <v>18</v>
      </c>
      <c r="T45">
        <f t="shared" si="7"/>
        <v>27</v>
      </c>
      <c r="U45">
        <f t="shared" si="8"/>
        <v>18</v>
      </c>
      <c r="V45">
        <f t="shared" si="9"/>
        <v>45</v>
      </c>
      <c r="X45" s="3">
        <v>112400</v>
      </c>
      <c r="Y45">
        <f t="shared" si="10"/>
        <v>434</v>
      </c>
      <c r="Z45">
        <f t="shared" si="11"/>
        <v>422</v>
      </c>
      <c r="AA45">
        <f t="shared" si="12"/>
        <v>318</v>
      </c>
      <c r="AB45">
        <f t="shared" si="13"/>
        <v>428</v>
      </c>
      <c r="AC45">
        <f t="shared" si="14"/>
        <v>5043</v>
      </c>
      <c r="AD45">
        <f t="shared" si="15"/>
        <v>4290</v>
      </c>
      <c r="AE45">
        <f t="shared" si="16"/>
        <v>4642</v>
      </c>
      <c r="AF45">
        <f t="shared" si="17"/>
        <v>4687</v>
      </c>
      <c r="AG45" s="3">
        <v>112431</v>
      </c>
      <c r="AH45" s="31">
        <v>45</v>
      </c>
      <c r="AI45" s="31">
        <v>18</v>
      </c>
      <c r="AJ45" s="37">
        <v>27</v>
      </c>
      <c r="AK45" s="37">
        <v>150</v>
      </c>
      <c r="AL45" s="36">
        <v>45</v>
      </c>
      <c r="AM45" s="36">
        <v>18</v>
      </c>
      <c r="AN45" s="37">
        <v>27</v>
      </c>
      <c r="AO45" s="37">
        <v>150</v>
      </c>
      <c r="AP45" s="38">
        <v>328.5</v>
      </c>
      <c r="AQ45" s="39">
        <v>211.5</v>
      </c>
      <c r="AR45" s="37">
        <v>117</v>
      </c>
      <c r="AS45" s="37">
        <v>55.319148936170215</v>
      </c>
      <c r="AT45" s="36">
        <v>409.5</v>
      </c>
      <c r="AU45" s="36">
        <v>373.5</v>
      </c>
      <c r="AV45" s="37">
        <v>36</v>
      </c>
      <c r="AW45" s="37">
        <v>9.6385542168674707</v>
      </c>
      <c r="AX45" s="3">
        <v>112413</v>
      </c>
      <c r="AY45" t="str">
        <f t="shared" si="18"/>
        <v>KANWAR</v>
      </c>
      <c r="AZ45" t="str">
        <f t="shared" si="19"/>
        <v>Old GT Road (NH1)</v>
      </c>
      <c r="BC45" s="3">
        <v>112431</v>
      </c>
      <c r="BD45" s="3" t="s">
        <v>72</v>
      </c>
      <c r="BE45" s="40" t="s">
        <v>212</v>
      </c>
      <c r="BF45" s="12" t="s">
        <v>213</v>
      </c>
      <c r="BG45" s="4" t="s">
        <v>85</v>
      </c>
      <c r="BH45" s="4" t="s">
        <v>192</v>
      </c>
      <c r="BI45" s="12" t="s">
        <v>192</v>
      </c>
      <c r="BJ45" s="51" t="s">
        <v>178</v>
      </c>
    </row>
    <row r="46" spans="1:62" ht="36.5" x14ac:dyDescent="0.35">
      <c r="A46">
        <v>41056527</v>
      </c>
      <c r="B46" s="84">
        <f t="shared" si="0"/>
        <v>281.5</v>
      </c>
      <c r="C46" s="84">
        <f t="shared" si="1"/>
        <v>256</v>
      </c>
      <c r="E46" s="3">
        <v>112414</v>
      </c>
      <c r="F46" s="84">
        <v>550.5</v>
      </c>
      <c r="G46" s="86">
        <v>625.5</v>
      </c>
      <c r="H46" s="18">
        <v>533</v>
      </c>
      <c r="I46" s="18">
        <v>598</v>
      </c>
      <c r="J46" s="90">
        <v>99</v>
      </c>
      <c r="K46" s="90">
        <v>108</v>
      </c>
      <c r="L46" s="84">
        <v>103.5</v>
      </c>
      <c r="M46" s="86">
        <v>76.5</v>
      </c>
      <c r="N46" s="3">
        <v>244458</v>
      </c>
      <c r="O46">
        <f t="shared" si="2"/>
        <v>241.5</v>
      </c>
      <c r="P46">
        <f t="shared" si="3"/>
        <v>217</v>
      </c>
      <c r="Q46">
        <f t="shared" si="4"/>
        <v>68.5</v>
      </c>
      <c r="R46">
        <f t="shared" si="5"/>
        <v>75</v>
      </c>
      <c r="S46">
        <f t="shared" si="6"/>
        <v>225</v>
      </c>
      <c r="T46">
        <f t="shared" si="7"/>
        <v>199</v>
      </c>
      <c r="U46">
        <f t="shared" si="8"/>
        <v>59</v>
      </c>
      <c r="V46">
        <f t="shared" si="9"/>
        <v>69</v>
      </c>
      <c r="X46" s="5">
        <v>305312</v>
      </c>
      <c r="Y46">
        <f t="shared" si="10"/>
        <v>147</v>
      </c>
      <c r="Z46">
        <f t="shared" si="11"/>
        <v>125.5</v>
      </c>
      <c r="AA46">
        <f t="shared" si="12"/>
        <v>123</v>
      </c>
      <c r="AB46">
        <f t="shared" si="13"/>
        <v>60.5</v>
      </c>
      <c r="AC46">
        <f t="shared" si="14"/>
        <v>1736</v>
      </c>
      <c r="AD46">
        <f t="shared" si="15"/>
        <v>1267.5</v>
      </c>
      <c r="AE46">
        <f t="shared" si="16"/>
        <v>912</v>
      </c>
      <c r="AF46">
        <f t="shared" si="17"/>
        <v>1373</v>
      </c>
      <c r="AG46" s="3">
        <v>244458</v>
      </c>
      <c r="AH46" s="31">
        <v>241.5</v>
      </c>
      <c r="AI46" s="31">
        <v>217</v>
      </c>
      <c r="AJ46" s="37">
        <v>24.5</v>
      </c>
      <c r="AK46" s="37">
        <v>11.29032258064516</v>
      </c>
      <c r="AL46" s="36">
        <v>68.5</v>
      </c>
      <c r="AM46" s="36">
        <v>75</v>
      </c>
      <c r="AN46" s="37">
        <v>-6.5</v>
      </c>
      <c r="AO46" s="37">
        <v>-8.6666666666666679</v>
      </c>
      <c r="AP46" s="38">
        <v>2745.5</v>
      </c>
      <c r="AQ46" s="39">
        <v>2068</v>
      </c>
      <c r="AR46" s="37">
        <v>677.5</v>
      </c>
      <c r="AS46" s="37">
        <v>32.761121856866538</v>
      </c>
      <c r="AT46" s="36">
        <v>768.5</v>
      </c>
      <c r="AU46" s="36">
        <v>826</v>
      </c>
      <c r="AV46" s="37">
        <v>-57.5</v>
      </c>
      <c r="AW46" s="37">
        <v>-6.9612590799031482</v>
      </c>
      <c r="AX46" s="3">
        <v>112414</v>
      </c>
      <c r="AY46" t="str">
        <f t="shared" si="18"/>
        <v>VAIBHAV-KARTIK-LAXMI</v>
      </c>
      <c r="AZ46" t="str">
        <f t="shared" si="19"/>
        <v>Punjabi Bagh</v>
      </c>
      <c r="BC46" s="3">
        <v>244458</v>
      </c>
      <c r="BD46" s="3" t="s">
        <v>72</v>
      </c>
      <c r="BE46" s="43" t="s">
        <v>214</v>
      </c>
      <c r="BF46" s="12" t="s">
        <v>215</v>
      </c>
      <c r="BG46" s="4" t="s">
        <v>200</v>
      </c>
      <c r="BH46" s="4" t="s">
        <v>216</v>
      </c>
      <c r="BI46" s="12" t="s">
        <v>216</v>
      </c>
      <c r="BJ46" s="51" t="s">
        <v>217</v>
      </c>
    </row>
    <row r="47" spans="1:62" ht="60.5" x14ac:dyDescent="0.35">
      <c r="A47">
        <v>190056</v>
      </c>
      <c r="B47" s="84">
        <f t="shared" si="0"/>
        <v>149.5</v>
      </c>
      <c r="C47" s="84">
        <f t="shared" si="1"/>
        <v>126.5</v>
      </c>
      <c r="E47" s="3">
        <v>112415</v>
      </c>
      <c r="F47" s="84">
        <v>186</v>
      </c>
      <c r="G47" s="86">
        <v>201</v>
      </c>
      <c r="H47" s="18">
        <v>164</v>
      </c>
      <c r="I47" s="18">
        <v>208.5</v>
      </c>
      <c r="J47" s="90">
        <v>42</v>
      </c>
      <c r="K47" s="90">
        <v>43.5</v>
      </c>
      <c r="L47" s="84">
        <v>28</v>
      </c>
      <c r="M47" s="86">
        <v>37</v>
      </c>
      <c r="N47" s="3">
        <v>112462</v>
      </c>
      <c r="O47">
        <f t="shared" si="2"/>
        <v>267</v>
      </c>
      <c r="P47">
        <f t="shared" si="3"/>
        <v>250</v>
      </c>
      <c r="Q47">
        <f t="shared" si="4"/>
        <v>41</v>
      </c>
      <c r="R47">
        <f t="shared" si="5"/>
        <v>30</v>
      </c>
      <c r="S47">
        <f t="shared" si="6"/>
        <v>254</v>
      </c>
      <c r="T47">
        <f t="shared" si="7"/>
        <v>244</v>
      </c>
      <c r="U47">
        <f t="shared" si="8"/>
        <v>26</v>
      </c>
      <c r="V47">
        <f t="shared" si="9"/>
        <v>22</v>
      </c>
      <c r="X47" s="5">
        <v>186839</v>
      </c>
      <c r="Y47">
        <f t="shared" si="10"/>
        <v>358</v>
      </c>
      <c r="Z47">
        <f t="shared" si="11"/>
        <v>337.5</v>
      </c>
      <c r="AA47">
        <f t="shared" si="12"/>
        <v>242</v>
      </c>
      <c r="AB47">
        <f t="shared" si="13"/>
        <v>256.5</v>
      </c>
      <c r="AC47">
        <f t="shared" si="14"/>
        <v>4379.5</v>
      </c>
      <c r="AD47">
        <f t="shared" si="15"/>
        <v>3364.5</v>
      </c>
      <c r="AE47">
        <f t="shared" si="16"/>
        <v>2940.5</v>
      </c>
      <c r="AF47">
        <f t="shared" si="17"/>
        <v>3236.5</v>
      </c>
      <c r="AG47" s="3">
        <v>112462</v>
      </c>
      <c r="AH47" s="31">
        <v>267</v>
      </c>
      <c r="AI47" s="31">
        <v>250</v>
      </c>
      <c r="AJ47" s="37">
        <v>17</v>
      </c>
      <c r="AK47" s="37">
        <v>6.8000000000000007</v>
      </c>
      <c r="AL47" s="36">
        <v>41</v>
      </c>
      <c r="AM47" s="36">
        <v>30</v>
      </c>
      <c r="AN47" s="37">
        <v>11</v>
      </c>
      <c r="AO47" s="37">
        <v>36.666666666666664</v>
      </c>
      <c r="AP47" s="38">
        <v>3257</v>
      </c>
      <c r="AQ47" s="39">
        <v>2484.5000169999998</v>
      </c>
      <c r="AR47" s="37">
        <v>772.49998300000016</v>
      </c>
      <c r="AS47" s="37">
        <v>31.092774309286717</v>
      </c>
      <c r="AT47" s="36">
        <v>381</v>
      </c>
      <c r="AU47" s="36">
        <v>385.5</v>
      </c>
      <c r="AV47" s="37">
        <v>-4.5</v>
      </c>
      <c r="AW47" s="37">
        <v>-1.1673151750972763</v>
      </c>
      <c r="AX47" s="3">
        <v>112415</v>
      </c>
      <c r="AY47" t="str">
        <f t="shared" si="18"/>
        <v>KIRTINANAK</v>
      </c>
      <c r="AZ47" t="str">
        <f t="shared" si="19"/>
        <v>Rohini</v>
      </c>
      <c r="BC47" s="3">
        <v>112462</v>
      </c>
      <c r="BD47" s="3" t="s">
        <v>72</v>
      </c>
      <c r="BE47" s="43" t="s">
        <v>218</v>
      </c>
      <c r="BF47" s="12" t="s">
        <v>219</v>
      </c>
      <c r="BG47" s="4" t="s">
        <v>75</v>
      </c>
      <c r="BH47" s="4" t="s">
        <v>220</v>
      </c>
      <c r="BI47" s="12" t="s">
        <v>220</v>
      </c>
      <c r="BJ47" s="51" t="s">
        <v>77</v>
      </c>
    </row>
    <row r="48" spans="1:62" ht="60.5" x14ac:dyDescent="0.35">
      <c r="A48">
        <v>102104</v>
      </c>
      <c r="B48" s="84">
        <f t="shared" si="0"/>
        <v>333.5</v>
      </c>
      <c r="C48" s="84">
        <f t="shared" si="1"/>
        <v>368</v>
      </c>
      <c r="E48" s="3">
        <v>167171</v>
      </c>
      <c r="F48" s="84">
        <v>92</v>
      </c>
      <c r="G48" s="86">
        <v>91</v>
      </c>
      <c r="H48" s="18">
        <v>84.5</v>
      </c>
      <c r="I48" s="18">
        <v>93.5</v>
      </c>
      <c r="J48" s="90">
        <v>13.5</v>
      </c>
      <c r="K48" s="90">
        <v>34.5</v>
      </c>
      <c r="L48" s="84">
        <v>48</v>
      </c>
      <c r="M48" s="86">
        <v>35</v>
      </c>
      <c r="N48" s="3">
        <v>112413</v>
      </c>
      <c r="O48">
        <f t="shared" si="2"/>
        <v>116</v>
      </c>
      <c r="P48">
        <f t="shared" si="3"/>
        <v>107.5</v>
      </c>
      <c r="Q48">
        <f t="shared" si="4"/>
        <v>16</v>
      </c>
      <c r="R48">
        <f t="shared" si="5"/>
        <v>24.5</v>
      </c>
      <c r="S48">
        <f t="shared" si="6"/>
        <v>93</v>
      </c>
      <c r="T48">
        <f t="shared" si="7"/>
        <v>97.5</v>
      </c>
      <c r="U48">
        <f t="shared" si="8"/>
        <v>17</v>
      </c>
      <c r="V48">
        <f t="shared" si="9"/>
        <v>12.5</v>
      </c>
      <c r="X48" s="5">
        <v>206614</v>
      </c>
      <c r="Y48">
        <f t="shared" si="10"/>
        <v>244</v>
      </c>
      <c r="Z48">
        <f t="shared" si="11"/>
        <v>191</v>
      </c>
      <c r="AA48">
        <f t="shared" si="12"/>
        <v>98</v>
      </c>
      <c r="AB48">
        <f t="shared" si="13"/>
        <v>67</v>
      </c>
      <c r="AC48">
        <f t="shared" si="14"/>
        <v>2693.5</v>
      </c>
      <c r="AD48">
        <f t="shared" si="15"/>
        <v>1893</v>
      </c>
      <c r="AE48">
        <f t="shared" si="16"/>
        <v>950.5</v>
      </c>
      <c r="AF48">
        <f t="shared" si="17"/>
        <v>869.5</v>
      </c>
      <c r="AG48" s="3">
        <v>112413</v>
      </c>
      <c r="AH48" s="31">
        <v>116</v>
      </c>
      <c r="AI48" s="31">
        <v>107.5</v>
      </c>
      <c r="AJ48" s="37">
        <v>8.5</v>
      </c>
      <c r="AK48" s="37">
        <v>7.9069767441860463</v>
      </c>
      <c r="AL48" s="36">
        <v>16</v>
      </c>
      <c r="AM48" s="36">
        <v>24.5</v>
      </c>
      <c r="AN48" s="37">
        <v>-8.5</v>
      </c>
      <c r="AO48" s="37">
        <v>-34.693877551020407</v>
      </c>
      <c r="AP48" s="38">
        <v>1234</v>
      </c>
      <c r="AQ48" s="39">
        <v>1022.5</v>
      </c>
      <c r="AR48" s="37">
        <v>211.5</v>
      </c>
      <c r="AS48" s="37">
        <v>20.684596577017114</v>
      </c>
      <c r="AT48" s="36">
        <v>162</v>
      </c>
      <c r="AU48" s="36">
        <v>244.5</v>
      </c>
      <c r="AV48" s="37">
        <v>-82.5</v>
      </c>
      <c r="AW48" s="37">
        <v>-33.742331288343557</v>
      </c>
      <c r="AX48" s="3">
        <v>167171</v>
      </c>
      <c r="AY48" t="str">
        <f t="shared" si="18"/>
        <v>KRISHNA-RAIZADA</v>
      </c>
      <c r="AZ48" t="str">
        <f t="shared" si="19"/>
        <v>Old Delhi</v>
      </c>
      <c r="BC48" s="3">
        <v>112413</v>
      </c>
      <c r="BD48" s="3" t="s">
        <v>72</v>
      </c>
      <c r="BE48" s="41" t="s">
        <v>221</v>
      </c>
      <c r="BF48" s="12" t="s">
        <v>222</v>
      </c>
      <c r="BG48" s="4" t="s">
        <v>200</v>
      </c>
      <c r="BH48" s="4" t="s">
        <v>223</v>
      </c>
      <c r="BI48" s="12" t="s">
        <v>223</v>
      </c>
      <c r="BJ48" s="51" t="s">
        <v>172</v>
      </c>
    </row>
    <row r="49" spans="1:62" ht="60.5" x14ac:dyDescent="0.35">
      <c r="A49">
        <v>41032599</v>
      </c>
      <c r="B49" s="84">
        <f t="shared" si="0"/>
        <v>260</v>
      </c>
      <c r="C49" s="84">
        <f t="shared" si="1"/>
        <v>268</v>
      </c>
      <c r="E49" s="3">
        <v>112416</v>
      </c>
      <c r="F49" s="84">
        <v>211</v>
      </c>
      <c r="G49" s="86">
        <v>233</v>
      </c>
      <c r="H49" s="18">
        <v>208</v>
      </c>
      <c r="I49" s="18">
        <v>240</v>
      </c>
      <c r="J49" s="90">
        <v>20</v>
      </c>
      <c r="K49" s="90">
        <v>28</v>
      </c>
      <c r="L49" s="84">
        <v>19</v>
      </c>
      <c r="M49" s="86">
        <v>19</v>
      </c>
      <c r="N49" s="3">
        <v>112460</v>
      </c>
      <c r="O49">
        <f t="shared" si="2"/>
        <v>190</v>
      </c>
      <c r="P49">
        <f t="shared" si="3"/>
        <v>155</v>
      </c>
      <c r="Q49">
        <f t="shared" si="4"/>
        <v>34</v>
      </c>
      <c r="R49">
        <f t="shared" si="5"/>
        <v>39</v>
      </c>
      <c r="S49">
        <f t="shared" si="6"/>
        <v>153</v>
      </c>
      <c r="T49">
        <f t="shared" si="7"/>
        <v>156</v>
      </c>
      <c r="U49">
        <f t="shared" si="8"/>
        <v>29</v>
      </c>
      <c r="V49">
        <f t="shared" si="9"/>
        <v>26</v>
      </c>
      <c r="X49" s="9">
        <v>41056396</v>
      </c>
      <c r="Y49">
        <f t="shared" si="10"/>
        <v>285.5</v>
      </c>
      <c r="Z49">
        <f t="shared" si="11"/>
        <v>279</v>
      </c>
      <c r="AA49">
        <f t="shared" si="12"/>
        <v>28.5</v>
      </c>
      <c r="AB49">
        <f t="shared" si="13"/>
        <v>29</v>
      </c>
      <c r="AC49">
        <f t="shared" si="14"/>
        <v>3568</v>
      </c>
      <c r="AD49">
        <f t="shared" si="15"/>
        <v>2663</v>
      </c>
      <c r="AE49">
        <f t="shared" si="16"/>
        <v>495</v>
      </c>
      <c r="AF49">
        <f t="shared" si="17"/>
        <v>400.5</v>
      </c>
      <c r="AG49" s="3">
        <v>112460</v>
      </c>
      <c r="AH49" s="31">
        <v>190</v>
      </c>
      <c r="AI49" s="31">
        <v>155</v>
      </c>
      <c r="AJ49" s="37">
        <v>35</v>
      </c>
      <c r="AK49" s="37">
        <v>22.58064516129032</v>
      </c>
      <c r="AL49" s="36">
        <v>34</v>
      </c>
      <c r="AM49" s="36">
        <v>39</v>
      </c>
      <c r="AN49" s="37">
        <v>-5</v>
      </c>
      <c r="AO49" s="37">
        <v>-12.820512820512819</v>
      </c>
      <c r="AP49" s="38">
        <v>2025</v>
      </c>
      <c r="AQ49" s="39">
        <v>1598.0000009999999</v>
      </c>
      <c r="AR49" s="37">
        <v>426.99999900000012</v>
      </c>
      <c r="AS49" s="37">
        <v>26.720901047108331</v>
      </c>
      <c r="AT49" s="36">
        <v>369</v>
      </c>
      <c r="AU49" s="36">
        <v>441</v>
      </c>
      <c r="AV49" s="37">
        <v>-72</v>
      </c>
      <c r="AW49" s="37">
        <v>-16.326530612244898</v>
      </c>
      <c r="AX49" s="3">
        <v>112416</v>
      </c>
      <c r="AY49" t="str">
        <f t="shared" si="18"/>
        <v>GOPINATH</v>
      </c>
      <c r="AZ49" t="str">
        <f t="shared" si="19"/>
        <v>Delhi Cantt</v>
      </c>
      <c r="BC49" s="3">
        <v>112460</v>
      </c>
      <c r="BD49" s="3" t="s">
        <v>72</v>
      </c>
      <c r="BE49" s="45" t="s">
        <v>224</v>
      </c>
      <c r="BF49" s="12" t="s">
        <v>225</v>
      </c>
      <c r="BG49" s="4" t="s">
        <v>75</v>
      </c>
      <c r="BH49" s="4" t="s">
        <v>220</v>
      </c>
      <c r="BI49" s="12" t="s">
        <v>220</v>
      </c>
      <c r="BJ49" s="51" t="s">
        <v>77</v>
      </c>
    </row>
    <row r="50" spans="1:62" ht="24.5" x14ac:dyDescent="0.35">
      <c r="A50">
        <v>41057000</v>
      </c>
      <c r="B50" s="84">
        <f t="shared" si="0"/>
        <v>309</v>
      </c>
      <c r="C50" s="84">
        <f t="shared" si="1"/>
        <v>353</v>
      </c>
      <c r="E50" s="3">
        <v>112417</v>
      </c>
      <c r="F50" s="84">
        <v>425.5</v>
      </c>
      <c r="G50" s="86">
        <v>446.5</v>
      </c>
      <c r="H50" s="18">
        <v>376</v>
      </c>
      <c r="I50" s="18">
        <v>422.5</v>
      </c>
      <c r="J50" s="90">
        <v>36</v>
      </c>
      <c r="K50" s="90">
        <v>35.5</v>
      </c>
      <c r="L50" s="84">
        <v>36.5</v>
      </c>
      <c r="M50" s="86">
        <v>36</v>
      </c>
      <c r="N50" s="3">
        <v>112427</v>
      </c>
      <c r="O50">
        <f t="shared" si="2"/>
        <v>400.5</v>
      </c>
      <c r="P50">
        <f t="shared" si="3"/>
        <v>336</v>
      </c>
      <c r="Q50">
        <f t="shared" si="4"/>
        <v>175.5</v>
      </c>
      <c r="R50">
        <f t="shared" si="5"/>
        <v>90</v>
      </c>
      <c r="S50">
        <f t="shared" si="6"/>
        <v>333</v>
      </c>
      <c r="T50">
        <f t="shared" si="7"/>
        <v>310.5</v>
      </c>
      <c r="U50">
        <f t="shared" si="8"/>
        <v>153</v>
      </c>
      <c r="V50">
        <f t="shared" si="9"/>
        <v>103.5</v>
      </c>
      <c r="X50" s="5">
        <v>231563</v>
      </c>
      <c r="Y50">
        <f t="shared" si="10"/>
        <v>461</v>
      </c>
      <c r="Z50">
        <f t="shared" si="11"/>
        <v>494</v>
      </c>
      <c r="AA50">
        <f t="shared" si="12"/>
        <v>225</v>
      </c>
      <c r="AB50">
        <f t="shared" si="13"/>
        <v>232</v>
      </c>
      <c r="AC50">
        <f t="shared" si="14"/>
        <v>6013.5</v>
      </c>
      <c r="AD50">
        <f t="shared" si="15"/>
        <v>4946.5</v>
      </c>
      <c r="AE50">
        <f t="shared" si="16"/>
        <v>2684.5</v>
      </c>
      <c r="AF50">
        <f t="shared" si="17"/>
        <v>3029.5</v>
      </c>
      <c r="AG50" s="3">
        <v>112427</v>
      </c>
      <c r="AH50" s="31">
        <v>400.5</v>
      </c>
      <c r="AI50" s="31">
        <v>336</v>
      </c>
      <c r="AJ50" s="37">
        <v>64.5</v>
      </c>
      <c r="AK50" s="37">
        <v>19.196428571428573</v>
      </c>
      <c r="AL50" s="36">
        <v>175.5</v>
      </c>
      <c r="AM50" s="36">
        <v>90</v>
      </c>
      <c r="AN50" s="37">
        <v>85.5</v>
      </c>
      <c r="AO50" s="37">
        <v>95</v>
      </c>
      <c r="AP50" s="38">
        <v>4499.5</v>
      </c>
      <c r="AQ50" s="39">
        <v>3430</v>
      </c>
      <c r="AR50" s="37">
        <v>1069.5</v>
      </c>
      <c r="AS50" s="37">
        <v>31.18075801749271</v>
      </c>
      <c r="AT50" s="36">
        <v>1344.5</v>
      </c>
      <c r="AU50" s="36">
        <v>1137.5</v>
      </c>
      <c r="AV50" s="37">
        <v>207</v>
      </c>
      <c r="AW50" s="37">
        <v>18.197802197802197</v>
      </c>
      <c r="AX50" s="3">
        <v>112417</v>
      </c>
      <c r="AY50" t="str">
        <f t="shared" si="18"/>
        <v>VAIBHAV-KARTIK-LAXMI</v>
      </c>
      <c r="AZ50" t="str">
        <f t="shared" si="19"/>
        <v>Punjabi Bagh</v>
      </c>
      <c r="BC50" s="3">
        <v>112427</v>
      </c>
      <c r="BD50" s="3" t="s">
        <v>72</v>
      </c>
      <c r="BE50" s="40" t="s">
        <v>226</v>
      </c>
      <c r="BF50" s="12" t="s">
        <v>227</v>
      </c>
      <c r="BG50" s="4" t="s">
        <v>228</v>
      </c>
      <c r="BH50" s="4" t="s">
        <v>229</v>
      </c>
      <c r="BI50" s="12" t="s">
        <v>229</v>
      </c>
      <c r="BJ50" s="51" t="s">
        <v>230</v>
      </c>
    </row>
    <row r="51" spans="1:62" ht="36.5" x14ac:dyDescent="0.35">
      <c r="A51">
        <v>41031180</v>
      </c>
      <c r="B51" s="84">
        <f t="shared" si="0"/>
        <v>205</v>
      </c>
      <c r="C51" s="84">
        <f t="shared" si="1"/>
        <v>200</v>
      </c>
      <c r="E51" s="3">
        <v>112418</v>
      </c>
      <c r="F51" s="84">
        <v>294.5</v>
      </c>
      <c r="G51" s="86">
        <v>312.5</v>
      </c>
      <c r="H51" s="18">
        <v>237</v>
      </c>
      <c r="I51" s="18">
        <v>286.5</v>
      </c>
      <c r="J51" s="90">
        <v>217</v>
      </c>
      <c r="K51" s="90">
        <v>257.5</v>
      </c>
      <c r="L51" s="84">
        <v>223.5</v>
      </c>
      <c r="M51" s="86">
        <v>153.5</v>
      </c>
      <c r="N51" s="3">
        <v>112404</v>
      </c>
      <c r="O51">
        <f t="shared" si="2"/>
        <v>423</v>
      </c>
      <c r="P51">
        <f t="shared" si="3"/>
        <v>400</v>
      </c>
      <c r="Q51">
        <f t="shared" si="4"/>
        <v>261</v>
      </c>
      <c r="R51">
        <f t="shared" si="5"/>
        <v>296</v>
      </c>
      <c r="S51">
        <f t="shared" si="6"/>
        <v>387</v>
      </c>
      <c r="T51">
        <f t="shared" si="7"/>
        <v>400.5</v>
      </c>
      <c r="U51">
        <f t="shared" si="8"/>
        <v>315</v>
      </c>
      <c r="V51">
        <f t="shared" si="9"/>
        <v>229.5</v>
      </c>
      <c r="X51" s="3">
        <v>112420</v>
      </c>
      <c r="Y51">
        <f t="shared" si="10"/>
        <v>478</v>
      </c>
      <c r="Z51">
        <f t="shared" si="11"/>
        <v>400</v>
      </c>
      <c r="AA51">
        <f t="shared" si="12"/>
        <v>110</v>
      </c>
      <c r="AB51">
        <f t="shared" si="13"/>
        <v>92</v>
      </c>
      <c r="AC51">
        <f t="shared" si="14"/>
        <v>5334.5</v>
      </c>
      <c r="AD51">
        <f t="shared" si="15"/>
        <v>3823.5000030000001</v>
      </c>
      <c r="AE51">
        <f t="shared" si="16"/>
        <v>1253.5</v>
      </c>
      <c r="AF51">
        <f t="shared" si="17"/>
        <v>1192.5</v>
      </c>
      <c r="AG51" s="3">
        <v>112404</v>
      </c>
      <c r="AH51" s="31">
        <v>423</v>
      </c>
      <c r="AI51" s="31">
        <v>400</v>
      </c>
      <c r="AJ51" s="37">
        <v>23</v>
      </c>
      <c r="AK51" s="37">
        <v>5.75</v>
      </c>
      <c r="AL51" s="36">
        <v>261</v>
      </c>
      <c r="AM51" s="36">
        <v>296</v>
      </c>
      <c r="AN51" s="37">
        <v>-35</v>
      </c>
      <c r="AO51" s="37">
        <v>-11.824324324324325</v>
      </c>
      <c r="AP51" s="38">
        <v>5152.5</v>
      </c>
      <c r="AQ51" s="39">
        <v>4329.5000089999994</v>
      </c>
      <c r="AR51" s="37">
        <v>822.99999100000059</v>
      </c>
      <c r="AS51" s="37">
        <v>19.009123207972735</v>
      </c>
      <c r="AT51" s="36">
        <v>3555.5</v>
      </c>
      <c r="AU51" s="36">
        <v>3369</v>
      </c>
      <c r="AV51" s="37">
        <v>186.5</v>
      </c>
      <c r="AW51" s="37">
        <v>5.5357672899970316</v>
      </c>
      <c r="AX51" s="3">
        <v>112418</v>
      </c>
      <c r="AY51" t="str">
        <f t="shared" si="18"/>
        <v>LINK ROAD</v>
      </c>
      <c r="AZ51" t="str">
        <f t="shared" si="19"/>
        <v>Old Delhi</v>
      </c>
      <c r="BC51" s="3">
        <v>112404</v>
      </c>
      <c r="BD51" s="3" t="s">
        <v>72</v>
      </c>
      <c r="BE51" s="41" t="s">
        <v>231</v>
      </c>
      <c r="BF51" s="12" t="s">
        <v>227</v>
      </c>
      <c r="BG51" s="4" t="s">
        <v>228</v>
      </c>
      <c r="BH51" s="4" t="s">
        <v>232</v>
      </c>
      <c r="BI51" s="12" t="s">
        <v>232</v>
      </c>
      <c r="BJ51" s="51" t="s">
        <v>230</v>
      </c>
    </row>
    <row r="52" spans="1:62" ht="60.5" x14ac:dyDescent="0.35">
      <c r="A52">
        <v>41056793</v>
      </c>
      <c r="B52" s="84">
        <f t="shared" si="0"/>
        <v>393</v>
      </c>
      <c r="C52" s="84">
        <f t="shared" si="1"/>
        <v>338</v>
      </c>
      <c r="E52" s="3">
        <v>112419</v>
      </c>
      <c r="F52" s="84">
        <v>370</v>
      </c>
      <c r="G52" s="86">
        <v>399</v>
      </c>
      <c r="H52" s="18">
        <v>321</v>
      </c>
      <c r="I52" s="18">
        <v>356.5</v>
      </c>
      <c r="J52" s="90">
        <v>191</v>
      </c>
      <c r="K52" s="90">
        <v>157.5</v>
      </c>
      <c r="L52" s="84">
        <v>110</v>
      </c>
      <c r="M52" s="86">
        <v>119</v>
      </c>
      <c r="N52" s="3">
        <v>144348</v>
      </c>
      <c r="O52">
        <f t="shared" si="2"/>
        <v>330</v>
      </c>
      <c r="P52">
        <f t="shared" si="3"/>
        <v>280</v>
      </c>
      <c r="Q52">
        <f t="shared" si="4"/>
        <v>70</v>
      </c>
      <c r="R52">
        <f t="shared" si="5"/>
        <v>80</v>
      </c>
      <c r="S52">
        <f t="shared" si="6"/>
        <v>280</v>
      </c>
      <c r="T52">
        <f t="shared" si="7"/>
        <v>255</v>
      </c>
      <c r="U52">
        <f t="shared" si="8"/>
        <v>60</v>
      </c>
      <c r="V52">
        <f t="shared" si="9"/>
        <v>65</v>
      </c>
      <c r="X52" s="5">
        <v>106224</v>
      </c>
      <c r="Y52">
        <f t="shared" si="10"/>
        <v>381.5</v>
      </c>
      <c r="Z52">
        <f t="shared" si="11"/>
        <v>343</v>
      </c>
      <c r="AA52">
        <f t="shared" si="12"/>
        <v>64.5</v>
      </c>
      <c r="AB52">
        <f t="shared" si="13"/>
        <v>61</v>
      </c>
      <c r="AC52">
        <f t="shared" si="14"/>
        <v>4326.5</v>
      </c>
      <c r="AD52">
        <f t="shared" si="15"/>
        <v>3438</v>
      </c>
      <c r="AE52">
        <f t="shared" si="16"/>
        <v>721.5</v>
      </c>
      <c r="AF52">
        <f t="shared" si="17"/>
        <v>783</v>
      </c>
      <c r="AG52" s="3">
        <v>144348</v>
      </c>
      <c r="AH52" s="31">
        <v>330</v>
      </c>
      <c r="AI52" s="31">
        <v>280</v>
      </c>
      <c r="AJ52" s="37">
        <v>50</v>
      </c>
      <c r="AK52" s="37">
        <v>17.857142857142858</v>
      </c>
      <c r="AL52" s="36">
        <v>70</v>
      </c>
      <c r="AM52" s="36">
        <v>80</v>
      </c>
      <c r="AN52" s="37">
        <v>-10</v>
      </c>
      <c r="AO52" s="37">
        <v>-12.5</v>
      </c>
      <c r="AP52" s="38">
        <v>3390</v>
      </c>
      <c r="AQ52" s="39">
        <v>3145</v>
      </c>
      <c r="AR52" s="37">
        <v>245</v>
      </c>
      <c r="AS52" s="37">
        <v>7.7901430842607313</v>
      </c>
      <c r="AT52" s="36">
        <v>710</v>
      </c>
      <c r="AU52" s="36">
        <v>980</v>
      </c>
      <c r="AV52" s="37">
        <v>-270</v>
      </c>
      <c r="AW52" s="37">
        <v>-27.551020408163261</v>
      </c>
      <c r="AX52" s="3">
        <v>112419</v>
      </c>
      <c r="AY52" t="str">
        <f t="shared" si="18"/>
        <v>LINK ROAD</v>
      </c>
      <c r="AZ52" t="str">
        <f t="shared" si="19"/>
        <v>Old Delhi</v>
      </c>
      <c r="BC52" s="3">
        <v>144348</v>
      </c>
      <c r="BD52" s="3" t="s">
        <v>72</v>
      </c>
      <c r="BE52" s="41" t="s">
        <v>233</v>
      </c>
      <c r="BF52" s="12" t="s">
        <v>234</v>
      </c>
      <c r="BG52" s="4" t="s">
        <v>81</v>
      </c>
      <c r="BH52" s="4" t="s">
        <v>184</v>
      </c>
      <c r="BI52" s="12" t="s">
        <v>184</v>
      </c>
      <c r="BJ52" s="51" t="s">
        <v>141</v>
      </c>
    </row>
    <row r="53" spans="1:62" ht="36.5" x14ac:dyDescent="0.35">
      <c r="A53">
        <v>41056823</v>
      </c>
      <c r="B53" s="84">
        <f t="shared" si="0"/>
        <v>348</v>
      </c>
      <c r="C53" s="84">
        <f t="shared" si="1"/>
        <v>363</v>
      </c>
      <c r="E53" s="3">
        <v>112420</v>
      </c>
      <c r="F53" s="84">
        <v>450.5</v>
      </c>
      <c r="G53" s="86">
        <v>478</v>
      </c>
      <c r="H53" s="18">
        <v>352</v>
      </c>
      <c r="I53" s="18">
        <v>400</v>
      </c>
      <c r="J53" s="90">
        <v>92</v>
      </c>
      <c r="K53" s="90">
        <v>92</v>
      </c>
      <c r="L53" s="84">
        <v>115.5</v>
      </c>
      <c r="M53" s="86">
        <v>110</v>
      </c>
      <c r="N53" s="3">
        <v>112402</v>
      </c>
      <c r="O53">
        <f t="shared" si="2"/>
        <v>205</v>
      </c>
      <c r="P53">
        <f t="shared" si="3"/>
        <v>203.5</v>
      </c>
      <c r="Q53">
        <f t="shared" si="4"/>
        <v>329</v>
      </c>
      <c r="R53">
        <f t="shared" si="5"/>
        <v>280.5</v>
      </c>
      <c r="S53">
        <f t="shared" si="6"/>
        <v>200</v>
      </c>
      <c r="T53">
        <f t="shared" si="7"/>
        <v>167</v>
      </c>
      <c r="U53">
        <f t="shared" si="8"/>
        <v>326</v>
      </c>
      <c r="V53">
        <f t="shared" si="9"/>
        <v>301</v>
      </c>
      <c r="X53" s="5">
        <v>212907</v>
      </c>
      <c r="Y53">
        <f t="shared" si="10"/>
        <v>500</v>
      </c>
      <c r="Z53">
        <f t="shared" si="11"/>
        <v>481.5</v>
      </c>
      <c r="AA53">
        <f t="shared" si="12"/>
        <v>267</v>
      </c>
      <c r="AB53">
        <f t="shared" si="13"/>
        <v>238.5</v>
      </c>
      <c r="AC53">
        <f t="shared" si="14"/>
        <v>6271</v>
      </c>
      <c r="AD53">
        <f t="shared" si="15"/>
        <v>5089.5</v>
      </c>
      <c r="AE53">
        <f t="shared" si="16"/>
        <v>3196</v>
      </c>
      <c r="AF53">
        <f t="shared" si="17"/>
        <v>2806.5</v>
      </c>
      <c r="AG53" s="3">
        <v>112402</v>
      </c>
      <c r="AH53" s="31">
        <v>205</v>
      </c>
      <c r="AI53" s="31">
        <v>203.5</v>
      </c>
      <c r="AJ53" s="37">
        <v>1.5</v>
      </c>
      <c r="AK53" s="37">
        <v>0.73710073710073709</v>
      </c>
      <c r="AL53" s="36">
        <v>329</v>
      </c>
      <c r="AM53" s="36">
        <v>280.5</v>
      </c>
      <c r="AN53" s="37">
        <v>48.5</v>
      </c>
      <c r="AO53" s="37">
        <v>17.290552584670234</v>
      </c>
      <c r="AP53" s="38">
        <v>2430.5</v>
      </c>
      <c r="AQ53" s="39">
        <v>1669</v>
      </c>
      <c r="AR53" s="37">
        <v>761.5</v>
      </c>
      <c r="AS53" s="37">
        <v>45.626123427201918</v>
      </c>
      <c r="AT53" s="36">
        <v>3641.5</v>
      </c>
      <c r="AU53" s="36">
        <v>3966.5</v>
      </c>
      <c r="AV53" s="37">
        <v>-325</v>
      </c>
      <c r="AW53" s="37">
        <v>-8.1936215807386859</v>
      </c>
      <c r="AX53" s="3">
        <v>112420</v>
      </c>
      <c r="AY53" t="str">
        <f t="shared" si="18"/>
        <v>M.L.SETHI</v>
      </c>
      <c r="AZ53" t="str">
        <f t="shared" si="19"/>
        <v>Rohini</v>
      </c>
      <c r="BC53" s="3">
        <v>112402</v>
      </c>
      <c r="BD53" s="3" t="s">
        <v>72</v>
      </c>
      <c r="BE53" s="41" t="s">
        <v>235</v>
      </c>
      <c r="BF53" s="12" t="s">
        <v>236</v>
      </c>
      <c r="BG53" s="4" t="s">
        <v>89</v>
      </c>
      <c r="BH53" s="4" t="s">
        <v>237</v>
      </c>
      <c r="BI53" s="12" t="s">
        <v>237</v>
      </c>
      <c r="BJ53" s="51" t="s">
        <v>205</v>
      </c>
    </row>
    <row r="54" spans="1:62" ht="60.5" x14ac:dyDescent="0.35">
      <c r="A54">
        <v>41056344</v>
      </c>
      <c r="B54" s="84">
        <f t="shared" si="0"/>
        <v>31.5</v>
      </c>
      <c r="C54" s="84">
        <f t="shared" si="1"/>
        <v>36</v>
      </c>
      <c r="E54" s="3">
        <v>198751</v>
      </c>
      <c r="F54" s="84">
        <v>28.5</v>
      </c>
      <c r="G54" s="86">
        <v>24</v>
      </c>
      <c r="H54" s="18">
        <v>20</v>
      </c>
      <c r="I54" s="18">
        <v>32</v>
      </c>
      <c r="J54" s="90">
        <v>16</v>
      </c>
      <c r="K54" s="90">
        <v>28</v>
      </c>
      <c r="L54" s="84">
        <v>9.5</v>
      </c>
      <c r="M54" s="86">
        <v>12</v>
      </c>
      <c r="N54" s="3">
        <v>112441</v>
      </c>
      <c r="O54">
        <f t="shared" si="2"/>
        <v>706.5</v>
      </c>
      <c r="P54">
        <f t="shared" si="3"/>
        <v>666</v>
      </c>
      <c r="Q54">
        <f t="shared" si="4"/>
        <v>301.5</v>
      </c>
      <c r="R54">
        <f t="shared" si="5"/>
        <v>324</v>
      </c>
      <c r="S54">
        <f t="shared" si="6"/>
        <v>625.5</v>
      </c>
      <c r="T54">
        <f t="shared" si="7"/>
        <v>630</v>
      </c>
      <c r="U54">
        <f t="shared" si="8"/>
        <v>292.5</v>
      </c>
      <c r="V54">
        <f t="shared" si="9"/>
        <v>342</v>
      </c>
      <c r="X54" s="5">
        <v>194183</v>
      </c>
      <c r="Y54">
        <f t="shared" si="10"/>
        <v>408</v>
      </c>
      <c r="Z54">
        <f t="shared" si="11"/>
        <v>341</v>
      </c>
      <c r="AA54">
        <f t="shared" si="12"/>
        <v>84</v>
      </c>
      <c r="AB54">
        <f t="shared" si="13"/>
        <v>69</v>
      </c>
      <c r="AC54">
        <f t="shared" si="14"/>
        <v>4573</v>
      </c>
      <c r="AD54">
        <f t="shared" si="15"/>
        <v>3232</v>
      </c>
      <c r="AE54">
        <f t="shared" si="16"/>
        <v>873</v>
      </c>
      <c r="AF54">
        <f t="shared" si="17"/>
        <v>897</v>
      </c>
      <c r="AG54" s="3">
        <v>112441</v>
      </c>
      <c r="AH54" s="31">
        <v>706.5</v>
      </c>
      <c r="AI54" s="31">
        <v>666</v>
      </c>
      <c r="AJ54" s="37">
        <v>40.5</v>
      </c>
      <c r="AK54" s="37">
        <v>6.0810810810810816</v>
      </c>
      <c r="AL54" s="36">
        <v>301.5</v>
      </c>
      <c r="AM54" s="36">
        <v>324</v>
      </c>
      <c r="AN54" s="37">
        <v>-22.5</v>
      </c>
      <c r="AO54" s="37">
        <v>-6.9444444444444446</v>
      </c>
      <c r="AP54" s="38">
        <v>8205</v>
      </c>
      <c r="AQ54" s="39">
        <v>6686.5</v>
      </c>
      <c r="AR54" s="37">
        <v>1518.5</v>
      </c>
      <c r="AS54" s="37">
        <v>22.709937934644433</v>
      </c>
      <c r="AT54" s="36">
        <v>3683</v>
      </c>
      <c r="AU54" s="36">
        <v>3965.5</v>
      </c>
      <c r="AV54" s="37">
        <v>-282.5</v>
      </c>
      <c r="AW54" s="37">
        <v>-7.1239440171479016</v>
      </c>
      <c r="AX54" s="3">
        <v>198751</v>
      </c>
      <c r="AY54" t="str">
        <f t="shared" si="18"/>
        <v>PUNJABKHOR</v>
      </c>
      <c r="AZ54" t="str">
        <f t="shared" si="19"/>
        <v>Punjabkhor</v>
      </c>
      <c r="BC54" s="3">
        <v>112441</v>
      </c>
      <c r="BD54" s="3" t="s">
        <v>72</v>
      </c>
      <c r="BE54" s="43" t="s">
        <v>238</v>
      </c>
      <c r="BF54" s="12" t="s">
        <v>171</v>
      </c>
      <c r="BG54" s="4" t="s">
        <v>75</v>
      </c>
      <c r="BH54" s="4" t="s">
        <v>76</v>
      </c>
      <c r="BI54" s="12" t="s">
        <v>76</v>
      </c>
      <c r="BJ54" s="51" t="s">
        <v>77</v>
      </c>
    </row>
    <row r="55" spans="1:62" ht="36.5" x14ac:dyDescent="0.35">
      <c r="A55">
        <v>112395</v>
      </c>
      <c r="B55" s="84">
        <f t="shared" si="0"/>
        <v>72</v>
      </c>
      <c r="C55" s="84">
        <f t="shared" si="1"/>
        <v>69</v>
      </c>
      <c r="E55" s="3">
        <v>147087</v>
      </c>
      <c r="F55" s="84">
        <v>110</v>
      </c>
      <c r="G55" s="86">
        <v>156.5</v>
      </c>
      <c r="H55" s="18">
        <v>108</v>
      </c>
      <c r="I55" s="18">
        <v>126</v>
      </c>
      <c r="J55" s="90">
        <v>228</v>
      </c>
      <c r="K55" s="90">
        <v>242</v>
      </c>
      <c r="L55" s="84">
        <v>118</v>
      </c>
      <c r="M55" s="86">
        <v>155.5</v>
      </c>
      <c r="N55" s="3">
        <v>112435</v>
      </c>
      <c r="O55">
        <f t="shared" si="2"/>
        <v>471.5</v>
      </c>
      <c r="P55">
        <f t="shared" si="3"/>
        <v>443</v>
      </c>
      <c r="Q55">
        <f t="shared" si="4"/>
        <v>26.5</v>
      </c>
      <c r="R55">
        <f t="shared" si="5"/>
        <v>27</v>
      </c>
      <c r="S55">
        <f t="shared" si="6"/>
        <v>450.5</v>
      </c>
      <c r="T55">
        <f t="shared" si="7"/>
        <v>414</v>
      </c>
      <c r="U55">
        <f t="shared" si="8"/>
        <v>31.5</v>
      </c>
      <c r="V55">
        <f t="shared" si="9"/>
        <v>26</v>
      </c>
      <c r="X55" s="5">
        <v>186872</v>
      </c>
      <c r="Y55">
        <f t="shared" si="10"/>
        <v>58.5</v>
      </c>
      <c r="Z55">
        <f t="shared" si="11"/>
        <v>62</v>
      </c>
      <c r="AA55">
        <f t="shared" si="12"/>
        <v>627.5</v>
      </c>
      <c r="AB55">
        <f t="shared" si="13"/>
        <v>744</v>
      </c>
      <c r="AC55">
        <f t="shared" si="14"/>
        <v>693</v>
      </c>
      <c r="AD55">
        <f t="shared" si="15"/>
        <v>640</v>
      </c>
      <c r="AE55">
        <f t="shared" si="16"/>
        <v>8187</v>
      </c>
      <c r="AF55">
        <f t="shared" si="17"/>
        <v>6305.5</v>
      </c>
      <c r="AG55" s="3">
        <v>112435</v>
      </c>
      <c r="AH55" s="31">
        <v>471.5</v>
      </c>
      <c r="AI55" s="31">
        <v>443</v>
      </c>
      <c r="AJ55" s="37">
        <v>28.5</v>
      </c>
      <c r="AK55" s="37">
        <v>6.4334085778781036</v>
      </c>
      <c r="AL55" s="36">
        <v>26.5</v>
      </c>
      <c r="AM55" s="36">
        <v>27</v>
      </c>
      <c r="AN55" s="37">
        <v>-0.5</v>
      </c>
      <c r="AO55" s="37">
        <v>-1.8518518518518516</v>
      </c>
      <c r="AP55" s="38">
        <v>5668</v>
      </c>
      <c r="AQ55" s="39">
        <v>4426</v>
      </c>
      <c r="AR55" s="37">
        <v>1242</v>
      </c>
      <c r="AS55" s="37">
        <v>28.061455038409399</v>
      </c>
      <c r="AT55" s="36">
        <v>362</v>
      </c>
      <c r="AU55" s="36">
        <v>319</v>
      </c>
      <c r="AV55" s="37">
        <v>43</v>
      </c>
      <c r="AW55" s="37">
        <v>13.479623824451412</v>
      </c>
      <c r="AX55" s="3">
        <v>147087</v>
      </c>
      <c r="AY55" t="str">
        <f t="shared" si="18"/>
        <v>JAIPURGOLDEN_MANGAL</v>
      </c>
      <c r="AZ55" t="str">
        <f t="shared" si="19"/>
        <v>Nazafgarh-Kapashera</v>
      </c>
      <c r="BC55" s="3">
        <v>112435</v>
      </c>
      <c r="BD55" s="3" t="s">
        <v>72</v>
      </c>
      <c r="BE55" s="43" t="s">
        <v>239</v>
      </c>
      <c r="BF55" s="12" t="s">
        <v>240</v>
      </c>
      <c r="BG55" s="4" t="s">
        <v>228</v>
      </c>
      <c r="BH55" s="4" t="s">
        <v>241</v>
      </c>
      <c r="BI55" s="12" t="s">
        <v>241</v>
      </c>
      <c r="BJ55" s="51" t="s">
        <v>230</v>
      </c>
    </row>
    <row r="56" spans="1:62" ht="36.5" x14ac:dyDescent="0.35">
      <c r="A56">
        <v>41057001</v>
      </c>
      <c r="B56" s="84">
        <f t="shared" si="0"/>
        <v>134.5</v>
      </c>
      <c r="C56" s="84">
        <f t="shared" si="1"/>
        <v>110</v>
      </c>
      <c r="E56" s="3">
        <v>112422</v>
      </c>
      <c r="F56" s="84">
        <v>533</v>
      </c>
      <c r="G56" s="86">
        <v>606.5</v>
      </c>
      <c r="H56" s="18">
        <v>535.5</v>
      </c>
      <c r="I56" s="18">
        <v>597.5</v>
      </c>
      <c r="J56" s="90">
        <v>76.5</v>
      </c>
      <c r="K56" s="90">
        <v>96.5</v>
      </c>
      <c r="L56" s="84">
        <v>81</v>
      </c>
      <c r="M56" s="86">
        <v>67.5</v>
      </c>
      <c r="N56" s="3">
        <v>112452</v>
      </c>
      <c r="O56">
        <f t="shared" si="2"/>
        <v>515</v>
      </c>
      <c r="P56">
        <f t="shared" si="3"/>
        <v>445.5</v>
      </c>
      <c r="Q56">
        <f t="shared" si="4"/>
        <v>2081</v>
      </c>
      <c r="R56">
        <f t="shared" si="5"/>
        <v>2117.5</v>
      </c>
      <c r="S56">
        <f t="shared" si="6"/>
        <v>452.5</v>
      </c>
      <c r="T56">
        <f t="shared" si="7"/>
        <v>409.5</v>
      </c>
      <c r="U56">
        <f t="shared" si="8"/>
        <v>2017.5</v>
      </c>
      <c r="V56">
        <f t="shared" si="9"/>
        <v>1947.5</v>
      </c>
      <c r="X56" s="9">
        <v>41056491</v>
      </c>
      <c r="Y56">
        <f t="shared" si="10"/>
        <v>601</v>
      </c>
      <c r="Z56">
        <f t="shared" si="11"/>
        <v>584</v>
      </c>
      <c r="AA56">
        <f t="shared" si="12"/>
        <v>58</v>
      </c>
      <c r="AB56">
        <f t="shared" si="13"/>
        <v>67</v>
      </c>
      <c r="AC56">
        <f t="shared" si="14"/>
        <v>7191</v>
      </c>
      <c r="AD56">
        <f t="shared" si="15"/>
        <v>5693</v>
      </c>
      <c r="AE56">
        <f t="shared" si="16"/>
        <v>807</v>
      </c>
      <c r="AF56">
        <f t="shared" si="17"/>
        <v>889</v>
      </c>
      <c r="AG56" s="3">
        <v>112452</v>
      </c>
      <c r="AH56" s="31">
        <v>515</v>
      </c>
      <c r="AI56" s="31">
        <v>445.5</v>
      </c>
      <c r="AJ56" s="37">
        <v>69.5</v>
      </c>
      <c r="AK56" s="37">
        <v>15.600448933782268</v>
      </c>
      <c r="AL56" s="36">
        <v>2081</v>
      </c>
      <c r="AM56" s="36">
        <v>2117.5</v>
      </c>
      <c r="AN56" s="37">
        <v>-36.5</v>
      </c>
      <c r="AO56" s="37">
        <v>-1.7237308146399055</v>
      </c>
      <c r="AP56" s="38">
        <v>5650</v>
      </c>
      <c r="AQ56" s="39">
        <v>4411.5</v>
      </c>
      <c r="AR56" s="37">
        <v>1238.5</v>
      </c>
      <c r="AS56" s="37">
        <v>28.074351127734332</v>
      </c>
      <c r="AT56" s="36">
        <v>24537</v>
      </c>
      <c r="AU56" s="36">
        <v>23813.5</v>
      </c>
      <c r="AV56" s="37">
        <v>723.5</v>
      </c>
      <c r="AW56" s="37">
        <v>3.0381926218321542</v>
      </c>
      <c r="AX56" s="3">
        <v>112422</v>
      </c>
      <c r="AY56" t="str">
        <f t="shared" si="18"/>
        <v>MANN SS</v>
      </c>
      <c r="AZ56" t="str">
        <f t="shared" si="19"/>
        <v>Old Delhi</v>
      </c>
      <c r="BC56" s="3">
        <v>112452</v>
      </c>
      <c r="BD56" s="3" t="s">
        <v>72</v>
      </c>
      <c r="BE56" s="43" t="s">
        <v>242</v>
      </c>
      <c r="BF56" s="12" t="s">
        <v>243</v>
      </c>
      <c r="BG56" s="4" t="s">
        <v>200</v>
      </c>
      <c r="BH56" s="4" t="s">
        <v>244</v>
      </c>
      <c r="BI56" s="12" t="s">
        <v>244</v>
      </c>
      <c r="BJ56" s="51" t="s">
        <v>172</v>
      </c>
    </row>
    <row r="57" spans="1:62" ht="48.5" x14ac:dyDescent="0.35">
      <c r="A57">
        <v>106235</v>
      </c>
      <c r="B57" s="84">
        <f t="shared" si="0"/>
        <v>214</v>
      </c>
      <c r="C57" s="84">
        <f t="shared" si="1"/>
        <v>255</v>
      </c>
      <c r="E57" s="3">
        <v>142009</v>
      </c>
      <c r="F57" s="84">
        <v>112.5</v>
      </c>
      <c r="G57" s="86">
        <v>127.5</v>
      </c>
      <c r="H57" s="18">
        <v>111</v>
      </c>
      <c r="I57" s="18">
        <v>122</v>
      </c>
      <c r="J57" s="90">
        <v>55</v>
      </c>
      <c r="K57" s="90">
        <v>66</v>
      </c>
      <c r="L57" s="84">
        <v>67.5</v>
      </c>
      <c r="M57" s="86">
        <v>78.5</v>
      </c>
      <c r="N57" s="3">
        <v>112445</v>
      </c>
      <c r="O57">
        <f t="shared" si="2"/>
        <v>0</v>
      </c>
      <c r="P57">
        <f t="shared" si="3"/>
        <v>432</v>
      </c>
      <c r="Q57">
        <f t="shared" si="4"/>
        <v>0</v>
      </c>
      <c r="R57">
        <f t="shared" si="5"/>
        <v>180</v>
      </c>
      <c r="S57">
        <f t="shared" si="6"/>
        <v>0</v>
      </c>
      <c r="T57">
        <f t="shared" si="7"/>
        <v>405</v>
      </c>
      <c r="U57">
        <f t="shared" si="8"/>
        <v>0</v>
      </c>
      <c r="V57">
        <f t="shared" si="9"/>
        <v>171</v>
      </c>
      <c r="X57" s="5">
        <v>106280</v>
      </c>
      <c r="Y57">
        <f t="shared" si="10"/>
        <v>308</v>
      </c>
      <c r="Z57">
        <f t="shared" si="11"/>
        <v>268</v>
      </c>
      <c r="AA57">
        <f t="shared" si="12"/>
        <v>64</v>
      </c>
      <c r="AB57">
        <f t="shared" si="13"/>
        <v>44</v>
      </c>
      <c r="AC57">
        <f t="shared" si="14"/>
        <v>3567</v>
      </c>
      <c r="AD57">
        <f t="shared" si="15"/>
        <v>2836</v>
      </c>
      <c r="AE57">
        <f t="shared" si="16"/>
        <v>685</v>
      </c>
      <c r="AF57">
        <f t="shared" si="17"/>
        <v>680</v>
      </c>
      <c r="AG57" s="3">
        <v>112445</v>
      </c>
      <c r="AH57" s="31">
        <v>0</v>
      </c>
      <c r="AI57" s="31">
        <v>432</v>
      </c>
      <c r="AJ57" s="37">
        <v>-432</v>
      </c>
      <c r="AK57" s="37">
        <v>-100</v>
      </c>
      <c r="AL57" s="36">
        <v>0</v>
      </c>
      <c r="AM57" s="36">
        <v>180</v>
      </c>
      <c r="AN57" s="37">
        <v>-180</v>
      </c>
      <c r="AO57" s="37">
        <v>-100</v>
      </c>
      <c r="AP57" s="38">
        <v>3450.5</v>
      </c>
      <c r="AQ57" s="39">
        <v>4403</v>
      </c>
      <c r="AR57" s="37">
        <v>-952.5</v>
      </c>
      <c r="AS57" s="37">
        <v>-21.632977515330456</v>
      </c>
      <c r="AT57" s="36">
        <v>1133.5</v>
      </c>
      <c r="AU57" s="36">
        <v>2024</v>
      </c>
      <c r="AV57" s="37">
        <v>-890.5</v>
      </c>
      <c r="AW57" s="37">
        <v>-43.997035573122531</v>
      </c>
      <c r="AX57" s="3">
        <v>142009</v>
      </c>
      <c r="AY57" t="str">
        <f t="shared" si="18"/>
        <v>SIDHU</v>
      </c>
      <c r="AZ57" t="str">
        <f t="shared" si="19"/>
        <v>Old GT Road (NH1)</v>
      </c>
      <c r="BC57" s="3">
        <v>112445</v>
      </c>
      <c r="BD57" s="3" t="s">
        <v>72</v>
      </c>
      <c r="BE57" s="43" t="s">
        <v>245</v>
      </c>
      <c r="BF57" s="12" t="s">
        <v>246</v>
      </c>
      <c r="BG57" s="4" t="s">
        <v>111</v>
      </c>
      <c r="BH57" s="4" t="s">
        <v>247</v>
      </c>
      <c r="BI57" s="12" t="s">
        <v>247</v>
      </c>
      <c r="BJ57" s="51" t="s">
        <v>248</v>
      </c>
    </row>
    <row r="58" spans="1:62" ht="48.5" x14ac:dyDescent="0.35">
      <c r="A58">
        <v>102116</v>
      </c>
      <c r="B58" s="84">
        <f t="shared" si="0"/>
        <v>216</v>
      </c>
      <c r="C58" s="84">
        <f t="shared" si="1"/>
        <v>252</v>
      </c>
      <c r="E58" s="3">
        <v>112720</v>
      </c>
      <c r="F58" s="84">
        <v>644</v>
      </c>
      <c r="G58" s="86">
        <v>754</v>
      </c>
      <c r="H58" s="18">
        <v>639</v>
      </c>
      <c r="I58" s="18">
        <v>706</v>
      </c>
      <c r="J58" s="90">
        <v>153</v>
      </c>
      <c r="K58" s="90">
        <v>176</v>
      </c>
      <c r="L58" s="84">
        <v>148</v>
      </c>
      <c r="M58" s="86">
        <v>170</v>
      </c>
      <c r="N58" s="3">
        <v>112444</v>
      </c>
      <c r="O58">
        <f t="shared" si="2"/>
        <v>389</v>
      </c>
      <c r="P58">
        <f t="shared" si="3"/>
        <v>377</v>
      </c>
      <c r="Q58">
        <f t="shared" si="4"/>
        <v>35</v>
      </c>
      <c r="R58">
        <f t="shared" si="5"/>
        <v>31</v>
      </c>
      <c r="S58">
        <f t="shared" si="6"/>
        <v>375</v>
      </c>
      <c r="T58">
        <f t="shared" si="7"/>
        <v>342</v>
      </c>
      <c r="U58">
        <f t="shared" si="8"/>
        <v>45</v>
      </c>
      <c r="V58">
        <f t="shared" si="9"/>
        <v>36</v>
      </c>
      <c r="X58" s="5">
        <v>234809</v>
      </c>
      <c r="Y58">
        <f t="shared" si="10"/>
        <v>80</v>
      </c>
      <c r="Z58">
        <f t="shared" si="11"/>
        <v>77</v>
      </c>
      <c r="AA58">
        <f t="shared" si="12"/>
        <v>136</v>
      </c>
      <c r="AB58">
        <f t="shared" si="13"/>
        <v>73</v>
      </c>
      <c r="AC58">
        <f t="shared" si="14"/>
        <v>952</v>
      </c>
      <c r="AD58">
        <f t="shared" si="15"/>
        <v>782.5</v>
      </c>
      <c r="AE58">
        <f t="shared" si="16"/>
        <v>1028</v>
      </c>
      <c r="AF58">
        <f t="shared" si="17"/>
        <v>984.5</v>
      </c>
      <c r="AG58" s="3">
        <v>112444</v>
      </c>
      <c r="AH58" s="31">
        <v>389</v>
      </c>
      <c r="AI58" s="31">
        <v>377</v>
      </c>
      <c r="AJ58" s="37">
        <v>12</v>
      </c>
      <c r="AK58" s="37">
        <v>3.183023872679045</v>
      </c>
      <c r="AL58" s="36">
        <v>35</v>
      </c>
      <c r="AM58" s="36">
        <v>31</v>
      </c>
      <c r="AN58" s="37">
        <v>4</v>
      </c>
      <c r="AO58" s="37">
        <v>12.903225806451612</v>
      </c>
      <c r="AP58" s="38">
        <v>4684</v>
      </c>
      <c r="AQ58" s="39">
        <v>3909</v>
      </c>
      <c r="AR58" s="37">
        <v>775</v>
      </c>
      <c r="AS58" s="37">
        <v>19.826042466103864</v>
      </c>
      <c r="AT58" s="36">
        <v>402</v>
      </c>
      <c r="AU58" s="36">
        <v>404</v>
      </c>
      <c r="AV58" s="37">
        <v>-2</v>
      </c>
      <c r="AW58" s="37">
        <v>-0.49504950495049505</v>
      </c>
      <c r="AX58" s="3">
        <v>112720</v>
      </c>
      <c r="AY58" t="str">
        <f t="shared" si="18"/>
        <v>ALLIED_MASIH</v>
      </c>
      <c r="AZ58" t="str">
        <f t="shared" si="19"/>
        <v>Mayur Vihar -Anand Vihar -Preet Vihar</v>
      </c>
      <c r="BC58" s="3">
        <v>112444</v>
      </c>
      <c r="BD58" s="3" t="s">
        <v>72</v>
      </c>
      <c r="BE58" s="43" t="s">
        <v>249</v>
      </c>
      <c r="BF58" s="12" t="s">
        <v>250</v>
      </c>
      <c r="BG58" s="4" t="s">
        <v>94</v>
      </c>
      <c r="BH58" s="4" t="s">
        <v>251</v>
      </c>
      <c r="BI58" s="12" t="s">
        <v>251</v>
      </c>
      <c r="BJ58" s="51" t="s">
        <v>96</v>
      </c>
    </row>
    <row r="59" spans="1:62" ht="60.5" x14ac:dyDescent="0.35">
      <c r="A59">
        <v>41019248</v>
      </c>
      <c r="B59" s="84">
        <f t="shared" si="0"/>
        <v>624</v>
      </c>
      <c r="C59" s="84">
        <f t="shared" si="1"/>
        <v>660</v>
      </c>
      <c r="E59" s="3">
        <v>112424</v>
      </c>
      <c r="F59" s="84">
        <v>130</v>
      </c>
      <c r="G59" s="86">
        <v>150</v>
      </c>
      <c r="H59" s="18">
        <v>120</v>
      </c>
      <c r="I59" s="18">
        <v>140</v>
      </c>
      <c r="J59" s="90">
        <v>320</v>
      </c>
      <c r="K59" s="90">
        <v>320</v>
      </c>
      <c r="L59" s="84">
        <v>270</v>
      </c>
      <c r="M59" s="86">
        <v>288</v>
      </c>
      <c r="N59" s="3">
        <v>112428</v>
      </c>
      <c r="O59">
        <f t="shared" si="2"/>
        <v>252</v>
      </c>
      <c r="P59">
        <f t="shared" si="3"/>
        <v>252</v>
      </c>
      <c r="Q59">
        <f t="shared" si="4"/>
        <v>56</v>
      </c>
      <c r="R59">
        <f t="shared" si="5"/>
        <v>56</v>
      </c>
      <c r="S59">
        <f t="shared" si="6"/>
        <v>244</v>
      </c>
      <c r="T59">
        <f t="shared" si="7"/>
        <v>218</v>
      </c>
      <c r="U59">
        <f t="shared" si="8"/>
        <v>48</v>
      </c>
      <c r="V59">
        <f t="shared" si="9"/>
        <v>48</v>
      </c>
      <c r="X59" s="3">
        <v>112456</v>
      </c>
      <c r="Y59">
        <f t="shared" si="10"/>
        <v>350</v>
      </c>
      <c r="Z59">
        <f t="shared" si="11"/>
        <v>355</v>
      </c>
      <c r="AA59">
        <f t="shared" si="12"/>
        <v>130</v>
      </c>
      <c r="AB59">
        <f t="shared" si="13"/>
        <v>175</v>
      </c>
      <c r="AC59">
        <f t="shared" si="14"/>
        <v>4343</v>
      </c>
      <c r="AD59">
        <f t="shared" si="15"/>
        <v>3662.0000150000001</v>
      </c>
      <c r="AE59">
        <f t="shared" si="16"/>
        <v>1893</v>
      </c>
      <c r="AF59">
        <f t="shared" si="17"/>
        <v>2064</v>
      </c>
      <c r="AG59" s="3">
        <v>112428</v>
      </c>
      <c r="AH59" s="31">
        <v>252</v>
      </c>
      <c r="AI59" s="31">
        <v>252</v>
      </c>
      <c r="AJ59" s="37">
        <v>0</v>
      </c>
      <c r="AK59" s="37">
        <v>0</v>
      </c>
      <c r="AL59" s="36">
        <v>56</v>
      </c>
      <c r="AM59" s="36">
        <v>56</v>
      </c>
      <c r="AN59" s="37">
        <v>0</v>
      </c>
      <c r="AO59" s="37">
        <v>0</v>
      </c>
      <c r="AP59" s="38">
        <v>3197</v>
      </c>
      <c r="AQ59" s="39">
        <v>2666.5</v>
      </c>
      <c r="AR59" s="37">
        <v>530.5</v>
      </c>
      <c r="AS59" s="37">
        <v>19.894993437089816</v>
      </c>
      <c r="AT59" s="36">
        <v>647</v>
      </c>
      <c r="AU59" s="36">
        <v>746.5</v>
      </c>
      <c r="AV59" s="37">
        <v>-99.5</v>
      </c>
      <c r="AW59" s="37">
        <v>-13.328868050904219</v>
      </c>
      <c r="AX59" s="3">
        <v>112424</v>
      </c>
      <c r="AY59" t="str">
        <f t="shared" si="18"/>
        <v>MOBILE</v>
      </c>
      <c r="AZ59" t="str">
        <f t="shared" si="19"/>
        <v>Old Delhi</v>
      </c>
      <c r="BC59" s="3">
        <v>112428</v>
      </c>
      <c r="BD59" s="3" t="s">
        <v>72</v>
      </c>
      <c r="BE59" s="44" t="s">
        <v>252</v>
      </c>
      <c r="BF59" s="12" t="s">
        <v>253</v>
      </c>
      <c r="BG59" s="4" t="s">
        <v>103</v>
      </c>
      <c r="BH59" s="4" t="s">
        <v>208</v>
      </c>
      <c r="BI59" s="12" t="s">
        <v>208</v>
      </c>
      <c r="BJ59" s="51" t="s">
        <v>105</v>
      </c>
    </row>
    <row r="60" spans="1:62" ht="36.5" x14ac:dyDescent="0.35">
      <c r="A60">
        <v>151186</v>
      </c>
      <c r="B60" s="84">
        <f t="shared" si="0"/>
        <v>50</v>
      </c>
      <c r="C60" s="84">
        <f t="shared" si="1"/>
        <v>30</v>
      </c>
      <c r="E60" s="3">
        <v>112425</v>
      </c>
      <c r="F60" s="84">
        <v>225.5</v>
      </c>
      <c r="G60" s="86">
        <v>280</v>
      </c>
      <c r="H60" s="18">
        <v>233</v>
      </c>
      <c r="I60" s="18">
        <v>278</v>
      </c>
      <c r="J60" s="90">
        <v>115</v>
      </c>
      <c r="K60" s="90">
        <v>124</v>
      </c>
      <c r="L60" s="84">
        <v>90.5</v>
      </c>
      <c r="M60" s="86">
        <v>98</v>
      </c>
      <c r="N60" s="3">
        <v>112416</v>
      </c>
      <c r="O60">
        <f t="shared" si="2"/>
        <v>233</v>
      </c>
      <c r="P60">
        <f t="shared" si="3"/>
        <v>240</v>
      </c>
      <c r="Q60">
        <f t="shared" si="4"/>
        <v>19</v>
      </c>
      <c r="R60">
        <f t="shared" si="5"/>
        <v>28</v>
      </c>
      <c r="S60">
        <f t="shared" si="6"/>
        <v>211</v>
      </c>
      <c r="T60">
        <f t="shared" si="7"/>
        <v>208</v>
      </c>
      <c r="U60">
        <f t="shared" si="8"/>
        <v>19</v>
      </c>
      <c r="V60">
        <f t="shared" si="9"/>
        <v>20</v>
      </c>
      <c r="X60" s="3">
        <v>112452</v>
      </c>
      <c r="Y60">
        <f t="shared" si="10"/>
        <v>515</v>
      </c>
      <c r="Z60">
        <f t="shared" si="11"/>
        <v>445.5</v>
      </c>
      <c r="AA60">
        <f t="shared" si="12"/>
        <v>2081</v>
      </c>
      <c r="AB60">
        <f t="shared" si="13"/>
        <v>2117.5</v>
      </c>
      <c r="AC60">
        <f t="shared" si="14"/>
        <v>5650</v>
      </c>
      <c r="AD60">
        <f t="shared" si="15"/>
        <v>4411.5</v>
      </c>
      <c r="AE60">
        <f t="shared" si="16"/>
        <v>24537</v>
      </c>
      <c r="AF60">
        <f t="shared" si="17"/>
        <v>23813.5</v>
      </c>
      <c r="AG60" s="3">
        <v>112416</v>
      </c>
      <c r="AH60" s="31">
        <v>233</v>
      </c>
      <c r="AI60" s="31">
        <v>240</v>
      </c>
      <c r="AJ60" s="37">
        <v>-7</v>
      </c>
      <c r="AK60" s="37">
        <v>-2.9166666666666665</v>
      </c>
      <c r="AL60" s="36">
        <v>19</v>
      </c>
      <c r="AM60" s="36">
        <v>28</v>
      </c>
      <c r="AN60" s="37">
        <v>-9</v>
      </c>
      <c r="AO60" s="37">
        <v>-32.142857142857146</v>
      </c>
      <c r="AP60" s="38">
        <v>2980</v>
      </c>
      <c r="AQ60" s="39">
        <v>2523.5</v>
      </c>
      <c r="AR60" s="37">
        <v>456.5</v>
      </c>
      <c r="AS60" s="37">
        <v>18.089954428373293</v>
      </c>
      <c r="AT60" s="36">
        <v>274</v>
      </c>
      <c r="AU60" s="36">
        <v>293.5</v>
      </c>
      <c r="AV60" s="37">
        <v>-19.5</v>
      </c>
      <c r="AW60" s="37">
        <v>-6.6439522998296416</v>
      </c>
      <c r="AX60" s="3">
        <v>112425</v>
      </c>
      <c r="AY60" t="str">
        <f t="shared" si="18"/>
        <v>BCC_KAMLA_NATIONAL_MODERN_SONDHI</v>
      </c>
      <c r="AZ60" t="str">
        <f t="shared" si="19"/>
        <v>Lutyens</v>
      </c>
      <c r="BC60" s="3">
        <v>112416</v>
      </c>
      <c r="BD60" s="3" t="s">
        <v>72</v>
      </c>
      <c r="BE60" s="41" t="s">
        <v>254</v>
      </c>
      <c r="BF60" s="12" t="s">
        <v>255</v>
      </c>
      <c r="BG60" s="4" t="s">
        <v>103</v>
      </c>
      <c r="BH60" s="4" t="s">
        <v>256</v>
      </c>
      <c r="BI60" s="12" t="s">
        <v>256</v>
      </c>
      <c r="BJ60" s="51" t="s">
        <v>257</v>
      </c>
    </row>
    <row r="61" spans="1:62" ht="36.5" x14ac:dyDescent="0.35">
      <c r="A61">
        <v>41057002</v>
      </c>
      <c r="B61" s="84">
        <f t="shared" si="0"/>
        <v>235</v>
      </c>
      <c r="C61" s="84">
        <f t="shared" si="1"/>
        <v>217.5</v>
      </c>
      <c r="E61" s="3">
        <v>112426</v>
      </c>
      <c r="F61" s="84">
        <v>12.5</v>
      </c>
      <c r="G61" s="86">
        <v>9</v>
      </c>
      <c r="H61" s="18">
        <v>17</v>
      </c>
      <c r="I61" s="18">
        <v>9</v>
      </c>
      <c r="J61" s="90">
        <v>13</v>
      </c>
      <c r="K61" s="90">
        <v>23</v>
      </c>
      <c r="L61" s="84">
        <v>17.5</v>
      </c>
      <c r="M61" s="86">
        <v>9</v>
      </c>
      <c r="N61" s="3">
        <v>142283</v>
      </c>
      <c r="O61">
        <f t="shared" si="2"/>
        <v>170</v>
      </c>
      <c r="P61">
        <f t="shared" si="3"/>
        <v>203</v>
      </c>
      <c r="Q61">
        <f t="shared" si="4"/>
        <v>198</v>
      </c>
      <c r="R61">
        <f t="shared" si="5"/>
        <v>188</v>
      </c>
      <c r="S61">
        <f t="shared" si="6"/>
        <v>167</v>
      </c>
      <c r="T61">
        <f t="shared" si="7"/>
        <v>190</v>
      </c>
      <c r="U61">
        <f t="shared" si="8"/>
        <v>155</v>
      </c>
      <c r="V61">
        <f t="shared" si="9"/>
        <v>224</v>
      </c>
      <c r="X61" s="3">
        <v>112403</v>
      </c>
      <c r="Y61">
        <f t="shared" si="10"/>
        <v>327</v>
      </c>
      <c r="Z61">
        <f t="shared" si="11"/>
        <v>306.5</v>
      </c>
      <c r="AA61">
        <f t="shared" si="12"/>
        <v>75</v>
      </c>
      <c r="AB61">
        <f t="shared" si="13"/>
        <v>79.5</v>
      </c>
      <c r="AC61">
        <f t="shared" si="14"/>
        <v>3801.808</v>
      </c>
      <c r="AD61">
        <f t="shared" si="15"/>
        <v>3211.5000019999998</v>
      </c>
      <c r="AE61">
        <f t="shared" si="16"/>
        <v>887</v>
      </c>
      <c r="AF61">
        <f t="shared" si="17"/>
        <v>1091</v>
      </c>
      <c r="AG61" s="3">
        <v>142283</v>
      </c>
      <c r="AH61" s="31">
        <v>170</v>
      </c>
      <c r="AI61" s="31">
        <v>203</v>
      </c>
      <c r="AJ61" s="37">
        <v>-33</v>
      </c>
      <c r="AK61" s="37">
        <v>-16.256157635467979</v>
      </c>
      <c r="AL61" s="36">
        <v>198</v>
      </c>
      <c r="AM61" s="36">
        <v>188</v>
      </c>
      <c r="AN61" s="37">
        <v>10</v>
      </c>
      <c r="AO61" s="37">
        <v>5.3191489361702127</v>
      </c>
      <c r="AP61" s="38">
        <v>2310</v>
      </c>
      <c r="AQ61" s="39">
        <v>2051</v>
      </c>
      <c r="AR61" s="37">
        <v>259</v>
      </c>
      <c r="AS61" s="37">
        <v>12.627986348122866</v>
      </c>
      <c r="AT61" s="36">
        <v>2180</v>
      </c>
      <c r="AU61" s="36">
        <v>2365</v>
      </c>
      <c r="AV61" s="37">
        <v>-185</v>
      </c>
      <c r="AW61" s="37">
        <v>-7.8224101479915431</v>
      </c>
      <c r="AX61" s="3">
        <v>112426</v>
      </c>
      <c r="AY61" t="str">
        <f t="shared" si="18"/>
        <v>MOOLCHAND</v>
      </c>
      <c r="AZ61" t="str">
        <f t="shared" si="19"/>
        <v>New GT Road (NH44)</v>
      </c>
      <c r="BC61" s="3">
        <v>142283</v>
      </c>
      <c r="BD61" s="3" t="s">
        <v>72</v>
      </c>
      <c r="BE61" s="43" t="s">
        <v>258</v>
      </c>
      <c r="BF61" s="12" t="s">
        <v>259</v>
      </c>
      <c r="BG61" s="4" t="s">
        <v>200</v>
      </c>
      <c r="BH61" s="4" t="s">
        <v>260</v>
      </c>
      <c r="BI61" s="12" t="s">
        <v>260</v>
      </c>
      <c r="BJ61" s="51" t="s">
        <v>261</v>
      </c>
    </row>
    <row r="62" spans="1:62" ht="48.5" x14ac:dyDescent="0.35">
      <c r="A62">
        <v>198868</v>
      </c>
      <c r="B62" s="84">
        <f t="shared" si="0"/>
        <v>104</v>
      </c>
      <c r="C62" s="84">
        <f t="shared" si="1"/>
        <v>108</v>
      </c>
      <c r="E62" s="3">
        <v>112427</v>
      </c>
      <c r="F62" s="84">
        <v>333</v>
      </c>
      <c r="G62" s="86">
        <v>400.5</v>
      </c>
      <c r="H62" s="18">
        <v>310.5</v>
      </c>
      <c r="I62" s="18">
        <v>336</v>
      </c>
      <c r="J62" s="90">
        <v>103.5</v>
      </c>
      <c r="K62" s="90">
        <v>90</v>
      </c>
      <c r="L62" s="84">
        <v>153</v>
      </c>
      <c r="M62" s="86">
        <v>175.5</v>
      </c>
      <c r="N62" s="3">
        <v>148414</v>
      </c>
      <c r="O62">
        <f t="shared" si="2"/>
        <v>243</v>
      </c>
      <c r="P62">
        <f t="shared" si="3"/>
        <v>198</v>
      </c>
      <c r="Q62">
        <f t="shared" si="4"/>
        <v>357</v>
      </c>
      <c r="R62">
        <f t="shared" si="5"/>
        <v>354</v>
      </c>
      <c r="S62">
        <f t="shared" si="6"/>
        <v>239</v>
      </c>
      <c r="T62">
        <f t="shared" si="7"/>
        <v>173</v>
      </c>
      <c r="U62">
        <f t="shared" si="8"/>
        <v>385</v>
      </c>
      <c r="V62">
        <f t="shared" si="9"/>
        <v>307</v>
      </c>
      <c r="X62" s="5">
        <v>179735</v>
      </c>
      <c r="Y62">
        <f t="shared" si="10"/>
        <v>409.5</v>
      </c>
      <c r="Z62">
        <f t="shared" si="11"/>
        <v>364.5</v>
      </c>
      <c r="AA62">
        <f t="shared" si="12"/>
        <v>76.5</v>
      </c>
      <c r="AB62">
        <f t="shared" si="13"/>
        <v>103.5</v>
      </c>
      <c r="AC62">
        <f t="shared" si="14"/>
        <v>4620.5</v>
      </c>
      <c r="AD62">
        <f t="shared" si="15"/>
        <v>3658.5</v>
      </c>
      <c r="AE62">
        <f t="shared" si="16"/>
        <v>1003.5</v>
      </c>
      <c r="AF62">
        <f t="shared" si="17"/>
        <v>1222.5</v>
      </c>
      <c r="AG62" s="3">
        <v>148414</v>
      </c>
      <c r="AH62" s="31">
        <v>243</v>
      </c>
      <c r="AI62" s="31">
        <v>198</v>
      </c>
      <c r="AJ62" s="37">
        <v>45</v>
      </c>
      <c r="AK62" s="37">
        <v>22.727272727272727</v>
      </c>
      <c r="AL62" s="36">
        <v>357</v>
      </c>
      <c r="AM62" s="36">
        <v>354</v>
      </c>
      <c r="AN62" s="37">
        <v>3</v>
      </c>
      <c r="AO62" s="37">
        <v>0.84745762711864403</v>
      </c>
      <c r="AP62" s="38">
        <v>2632</v>
      </c>
      <c r="AQ62" s="39">
        <v>1941</v>
      </c>
      <c r="AR62" s="37">
        <v>691</v>
      </c>
      <c r="AS62" s="37">
        <v>35.600206079340545</v>
      </c>
      <c r="AT62" s="36">
        <v>4276</v>
      </c>
      <c r="AU62" s="36">
        <v>3886</v>
      </c>
      <c r="AV62" s="37">
        <v>390</v>
      </c>
      <c r="AW62" s="37">
        <v>10.036026762738034</v>
      </c>
      <c r="AX62" s="3">
        <v>112427</v>
      </c>
      <c r="AY62" t="str">
        <f t="shared" si="18"/>
        <v>MUKUL</v>
      </c>
      <c r="AZ62" t="str">
        <f t="shared" si="19"/>
        <v>Wazirabad-Loni</v>
      </c>
      <c r="BC62" s="3">
        <v>148414</v>
      </c>
      <c r="BD62" s="3" t="s">
        <v>72</v>
      </c>
      <c r="BE62" s="41" t="s">
        <v>262</v>
      </c>
      <c r="BF62" s="12" t="s">
        <v>263</v>
      </c>
      <c r="BG62" s="4" t="s">
        <v>200</v>
      </c>
      <c r="BH62" s="4" t="s">
        <v>260</v>
      </c>
      <c r="BI62" s="12" t="s">
        <v>260</v>
      </c>
      <c r="BJ62" s="51" t="s">
        <v>261</v>
      </c>
    </row>
    <row r="63" spans="1:62" ht="48.5" x14ac:dyDescent="0.35">
      <c r="A63">
        <v>41019252</v>
      </c>
      <c r="B63" s="84">
        <f t="shared" si="0"/>
        <v>504</v>
      </c>
      <c r="C63" s="84">
        <f t="shared" si="1"/>
        <v>557</v>
      </c>
      <c r="E63" s="3">
        <v>112428</v>
      </c>
      <c r="F63" s="84">
        <v>244</v>
      </c>
      <c r="G63" s="86">
        <v>252</v>
      </c>
      <c r="H63" s="18">
        <v>218</v>
      </c>
      <c r="I63" s="18">
        <v>252</v>
      </c>
      <c r="J63" s="90">
        <v>48</v>
      </c>
      <c r="K63" s="90">
        <v>56</v>
      </c>
      <c r="L63" s="84">
        <v>48</v>
      </c>
      <c r="M63" s="86">
        <v>56</v>
      </c>
      <c r="N63" s="3">
        <v>112430</v>
      </c>
      <c r="O63">
        <f t="shared" si="2"/>
        <v>185</v>
      </c>
      <c r="P63">
        <f t="shared" si="3"/>
        <v>160</v>
      </c>
      <c r="Q63">
        <f t="shared" si="4"/>
        <v>255</v>
      </c>
      <c r="R63">
        <f t="shared" si="5"/>
        <v>240</v>
      </c>
      <c r="S63">
        <f t="shared" si="6"/>
        <v>160</v>
      </c>
      <c r="T63">
        <f t="shared" si="7"/>
        <v>130</v>
      </c>
      <c r="U63">
        <f t="shared" si="8"/>
        <v>180</v>
      </c>
      <c r="V63">
        <f t="shared" si="9"/>
        <v>230</v>
      </c>
      <c r="X63" s="5">
        <v>106247</v>
      </c>
      <c r="Y63">
        <f t="shared" si="10"/>
        <v>304</v>
      </c>
      <c r="Z63">
        <f t="shared" si="11"/>
        <v>286</v>
      </c>
      <c r="AA63">
        <f t="shared" si="12"/>
        <v>44</v>
      </c>
      <c r="AB63">
        <f t="shared" si="13"/>
        <v>52</v>
      </c>
      <c r="AC63">
        <f t="shared" si="14"/>
        <v>3885.5</v>
      </c>
      <c r="AD63">
        <f t="shared" si="15"/>
        <v>3177</v>
      </c>
      <c r="AE63">
        <f t="shared" si="16"/>
        <v>630.5</v>
      </c>
      <c r="AF63">
        <f t="shared" si="17"/>
        <v>783</v>
      </c>
      <c r="AG63" s="3">
        <v>112430</v>
      </c>
      <c r="AH63" s="31">
        <v>185</v>
      </c>
      <c r="AI63" s="31">
        <v>160</v>
      </c>
      <c r="AJ63" s="37">
        <v>25</v>
      </c>
      <c r="AK63" s="37">
        <v>15.625</v>
      </c>
      <c r="AL63" s="36">
        <v>255</v>
      </c>
      <c r="AM63" s="36">
        <v>240</v>
      </c>
      <c r="AN63" s="37">
        <v>15</v>
      </c>
      <c r="AO63" s="37">
        <v>6.25</v>
      </c>
      <c r="AP63" s="38">
        <v>2030</v>
      </c>
      <c r="AQ63" s="39">
        <v>1511</v>
      </c>
      <c r="AR63" s="37">
        <v>519</v>
      </c>
      <c r="AS63" s="37">
        <v>34.348113831899404</v>
      </c>
      <c r="AT63" s="36">
        <v>2750</v>
      </c>
      <c r="AU63" s="36">
        <v>3093</v>
      </c>
      <c r="AV63" s="37">
        <v>-343</v>
      </c>
      <c r="AW63" s="37">
        <v>-11.08955706433883</v>
      </c>
      <c r="AX63" s="3">
        <v>112428</v>
      </c>
      <c r="AY63" t="str">
        <f t="shared" si="18"/>
        <v>BCC_KAMLA_NATIONAL_MODERN_SONDHI</v>
      </c>
      <c r="AZ63" t="str">
        <f t="shared" si="19"/>
        <v>Lutyens</v>
      </c>
      <c r="BC63" s="3">
        <v>112430</v>
      </c>
      <c r="BD63" s="3" t="s">
        <v>72</v>
      </c>
      <c r="BE63" s="40" t="s">
        <v>264</v>
      </c>
      <c r="BF63" s="12" t="s">
        <v>243</v>
      </c>
      <c r="BG63" s="4" t="s">
        <v>200</v>
      </c>
      <c r="BH63" s="4" t="s">
        <v>265</v>
      </c>
      <c r="BI63" s="12" t="s">
        <v>265</v>
      </c>
      <c r="BJ63" s="51" t="s">
        <v>172</v>
      </c>
    </row>
    <row r="64" spans="1:62" ht="60.5" x14ac:dyDescent="0.35">
      <c r="A64">
        <v>186836</v>
      </c>
      <c r="B64" s="84">
        <f t="shared" si="0"/>
        <v>159.5</v>
      </c>
      <c r="C64" s="84">
        <f t="shared" si="1"/>
        <v>151.5</v>
      </c>
      <c r="E64" s="3">
        <v>112429</v>
      </c>
      <c r="F64" s="84">
        <v>450</v>
      </c>
      <c r="G64" s="86">
        <v>486</v>
      </c>
      <c r="H64" s="18">
        <v>400.5</v>
      </c>
      <c r="I64" s="18">
        <v>468</v>
      </c>
      <c r="J64" s="90">
        <v>103.5</v>
      </c>
      <c r="K64" s="90">
        <v>126</v>
      </c>
      <c r="L64" s="84">
        <v>108</v>
      </c>
      <c r="M64" s="86">
        <v>108</v>
      </c>
      <c r="N64" s="3">
        <v>198666</v>
      </c>
      <c r="O64">
        <f t="shared" si="2"/>
        <v>170</v>
      </c>
      <c r="P64">
        <f t="shared" si="3"/>
        <v>148.5</v>
      </c>
      <c r="Q64">
        <f t="shared" si="4"/>
        <v>62</v>
      </c>
      <c r="R64">
        <f t="shared" si="5"/>
        <v>35.5</v>
      </c>
      <c r="S64">
        <f t="shared" si="6"/>
        <v>145.5</v>
      </c>
      <c r="T64">
        <f t="shared" si="7"/>
        <v>127.5</v>
      </c>
      <c r="U64">
        <f t="shared" si="8"/>
        <v>52.5</v>
      </c>
      <c r="V64">
        <f t="shared" si="9"/>
        <v>48.5</v>
      </c>
      <c r="X64" s="5">
        <v>106223</v>
      </c>
      <c r="Y64">
        <f t="shared" si="10"/>
        <v>180</v>
      </c>
      <c r="Z64">
        <f t="shared" si="11"/>
        <v>165</v>
      </c>
      <c r="AA64">
        <f t="shared" si="12"/>
        <v>100</v>
      </c>
      <c r="AB64">
        <f t="shared" si="13"/>
        <v>95</v>
      </c>
      <c r="AC64">
        <f t="shared" si="14"/>
        <v>2030</v>
      </c>
      <c r="AD64">
        <f t="shared" si="15"/>
        <v>1585</v>
      </c>
      <c r="AE64">
        <f t="shared" si="16"/>
        <v>1270</v>
      </c>
      <c r="AF64">
        <f t="shared" si="17"/>
        <v>1240</v>
      </c>
      <c r="AG64" s="3">
        <v>198666</v>
      </c>
      <c r="AH64" s="31">
        <v>170</v>
      </c>
      <c r="AI64" s="31">
        <v>148.5</v>
      </c>
      <c r="AJ64" s="37">
        <v>21.5</v>
      </c>
      <c r="AK64" s="37">
        <v>14.478114478114479</v>
      </c>
      <c r="AL64" s="36">
        <v>62</v>
      </c>
      <c r="AM64" s="36">
        <v>35.5</v>
      </c>
      <c r="AN64" s="37">
        <v>26.5</v>
      </c>
      <c r="AO64" s="37">
        <v>74.647887323943664</v>
      </c>
      <c r="AP64" s="38">
        <v>1881</v>
      </c>
      <c r="AQ64" s="39">
        <v>1544</v>
      </c>
      <c r="AR64" s="37">
        <v>337</v>
      </c>
      <c r="AS64" s="37">
        <v>21.826424870466322</v>
      </c>
      <c r="AT64" s="36">
        <v>633</v>
      </c>
      <c r="AU64" s="36">
        <v>614</v>
      </c>
      <c r="AV64" s="37">
        <v>19</v>
      </c>
      <c r="AW64" s="37">
        <v>3.0944625407166124</v>
      </c>
      <c r="AX64" s="3">
        <v>112429</v>
      </c>
      <c r="AY64" t="str">
        <f t="shared" si="18"/>
        <v>AUTO CENTRE_NAVYUG_PREM</v>
      </c>
      <c r="AZ64" t="str">
        <f t="shared" si="19"/>
        <v>Greater Kailash I &amp;II</v>
      </c>
      <c r="BC64" s="3">
        <v>198666</v>
      </c>
      <c r="BD64" s="3" t="s">
        <v>72</v>
      </c>
      <c r="BE64" s="43" t="s">
        <v>266</v>
      </c>
      <c r="BF64" s="12" t="s">
        <v>267</v>
      </c>
      <c r="BG64" s="4" t="s">
        <v>200</v>
      </c>
      <c r="BH64" s="4" t="s">
        <v>268</v>
      </c>
      <c r="BI64" s="12" t="s">
        <v>268</v>
      </c>
      <c r="BJ64" s="51" t="s">
        <v>91</v>
      </c>
    </row>
    <row r="65" spans="1:62" ht="36.5" x14ac:dyDescent="0.35">
      <c r="A65">
        <v>41030958</v>
      </c>
      <c r="B65" s="84">
        <f t="shared" si="0"/>
        <v>98</v>
      </c>
      <c r="C65" s="84">
        <f t="shared" si="1"/>
        <v>128.5</v>
      </c>
      <c r="E65" s="3">
        <v>112430</v>
      </c>
      <c r="F65" s="84">
        <v>160</v>
      </c>
      <c r="G65" s="86">
        <v>185</v>
      </c>
      <c r="H65" s="18">
        <v>130</v>
      </c>
      <c r="I65" s="18">
        <v>160</v>
      </c>
      <c r="J65" s="90">
        <v>230</v>
      </c>
      <c r="K65" s="90">
        <v>240</v>
      </c>
      <c r="L65" s="84">
        <v>180</v>
      </c>
      <c r="M65" s="86">
        <v>255</v>
      </c>
      <c r="N65" s="3">
        <v>112401</v>
      </c>
      <c r="O65">
        <f t="shared" si="2"/>
        <v>133</v>
      </c>
      <c r="P65">
        <f t="shared" si="3"/>
        <v>147</v>
      </c>
      <c r="Q65">
        <f t="shared" si="4"/>
        <v>21</v>
      </c>
      <c r="R65">
        <f t="shared" si="5"/>
        <v>33</v>
      </c>
      <c r="S65">
        <f t="shared" si="6"/>
        <v>138</v>
      </c>
      <c r="T65">
        <f t="shared" si="7"/>
        <v>121</v>
      </c>
      <c r="U65">
        <f t="shared" si="8"/>
        <v>30</v>
      </c>
      <c r="V65">
        <f t="shared" si="9"/>
        <v>19</v>
      </c>
      <c r="X65" s="5">
        <v>106325</v>
      </c>
      <c r="Y65">
        <f t="shared" si="10"/>
        <v>115</v>
      </c>
      <c r="Z65">
        <f t="shared" si="11"/>
        <v>105</v>
      </c>
      <c r="AA65">
        <f t="shared" si="12"/>
        <v>445</v>
      </c>
      <c r="AB65">
        <f t="shared" si="13"/>
        <v>255</v>
      </c>
      <c r="AC65">
        <f t="shared" si="14"/>
        <v>1264</v>
      </c>
      <c r="AD65">
        <f t="shared" si="15"/>
        <v>971.5</v>
      </c>
      <c r="AE65">
        <f t="shared" si="16"/>
        <v>3528</v>
      </c>
      <c r="AF65">
        <f t="shared" si="17"/>
        <v>4626.5</v>
      </c>
      <c r="AG65" s="3">
        <v>112401</v>
      </c>
      <c r="AH65" s="31">
        <v>133</v>
      </c>
      <c r="AI65" s="31">
        <v>147</v>
      </c>
      <c r="AJ65" s="37">
        <v>-14</v>
      </c>
      <c r="AK65" s="37">
        <v>-9.5238095238095237</v>
      </c>
      <c r="AL65" s="36">
        <v>21</v>
      </c>
      <c r="AM65" s="36">
        <v>33</v>
      </c>
      <c r="AN65" s="37">
        <v>-12</v>
      </c>
      <c r="AO65" s="37">
        <v>-36.363636363636367</v>
      </c>
      <c r="AP65" s="38">
        <v>1621</v>
      </c>
      <c r="AQ65" s="39">
        <v>1316</v>
      </c>
      <c r="AR65" s="37">
        <v>305</v>
      </c>
      <c r="AS65" s="37">
        <v>23.176291793313069</v>
      </c>
      <c r="AT65" s="36">
        <v>297</v>
      </c>
      <c r="AU65" s="36">
        <v>394</v>
      </c>
      <c r="AV65" s="37">
        <v>-97</v>
      </c>
      <c r="AW65" s="37">
        <v>-24.61928934010152</v>
      </c>
      <c r="AX65" s="3">
        <v>112430</v>
      </c>
      <c r="AY65" t="str">
        <f t="shared" si="18"/>
        <v>N.C.T.C</v>
      </c>
      <c r="AZ65" t="str">
        <f t="shared" si="19"/>
        <v>Old GT Road (NH1)</v>
      </c>
      <c r="BC65" s="3">
        <v>112401</v>
      </c>
      <c r="BD65" s="3" t="s">
        <v>72</v>
      </c>
      <c r="BE65" s="41" t="s">
        <v>269</v>
      </c>
      <c r="BF65" s="12" t="s">
        <v>270</v>
      </c>
      <c r="BG65" s="4" t="s">
        <v>111</v>
      </c>
      <c r="BH65" s="4" t="s">
        <v>271</v>
      </c>
      <c r="BI65" s="12" t="s">
        <v>271</v>
      </c>
      <c r="BJ65" s="51" t="s">
        <v>113</v>
      </c>
    </row>
    <row r="66" spans="1:62" ht="24.5" x14ac:dyDescent="0.35">
      <c r="A66">
        <v>106239</v>
      </c>
      <c r="B66" s="84">
        <f t="shared" si="0"/>
        <v>395</v>
      </c>
      <c r="C66" s="84">
        <f t="shared" si="1"/>
        <v>460</v>
      </c>
      <c r="E66" s="3">
        <v>112431</v>
      </c>
      <c r="F66" s="84">
        <v>18</v>
      </c>
      <c r="G66" s="86">
        <v>45</v>
      </c>
      <c r="H66" s="18">
        <v>27</v>
      </c>
      <c r="I66" s="18">
        <v>18</v>
      </c>
      <c r="J66" s="90">
        <v>45</v>
      </c>
      <c r="K66" s="90">
        <v>18</v>
      </c>
      <c r="L66" s="84">
        <v>18</v>
      </c>
      <c r="M66" s="86">
        <v>45</v>
      </c>
      <c r="N66" s="3">
        <v>157172</v>
      </c>
      <c r="O66">
        <f t="shared" si="2"/>
        <v>115</v>
      </c>
      <c r="P66">
        <f t="shared" si="3"/>
        <v>108.5</v>
      </c>
      <c r="Q66">
        <f t="shared" si="4"/>
        <v>143</v>
      </c>
      <c r="R66">
        <f t="shared" si="5"/>
        <v>115.5</v>
      </c>
      <c r="S66">
        <f t="shared" si="6"/>
        <v>131</v>
      </c>
      <c r="T66">
        <f t="shared" si="7"/>
        <v>114</v>
      </c>
      <c r="U66">
        <f t="shared" si="8"/>
        <v>175</v>
      </c>
      <c r="V66">
        <f t="shared" si="9"/>
        <v>122</v>
      </c>
      <c r="X66" s="9">
        <v>41056998</v>
      </c>
      <c r="Y66">
        <f t="shared" si="10"/>
        <v>157.5</v>
      </c>
      <c r="Z66">
        <f t="shared" si="11"/>
        <v>172</v>
      </c>
      <c r="AA66">
        <f t="shared" si="12"/>
        <v>51.5</v>
      </c>
      <c r="AB66">
        <f t="shared" si="13"/>
        <v>49</v>
      </c>
      <c r="AC66">
        <f t="shared" si="14"/>
        <v>2070</v>
      </c>
      <c r="AD66">
        <f t="shared" si="15"/>
        <v>1734.5</v>
      </c>
      <c r="AE66">
        <f t="shared" si="16"/>
        <v>711</v>
      </c>
      <c r="AF66">
        <f t="shared" si="17"/>
        <v>909.5</v>
      </c>
      <c r="AG66" s="3">
        <v>157172</v>
      </c>
      <c r="AH66" s="31">
        <v>115</v>
      </c>
      <c r="AI66" s="31">
        <v>108.5</v>
      </c>
      <c r="AJ66" s="37">
        <v>6.5</v>
      </c>
      <c r="AK66" s="37">
        <v>5.9907834101382482</v>
      </c>
      <c r="AL66" s="36">
        <v>143</v>
      </c>
      <c r="AM66" s="36">
        <v>115.5</v>
      </c>
      <c r="AN66" s="37">
        <v>27.5</v>
      </c>
      <c r="AO66" s="37">
        <v>23.809523809523807</v>
      </c>
      <c r="AP66" s="38">
        <v>1498.5</v>
      </c>
      <c r="AQ66" s="39">
        <v>1202.5</v>
      </c>
      <c r="AR66" s="37">
        <v>296</v>
      </c>
      <c r="AS66" s="37">
        <v>24.615384615384617</v>
      </c>
      <c r="AT66" s="36">
        <v>1689.5</v>
      </c>
      <c r="AU66" s="36">
        <v>1325</v>
      </c>
      <c r="AV66" s="37">
        <v>364.5</v>
      </c>
      <c r="AW66" s="37">
        <v>27.509433962264151</v>
      </c>
      <c r="AX66" s="3">
        <v>112431</v>
      </c>
      <c r="AY66" t="str">
        <f t="shared" si="18"/>
        <v>GARG-VIJAY-NEW HARYANA</v>
      </c>
      <c r="AZ66" t="str">
        <f t="shared" si="19"/>
        <v>Rohtak Road</v>
      </c>
      <c r="BC66" s="3">
        <v>157172</v>
      </c>
      <c r="BD66" s="3" t="s">
        <v>72</v>
      </c>
      <c r="BE66" s="42" t="s">
        <v>272</v>
      </c>
      <c r="BF66" s="12" t="s">
        <v>273</v>
      </c>
      <c r="BG66" s="4" t="s">
        <v>111</v>
      </c>
      <c r="BH66" s="4" t="s">
        <v>274</v>
      </c>
      <c r="BI66" s="12" t="s">
        <v>274</v>
      </c>
      <c r="BJ66" s="51" t="s">
        <v>275</v>
      </c>
    </row>
    <row r="67" spans="1:62" ht="36.5" x14ac:dyDescent="0.35">
      <c r="A67">
        <v>149238</v>
      </c>
      <c r="B67" s="84">
        <f t="shared" ref="B67:B130" si="20">VLOOKUP(A67,E$2:G$399,2,FALSE)</f>
        <v>355.3</v>
      </c>
      <c r="C67" s="84">
        <f t="shared" ref="C67:C130" si="21">VLOOKUP(A67,E$2:G$399,3,FALSE)</f>
        <v>393.18</v>
      </c>
      <c r="E67" s="3">
        <v>112434</v>
      </c>
      <c r="F67" s="84">
        <v>310</v>
      </c>
      <c r="G67" s="86">
        <v>340</v>
      </c>
      <c r="H67" s="18">
        <v>283.5</v>
      </c>
      <c r="I67" s="18">
        <v>292.5</v>
      </c>
      <c r="J67" s="90">
        <v>130.5</v>
      </c>
      <c r="K67" s="90">
        <v>139.5</v>
      </c>
      <c r="L67" s="84">
        <v>110</v>
      </c>
      <c r="M67" s="86">
        <v>100</v>
      </c>
      <c r="N67" s="3">
        <v>152706</v>
      </c>
      <c r="O67">
        <f t="shared" ref="O67:O130" si="22">VLOOKUP(N67,E$2:M$399,3,FALSE)</f>
        <v>130</v>
      </c>
      <c r="P67">
        <f t="shared" ref="P67:P130" si="23">VLOOKUP(N67,E$2:M$399,5,FALSE)</f>
        <v>110</v>
      </c>
      <c r="Q67">
        <f t="shared" ref="Q67:Q130" si="24">VLOOKUP(N67,E$2:M$399,9,FALSE)</f>
        <v>190</v>
      </c>
      <c r="R67">
        <f t="shared" ref="R67:R130" si="25">VLOOKUP(N67,E$2:M$399,7,FALSE)</f>
        <v>150</v>
      </c>
      <c r="S67">
        <f t="shared" ref="S67:S130" si="26">VLOOKUP(N67,E$2:M$399,2,FALSE)</f>
        <v>120</v>
      </c>
      <c r="T67">
        <f t="shared" ref="T67:T130" si="27">VLOOKUP(N67,E$2:M$399,4,FALSE)</f>
        <v>95</v>
      </c>
      <c r="U67">
        <f t="shared" ref="U67:U130" si="28">VLOOKUP(N67,E$2:M$399,8,FALSE)</f>
        <v>120</v>
      </c>
      <c r="V67">
        <f t="shared" ref="V67:V130" si="29">VLOOKUP(N67,E$2:M$399,6,FALSE)</f>
        <v>145</v>
      </c>
      <c r="X67" s="3">
        <v>149412</v>
      </c>
      <c r="Y67">
        <f t="shared" ref="Y67:Y130" si="30">VLOOKUP(X67,AG$2:AI$398,2,FALSE)</f>
        <v>149</v>
      </c>
      <c r="Z67">
        <f t="shared" ref="Z67:Z130" si="31">VLOOKUP(X67,AG$2:AI$398,3,FALSE)</f>
        <v>168.5</v>
      </c>
      <c r="AA67">
        <f t="shared" ref="AA67:AA130" si="32">VLOOKUP(X67,AG$2:AM$398,6,FALSE)</f>
        <v>45</v>
      </c>
      <c r="AB67">
        <f t="shared" ref="AB67:AB130" si="33">VLOOKUP(X67,AG$2:AM$398,7,FALSE)</f>
        <v>47.5</v>
      </c>
      <c r="AC67">
        <f t="shared" ref="AC67:AC130" si="34">VLOOKUP(X67,AG$2:AU$398,10,FALSE)</f>
        <v>1724</v>
      </c>
      <c r="AD67">
        <f t="shared" ref="AD67:AD130" si="35">VLOOKUP(X67,AG$2:AU$398,11,FALSE)</f>
        <v>1828.0000069999999</v>
      </c>
      <c r="AE67">
        <f t="shared" ref="AE67:AE130" si="36">VLOOKUP(X67,AG$2:AU$398,14,FALSE)</f>
        <v>492</v>
      </c>
      <c r="AF67">
        <f t="shared" ref="AF67:AF130" si="37">VLOOKUP(X67,AG$2:AU$398,15,FALSE)</f>
        <v>712</v>
      </c>
      <c r="AG67" s="3">
        <v>152706</v>
      </c>
      <c r="AH67" s="31">
        <v>130</v>
      </c>
      <c r="AI67" s="31">
        <v>110</v>
      </c>
      <c r="AJ67" s="37">
        <v>20</v>
      </c>
      <c r="AK67" s="37">
        <v>18.181818181818183</v>
      </c>
      <c r="AL67" s="36">
        <v>190</v>
      </c>
      <c r="AM67" s="36">
        <v>150</v>
      </c>
      <c r="AN67" s="37">
        <v>40</v>
      </c>
      <c r="AO67" s="37">
        <v>26.666666666666668</v>
      </c>
      <c r="AP67" s="38">
        <v>1535</v>
      </c>
      <c r="AQ67" s="39">
        <v>1054.5</v>
      </c>
      <c r="AR67" s="37">
        <v>480.5</v>
      </c>
      <c r="AS67" s="37">
        <v>45.566619250829774</v>
      </c>
      <c r="AT67" s="36">
        <v>1565</v>
      </c>
      <c r="AU67" s="36">
        <v>1511.5</v>
      </c>
      <c r="AV67" s="37">
        <v>53.5</v>
      </c>
      <c r="AW67" s="37">
        <v>3.5395302679457492</v>
      </c>
      <c r="AX67" s="3">
        <v>112434</v>
      </c>
      <c r="AY67" t="str">
        <f t="shared" ref="AY67:AY130" si="38">VLOOKUP(AX67,BC$2:BJ$398,6,FALSE)</f>
        <v>AUTO REST_OKHLA</v>
      </c>
      <c r="AZ67" t="str">
        <f t="shared" ref="AZ67:AZ130" si="39">VLOOKUP(AX67,BC$2:BJ$398,8,FALSE)</f>
        <v>Mathura Road</v>
      </c>
      <c r="BC67" s="3">
        <v>152706</v>
      </c>
      <c r="BD67" s="3" t="s">
        <v>72</v>
      </c>
      <c r="BE67" s="40" t="s">
        <v>276</v>
      </c>
      <c r="BF67" s="12" t="s">
        <v>277</v>
      </c>
      <c r="BG67" s="4" t="s">
        <v>200</v>
      </c>
      <c r="BH67" s="4" t="s">
        <v>260</v>
      </c>
      <c r="BI67" s="12" t="s">
        <v>260</v>
      </c>
      <c r="BJ67" s="51" t="s">
        <v>261</v>
      </c>
    </row>
    <row r="68" spans="1:62" ht="36.5" x14ac:dyDescent="0.35">
      <c r="A68">
        <v>200922</v>
      </c>
      <c r="B68" s="84">
        <f t="shared" si="20"/>
        <v>271.88099999999997</v>
      </c>
      <c r="C68" s="84">
        <f t="shared" si="21"/>
        <v>304.09199999999998</v>
      </c>
      <c r="E68" s="3">
        <v>112435</v>
      </c>
      <c r="F68" s="84">
        <v>450.5</v>
      </c>
      <c r="G68" s="86">
        <v>471.5</v>
      </c>
      <c r="H68" s="18">
        <v>414</v>
      </c>
      <c r="I68" s="18">
        <v>443</v>
      </c>
      <c r="J68" s="90">
        <v>26</v>
      </c>
      <c r="K68" s="90">
        <v>27</v>
      </c>
      <c r="L68" s="84">
        <v>31.5</v>
      </c>
      <c r="M68" s="86">
        <v>26.5</v>
      </c>
      <c r="N68" s="3">
        <v>147087</v>
      </c>
      <c r="O68">
        <f t="shared" si="22"/>
        <v>156.5</v>
      </c>
      <c r="P68">
        <f t="shared" si="23"/>
        <v>126</v>
      </c>
      <c r="Q68">
        <f t="shared" si="24"/>
        <v>155.5</v>
      </c>
      <c r="R68">
        <f t="shared" si="25"/>
        <v>242</v>
      </c>
      <c r="S68">
        <f t="shared" si="26"/>
        <v>110</v>
      </c>
      <c r="T68">
        <f t="shared" si="27"/>
        <v>108</v>
      </c>
      <c r="U68">
        <f t="shared" si="28"/>
        <v>118</v>
      </c>
      <c r="V68">
        <f t="shared" si="29"/>
        <v>228</v>
      </c>
      <c r="X68" s="3">
        <v>144348</v>
      </c>
      <c r="Y68">
        <f t="shared" si="30"/>
        <v>330</v>
      </c>
      <c r="Z68">
        <f t="shared" si="31"/>
        <v>280</v>
      </c>
      <c r="AA68">
        <f t="shared" si="32"/>
        <v>70</v>
      </c>
      <c r="AB68">
        <f t="shared" si="33"/>
        <v>80</v>
      </c>
      <c r="AC68">
        <f t="shared" si="34"/>
        <v>3390</v>
      </c>
      <c r="AD68">
        <f t="shared" si="35"/>
        <v>3145</v>
      </c>
      <c r="AE68">
        <f t="shared" si="36"/>
        <v>710</v>
      </c>
      <c r="AF68">
        <f t="shared" si="37"/>
        <v>980</v>
      </c>
      <c r="AG68" s="3">
        <v>147087</v>
      </c>
      <c r="AH68" s="31">
        <v>156.5</v>
      </c>
      <c r="AI68" s="31">
        <v>126</v>
      </c>
      <c r="AJ68" s="37">
        <v>30.5</v>
      </c>
      <c r="AK68" s="37">
        <v>24.206349206349206</v>
      </c>
      <c r="AL68" s="36">
        <v>155.5</v>
      </c>
      <c r="AM68" s="36">
        <v>242</v>
      </c>
      <c r="AN68" s="37">
        <v>-86.5</v>
      </c>
      <c r="AO68" s="37">
        <v>-35.743801652892557</v>
      </c>
      <c r="AP68" s="38">
        <v>1558.5</v>
      </c>
      <c r="AQ68" s="39">
        <v>1231.5</v>
      </c>
      <c r="AR68" s="37">
        <v>327</v>
      </c>
      <c r="AS68" s="37">
        <v>26.552984165651644</v>
      </c>
      <c r="AT68" s="36">
        <v>1935.5</v>
      </c>
      <c r="AU68" s="36">
        <v>2504.5</v>
      </c>
      <c r="AV68" s="37">
        <v>-569</v>
      </c>
      <c r="AW68" s="37">
        <v>-22.719105609902176</v>
      </c>
      <c r="AX68" s="3">
        <v>112435</v>
      </c>
      <c r="AY68" t="str">
        <f t="shared" si="38"/>
        <v>PAMFS</v>
      </c>
      <c r="AZ68" t="str">
        <f t="shared" si="39"/>
        <v>Wazirabad-Loni</v>
      </c>
      <c r="BC68" s="3">
        <v>147087</v>
      </c>
      <c r="BD68" s="3" t="s">
        <v>72</v>
      </c>
      <c r="BE68" s="41" t="s">
        <v>278</v>
      </c>
      <c r="BF68" s="12" t="s">
        <v>279</v>
      </c>
      <c r="BG68" s="4" t="s">
        <v>81</v>
      </c>
      <c r="BH68" s="4" t="s">
        <v>140</v>
      </c>
      <c r="BI68" s="12" t="s">
        <v>140</v>
      </c>
      <c r="BJ68" s="51" t="s">
        <v>141</v>
      </c>
    </row>
    <row r="69" spans="1:62" ht="72.5" x14ac:dyDescent="0.35">
      <c r="A69">
        <v>156837</v>
      </c>
      <c r="B69" s="84">
        <f t="shared" si="20"/>
        <v>520.17899999999997</v>
      </c>
      <c r="C69" s="84">
        <f t="shared" si="21"/>
        <v>576.77300000000002</v>
      </c>
      <c r="E69" s="3">
        <v>142283</v>
      </c>
      <c r="F69" s="84">
        <v>167</v>
      </c>
      <c r="G69" s="86">
        <v>170</v>
      </c>
      <c r="H69" s="18">
        <v>190</v>
      </c>
      <c r="I69" s="18">
        <v>203</v>
      </c>
      <c r="J69" s="90">
        <v>224</v>
      </c>
      <c r="K69" s="90">
        <v>188</v>
      </c>
      <c r="L69" s="84">
        <v>155</v>
      </c>
      <c r="M69" s="86">
        <v>198</v>
      </c>
      <c r="N69" s="3">
        <v>142009</v>
      </c>
      <c r="O69">
        <f t="shared" si="22"/>
        <v>127.5</v>
      </c>
      <c r="P69">
        <f t="shared" si="23"/>
        <v>122</v>
      </c>
      <c r="Q69">
        <f t="shared" si="24"/>
        <v>78.5</v>
      </c>
      <c r="R69">
        <f t="shared" si="25"/>
        <v>66</v>
      </c>
      <c r="S69">
        <f t="shared" si="26"/>
        <v>112.5</v>
      </c>
      <c r="T69">
        <f t="shared" si="27"/>
        <v>111</v>
      </c>
      <c r="U69">
        <f t="shared" si="28"/>
        <v>67.5</v>
      </c>
      <c r="V69">
        <f t="shared" si="29"/>
        <v>55</v>
      </c>
      <c r="X69" s="9">
        <v>41019292</v>
      </c>
      <c r="Y69">
        <f t="shared" si="30"/>
        <v>601.5</v>
      </c>
      <c r="Z69">
        <f t="shared" si="31"/>
        <v>533</v>
      </c>
      <c r="AA69">
        <f t="shared" si="32"/>
        <v>118.5</v>
      </c>
      <c r="AB69">
        <f t="shared" si="33"/>
        <v>108</v>
      </c>
      <c r="AC69">
        <f t="shared" si="34"/>
        <v>6906</v>
      </c>
      <c r="AD69">
        <f t="shared" si="35"/>
        <v>5049.5</v>
      </c>
      <c r="AE69">
        <f t="shared" si="36"/>
        <v>1453</v>
      </c>
      <c r="AF69">
        <f t="shared" si="37"/>
        <v>1326.5</v>
      </c>
      <c r="AG69" s="3">
        <v>142009</v>
      </c>
      <c r="AH69" s="31">
        <v>127.5</v>
      </c>
      <c r="AI69" s="31">
        <v>122</v>
      </c>
      <c r="AJ69" s="37">
        <v>5.5</v>
      </c>
      <c r="AK69" s="37">
        <v>4.5081967213114753</v>
      </c>
      <c r="AL69" s="36">
        <v>78.5</v>
      </c>
      <c r="AM69" s="36">
        <v>66</v>
      </c>
      <c r="AN69" s="37">
        <v>12.5</v>
      </c>
      <c r="AO69" s="37">
        <v>18.939393939393938</v>
      </c>
      <c r="AP69" s="38">
        <v>1444</v>
      </c>
      <c r="AQ69" s="39">
        <v>1260.5</v>
      </c>
      <c r="AR69" s="37">
        <v>183.5</v>
      </c>
      <c r="AS69" s="37">
        <v>14.557715192383974</v>
      </c>
      <c r="AT69" s="36">
        <v>686</v>
      </c>
      <c r="AU69" s="36">
        <v>813</v>
      </c>
      <c r="AV69" s="37">
        <v>-127</v>
      </c>
      <c r="AW69" s="37">
        <v>-15.621156211562115</v>
      </c>
      <c r="AX69" s="3">
        <v>142283</v>
      </c>
      <c r="AY69" t="str">
        <f t="shared" si="38"/>
        <v>PAUL_AJANTA_JAIGANESH</v>
      </c>
      <c r="AZ69" t="str">
        <f t="shared" si="39"/>
        <v>New GT Road (NH44)</v>
      </c>
      <c r="BC69" s="3">
        <v>142009</v>
      </c>
      <c r="BD69" s="3" t="s">
        <v>72</v>
      </c>
      <c r="BE69" s="40" t="s">
        <v>280</v>
      </c>
      <c r="BF69" s="12" t="s">
        <v>281</v>
      </c>
      <c r="BG69" s="4" t="s">
        <v>200</v>
      </c>
      <c r="BH69" s="4" t="s">
        <v>244</v>
      </c>
      <c r="BI69" s="12" t="s">
        <v>244</v>
      </c>
      <c r="BJ69" s="51" t="s">
        <v>172</v>
      </c>
    </row>
    <row r="70" spans="1:62" ht="60.5" x14ac:dyDescent="0.35">
      <c r="A70">
        <v>123784</v>
      </c>
      <c r="B70" s="84">
        <f t="shared" si="20"/>
        <v>396.01</v>
      </c>
      <c r="C70" s="84">
        <f t="shared" si="21"/>
        <v>428.33300000000003</v>
      </c>
      <c r="E70" s="3">
        <v>112436</v>
      </c>
      <c r="F70" s="84">
        <v>554</v>
      </c>
      <c r="G70" s="86">
        <v>569</v>
      </c>
      <c r="H70" s="18">
        <v>536</v>
      </c>
      <c r="I70" s="18">
        <v>592.5</v>
      </c>
      <c r="J70" s="90">
        <v>198</v>
      </c>
      <c r="K70" s="90">
        <v>211.5</v>
      </c>
      <c r="L70" s="84">
        <v>248</v>
      </c>
      <c r="M70" s="86">
        <v>291</v>
      </c>
      <c r="N70" s="3">
        <v>112455</v>
      </c>
      <c r="O70">
        <f t="shared" si="22"/>
        <v>103</v>
      </c>
      <c r="P70">
        <f t="shared" si="23"/>
        <v>96</v>
      </c>
      <c r="Q70">
        <f t="shared" si="24"/>
        <v>9</v>
      </c>
      <c r="R70">
        <f t="shared" si="25"/>
        <v>16</v>
      </c>
      <c r="S70">
        <f t="shared" si="26"/>
        <v>84</v>
      </c>
      <c r="T70">
        <f t="shared" si="27"/>
        <v>85</v>
      </c>
      <c r="U70">
        <f t="shared" si="28"/>
        <v>14</v>
      </c>
      <c r="V70">
        <f t="shared" si="29"/>
        <v>13</v>
      </c>
      <c r="X70" s="5">
        <v>186862</v>
      </c>
      <c r="Y70">
        <f t="shared" si="30"/>
        <v>415</v>
      </c>
      <c r="Z70">
        <f t="shared" si="31"/>
        <v>400.5</v>
      </c>
      <c r="AA70">
        <f t="shared" si="32"/>
        <v>105</v>
      </c>
      <c r="AB70">
        <f t="shared" si="33"/>
        <v>83.5</v>
      </c>
      <c r="AC70">
        <f t="shared" si="34"/>
        <v>5103</v>
      </c>
      <c r="AD70">
        <f t="shared" si="35"/>
        <v>4056.5</v>
      </c>
      <c r="AE70">
        <f t="shared" si="36"/>
        <v>1225</v>
      </c>
      <c r="AF70">
        <f t="shared" si="37"/>
        <v>1388</v>
      </c>
      <c r="AG70" s="3">
        <v>112455</v>
      </c>
      <c r="AH70" s="31">
        <v>103</v>
      </c>
      <c r="AI70" s="31">
        <v>96</v>
      </c>
      <c r="AJ70" s="37">
        <v>7</v>
      </c>
      <c r="AK70" s="37">
        <v>7.291666666666667</v>
      </c>
      <c r="AL70" s="36">
        <v>9</v>
      </c>
      <c r="AM70" s="36">
        <v>16</v>
      </c>
      <c r="AN70" s="37">
        <v>-7</v>
      </c>
      <c r="AO70" s="37">
        <v>-43.75</v>
      </c>
      <c r="AP70" s="38">
        <v>1201</v>
      </c>
      <c r="AQ70" s="39">
        <v>989</v>
      </c>
      <c r="AR70" s="37">
        <v>212</v>
      </c>
      <c r="AS70" s="37">
        <v>21.435793731041457</v>
      </c>
      <c r="AT70" s="36">
        <v>185</v>
      </c>
      <c r="AU70" s="36">
        <v>209</v>
      </c>
      <c r="AV70" s="37">
        <v>-24</v>
      </c>
      <c r="AW70" s="37">
        <v>-11.483253588516746</v>
      </c>
      <c r="AX70" s="3">
        <v>112436</v>
      </c>
      <c r="AY70" t="str">
        <f t="shared" si="38"/>
        <v>AUTO CENTRE_NAVYUG_PREM</v>
      </c>
      <c r="AZ70" t="str">
        <f t="shared" si="39"/>
        <v>Greater Kailash I &amp;II</v>
      </c>
      <c r="BC70" s="3">
        <v>112455</v>
      </c>
      <c r="BD70" s="3" t="s">
        <v>72</v>
      </c>
      <c r="BE70" s="43" t="s">
        <v>282</v>
      </c>
      <c r="BF70" s="12" t="s">
        <v>283</v>
      </c>
      <c r="BG70" s="4" t="s">
        <v>103</v>
      </c>
      <c r="BH70" s="4" t="s">
        <v>208</v>
      </c>
      <c r="BI70" s="12" t="s">
        <v>208</v>
      </c>
      <c r="BJ70" s="51" t="s">
        <v>105</v>
      </c>
    </row>
    <row r="71" spans="1:62" ht="60.5" x14ac:dyDescent="0.35">
      <c r="A71">
        <v>112397</v>
      </c>
      <c r="B71" s="84">
        <f t="shared" si="20"/>
        <v>650</v>
      </c>
      <c r="C71" s="84">
        <f t="shared" si="21"/>
        <v>760</v>
      </c>
      <c r="E71" s="3">
        <v>112437</v>
      </c>
      <c r="F71" s="84">
        <v>565</v>
      </c>
      <c r="G71" s="86">
        <v>665</v>
      </c>
      <c r="H71" s="18">
        <v>523</v>
      </c>
      <c r="I71" s="18">
        <v>600</v>
      </c>
      <c r="J71" s="90">
        <v>235</v>
      </c>
      <c r="K71" s="90">
        <v>260</v>
      </c>
      <c r="L71" s="84">
        <v>215</v>
      </c>
      <c r="M71" s="86">
        <v>215</v>
      </c>
      <c r="N71" s="3">
        <v>112412</v>
      </c>
      <c r="O71">
        <f t="shared" si="22"/>
        <v>96</v>
      </c>
      <c r="P71">
        <f t="shared" si="23"/>
        <v>86</v>
      </c>
      <c r="Q71">
        <f t="shared" si="24"/>
        <v>24</v>
      </c>
      <c r="R71">
        <f t="shared" si="25"/>
        <v>20</v>
      </c>
      <c r="S71">
        <f t="shared" si="26"/>
        <v>92</v>
      </c>
      <c r="T71">
        <f t="shared" si="27"/>
        <v>76</v>
      </c>
      <c r="U71">
        <f t="shared" si="28"/>
        <v>16</v>
      </c>
      <c r="V71">
        <f t="shared" si="29"/>
        <v>20</v>
      </c>
      <c r="X71" s="3">
        <v>112450</v>
      </c>
      <c r="Y71">
        <f t="shared" si="30"/>
        <v>515</v>
      </c>
      <c r="Z71">
        <f t="shared" si="31"/>
        <v>500</v>
      </c>
      <c r="AA71">
        <f t="shared" si="32"/>
        <v>65</v>
      </c>
      <c r="AB71">
        <f t="shared" si="33"/>
        <v>92</v>
      </c>
      <c r="AC71">
        <f t="shared" si="34"/>
        <v>6251</v>
      </c>
      <c r="AD71">
        <f t="shared" si="35"/>
        <v>5008</v>
      </c>
      <c r="AE71">
        <f t="shared" si="36"/>
        <v>1065</v>
      </c>
      <c r="AF71">
        <f t="shared" si="37"/>
        <v>1087</v>
      </c>
      <c r="AG71" s="3">
        <v>112412</v>
      </c>
      <c r="AH71" s="31">
        <v>96</v>
      </c>
      <c r="AI71" s="31">
        <v>86</v>
      </c>
      <c r="AJ71" s="37">
        <v>10</v>
      </c>
      <c r="AK71" s="37">
        <v>11.627906976744185</v>
      </c>
      <c r="AL71" s="36">
        <v>24</v>
      </c>
      <c r="AM71" s="36">
        <v>20</v>
      </c>
      <c r="AN71" s="37">
        <v>4</v>
      </c>
      <c r="AO71" s="37">
        <v>20</v>
      </c>
      <c r="AP71" s="38">
        <v>1168</v>
      </c>
      <c r="AQ71" s="39">
        <v>857</v>
      </c>
      <c r="AR71" s="37">
        <v>311</v>
      </c>
      <c r="AS71" s="37">
        <v>36.289381563593928</v>
      </c>
      <c r="AT71" s="36">
        <v>256</v>
      </c>
      <c r="AU71" s="36">
        <v>265</v>
      </c>
      <c r="AV71" s="37">
        <v>-9</v>
      </c>
      <c r="AW71" s="37">
        <v>-3.3962264150943398</v>
      </c>
      <c r="AX71" s="3">
        <v>112437</v>
      </c>
      <c r="AY71" t="str">
        <f t="shared" si="38"/>
        <v>PUSHPANJALI</v>
      </c>
      <c r="AZ71" t="str">
        <f t="shared" si="39"/>
        <v>Hauj Khas-Saket-Vasant Kunj</v>
      </c>
      <c r="BC71" s="3">
        <v>112412</v>
      </c>
      <c r="BD71" s="3" t="s">
        <v>72</v>
      </c>
      <c r="BE71" s="41" t="s">
        <v>284</v>
      </c>
      <c r="BF71" s="12" t="s">
        <v>285</v>
      </c>
      <c r="BG71" s="4" t="s">
        <v>103</v>
      </c>
      <c r="BH71" s="4" t="s">
        <v>208</v>
      </c>
      <c r="BI71" s="12" t="s">
        <v>208</v>
      </c>
      <c r="BJ71" s="51" t="s">
        <v>105</v>
      </c>
    </row>
    <row r="72" spans="1:62" ht="36.5" x14ac:dyDescent="0.35">
      <c r="A72">
        <v>106241</v>
      </c>
      <c r="B72" s="84">
        <f t="shared" si="20"/>
        <v>270.5</v>
      </c>
      <c r="C72" s="84">
        <f t="shared" si="21"/>
        <v>293.5</v>
      </c>
      <c r="E72" s="3">
        <v>112438</v>
      </c>
      <c r="F72" s="84">
        <v>274</v>
      </c>
      <c r="G72" s="86">
        <v>299</v>
      </c>
      <c r="H72" s="18">
        <v>292.5</v>
      </c>
      <c r="I72" s="18">
        <v>324</v>
      </c>
      <c r="J72" s="90">
        <v>54.5</v>
      </c>
      <c r="K72" s="90">
        <v>72</v>
      </c>
      <c r="L72" s="84">
        <v>50</v>
      </c>
      <c r="M72" s="86">
        <v>53.5</v>
      </c>
      <c r="N72" s="3">
        <v>163708</v>
      </c>
      <c r="O72">
        <f t="shared" si="22"/>
        <v>570</v>
      </c>
      <c r="P72">
        <f t="shared" si="23"/>
        <v>504</v>
      </c>
      <c r="Q72">
        <f t="shared" si="24"/>
        <v>90</v>
      </c>
      <c r="R72">
        <f t="shared" si="25"/>
        <v>108</v>
      </c>
      <c r="S72">
        <f t="shared" si="26"/>
        <v>525</v>
      </c>
      <c r="T72">
        <f t="shared" si="27"/>
        <v>436.5</v>
      </c>
      <c r="U72">
        <f t="shared" si="28"/>
        <v>75</v>
      </c>
      <c r="V72">
        <f t="shared" si="29"/>
        <v>103.5</v>
      </c>
      <c r="X72" s="9">
        <v>41056840</v>
      </c>
      <c r="Y72">
        <f t="shared" si="30"/>
        <v>410</v>
      </c>
      <c r="Z72">
        <f t="shared" si="31"/>
        <v>398</v>
      </c>
      <c r="AA72">
        <f t="shared" si="32"/>
        <v>165</v>
      </c>
      <c r="AB72">
        <f t="shared" si="33"/>
        <v>201</v>
      </c>
      <c r="AC72">
        <f t="shared" si="34"/>
        <v>4956</v>
      </c>
      <c r="AD72">
        <f t="shared" si="35"/>
        <v>4069</v>
      </c>
      <c r="AE72">
        <f t="shared" si="36"/>
        <v>1853</v>
      </c>
      <c r="AF72">
        <f t="shared" si="37"/>
        <v>2336</v>
      </c>
      <c r="AG72" s="3">
        <v>163708</v>
      </c>
      <c r="AH72" s="31">
        <v>570</v>
      </c>
      <c r="AI72" s="31">
        <v>504</v>
      </c>
      <c r="AJ72" s="37">
        <v>66</v>
      </c>
      <c r="AK72" s="37">
        <v>13.095238095238097</v>
      </c>
      <c r="AL72" s="36">
        <v>90</v>
      </c>
      <c r="AM72" s="36">
        <v>108</v>
      </c>
      <c r="AN72" s="37">
        <v>-18</v>
      </c>
      <c r="AO72" s="37">
        <v>-16.666666666666664</v>
      </c>
      <c r="AP72" s="38">
        <v>6406</v>
      </c>
      <c r="AQ72" s="39">
        <v>4569.500016</v>
      </c>
      <c r="AR72" s="37">
        <v>1836.499984</v>
      </c>
      <c r="AS72" s="37">
        <v>40.190392331098309</v>
      </c>
      <c r="AT72" s="36">
        <v>1030</v>
      </c>
      <c r="AU72" s="36">
        <v>1114</v>
      </c>
      <c r="AV72" s="37">
        <v>-84</v>
      </c>
      <c r="AW72" s="37">
        <v>-7.5403949730700175</v>
      </c>
      <c r="AX72" s="3">
        <v>112438</v>
      </c>
      <c r="AY72" t="str">
        <f t="shared" si="38"/>
        <v>RN MOTORS</v>
      </c>
      <c r="AZ72" t="str">
        <f t="shared" si="39"/>
        <v>Outer Ring Road</v>
      </c>
      <c r="BC72" s="3">
        <v>163708</v>
      </c>
      <c r="BD72" s="3" t="s">
        <v>72</v>
      </c>
      <c r="BE72" s="43" t="s">
        <v>286</v>
      </c>
      <c r="BF72" s="12" t="s">
        <v>287</v>
      </c>
      <c r="BG72" s="4" t="s">
        <v>187</v>
      </c>
      <c r="BH72" s="4" t="s">
        <v>216</v>
      </c>
      <c r="BI72" s="12" t="s">
        <v>216</v>
      </c>
      <c r="BJ72" s="51" t="s">
        <v>217</v>
      </c>
    </row>
    <row r="73" spans="1:62" ht="60.5" x14ac:dyDescent="0.35">
      <c r="A73">
        <v>106242</v>
      </c>
      <c r="B73" s="84">
        <f t="shared" si="20"/>
        <v>472.5</v>
      </c>
      <c r="C73" s="84">
        <f t="shared" si="21"/>
        <v>531</v>
      </c>
      <c r="E73" s="3">
        <v>112439</v>
      </c>
      <c r="F73" s="84">
        <v>269</v>
      </c>
      <c r="G73" s="86">
        <v>293</v>
      </c>
      <c r="H73" s="18">
        <v>266.5</v>
      </c>
      <c r="I73" s="18">
        <v>293</v>
      </c>
      <c r="J73" s="90">
        <v>231.5</v>
      </c>
      <c r="K73" s="90">
        <v>253</v>
      </c>
      <c r="L73" s="84">
        <v>269</v>
      </c>
      <c r="M73" s="86">
        <v>279</v>
      </c>
      <c r="N73" s="3">
        <v>112395</v>
      </c>
      <c r="O73">
        <f t="shared" si="22"/>
        <v>69</v>
      </c>
      <c r="P73">
        <f t="shared" si="23"/>
        <v>70</v>
      </c>
      <c r="Q73">
        <f t="shared" si="24"/>
        <v>29</v>
      </c>
      <c r="R73">
        <f t="shared" si="25"/>
        <v>26</v>
      </c>
      <c r="S73">
        <f t="shared" si="26"/>
        <v>72</v>
      </c>
      <c r="T73">
        <f t="shared" si="27"/>
        <v>66</v>
      </c>
      <c r="U73">
        <f t="shared" si="28"/>
        <v>26</v>
      </c>
      <c r="V73">
        <f t="shared" si="29"/>
        <v>26</v>
      </c>
      <c r="X73" s="5">
        <v>186849</v>
      </c>
      <c r="Y73">
        <f t="shared" si="30"/>
        <v>170</v>
      </c>
      <c r="Z73">
        <f t="shared" si="31"/>
        <v>148</v>
      </c>
      <c r="AA73">
        <f t="shared" si="32"/>
        <v>16</v>
      </c>
      <c r="AB73">
        <f t="shared" si="33"/>
        <v>8</v>
      </c>
      <c r="AC73">
        <f t="shared" si="34"/>
        <v>2046</v>
      </c>
      <c r="AD73">
        <f t="shared" si="35"/>
        <v>1496</v>
      </c>
      <c r="AE73">
        <f t="shared" si="36"/>
        <v>152</v>
      </c>
      <c r="AF73">
        <f t="shared" si="37"/>
        <v>132</v>
      </c>
      <c r="AG73" s="3">
        <v>112395</v>
      </c>
      <c r="AH73" s="31">
        <v>69</v>
      </c>
      <c r="AI73" s="31">
        <v>70</v>
      </c>
      <c r="AJ73" s="37">
        <v>-1</v>
      </c>
      <c r="AK73" s="37">
        <v>-1.4285714285714286</v>
      </c>
      <c r="AL73" s="36">
        <v>29</v>
      </c>
      <c r="AM73" s="36">
        <v>26</v>
      </c>
      <c r="AN73" s="37">
        <v>3</v>
      </c>
      <c r="AO73" s="37">
        <v>11.538461538461538</v>
      </c>
      <c r="AP73" s="38">
        <v>881</v>
      </c>
      <c r="AQ73" s="39">
        <v>757.5</v>
      </c>
      <c r="AR73" s="37">
        <v>123.5</v>
      </c>
      <c r="AS73" s="37">
        <v>16.303630363036305</v>
      </c>
      <c r="AT73" s="36">
        <v>303</v>
      </c>
      <c r="AU73" s="36">
        <v>330.5</v>
      </c>
      <c r="AV73" s="37">
        <v>-27.5</v>
      </c>
      <c r="AW73" s="37">
        <v>-8.3207261724659602</v>
      </c>
      <c r="AX73" s="3">
        <v>112439</v>
      </c>
      <c r="AY73" t="str">
        <f t="shared" si="38"/>
        <v>RAJINDER-RS BHOLA</v>
      </c>
      <c r="AZ73" t="str">
        <f t="shared" si="39"/>
        <v>Old Delhi</v>
      </c>
      <c r="BC73" s="3">
        <v>112395</v>
      </c>
      <c r="BD73" s="3" t="s">
        <v>72</v>
      </c>
      <c r="BE73" s="41" t="s">
        <v>288</v>
      </c>
      <c r="BF73" s="12" t="s">
        <v>289</v>
      </c>
      <c r="BG73" s="4" t="s">
        <v>103</v>
      </c>
      <c r="BH73" s="4" t="s">
        <v>208</v>
      </c>
      <c r="BI73" s="12" t="s">
        <v>208</v>
      </c>
      <c r="BJ73" s="51" t="s">
        <v>105</v>
      </c>
    </row>
    <row r="74" spans="1:62" ht="36.5" x14ac:dyDescent="0.35">
      <c r="A74">
        <v>102084</v>
      </c>
      <c r="B74" s="84">
        <f t="shared" si="20"/>
        <v>204</v>
      </c>
      <c r="C74" s="84">
        <f t="shared" si="21"/>
        <v>210</v>
      </c>
      <c r="E74" s="3">
        <v>112440</v>
      </c>
      <c r="F74" s="84">
        <v>214</v>
      </c>
      <c r="G74" s="86">
        <v>181</v>
      </c>
      <c r="H74" s="18">
        <v>173</v>
      </c>
      <c r="I74" s="18">
        <v>220</v>
      </c>
      <c r="J74" s="90">
        <v>23</v>
      </c>
      <c r="K74" s="90">
        <v>26</v>
      </c>
      <c r="L74" s="84">
        <v>38</v>
      </c>
      <c r="M74" s="86">
        <v>19</v>
      </c>
      <c r="N74" s="3">
        <v>168009</v>
      </c>
      <c r="O74">
        <f t="shared" si="22"/>
        <v>67</v>
      </c>
      <c r="P74">
        <f t="shared" si="23"/>
        <v>74</v>
      </c>
      <c r="Q74">
        <f t="shared" si="24"/>
        <v>29</v>
      </c>
      <c r="R74">
        <f t="shared" si="25"/>
        <v>42</v>
      </c>
      <c r="S74">
        <f t="shared" si="26"/>
        <v>62</v>
      </c>
      <c r="T74">
        <f t="shared" si="27"/>
        <v>64.5</v>
      </c>
      <c r="U74">
        <f t="shared" si="28"/>
        <v>42</v>
      </c>
      <c r="V74">
        <f t="shared" si="29"/>
        <v>39.5</v>
      </c>
      <c r="X74" s="5">
        <v>102075</v>
      </c>
      <c r="Y74">
        <f t="shared" si="30"/>
        <v>270</v>
      </c>
      <c r="Z74">
        <f t="shared" si="31"/>
        <v>293</v>
      </c>
      <c r="AA74">
        <f t="shared" si="32"/>
        <v>70</v>
      </c>
      <c r="AB74">
        <f t="shared" si="33"/>
        <v>79</v>
      </c>
      <c r="AC74">
        <f t="shared" si="34"/>
        <v>3484</v>
      </c>
      <c r="AD74">
        <f t="shared" si="35"/>
        <v>3015.5</v>
      </c>
      <c r="AE74">
        <f t="shared" si="36"/>
        <v>894</v>
      </c>
      <c r="AF74">
        <f t="shared" si="37"/>
        <v>1930</v>
      </c>
      <c r="AG74" s="3">
        <v>168009</v>
      </c>
      <c r="AH74" s="31">
        <v>67</v>
      </c>
      <c r="AI74" s="31">
        <v>74</v>
      </c>
      <c r="AJ74" s="37">
        <v>-7</v>
      </c>
      <c r="AK74" s="37">
        <v>-9.4594594594594597</v>
      </c>
      <c r="AL74" s="36">
        <v>29</v>
      </c>
      <c r="AM74" s="36">
        <v>42</v>
      </c>
      <c r="AN74" s="37">
        <v>-13</v>
      </c>
      <c r="AO74" s="37">
        <v>-30.952380952380953</v>
      </c>
      <c r="AP74" s="38">
        <v>824</v>
      </c>
      <c r="AQ74" s="39">
        <v>678.5</v>
      </c>
      <c r="AR74" s="37">
        <v>145.5</v>
      </c>
      <c r="AS74" s="37">
        <v>21.444362564480471</v>
      </c>
      <c r="AT74" s="36">
        <v>388</v>
      </c>
      <c r="AU74" s="36">
        <v>391</v>
      </c>
      <c r="AV74" s="37">
        <v>-3</v>
      </c>
      <c r="AW74" s="37">
        <v>-0.76726342710997442</v>
      </c>
      <c r="AX74" s="3">
        <v>112440</v>
      </c>
      <c r="AY74" t="str">
        <f t="shared" si="38"/>
        <v>KRISHNA-RAIZADA</v>
      </c>
      <c r="AZ74" t="str">
        <f t="shared" si="39"/>
        <v>Old Delhi</v>
      </c>
      <c r="BC74" s="3">
        <v>168009</v>
      </c>
      <c r="BD74" s="3" t="s">
        <v>72</v>
      </c>
      <c r="BE74" s="42" t="s">
        <v>290</v>
      </c>
      <c r="BF74" s="12" t="s">
        <v>291</v>
      </c>
      <c r="BG74" s="4" t="s">
        <v>200</v>
      </c>
      <c r="BH74" s="4" t="s">
        <v>268</v>
      </c>
      <c r="BI74" s="12" t="s">
        <v>268</v>
      </c>
      <c r="BJ74" s="51" t="s">
        <v>91</v>
      </c>
    </row>
    <row r="75" spans="1:62" ht="48.5" x14ac:dyDescent="0.35">
      <c r="A75">
        <v>107630</v>
      </c>
      <c r="B75" s="84">
        <f t="shared" si="20"/>
        <v>173</v>
      </c>
      <c r="C75" s="84">
        <f t="shared" si="21"/>
        <v>214.5</v>
      </c>
      <c r="E75" s="3">
        <v>112441</v>
      </c>
      <c r="F75" s="84">
        <v>625.5</v>
      </c>
      <c r="G75" s="86">
        <v>706.5</v>
      </c>
      <c r="H75" s="18">
        <v>630</v>
      </c>
      <c r="I75" s="18">
        <v>666</v>
      </c>
      <c r="J75" s="90">
        <v>342</v>
      </c>
      <c r="K75" s="90">
        <v>324</v>
      </c>
      <c r="L75" s="84">
        <v>292.5</v>
      </c>
      <c r="M75" s="86">
        <v>301.5</v>
      </c>
      <c r="N75" s="3">
        <v>181987</v>
      </c>
      <c r="O75">
        <f t="shared" si="22"/>
        <v>60</v>
      </c>
      <c r="P75">
        <f t="shared" si="23"/>
        <v>76</v>
      </c>
      <c r="Q75">
        <f t="shared" si="24"/>
        <v>204</v>
      </c>
      <c r="R75">
        <f t="shared" si="25"/>
        <v>140</v>
      </c>
      <c r="S75">
        <f t="shared" si="26"/>
        <v>56</v>
      </c>
      <c r="T75">
        <f t="shared" si="27"/>
        <v>60</v>
      </c>
      <c r="U75">
        <f t="shared" si="28"/>
        <v>148</v>
      </c>
      <c r="V75">
        <f t="shared" si="29"/>
        <v>156</v>
      </c>
      <c r="X75" s="5">
        <v>102120</v>
      </c>
      <c r="Y75">
        <f t="shared" si="30"/>
        <v>405</v>
      </c>
      <c r="Z75">
        <f t="shared" si="31"/>
        <v>319.5</v>
      </c>
      <c r="AA75">
        <f t="shared" si="32"/>
        <v>59</v>
      </c>
      <c r="AB75">
        <f t="shared" si="33"/>
        <v>58.5</v>
      </c>
      <c r="AC75">
        <f t="shared" si="34"/>
        <v>4259</v>
      </c>
      <c r="AD75">
        <f t="shared" si="35"/>
        <v>3199.5</v>
      </c>
      <c r="AE75">
        <f t="shared" si="36"/>
        <v>685</v>
      </c>
      <c r="AF75">
        <f t="shared" si="37"/>
        <v>855</v>
      </c>
      <c r="AG75" s="3">
        <v>181987</v>
      </c>
      <c r="AH75" s="31">
        <v>60</v>
      </c>
      <c r="AI75" s="31">
        <v>76</v>
      </c>
      <c r="AJ75" s="37">
        <v>-16</v>
      </c>
      <c r="AK75" s="37">
        <v>-21.052631578947366</v>
      </c>
      <c r="AL75" s="36">
        <v>204</v>
      </c>
      <c r="AM75" s="36">
        <v>140</v>
      </c>
      <c r="AN75" s="37">
        <v>64</v>
      </c>
      <c r="AO75" s="37">
        <v>45.714285714285715</v>
      </c>
      <c r="AP75" s="38">
        <v>734.5</v>
      </c>
      <c r="AQ75" s="39">
        <v>717.5</v>
      </c>
      <c r="AR75" s="37">
        <v>17</v>
      </c>
      <c r="AS75" s="37">
        <v>2.3693379790940767</v>
      </c>
      <c r="AT75" s="36">
        <v>2369.5</v>
      </c>
      <c r="AU75" s="36">
        <v>1924.5</v>
      </c>
      <c r="AV75" s="37">
        <v>445</v>
      </c>
      <c r="AW75" s="37">
        <v>23.12288906209405</v>
      </c>
      <c r="AX75" s="3">
        <v>112441</v>
      </c>
      <c r="AY75" t="str">
        <f t="shared" si="38"/>
        <v>MATTA</v>
      </c>
      <c r="AZ75" t="str">
        <f t="shared" si="39"/>
        <v>Mayur Vihar -Anand Vihar -Preet Vihar</v>
      </c>
      <c r="BC75" s="3">
        <v>181987</v>
      </c>
      <c r="BD75" s="3" t="s">
        <v>72</v>
      </c>
      <c r="BE75" s="45" t="s">
        <v>292</v>
      </c>
      <c r="BF75" s="12" t="s">
        <v>293</v>
      </c>
      <c r="BG75" s="4" t="s">
        <v>200</v>
      </c>
      <c r="BH75" s="4" t="s">
        <v>294</v>
      </c>
      <c r="BI75" s="12" t="s">
        <v>294</v>
      </c>
      <c r="BJ75" s="51" t="s">
        <v>91</v>
      </c>
    </row>
    <row r="76" spans="1:62" ht="48.5" x14ac:dyDescent="0.35">
      <c r="A76">
        <v>186846</v>
      </c>
      <c r="B76" s="84">
        <f t="shared" si="20"/>
        <v>265</v>
      </c>
      <c r="C76" s="84">
        <f t="shared" si="21"/>
        <v>304</v>
      </c>
      <c r="E76" s="3">
        <v>112442</v>
      </c>
      <c r="F76" s="84">
        <v>244</v>
      </c>
      <c r="G76" s="86">
        <v>234.5</v>
      </c>
      <c r="H76" s="18">
        <v>232.5</v>
      </c>
      <c r="I76" s="18">
        <v>252</v>
      </c>
      <c r="J76" s="90">
        <v>813.5</v>
      </c>
      <c r="K76" s="90">
        <v>874</v>
      </c>
      <c r="L76" s="84">
        <v>654</v>
      </c>
      <c r="M76" s="86">
        <v>1003.5</v>
      </c>
      <c r="N76" s="3">
        <v>112466</v>
      </c>
      <c r="O76">
        <f t="shared" si="22"/>
        <v>59</v>
      </c>
      <c r="P76">
        <f t="shared" si="23"/>
        <v>16</v>
      </c>
      <c r="Q76">
        <f t="shared" si="24"/>
        <v>21</v>
      </c>
      <c r="R76">
        <f t="shared" si="25"/>
        <v>8</v>
      </c>
      <c r="S76">
        <f t="shared" si="26"/>
        <v>49.5</v>
      </c>
      <c r="T76">
        <f t="shared" si="27"/>
        <v>37.5</v>
      </c>
      <c r="U76">
        <f t="shared" si="28"/>
        <v>16.5</v>
      </c>
      <c r="V76">
        <f t="shared" si="29"/>
        <v>16.5</v>
      </c>
      <c r="X76" s="3">
        <v>112451</v>
      </c>
      <c r="Y76">
        <f t="shared" si="30"/>
        <v>853</v>
      </c>
      <c r="Z76">
        <f t="shared" si="31"/>
        <v>928</v>
      </c>
      <c r="AA76">
        <f t="shared" si="32"/>
        <v>87</v>
      </c>
      <c r="AB76">
        <f t="shared" si="33"/>
        <v>126</v>
      </c>
      <c r="AC76">
        <f t="shared" si="34"/>
        <v>11478</v>
      </c>
      <c r="AD76">
        <f t="shared" si="35"/>
        <v>9618.0000280000004</v>
      </c>
      <c r="AE76">
        <f t="shared" si="36"/>
        <v>1324</v>
      </c>
      <c r="AF76">
        <f t="shared" si="37"/>
        <v>1564.5</v>
      </c>
      <c r="AG76" s="3">
        <v>112466</v>
      </c>
      <c r="AH76" s="31">
        <v>59</v>
      </c>
      <c r="AI76" s="31">
        <v>16</v>
      </c>
      <c r="AJ76" s="37">
        <v>43</v>
      </c>
      <c r="AK76" s="37">
        <v>268.75</v>
      </c>
      <c r="AL76" s="36">
        <v>21</v>
      </c>
      <c r="AM76" s="36">
        <v>8</v>
      </c>
      <c r="AN76" s="37">
        <v>13</v>
      </c>
      <c r="AO76" s="37">
        <v>162.5</v>
      </c>
      <c r="AP76" s="38">
        <v>432</v>
      </c>
      <c r="AQ76" s="39">
        <v>360</v>
      </c>
      <c r="AR76" s="37">
        <v>72</v>
      </c>
      <c r="AS76" s="37">
        <v>20</v>
      </c>
      <c r="AT76" s="36">
        <v>152</v>
      </c>
      <c r="AU76" s="36">
        <v>174.5</v>
      </c>
      <c r="AV76" s="37">
        <v>-22.5</v>
      </c>
      <c r="AW76" s="37">
        <v>-12.893982808022923</v>
      </c>
      <c r="AX76" s="3">
        <v>112442</v>
      </c>
      <c r="AY76" t="str">
        <f t="shared" si="38"/>
        <v>RAJINDER-RS BHOLA</v>
      </c>
      <c r="AZ76" t="str">
        <f t="shared" si="39"/>
        <v>Old Delhi</v>
      </c>
      <c r="BC76" s="3">
        <v>112466</v>
      </c>
      <c r="BD76" s="3" t="s">
        <v>72</v>
      </c>
      <c r="BE76" s="43" t="s">
        <v>295</v>
      </c>
      <c r="BF76" s="12" t="s">
        <v>296</v>
      </c>
      <c r="BG76" s="4" t="s">
        <v>103</v>
      </c>
      <c r="BH76" s="4" t="s">
        <v>297</v>
      </c>
      <c r="BI76" s="12" t="s">
        <v>297</v>
      </c>
      <c r="BJ76" s="51" t="s">
        <v>105</v>
      </c>
    </row>
    <row r="77" spans="1:62" ht="48.5" x14ac:dyDescent="0.35">
      <c r="A77">
        <v>112398</v>
      </c>
      <c r="B77" s="84">
        <f t="shared" si="20"/>
        <v>198</v>
      </c>
      <c r="C77" s="84">
        <f t="shared" si="21"/>
        <v>208.5</v>
      </c>
      <c r="E77" s="3">
        <v>112443</v>
      </c>
      <c r="F77" s="84">
        <v>320</v>
      </c>
      <c r="G77" s="86">
        <v>328</v>
      </c>
      <c r="H77" s="18">
        <v>295</v>
      </c>
      <c r="I77" s="18">
        <v>322</v>
      </c>
      <c r="J77" s="90">
        <v>97</v>
      </c>
      <c r="K77" s="90">
        <v>126</v>
      </c>
      <c r="L77" s="84">
        <v>100</v>
      </c>
      <c r="M77" s="86">
        <v>134</v>
      </c>
      <c r="N77" s="3">
        <v>112426</v>
      </c>
      <c r="O77">
        <f t="shared" si="22"/>
        <v>9</v>
      </c>
      <c r="P77">
        <f t="shared" si="23"/>
        <v>9</v>
      </c>
      <c r="Q77">
        <f t="shared" si="24"/>
        <v>9</v>
      </c>
      <c r="R77">
        <f t="shared" si="25"/>
        <v>23</v>
      </c>
      <c r="S77">
        <f t="shared" si="26"/>
        <v>12.5</v>
      </c>
      <c r="T77">
        <f t="shared" si="27"/>
        <v>17</v>
      </c>
      <c r="U77">
        <f t="shared" si="28"/>
        <v>17.5</v>
      </c>
      <c r="V77">
        <f t="shared" si="29"/>
        <v>13</v>
      </c>
      <c r="X77" s="9">
        <v>41057003</v>
      </c>
      <c r="Y77">
        <f t="shared" si="30"/>
        <v>430</v>
      </c>
      <c r="Z77">
        <f t="shared" si="31"/>
        <v>385</v>
      </c>
      <c r="AA77">
        <f t="shared" si="32"/>
        <v>171</v>
      </c>
      <c r="AB77">
        <f t="shared" si="33"/>
        <v>140</v>
      </c>
      <c r="AC77">
        <f t="shared" si="34"/>
        <v>5056</v>
      </c>
      <c r="AD77">
        <f t="shared" si="35"/>
        <v>3910</v>
      </c>
      <c r="AE77">
        <f t="shared" si="36"/>
        <v>1752</v>
      </c>
      <c r="AF77">
        <f t="shared" si="37"/>
        <v>1759</v>
      </c>
      <c r="AG77" s="3">
        <v>112426</v>
      </c>
      <c r="AH77" s="31">
        <v>9</v>
      </c>
      <c r="AI77" s="31">
        <v>9</v>
      </c>
      <c r="AJ77" s="37">
        <v>0</v>
      </c>
      <c r="AK77" s="37">
        <v>0</v>
      </c>
      <c r="AL77" s="36">
        <v>9</v>
      </c>
      <c r="AM77" s="36">
        <v>23</v>
      </c>
      <c r="AN77" s="37">
        <v>-14</v>
      </c>
      <c r="AO77" s="37">
        <v>-60.869565217391312</v>
      </c>
      <c r="AP77" s="38">
        <v>153</v>
      </c>
      <c r="AQ77" s="39">
        <v>145.5</v>
      </c>
      <c r="AR77" s="37">
        <v>7.5</v>
      </c>
      <c r="AS77" s="37">
        <v>5.1546391752577314</v>
      </c>
      <c r="AT77" s="36">
        <v>173</v>
      </c>
      <c r="AU77" s="36">
        <v>172.5</v>
      </c>
      <c r="AV77" s="37">
        <v>0.5</v>
      </c>
      <c r="AW77" s="37">
        <v>0.28985507246376813</v>
      </c>
      <c r="AX77" s="3">
        <v>112443</v>
      </c>
      <c r="AY77" t="str">
        <f t="shared" si="38"/>
        <v>RAM</v>
      </c>
      <c r="AZ77" t="str">
        <f t="shared" si="39"/>
        <v>Lutyens</v>
      </c>
      <c r="BC77" s="3">
        <v>112426</v>
      </c>
      <c r="BD77" s="3" t="s">
        <v>72</v>
      </c>
      <c r="BE77" s="40" t="s">
        <v>298</v>
      </c>
      <c r="BF77" s="12" t="s">
        <v>299</v>
      </c>
      <c r="BG77" s="4" t="s">
        <v>200</v>
      </c>
      <c r="BH77" s="4" t="s">
        <v>300</v>
      </c>
      <c r="BI77" s="12" t="s">
        <v>300</v>
      </c>
      <c r="BJ77" s="51" t="s">
        <v>261</v>
      </c>
    </row>
    <row r="78" spans="1:62" ht="36.5" x14ac:dyDescent="0.35">
      <c r="A78">
        <v>41056530</v>
      </c>
      <c r="B78" s="84">
        <f t="shared" si="20"/>
        <v>80.5</v>
      </c>
      <c r="C78" s="84">
        <f t="shared" si="21"/>
        <v>86.5</v>
      </c>
      <c r="E78" s="3">
        <v>112444</v>
      </c>
      <c r="F78" s="84">
        <v>375</v>
      </c>
      <c r="G78" s="86">
        <v>389</v>
      </c>
      <c r="H78" s="18">
        <v>342</v>
      </c>
      <c r="I78" s="18">
        <v>377</v>
      </c>
      <c r="J78" s="90">
        <v>36</v>
      </c>
      <c r="K78" s="90">
        <v>31</v>
      </c>
      <c r="L78" s="84">
        <v>45</v>
      </c>
      <c r="M78" s="86">
        <v>35</v>
      </c>
      <c r="N78" s="3">
        <v>112448</v>
      </c>
      <c r="O78">
        <f t="shared" si="22"/>
        <v>271</v>
      </c>
      <c r="P78">
        <f t="shared" si="23"/>
        <v>242</v>
      </c>
      <c r="Q78">
        <f t="shared" si="24"/>
        <v>65</v>
      </c>
      <c r="R78">
        <f t="shared" si="25"/>
        <v>68</v>
      </c>
      <c r="S78">
        <f t="shared" si="26"/>
        <v>262</v>
      </c>
      <c r="T78">
        <f t="shared" si="27"/>
        <v>211.5</v>
      </c>
      <c r="U78">
        <f t="shared" si="28"/>
        <v>46</v>
      </c>
      <c r="V78">
        <f t="shared" si="29"/>
        <v>49.5</v>
      </c>
      <c r="X78" s="3">
        <v>163741</v>
      </c>
      <c r="Y78">
        <f t="shared" si="30"/>
        <v>460</v>
      </c>
      <c r="Z78">
        <f t="shared" si="31"/>
        <v>400</v>
      </c>
      <c r="AA78">
        <f t="shared" si="32"/>
        <v>80</v>
      </c>
      <c r="AB78">
        <f t="shared" si="33"/>
        <v>80</v>
      </c>
      <c r="AC78">
        <f t="shared" si="34"/>
        <v>5216</v>
      </c>
      <c r="AD78">
        <f t="shared" si="35"/>
        <v>3984</v>
      </c>
      <c r="AE78">
        <f t="shared" si="36"/>
        <v>976</v>
      </c>
      <c r="AF78">
        <f t="shared" si="37"/>
        <v>1084</v>
      </c>
      <c r="AG78" s="3">
        <v>112448</v>
      </c>
      <c r="AH78" s="31">
        <v>271</v>
      </c>
      <c r="AI78" s="31">
        <v>242</v>
      </c>
      <c r="AJ78" s="37">
        <v>29</v>
      </c>
      <c r="AK78" s="37">
        <v>11.983471074380166</v>
      </c>
      <c r="AL78" s="36">
        <v>65</v>
      </c>
      <c r="AM78" s="36">
        <v>68</v>
      </c>
      <c r="AN78" s="37">
        <v>-3</v>
      </c>
      <c r="AO78" s="37">
        <v>-4.4117647058823533</v>
      </c>
      <c r="AP78" s="38">
        <v>3123.5</v>
      </c>
      <c r="AQ78" s="39">
        <v>2454.5000150000001</v>
      </c>
      <c r="AR78" s="37">
        <v>668.99998499999992</v>
      </c>
      <c r="AS78" s="37">
        <v>27.256059519722591</v>
      </c>
      <c r="AT78" s="36">
        <v>822.5</v>
      </c>
      <c r="AU78" s="36">
        <v>581</v>
      </c>
      <c r="AV78" s="37">
        <v>241.5</v>
      </c>
      <c r="AW78" s="37">
        <v>41.566265060240966</v>
      </c>
      <c r="AX78" s="3">
        <v>112444</v>
      </c>
      <c r="AY78" t="str">
        <f t="shared" si="38"/>
        <v>RAVI FS</v>
      </c>
      <c r="AZ78" t="str">
        <f t="shared" si="39"/>
        <v>Hauj Khas-Saket-Vasant Kunj</v>
      </c>
      <c r="BC78" s="3">
        <v>112448</v>
      </c>
      <c r="BD78" s="3" t="s">
        <v>72</v>
      </c>
      <c r="BE78" s="43" t="s">
        <v>301</v>
      </c>
      <c r="BF78" s="12" t="s">
        <v>302</v>
      </c>
      <c r="BG78" s="4" t="s">
        <v>85</v>
      </c>
      <c r="BH78" s="4" t="s">
        <v>303</v>
      </c>
      <c r="BI78" s="12" t="s">
        <v>303</v>
      </c>
      <c r="BJ78" s="51" t="s">
        <v>304</v>
      </c>
    </row>
    <row r="79" spans="1:62" ht="36.5" x14ac:dyDescent="0.35">
      <c r="A79">
        <v>106243</v>
      </c>
      <c r="B79" s="84">
        <f t="shared" si="20"/>
        <v>430</v>
      </c>
      <c r="C79" s="84">
        <f t="shared" si="21"/>
        <v>498</v>
      </c>
      <c r="E79" s="3">
        <v>112445</v>
      </c>
      <c r="F79" s="84">
        <v>0</v>
      </c>
      <c r="G79" s="86">
        <v>0</v>
      </c>
      <c r="H79" s="18">
        <v>405</v>
      </c>
      <c r="I79" s="18">
        <v>432</v>
      </c>
      <c r="J79" s="90">
        <v>171</v>
      </c>
      <c r="K79" s="90">
        <v>180</v>
      </c>
      <c r="L79" s="84">
        <v>0</v>
      </c>
      <c r="M79" s="86">
        <v>0</v>
      </c>
      <c r="N79" s="3">
        <v>148413</v>
      </c>
      <c r="O79">
        <f t="shared" si="22"/>
        <v>380</v>
      </c>
      <c r="P79">
        <f t="shared" si="23"/>
        <v>350</v>
      </c>
      <c r="Q79">
        <f t="shared" si="24"/>
        <v>40</v>
      </c>
      <c r="R79">
        <f t="shared" si="25"/>
        <v>50</v>
      </c>
      <c r="S79">
        <f t="shared" si="26"/>
        <v>350</v>
      </c>
      <c r="T79">
        <f t="shared" si="27"/>
        <v>315</v>
      </c>
      <c r="U79">
        <f t="shared" si="28"/>
        <v>50</v>
      </c>
      <c r="V79">
        <f t="shared" si="29"/>
        <v>45</v>
      </c>
      <c r="X79" s="3">
        <v>112439</v>
      </c>
      <c r="Y79">
        <f t="shared" si="30"/>
        <v>293</v>
      </c>
      <c r="Z79">
        <f t="shared" si="31"/>
        <v>293</v>
      </c>
      <c r="AA79">
        <f t="shared" si="32"/>
        <v>279</v>
      </c>
      <c r="AB79">
        <f t="shared" si="33"/>
        <v>253</v>
      </c>
      <c r="AC79">
        <f t="shared" si="34"/>
        <v>3692</v>
      </c>
      <c r="AD79">
        <f t="shared" si="35"/>
        <v>3142.000008</v>
      </c>
      <c r="AE79">
        <f t="shared" si="36"/>
        <v>3052</v>
      </c>
      <c r="AF79">
        <f t="shared" si="37"/>
        <v>2928.5</v>
      </c>
      <c r="AG79" s="3">
        <v>148413</v>
      </c>
      <c r="AH79" s="31">
        <v>380</v>
      </c>
      <c r="AI79" s="31">
        <v>350</v>
      </c>
      <c r="AJ79" s="37">
        <v>30</v>
      </c>
      <c r="AK79" s="37">
        <v>8.5714285714285712</v>
      </c>
      <c r="AL79" s="36">
        <v>40</v>
      </c>
      <c r="AM79" s="36">
        <v>50</v>
      </c>
      <c r="AN79" s="37">
        <v>-10</v>
      </c>
      <c r="AO79" s="37">
        <v>-20</v>
      </c>
      <c r="AP79" s="38">
        <v>4545</v>
      </c>
      <c r="AQ79" s="39">
        <v>3651</v>
      </c>
      <c r="AR79" s="37">
        <v>894</v>
      </c>
      <c r="AS79" s="37">
        <v>24.486442070665571</v>
      </c>
      <c r="AT79" s="36">
        <v>555</v>
      </c>
      <c r="AU79" s="36">
        <v>640</v>
      </c>
      <c r="AV79" s="37">
        <v>-85</v>
      </c>
      <c r="AW79" s="37">
        <v>-13.28125</v>
      </c>
      <c r="AX79" s="3">
        <v>112445</v>
      </c>
      <c r="AY79" t="str">
        <f t="shared" si="38"/>
        <v>RING ROAD</v>
      </c>
      <c r="AZ79" t="str">
        <f t="shared" si="39"/>
        <v>Inner Ring Road</v>
      </c>
      <c r="BC79" s="3">
        <v>148413</v>
      </c>
      <c r="BD79" s="3" t="s">
        <v>72</v>
      </c>
      <c r="BE79" s="41" t="s">
        <v>305</v>
      </c>
      <c r="BF79" s="12" t="s">
        <v>306</v>
      </c>
      <c r="BG79" s="4" t="s">
        <v>89</v>
      </c>
      <c r="BH79" s="4" t="s">
        <v>307</v>
      </c>
      <c r="BI79" s="12" t="s">
        <v>307</v>
      </c>
      <c r="BJ79" s="51" t="s">
        <v>205</v>
      </c>
    </row>
    <row r="80" spans="1:62" ht="48.5" x14ac:dyDescent="0.35">
      <c r="A80">
        <v>41056401</v>
      </c>
      <c r="B80" s="84">
        <f t="shared" si="20"/>
        <v>327.5</v>
      </c>
      <c r="C80" s="84">
        <f t="shared" si="21"/>
        <v>342</v>
      </c>
      <c r="E80" s="3">
        <v>112446</v>
      </c>
      <c r="F80" s="84">
        <v>218</v>
      </c>
      <c r="G80" s="86">
        <v>252</v>
      </c>
      <c r="H80" s="18">
        <v>220</v>
      </c>
      <c r="I80" s="18">
        <v>248</v>
      </c>
      <c r="J80" s="90">
        <v>32</v>
      </c>
      <c r="K80" s="90">
        <v>40</v>
      </c>
      <c r="L80" s="84">
        <v>24</v>
      </c>
      <c r="M80" s="86">
        <v>28</v>
      </c>
      <c r="N80" s="3">
        <v>112415</v>
      </c>
      <c r="O80">
        <f t="shared" si="22"/>
        <v>201</v>
      </c>
      <c r="P80">
        <f t="shared" si="23"/>
        <v>208.5</v>
      </c>
      <c r="Q80">
        <f t="shared" si="24"/>
        <v>37</v>
      </c>
      <c r="R80">
        <f t="shared" si="25"/>
        <v>43.5</v>
      </c>
      <c r="S80">
        <f t="shared" si="26"/>
        <v>186</v>
      </c>
      <c r="T80">
        <f t="shared" si="27"/>
        <v>164</v>
      </c>
      <c r="U80">
        <f t="shared" si="28"/>
        <v>28</v>
      </c>
      <c r="V80">
        <f t="shared" si="29"/>
        <v>42</v>
      </c>
      <c r="X80" s="3">
        <v>112408</v>
      </c>
      <c r="Y80">
        <f t="shared" si="30"/>
        <v>324.5</v>
      </c>
      <c r="Z80">
        <f t="shared" si="31"/>
        <v>239</v>
      </c>
      <c r="AA80">
        <f t="shared" si="32"/>
        <v>85.5</v>
      </c>
      <c r="AB80">
        <f t="shared" si="33"/>
        <v>63</v>
      </c>
      <c r="AC80">
        <f t="shared" si="34"/>
        <v>3216.5</v>
      </c>
      <c r="AD80">
        <f t="shared" si="35"/>
        <v>2389.5000099999997</v>
      </c>
      <c r="AE80">
        <f t="shared" si="36"/>
        <v>823.5</v>
      </c>
      <c r="AF80">
        <f t="shared" si="37"/>
        <v>827.5</v>
      </c>
      <c r="AG80" s="3">
        <v>112415</v>
      </c>
      <c r="AH80" s="31">
        <v>201</v>
      </c>
      <c r="AI80" s="31">
        <v>208.5</v>
      </c>
      <c r="AJ80" s="37">
        <v>-7.5</v>
      </c>
      <c r="AK80" s="37">
        <v>-3.5971223021582732</v>
      </c>
      <c r="AL80" s="36">
        <v>37</v>
      </c>
      <c r="AM80" s="36">
        <v>43.5</v>
      </c>
      <c r="AN80" s="37">
        <v>-6.5</v>
      </c>
      <c r="AO80" s="37">
        <v>-14.942528735632186</v>
      </c>
      <c r="AP80" s="38">
        <v>2490.5</v>
      </c>
      <c r="AQ80" s="39">
        <v>1954</v>
      </c>
      <c r="AR80" s="37">
        <v>536.5</v>
      </c>
      <c r="AS80" s="37">
        <v>27.456499488229273</v>
      </c>
      <c r="AT80" s="36">
        <v>429.5</v>
      </c>
      <c r="AU80" s="36">
        <v>487.5</v>
      </c>
      <c r="AV80" s="37">
        <v>-58</v>
      </c>
      <c r="AW80" s="37">
        <v>-11.897435897435898</v>
      </c>
      <c r="AX80" s="3">
        <v>112446</v>
      </c>
      <c r="AY80" t="str">
        <f t="shared" si="38"/>
        <v>ROHINI_SANJEEV</v>
      </c>
      <c r="AZ80" t="str">
        <f t="shared" si="39"/>
        <v>Rohini</v>
      </c>
      <c r="BC80" s="3">
        <v>112415</v>
      </c>
      <c r="BD80" s="3" t="s">
        <v>72</v>
      </c>
      <c r="BE80" s="41" t="s">
        <v>308</v>
      </c>
      <c r="BF80" s="12" t="s">
        <v>309</v>
      </c>
      <c r="BG80" s="4" t="s">
        <v>89</v>
      </c>
      <c r="BH80" s="4" t="s">
        <v>310</v>
      </c>
      <c r="BI80" s="12" t="s">
        <v>310</v>
      </c>
      <c r="BJ80" s="51" t="s">
        <v>205</v>
      </c>
    </row>
    <row r="81" spans="1:62" ht="48.5" x14ac:dyDescent="0.35">
      <c r="A81">
        <v>41056327</v>
      </c>
      <c r="B81" s="84">
        <f t="shared" si="20"/>
        <v>440</v>
      </c>
      <c r="C81" s="84">
        <f t="shared" si="21"/>
        <v>512</v>
      </c>
      <c r="E81" s="3">
        <v>127090</v>
      </c>
      <c r="F81" s="84">
        <v>445</v>
      </c>
      <c r="G81" s="86">
        <v>520</v>
      </c>
      <c r="H81" s="18">
        <v>410</v>
      </c>
      <c r="I81" s="18">
        <v>455</v>
      </c>
      <c r="J81" s="90">
        <v>85</v>
      </c>
      <c r="K81" s="90">
        <v>85</v>
      </c>
      <c r="L81" s="84">
        <v>75</v>
      </c>
      <c r="M81" s="86">
        <v>80</v>
      </c>
      <c r="N81" s="3">
        <v>131712</v>
      </c>
      <c r="O81">
        <f t="shared" si="22"/>
        <v>140.5</v>
      </c>
      <c r="P81">
        <f t="shared" si="23"/>
        <v>140</v>
      </c>
      <c r="Q81">
        <f t="shared" si="24"/>
        <v>107.5</v>
      </c>
      <c r="R81">
        <f t="shared" si="25"/>
        <v>108</v>
      </c>
      <c r="S81">
        <f t="shared" si="26"/>
        <v>108</v>
      </c>
      <c r="T81">
        <f t="shared" si="27"/>
        <v>125.5</v>
      </c>
      <c r="U81">
        <f t="shared" si="28"/>
        <v>118</v>
      </c>
      <c r="V81">
        <f t="shared" si="29"/>
        <v>116.5</v>
      </c>
      <c r="X81" s="9">
        <v>41028903</v>
      </c>
      <c r="Y81">
        <f t="shared" si="30"/>
        <v>502</v>
      </c>
      <c r="Z81">
        <f t="shared" si="31"/>
        <v>525</v>
      </c>
      <c r="AA81">
        <f t="shared" si="32"/>
        <v>136</v>
      </c>
      <c r="AB81">
        <f t="shared" si="33"/>
        <v>188</v>
      </c>
      <c r="AC81">
        <f t="shared" si="34"/>
        <v>6529</v>
      </c>
      <c r="AD81">
        <f t="shared" si="35"/>
        <v>5005</v>
      </c>
      <c r="AE81">
        <f t="shared" si="36"/>
        <v>1900</v>
      </c>
      <c r="AF81">
        <f t="shared" si="37"/>
        <v>2106</v>
      </c>
      <c r="AG81" s="3">
        <v>131712</v>
      </c>
      <c r="AH81" s="31">
        <v>140.5</v>
      </c>
      <c r="AI81" s="31">
        <v>140</v>
      </c>
      <c r="AJ81" s="37">
        <v>0.5</v>
      </c>
      <c r="AK81" s="37">
        <v>0.35714285714285715</v>
      </c>
      <c r="AL81" s="36">
        <v>107.5</v>
      </c>
      <c r="AM81" s="36">
        <v>108</v>
      </c>
      <c r="AN81" s="37">
        <v>-0.5</v>
      </c>
      <c r="AO81" s="37">
        <v>-0.46296296296296291</v>
      </c>
      <c r="AP81" s="38">
        <v>1612</v>
      </c>
      <c r="AQ81" s="39">
        <v>1377</v>
      </c>
      <c r="AR81" s="37">
        <v>235</v>
      </c>
      <c r="AS81" s="37">
        <v>17.066085693536674</v>
      </c>
      <c r="AT81" s="36">
        <v>1274</v>
      </c>
      <c r="AU81" s="36">
        <v>1319.5</v>
      </c>
      <c r="AV81" s="37">
        <v>-45.5</v>
      </c>
      <c r="AW81" s="37">
        <v>-3.4482758620689653</v>
      </c>
      <c r="AX81" s="3">
        <v>127090</v>
      </c>
      <c r="AY81" t="str">
        <f t="shared" si="38"/>
        <v>SAHAS FS</v>
      </c>
      <c r="AZ81" t="str">
        <f t="shared" si="39"/>
        <v>Punjabi Bagh</v>
      </c>
      <c r="BC81" s="3">
        <v>131712</v>
      </c>
      <c r="BD81" s="3" t="s">
        <v>72</v>
      </c>
      <c r="BE81" s="43" t="s">
        <v>311</v>
      </c>
      <c r="BF81" s="12" t="s">
        <v>312</v>
      </c>
      <c r="BG81" s="4" t="s">
        <v>85</v>
      </c>
      <c r="BH81" s="4" t="s">
        <v>192</v>
      </c>
      <c r="BI81" s="12" t="s">
        <v>192</v>
      </c>
      <c r="BJ81" s="51" t="s">
        <v>178</v>
      </c>
    </row>
    <row r="82" spans="1:62" ht="48.5" x14ac:dyDescent="0.35">
      <c r="A82">
        <v>41057003</v>
      </c>
      <c r="B82" s="84">
        <f t="shared" si="20"/>
        <v>375</v>
      </c>
      <c r="C82" s="84">
        <f t="shared" si="21"/>
        <v>430</v>
      </c>
      <c r="E82" s="3">
        <v>163708</v>
      </c>
      <c r="F82" s="84">
        <v>525</v>
      </c>
      <c r="G82" s="86">
        <v>570</v>
      </c>
      <c r="H82" s="18">
        <v>436.5</v>
      </c>
      <c r="I82" s="18">
        <v>504</v>
      </c>
      <c r="J82" s="90">
        <v>103.5</v>
      </c>
      <c r="K82" s="90">
        <v>108</v>
      </c>
      <c r="L82" s="84">
        <v>75</v>
      </c>
      <c r="M82" s="86">
        <v>90</v>
      </c>
      <c r="N82" s="3">
        <v>112418</v>
      </c>
      <c r="O82">
        <f t="shared" si="22"/>
        <v>312.5</v>
      </c>
      <c r="P82">
        <f t="shared" si="23"/>
        <v>286.5</v>
      </c>
      <c r="Q82">
        <f t="shared" si="24"/>
        <v>153.5</v>
      </c>
      <c r="R82">
        <f t="shared" si="25"/>
        <v>257.5</v>
      </c>
      <c r="S82">
        <f t="shared" si="26"/>
        <v>294.5</v>
      </c>
      <c r="T82">
        <f t="shared" si="27"/>
        <v>237</v>
      </c>
      <c r="U82">
        <f t="shared" si="28"/>
        <v>223.5</v>
      </c>
      <c r="V82">
        <f t="shared" si="29"/>
        <v>217</v>
      </c>
      <c r="X82" s="5">
        <v>331623</v>
      </c>
      <c r="Y82">
        <f t="shared" si="30"/>
        <v>243.83500000000001</v>
      </c>
      <c r="Z82">
        <f t="shared" si="31"/>
        <v>168.89399999999989</v>
      </c>
      <c r="AA82">
        <f t="shared" si="32"/>
        <v>90.965000000000003</v>
      </c>
      <c r="AB82">
        <f t="shared" si="33"/>
        <v>60.136999999999908</v>
      </c>
      <c r="AC82">
        <f t="shared" si="34"/>
        <v>2684.5140000000001</v>
      </c>
      <c r="AD82">
        <f t="shared" si="35"/>
        <v>1726.3219999999999</v>
      </c>
      <c r="AE82">
        <f t="shared" si="36"/>
        <v>925.47899999999947</v>
      </c>
      <c r="AF82">
        <f t="shared" si="37"/>
        <v>740.45699999999988</v>
      </c>
      <c r="AG82" s="3">
        <v>112418</v>
      </c>
      <c r="AH82" s="31">
        <v>312.5</v>
      </c>
      <c r="AI82" s="31">
        <v>286.5</v>
      </c>
      <c r="AJ82" s="37">
        <v>26</v>
      </c>
      <c r="AK82" s="37">
        <v>9.0750436300174506</v>
      </c>
      <c r="AL82" s="36">
        <v>153.5</v>
      </c>
      <c r="AM82" s="36">
        <v>257.5</v>
      </c>
      <c r="AN82" s="37">
        <v>-104</v>
      </c>
      <c r="AO82" s="37">
        <v>-40.388349514563103</v>
      </c>
      <c r="AP82" s="38">
        <v>3600</v>
      </c>
      <c r="AQ82" s="39">
        <v>2724.5000110000001</v>
      </c>
      <c r="AR82" s="37">
        <v>875.49998899999991</v>
      </c>
      <c r="AS82" s="37">
        <v>32.134336042034242</v>
      </c>
      <c r="AT82" s="36">
        <v>2456</v>
      </c>
      <c r="AU82" s="36">
        <v>2568</v>
      </c>
      <c r="AV82" s="37">
        <v>-112</v>
      </c>
      <c r="AW82" s="37">
        <v>-4.361370716510903</v>
      </c>
      <c r="AX82" s="3">
        <v>163708</v>
      </c>
      <c r="AY82" t="str">
        <f t="shared" si="38"/>
        <v>SAI</v>
      </c>
      <c r="AZ82" t="str">
        <f t="shared" si="39"/>
        <v>Burari</v>
      </c>
      <c r="BC82" s="3">
        <v>112418</v>
      </c>
      <c r="BD82" s="3" t="s">
        <v>72</v>
      </c>
      <c r="BE82" s="41" t="s">
        <v>313</v>
      </c>
      <c r="BF82" s="12" t="s">
        <v>314</v>
      </c>
      <c r="BG82" s="4" t="s">
        <v>103</v>
      </c>
      <c r="BH82" s="4" t="s">
        <v>315</v>
      </c>
      <c r="BI82" s="12" t="s">
        <v>315</v>
      </c>
      <c r="BJ82" s="51" t="s">
        <v>189</v>
      </c>
    </row>
    <row r="83" spans="1:62" ht="48.5" x14ac:dyDescent="0.35">
      <c r="A83">
        <v>106245</v>
      </c>
      <c r="B83" s="84">
        <f t="shared" si="20"/>
        <v>315</v>
      </c>
      <c r="C83" s="84">
        <f t="shared" si="21"/>
        <v>346.5</v>
      </c>
      <c r="E83" s="3">
        <v>112448</v>
      </c>
      <c r="F83" s="84">
        <v>262</v>
      </c>
      <c r="G83" s="86">
        <v>271</v>
      </c>
      <c r="H83" s="18">
        <v>211.5</v>
      </c>
      <c r="I83" s="18">
        <v>242</v>
      </c>
      <c r="J83" s="90">
        <v>49.5</v>
      </c>
      <c r="K83" s="90">
        <v>68</v>
      </c>
      <c r="L83" s="84">
        <v>46</v>
      </c>
      <c r="M83" s="86">
        <v>65</v>
      </c>
      <c r="N83" s="3">
        <v>127090</v>
      </c>
      <c r="O83">
        <f t="shared" si="22"/>
        <v>520</v>
      </c>
      <c r="P83">
        <f t="shared" si="23"/>
        <v>455</v>
      </c>
      <c r="Q83">
        <f t="shared" si="24"/>
        <v>80</v>
      </c>
      <c r="R83">
        <f t="shared" si="25"/>
        <v>85</v>
      </c>
      <c r="S83">
        <f t="shared" si="26"/>
        <v>445</v>
      </c>
      <c r="T83">
        <f t="shared" si="27"/>
        <v>410</v>
      </c>
      <c r="U83">
        <f t="shared" si="28"/>
        <v>75</v>
      </c>
      <c r="V83">
        <f t="shared" si="29"/>
        <v>85</v>
      </c>
      <c r="X83" s="5">
        <v>186858</v>
      </c>
      <c r="Y83">
        <f t="shared" si="30"/>
        <v>630</v>
      </c>
      <c r="Z83">
        <f t="shared" si="31"/>
        <v>621</v>
      </c>
      <c r="AA83">
        <f t="shared" si="32"/>
        <v>90</v>
      </c>
      <c r="AB83">
        <f t="shared" si="33"/>
        <v>99</v>
      </c>
      <c r="AC83">
        <f t="shared" si="34"/>
        <v>7262</v>
      </c>
      <c r="AD83">
        <f t="shared" si="35"/>
        <v>5859</v>
      </c>
      <c r="AE83">
        <f t="shared" si="36"/>
        <v>1014</v>
      </c>
      <c r="AF83">
        <f t="shared" si="37"/>
        <v>1143</v>
      </c>
      <c r="AG83" s="3">
        <v>127090</v>
      </c>
      <c r="AH83" s="31">
        <v>520</v>
      </c>
      <c r="AI83" s="31">
        <v>455</v>
      </c>
      <c r="AJ83" s="37">
        <v>65</v>
      </c>
      <c r="AK83" s="37">
        <v>14.285714285714285</v>
      </c>
      <c r="AL83" s="36">
        <v>80</v>
      </c>
      <c r="AM83" s="36">
        <v>85</v>
      </c>
      <c r="AN83" s="37">
        <v>-5</v>
      </c>
      <c r="AO83" s="37">
        <v>-5.8823529411764701</v>
      </c>
      <c r="AP83" s="38">
        <v>5755</v>
      </c>
      <c r="AQ83" s="39">
        <v>4770.5</v>
      </c>
      <c r="AR83" s="37">
        <v>984.5</v>
      </c>
      <c r="AS83" s="37">
        <v>20.637249764175664</v>
      </c>
      <c r="AT83" s="36">
        <v>925</v>
      </c>
      <c r="AU83" s="36">
        <v>1098.5</v>
      </c>
      <c r="AV83" s="37">
        <v>-173.5</v>
      </c>
      <c r="AW83" s="37">
        <v>-15.794264906690941</v>
      </c>
      <c r="AX83" s="3">
        <v>112448</v>
      </c>
      <c r="AY83" t="str">
        <f t="shared" si="38"/>
        <v>SAKSHAM</v>
      </c>
      <c r="AZ83" t="str">
        <f t="shared" si="39"/>
        <v>Punjabi Bagh</v>
      </c>
      <c r="BC83" s="3">
        <v>127090</v>
      </c>
      <c r="BD83" s="3" t="s">
        <v>72</v>
      </c>
      <c r="BE83" s="43" t="s">
        <v>316</v>
      </c>
      <c r="BF83" s="12" t="s">
        <v>317</v>
      </c>
      <c r="BG83" s="4" t="s">
        <v>85</v>
      </c>
      <c r="BH83" s="4" t="s">
        <v>318</v>
      </c>
      <c r="BI83" s="12" t="s">
        <v>318</v>
      </c>
      <c r="BJ83" s="51" t="s">
        <v>304</v>
      </c>
    </row>
    <row r="84" spans="1:62" ht="36.5" x14ac:dyDescent="0.35">
      <c r="A84">
        <v>212907</v>
      </c>
      <c r="B84" s="84">
        <f t="shared" si="20"/>
        <v>528</v>
      </c>
      <c r="C84" s="84">
        <f t="shared" si="21"/>
        <v>500</v>
      </c>
      <c r="E84" s="3">
        <v>136152</v>
      </c>
      <c r="F84" s="84">
        <v>300</v>
      </c>
      <c r="G84" s="86">
        <v>322</v>
      </c>
      <c r="H84" s="18">
        <v>269</v>
      </c>
      <c r="I84" s="18">
        <v>329</v>
      </c>
      <c r="J84" s="90">
        <v>67</v>
      </c>
      <c r="K84" s="90">
        <v>79</v>
      </c>
      <c r="L84" s="84">
        <v>62</v>
      </c>
      <c r="M84" s="86">
        <v>58</v>
      </c>
      <c r="N84" s="3">
        <v>112440</v>
      </c>
      <c r="O84">
        <f t="shared" si="22"/>
        <v>181</v>
      </c>
      <c r="P84">
        <f t="shared" si="23"/>
        <v>220</v>
      </c>
      <c r="Q84">
        <f t="shared" si="24"/>
        <v>19</v>
      </c>
      <c r="R84">
        <f t="shared" si="25"/>
        <v>26</v>
      </c>
      <c r="S84">
        <f t="shared" si="26"/>
        <v>214</v>
      </c>
      <c r="T84">
        <f t="shared" si="27"/>
        <v>173</v>
      </c>
      <c r="U84">
        <f t="shared" si="28"/>
        <v>38</v>
      </c>
      <c r="V84">
        <f t="shared" si="29"/>
        <v>23</v>
      </c>
      <c r="X84" s="5">
        <v>305308</v>
      </c>
      <c r="Y84">
        <f t="shared" si="30"/>
        <v>212</v>
      </c>
      <c r="Z84">
        <f t="shared" si="31"/>
        <v>226</v>
      </c>
      <c r="AA84">
        <f t="shared" si="32"/>
        <v>40</v>
      </c>
      <c r="AB84">
        <f t="shared" si="33"/>
        <v>44</v>
      </c>
      <c r="AC84">
        <f t="shared" si="34"/>
        <v>2633.5</v>
      </c>
      <c r="AD84">
        <f t="shared" si="35"/>
        <v>2092</v>
      </c>
      <c r="AE84">
        <f t="shared" si="36"/>
        <v>454.5</v>
      </c>
      <c r="AF84">
        <f t="shared" si="37"/>
        <v>476.5</v>
      </c>
      <c r="AG84" s="3">
        <v>112440</v>
      </c>
      <c r="AH84" s="31">
        <v>181</v>
      </c>
      <c r="AI84" s="31">
        <v>220</v>
      </c>
      <c r="AJ84" s="37">
        <v>-39</v>
      </c>
      <c r="AK84" s="37">
        <v>-17.727272727272727</v>
      </c>
      <c r="AL84" s="36">
        <v>19</v>
      </c>
      <c r="AM84" s="36">
        <v>26</v>
      </c>
      <c r="AN84" s="37">
        <v>-7</v>
      </c>
      <c r="AO84" s="37">
        <v>-26.923076923076923</v>
      </c>
      <c r="AP84" s="38">
        <v>2397</v>
      </c>
      <c r="AQ84" s="39">
        <v>2046.0000009999999</v>
      </c>
      <c r="AR84" s="37">
        <v>350.99999900000012</v>
      </c>
      <c r="AS84" s="37">
        <v>17.15542516268064</v>
      </c>
      <c r="AT84" s="36">
        <v>319</v>
      </c>
      <c r="AU84" s="36">
        <v>341</v>
      </c>
      <c r="AV84" s="37">
        <v>-22</v>
      </c>
      <c r="AW84" s="37">
        <v>-6.4516129032258061</v>
      </c>
      <c r="AX84" s="3">
        <v>136152</v>
      </c>
      <c r="AY84" t="str">
        <f t="shared" si="38"/>
        <v>ROHINI_SANJEEV</v>
      </c>
      <c r="AZ84" t="str">
        <f t="shared" si="39"/>
        <v>Rohini</v>
      </c>
      <c r="BC84" s="3">
        <v>112440</v>
      </c>
      <c r="BD84" s="3" t="s">
        <v>72</v>
      </c>
      <c r="BE84" s="45" t="s">
        <v>319</v>
      </c>
      <c r="BF84" s="12" t="s">
        <v>320</v>
      </c>
      <c r="BG84" s="4" t="s">
        <v>187</v>
      </c>
      <c r="BH84" s="4" t="s">
        <v>321</v>
      </c>
      <c r="BI84" s="12" t="s">
        <v>321</v>
      </c>
      <c r="BJ84" s="51" t="s">
        <v>189</v>
      </c>
    </row>
    <row r="85" spans="1:62" ht="48.5" x14ac:dyDescent="0.35">
      <c r="A85">
        <v>305316</v>
      </c>
      <c r="B85" s="84">
        <f t="shared" si="20"/>
        <v>293</v>
      </c>
      <c r="C85" s="84">
        <f t="shared" si="21"/>
        <v>350.5</v>
      </c>
      <c r="E85" s="3">
        <v>112450</v>
      </c>
      <c r="F85" s="84">
        <v>470</v>
      </c>
      <c r="G85" s="86">
        <v>515</v>
      </c>
      <c r="H85" s="18">
        <v>435</v>
      </c>
      <c r="I85" s="18">
        <v>500</v>
      </c>
      <c r="J85" s="90">
        <v>85</v>
      </c>
      <c r="K85" s="90">
        <v>92</v>
      </c>
      <c r="L85" s="84">
        <v>70</v>
      </c>
      <c r="M85" s="86">
        <v>65</v>
      </c>
      <c r="N85" s="3">
        <v>112419</v>
      </c>
      <c r="O85">
        <f t="shared" si="22"/>
        <v>399</v>
      </c>
      <c r="P85">
        <f t="shared" si="23"/>
        <v>356.5</v>
      </c>
      <c r="Q85">
        <f t="shared" si="24"/>
        <v>119</v>
      </c>
      <c r="R85">
        <f t="shared" si="25"/>
        <v>157.5</v>
      </c>
      <c r="S85">
        <f t="shared" si="26"/>
        <v>370</v>
      </c>
      <c r="T85">
        <f t="shared" si="27"/>
        <v>321</v>
      </c>
      <c r="U85">
        <f t="shared" si="28"/>
        <v>110</v>
      </c>
      <c r="V85">
        <f t="shared" si="29"/>
        <v>191</v>
      </c>
      <c r="X85" s="5">
        <v>179954</v>
      </c>
      <c r="Y85">
        <f t="shared" si="30"/>
        <v>270</v>
      </c>
      <c r="Z85">
        <f t="shared" si="31"/>
        <v>275</v>
      </c>
      <c r="AA85">
        <f t="shared" si="32"/>
        <v>210</v>
      </c>
      <c r="AB85">
        <f t="shared" si="33"/>
        <v>145</v>
      </c>
      <c r="AC85">
        <f t="shared" si="34"/>
        <v>3245</v>
      </c>
      <c r="AD85">
        <f t="shared" si="35"/>
        <v>2621.5</v>
      </c>
      <c r="AE85">
        <f t="shared" si="36"/>
        <v>1915</v>
      </c>
      <c r="AF85">
        <f t="shared" si="37"/>
        <v>2175.5</v>
      </c>
      <c r="AG85" s="3">
        <v>112419</v>
      </c>
      <c r="AH85" s="31">
        <v>399</v>
      </c>
      <c r="AI85" s="31">
        <v>356.5</v>
      </c>
      <c r="AJ85" s="37">
        <v>42.5</v>
      </c>
      <c r="AK85" s="37">
        <v>11.921458625525947</v>
      </c>
      <c r="AL85" s="36">
        <v>119</v>
      </c>
      <c r="AM85" s="36">
        <v>157.5</v>
      </c>
      <c r="AN85" s="37">
        <v>-38.5</v>
      </c>
      <c r="AO85" s="37">
        <v>-24.444444444444443</v>
      </c>
      <c r="AP85" s="38">
        <v>4640.5</v>
      </c>
      <c r="AQ85" s="39">
        <v>3704.5000060000002</v>
      </c>
      <c r="AR85" s="37">
        <v>935.99999399999979</v>
      </c>
      <c r="AS85" s="37">
        <v>25.266567485058864</v>
      </c>
      <c r="AT85" s="36">
        <v>1801.5</v>
      </c>
      <c r="AU85" s="36">
        <v>2062</v>
      </c>
      <c r="AV85" s="37">
        <v>-260.5</v>
      </c>
      <c r="AW85" s="37">
        <v>-12.633365664403492</v>
      </c>
      <c r="AX85" s="3">
        <v>112450</v>
      </c>
      <c r="AY85" t="str">
        <f t="shared" si="38"/>
        <v>ANIL-SHANKAR</v>
      </c>
      <c r="AZ85" t="str">
        <f t="shared" si="39"/>
        <v>Punjabi Bagh</v>
      </c>
      <c r="BC85" s="3">
        <v>112419</v>
      </c>
      <c r="BD85" s="3" t="s">
        <v>72</v>
      </c>
      <c r="BE85" s="41" t="s">
        <v>322</v>
      </c>
      <c r="BF85" s="12" t="s">
        <v>323</v>
      </c>
      <c r="BG85" s="4" t="s">
        <v>187</v>
      </c>
      <c r="BH85" s="4" t="s">
        <v>315</v>
      </c>
      <c r="BI85" s="12" t="s">
        <v>315</v>
      </c>
      <c r="BJ85" s="51" t="s">
        <v>189</v>
      </c>
    </row>
    <row r="86" spans="1:62" ht="36.5" x14ac:dyDescent="0.35">
      <c r="A86">
        <v>241496</v>
      </c>
      <c r="B86" s="84">
        <f t="shared" si="20"/>
        <v>212</v>
      </c>
      <c r="C86" s="84">
        <f t="shared" si="21"/>
        <v>250</v>
      </c>
      <c r="E86" s="3">
        <v>146411</v>
      </c>
      <c r="F86" s="84">
        <v>75</v>
      </c>
      <c r="G86" s="86">
        <v>85</v>
      </c>
      <c r="H86" s="18">
        <v>73</v>
      </c>
      <c r="I86" s="18">
        <v>93</v>
      </c>
      <c r="J86" s="90">
        <v>39</v>
      </c>
      <c r="K86" s="90">
        <v>53</v>
      </c>
      <c r="L86" s="84">
        <v>45</v>
      </c>
      <c r="M86" s="86">
        <v>55</v>
      </c>
      <c r="N86" s="3">
        <v>112417</v>
      </c>
      <c r="O86">
        <f t="shared" si="22"/>
        <v>446.5</v>
      </c>
      <c r="P86">
        <f t="shared" si="23"/>
        <v>422.5</v>
      </c>
      <c r="Q86">
        <f t="shared" si="24"/>
        <v>36</v>
      </c>
      <c r="R86">
        <f t="shared" si="25"/>
        <v>35.5</v>
      </c>
      <c r="S86">
        <f t="shared" si="26"/>
        <v>425.5</v>
      </c>
      <c r="T86">
        <f t="shared" si="27"/>
        <v>376</v>
      </c>
      <c r="U86">
        <f t="shared" si="28"/>
        <v>36.5</v>
      </c>
      <c r="V86">
        <f t="shared" si="29"/>
        <v>36</v>
      </c>
      <c r="X86" s="3">
        <v>112462</v>
      </c>
      <c r="Y86">
        <f t="shared" si="30"/>
        <v>267</v>
      </c>
      <c r="Z86">
        <f t="shared" si="31"/>
        <v>250</v>
      </c>
      <c r="AA86">
        <f t="shared" si="32"/>
        <v>41</v>
      </c>
      <c r="AB86">
        <f t="shared" si="33"/>
        <v>30</v>
      </c>
      <c r="AC86">
        <f t="shared" si="34"/>
        <v>3257</v>
      </c>
      <c r="AD86">
        <f t="shared" si="35"/>
        <v>2484.5000169999998</v>
      </c>
      <c r="AE86">
        <f t="shared" si="36"/>
        <v>381</v>
      </c>
      <c r="AF86">
        <f t="shared" si="37"/>
        <v>385.5</v>
      </c>
      <c r="AG86" s="3">
        <v>112417</v>
      </c>
      <c r="AH86" s="31">
        <v>446.5</v>
      </c>
      <c r="AI86" s="31">
        <v>422.5</v>
      </c>
      <c r="AJ86" s="37">
        <v>24</v>
      </c>
      <c r="AK86" s="37">
        <v>5.6804733727810648</v>
      </c>
      <c r="AL86" s="36">
        <v>36</v>
      </c>
      <c r="AM86" s="36">
        <v>35.5</v>
      </c>
      <c r="AN86" s="37">
        <v>0.5</v>
      </c>
      <c r="AO86" s="37">
        <v>1.4084507042253522</v>
      </c>
      <c r="AP86" s="38">
        <v>5415.5</v>
      </c>
      <c r="AQ86" s="39">
        <v>4326.0000330000003</v>
      </c>
      <c r="AR86" s="37">
        <v>1089.4999669999997</v>
      </c>
      <c r="AS86" s="37">
        <v>25.184927385320705</v>
      </c>
      <c r="AT86" s="36">
        <v>439</v>
      </c>
      <c r="AU86" s="36">
        <v>493.5</v>
      </c>
      <c r="AV86" s="37">
        <v>-54.5</v>
      </c>
      <c r="AW86" s="37">
        <v>-11.043566362715298</v>
      </c>
      <c r="AX86" s="3">
        <v>146411</v>
      </c>
      <c r="AY86" t="str">
        <f t="shared" si="38"/>
        <v>SHOKEEN_JAI SHREEKRISHNA_SHANTI</v>
      </c>
      <c r="AZ86" t="str">
        <f t="shared" si="39"/>
        <v>Nazafgarh-Kapashera</v>
      </c>
      <c r="BC86" s="3">
        <v>112417</v>
      </c>
      <c r="BD86" s="3" t="s">
        <v>72</v>
      </c>
      <c r="BE86" s="41" t="s">
        <v>324</v>
      </c>
      <c r="BF86" s="12" t="s">
        <v>325</v>
      </c>
      <c r="BG86" s="4" t="s">
        <v>85</v>
      </c>
      <c r="BH86" s="4" t="s">
        <v>326</v>
      </c>
      <c r="BI86" s="12" t="s">
        <v>326</v>
      </c>
      <c r="BJ86" s="51" t="s">
        <v>304</v>
      </c>
    </row>
    <row r="87" spans="1:62" ht="36.5" x14ac:dyDescent="0.35">
      <c r="A87">
        <v>211064</v>
      </c>
      <c r="B87" s="84">
        <f t="shared" si="20"/>
        <v>315</v>
      </c>
      <c r="C87" s="84">
        <f t="shared" si="21"/>
        <v>400</v>
      </c>
      <c r="E87" s="3">
        <v>128472</v>
      </c>
      <c r="F87" s="84">
        <v>295</v>
      </c>
      <c r="G87" s="86">
        <v>375</v>
      </c>
      <c r="H87" s="18">
        <v>265</v>
      </c>
      <c r="I87" s="18">
        <v>315</v>
      </c>
      <c r="J87" s="90">
        <v>55</v>
      </c>
      <c r="K87" s="90">
        <v>65</v>
      </c>
      <c r="L87" s="84">
        <v>65</v>
      </c>
      <c r="M87" s="86">
        <v>65</v>
      </c>
      <c r="N87" s="3">
        <v>112458</v>
      </c>
      <c r="O87">
        <f t="shared" si="22"/>
        <v>860</v>
      </c>
      <c r="P87">
        <f t="shared" si="23"/>
        <v>820</v>
      </c>
      <c r="Q87">
        <f t="shared" si="24"/>
        <v>100</v>
      </c>
      <c r="R87">
        <f t="shared" si="25"/>
        <v>100</v>
      </c>
      <c r="S87">
        <f t="shared" si="26"/>
        <v>805</v>
      </c>
      <c r="T87">
        <f t="shared" si="27"/>
        <v>729</v>
      </c>
      <c r="U87">
        <f t="shared" si="28"/>
        <v>95</v>
      </c>
      <c r="V87">
        <f t="shared" si="29"/>
        <v>85</v>
      </c>
      <c r="X87" s="9">
        <v>41056494</v>
      </c>
      <c r="Y87">
        <f t="shared" si="30"/>
        <v>733</v>
      </c>
      <c r="Z87">
        <f t="shared" si="31"/>
        <v>714</v>
      </c>
      <c r="AA87">
        <f t="shared" si="32"/>
        <v>184</v>
      </c>
      <c r="AB87">
        <f t="shared" si="33"/>
        <v>230</v>
      </c>
      <c r="AC87">
        <f t="shared" si="34"/>
        <v>8695.5</v>
      </c>
      <c r="AD87">
        <f t="shared" si="35"/>
        <v>6429.5</v>
      </c>
      <c r="AE87">
        <f t="shared" si="36"/>
        <v>2460.5</v>
      </c>
      <c r="AF87">
        <f t="shared" si="37"/>
        <v>2550.5</v>
      </c>
      <c r="AG87" s="3">
        <v>112458</v>
      </c>
      <c r="AH87" s="31">
        <v>860</v>
      </c>
      <c r="AI87" s="31">
        <v>820</v>
      </c>
      <c r="AJ87" s="37">
        <v>40</v>
      </c>
      <c r="AK87" s="37">
        <v>4.8780487804878048</v>
      </c>
      <c r="AL87" s="36">
        <v>100</v>
      </c>
      <c r="AM87" s="36">
        <v>100</v>
      </c>
      <c r="AN87" s="37">
        <v>0</v>
      </c>
      <c r="AO87" s="37">
        <v>0</v>
      </c>
      <c r="AP87" s="38">
        <v>10228</v>
      </c>
      <c r="AQ87" s="39">
        <v>8335</v>
      </c>
      <c r="AR87" s="37">
        <v>1893</v>
      </c>
      <c r="AS87" s="37">
        <v>22.711457708458308</v>
      </c>
      <c r="AT87" s="36">
        <v>1190</v>
      </c>
      <c r="AU87" s="36">
        <v>1310</v>
      </c>
      <c r="AV87" s="37">
        <v>-120</v>
      </c>
      <c r="AW87" s="37">
        <v>-9.1603053435114496</v>
      </c>
      <c r="AX87" s="3">
        <v>128472</v>
      </c>
      <c r="AY87" t="str">
        <f t="shared" si="38"/>
        <v>SHAURYABHUSHAN_JAGDISH</v>
      </c>
      <c r="AZ87" t="str">
        <f t="shared" si="39"/>
        <v>Rohini</v>
      </c>
      <c r="BC87" s="3">
        <v>112458</v>
      </c>
      <c r="BD87" s="3" t="s">
        <v>72</v>
      </c>
      <c r="BE87" s="43" t="s">
        <v>327</v>
      </c>
      <c r="BF87" s="12" t="s">
        <v>328</v>
      </c>
      <c r="BG87" s="4" t="s">
        <v>85</v>
      </c>
      <c r="BH87" s="4" t="s">
        <v>326</v>
      </c>
      <c r="BI87" s="12" t="s">
        <v>326</v>
      </c>
      <c r="BJ87" s="51" t="s">
        <v>304</v>
      </c>
    </row>
    <row r="88" spans="1:62" ht="72.5" x14ac:dyDescent="0.35">
      <c r="A88">
        <v>186864</v>
      </c>
      <c r="B88" s="84">
        <f t="shared" si="20"/>
        <v>312</v>
      </c>
      <c r="C88" s="84">
        <f t="shared" si="21"/>
        <v>352</v>
      </c>
      <c r="E88" s="3">
        <v>112451</v>
      </c>
      <c r="F88" s="84">
        <v>834</v>
      </c>
      <c r="G88" s="86">
        <v>853</v>
      </c>
      <c r="H88" s="18">
        <v>915.5</v>
      </c>
      <c r="I88" s="18">
        <v>928</v>
      </c>
      <c r="J88" s="90">
        <v>126.5</v>
      </c>
      <c r="K88" s="90">
        <v>126</v>
      </c>
      <c r="L88" s="84">
        <v>102</v>
      </c>
      <c r="M88" s="86">
        <v>87</v>
      </c>
      <c r="N88" s="3">
        <v>200922</v>
      </c>
      <c r="O88">
        <f t="shared" si="22"/>
        <v>304.09199999999998</v>
      </c>
      <c r="P88">
        <f t="shared" si="23"/>
        <v>283.62900000000002</v>
      </c>
      <c r="Q88">
        <f t="shared" si="24"/>
        <v>65.864000000000004</v>
      </c>
      <c r="R88">
        <f t="shared" si="25"/>
        <v>67.805999999999997</v>
      </c>
      <c r="S88">
        <f t="shared" si="26"/>
        <v>271.88099999999997</v>
      </c>
      <c r="T88">
        <f t="shared" si="27"/>
        <v>239.46</v>
      </c>
      <c r="U88">
        <f t="shared" si="28"/>
        <v>63.048999999999999</v>
      </c>
      <c r="V88">
        <f t="shared" si="29"/>
        <v>62.372999999999998</v>
      </c>
      <c r="X88" s="3">
        <v>147087</v>
      </c>
      <c r="Y88">
        <f t="shared" si="30"/>
        <v>156.5</v>
      </c>
      <c r="Z88">
        <f t="shared" si="31"/>
        <v>126</v>
      </c>
      <c r="AA88">
        <f t="shared" si="32"/>
        <v>155.5</v>
      </c>
      <c r="AB88">
        <f t="shared" si="33"/>
        <v>242</v>
      </c>
      <c r="AC88">
        <f t="shared" si="34"/>
        <v>1558.5</v>
      </c>
      <c r="AD88">
        <f t="shared" si="35"/>
        <v>1231.5</v>
      </c>
      <c r="AE88">
        <f t="shared" si="36"/>
        <v>1935.5</v>
      </c>
      <c r="AF88">
        <f t="shared" si="37"/>
        <v>2504.5</v>
      </c>
      <c r="AG88" s="3">
        <v>200922</v>
      </c>
      <c r="AH88" s="31">
        <v>304.09199999999998</v>
      </c>
      <c r="AI88" s="31">
        <v>283.62900000000002</v>
      </c>
      <c r="AJ88" s="37">
        <v>20.462999999999965</v>
      </c>
      <c r="AK88" s="37">
        <v>7.2147065356504321</v>
      </c>
      <c r="AL88" s="36">
        <v>65.864000000000004</v>
      </c>
      <c r="AM88" s="36">
        <v>67.805999999999997</v>
      </c>
      <c r="AN88" s="37">
        <v>-1.9419999999999931</v>
      </c>
      <c r="AO88" s="37">
        <v>-2.8640533286139767</v>
      </c>
      <c r="AP88" s="38">
        <v>3549.6149999999998</v>
      </c>
      <c r="AQ88" s="39">
        <v>2804.6</v>
      </c>
      <c r="AR88" s="37">
        <v>745.01499999999987</v>
      </c>
      <c r="AS88" s="37">
        <v>26.564037652428151</v>
      </c>
      <c r="AT88" s="36">
        <v>742.101</v>
      </c>
      <c r="AU88" s="36">
        <v>929.32600000000025</v>
      </c>
      <c r="AV88" s="37">
        <v>-187.22500000000025</v>
      </c>
      <c r="AW88" s="37">
        <v>-20.146321097225321</v>
      </c>
      <c r="AX88" s="3">
        <v>112451</v>
      </c>
      <c r="AY88" t="str">
        <f t="shared" si="38"/>
        <v>SHIV SS</v>
      </c>
      <c r="AZ88" t="str">
        <f t="shared" si="39"/>
        <v>Dwarka</v>
      </c>
      <c r="BC88" s="3">
        <v>200922</v>
      </c>
      <c r="BD88" s="3" t="s">
        <v>72</v>
      </c>
      <c r="BE88" s="41" t="s">
        <v>329</v>
      </c>
      <c r="BF88" s="12" t="s">
        <v>213</v>
      </c>
      <c r="BG88" s="4" t="s">
        <v>85</v>
      </c>
      <c r="BH88" s="4" t="s">
        <v>177</v>
      </c>
      <c r="BI88" s="12" t="s">
        <v>177</v>
      </c>
      <c r="BJ88" s="51" t="s">
        <v>178</v>
      </c>
    </row>
    <row r="89" spans="1:62" ht="36.5" x14ac:dyDescent="0.35">
      <c r="A89">
        <v>312646</v>
      </c>
      <c r="B89" s="84">
        <f t="shared" si="20"/>
        <v>314.649</v>
      </c>
      <c r="C89" s="84">
        <f t="shared" si="21"/>
        <v>359.49299999999897</v>
      </c>
      <c r="E89" s="3">
        <v>149412</v>
      </c>
      <c r="F89" s="84">
        <v>126</v>
      </c>
      <c r="G89" s="86">
        <v>149</v>
      </c>
      <c r="H89" s="18">
        <v>147.5</v>
      </c>
      <c r="I89" s="18">
        <v>168.5</v>
      </c>
      <c r="J89" s="90">
        <v>46.5</v>
      </c>
      <c r="K89" s="90">
        <v>47.5</v>
      </c>
      <c r="L89" s="84">
        <v>42</v>
      </c>
      <c r="M89" s="86">
        <v>45</v>
      </c>
      <c r="N89" s="3">
        <v>112386</v>
      </c>
      <c r="O89">
        <f t="shared" si="22"/>
        <v>435</v>
      </c>
      <c r="P89">
        <f t="shared" si="23"/>
        <v>387</v>
      </c>
      <c r="Q89">
        <f t="shared" si="24"/>
        <v>65</v>
      </c>
      <c r="R89">
        <f t="shared" si="25"/>
        <v>63</v>
      </c>
      <c r="S89">
        <f t="shared" si="26"/>
        <v>370</v>
      </c>
      <c r="T89">
        <f t="shared" si="27"/>
        <v>342</v>
      </c>
      <c r="U89">
        <f t="shared" si="28"/>
        <v>50</v>
      </c>
      <c r="V89">
        <f t="shared" si="29"/>
        <v>54</v>
      </c>
      <c r="X89" s="5">
        <v>186855</v>
      </c>
      <c r="Y89">
        <f t="shared" si="30"/>
        <v>495</v>
      </c>
      <c r="Z89">
        <f t="shared" si="31"/>
        <v>445</v>
      </c>
      <c r="AA89">
        <f t="shared" si="32"/>
        <v>105</v>
      </c>
      <c r="AB89">
        <f t="shared" si="33"/>
        <v>175</v>
      </c>
      <c r="AC89">
        <f t="shared" si="34"/>
        <v>5645</v>
      </c>
      <c r="AD89">
        <f t="shared" si="35"/>
        <v>4615</v>
      </c>
      <c r="AE89">
        <f t="shared" si="36"/>
        <v>1695</v>
      </c>
      <c r="AF89">
        <f t="shared" si="37"/>
        <v>2482</v>
      </c>
      <c r="AG89" s="3">
        <v>112386</v>
      </c>
      <c r="AH89" s="31">
        <v>435</v>
      </c>
      <c r="AI89" s="31">
        <v>387</v>
      </c>
      <c r="AJ89" s="37">
        <v>48</v>
      </c>
      <c r="AK89" s="37">
        <v>12.403100775193799</v>
      </c>
      <c r="AL89" s="36">
        <v>65</v>
      </c>
      <c r="AM89" s="36">
        <v>63</v>
      </c>
      <c r="AN89" s="37">
        <v>2</v>
      </c>
      <c r="AO89" s="37">
        <v>3.1746031746031744</v>
      </c>
      <c r="AP89" s="38">
        <v>4940.5</v>
      </c>
      <c r="AQ89" s="39">
        <v>4061</v>
      </c>
      <c r="AR89" s="37">
        <v>879.5</v>
      </c>
      <c r="AS89" s="37">
        <v>21.657227283920218</v>
      </c>
      <c r="AT89" s="36">
        <v>709.5</v>
      </c>
      <c r="AU89" s="36">
        <v>792</v>
      </c>
      <c r="AV89" s="37">
        <v>-82.5</v>
      </c>
      <c r="AW89" s="37">
        <v>-10.416666666666668</v>
      </c>
      <c r="AX89" s="3">
        <v>149412</v>
      </c>
      <c r="AY89" t="str">
        <f t="shared" si="38"/>
        <v>SHOKEEN_JAI SHREEKRISHNA_SHANTI</v>
      </c>
      <c r="AZ89" t="str">
        <f t="shared" si="39"/>
        <v>Nazafgarh-Kapashera</v>
      </c>
      <c r="BC89" s="3">
        <v>112386</v>
      </c>
      <c r="BD89" s="3" t="s">
        <v>72</v>
      </c>
      <c r="BE89" s="40" t="s">
        <v>330</v>
      </c>
      <c r="BF89" s="12" t="s">
        <v>331</v>
      </c>
      <c r="BG89" s="4" t="s">
        <v>85</v>
      </c>
      <c r="BH89" s="4" t="s">
        <v>332</v>
      </c>
      <c r="BI89" s="12" t="s">
        <v>332</v>
      </c>
      <c r="BJ89" s="51" t="s">
        <v>304</v>
      </c>
    </row>
    <row r="90" spans="1:62" ht="36.5" x14ac:dyDescent="0.35">
      <c r="A90">
        <v>312687</v>
      </c>
      <c r="B90" s="84">
        <f t="shared" si="20"/>
        <v>208.261</v>
      </c>
      <c r="C90" s="84">
        <f t="shared" si="21"/>
        <v>241.197</v>
      </c>
      <c r="E90" s="3">
        <v>112452</v>
      </c>
      <c r="F90" s="84">
        <v>452.5</v>
      </c>
      <c r="G90" s="86">
        <v>515</v>
      </c>
      <c r="H90" s="18">
        <v>409.5</v>
      </c>
      <c r="I90" s="18">
        <v>445.5</v>
      </c>
      <c r="J90" s="90">
        <v>1947.5</v>
      </c>
      <c r="K90" s="90">
        <v>2117.5</v>
      </c>
      <c r="L90" s="84">
        <v>2017.5</v>
      </c>
      <c r="M90" s="86">
        <v>2081</v>
      </c>
      <c r="N90" s="3">
        <v>167171</v>
      </c>
      <c r="O90">
        <f t="shared" si="22"/>
        <v>91</v>
      </c>
      <c r="P90">
        <f t="shared" si="23"/>
        <v>93.5</v>
      </c>
      <c r="Q90">
        <f t="shared" si="24"/>
        <v>35</v>
      </c>
      <c r="R90">
        <f t="shared" si="25"/>
        <v>34.5</v>
      </c>
      <c r="S90">
        <f t="shared" si="26"/>
        <v>92</v>
      </c>
      <c r="T90">
        <f t="shared" si="27"/>
        <v>84.5</v>
      </c>
      <c r="U90">
        <f t="shared" si="28"/>
        <v>48</v>
      </c>
      <c r="V90">
        <f t="shared" si="29"/>
        <v>13.5</v>
      </c>
      <c r="X90" s="5">
        <v>106245</v>
      </c>
      <c r="Y90">
        <f t="shared" si="30"/>
        <v>346.5</v>
      </c>
      <c r="Z90">
        <f t="shared" si="31"/>
        <v>306</v>
      </c>
      <c r="AA90">
        <f t="shared" si="32"/>
        <v>67.5</v>
      </c>
      <c r="AB90">
        <f t="shared" si="33"/>
        <v>108</v>
      </c>
      <c r="AC90">
        <f t="shared" si="34"/>
        <v>3892.5</v>
      </c>
      <c r="AD90">
        <f t="shared" si="35"/>
        <v>3413</v>
      </c>
      <c r="AE90">
        <f t="shared" si="36"/>
        <v>1009.5</v>
      </c>
      <c r="AF90">
        <f t="shared" si="37"/>
        <v>976.5</v>
      </c>
      <c r="AG90" s="3">
        <v>167171</v>
      </c>
      <c r="AH90" s="31">
        <v>91</v>
      </c>
      <c r="AI90" s="31">
        <v>93.5</v>
      </c>
      <c r="AJ90" s="37">
        <v>-2.5</v>
      </c>
      <c r="AK90" s="37">
        <v>-2.6737967914438503</v>
      </c>
      <c r="AL90" s="36">
        <v>35</v>
      </c>
      <c r="AM90" s="36">
        <v>34.5</v>
      </c>
      <c r="AN90" s="37">
        <v>0.5</v>
      </c>
      <c r="AO90" s="37">
        <v>1.4492753623188406</v>
      </c>
      <c r="AP90" s="38">
        <v>1131</v>
      </c>
      <c r="AQ90" s="39">
        <v>951.5</v>
      </c>
      <c r="AR90" s="37">
        <v>179.5</v>
      </c>
      <c r="AS90" s="37">
        <v>18.864950078822911</v>
      </c>
      <c r="AT90" s="36">
        <v>403</v>
      </c>
      <c r="AU90" s="36">
        <v>333.5</v>
      </c>
      <c r="AV90" s="37">
        <v>69.5</v>
      </c>
      <c r="AW90" s="37">
        <v>20.839580209895054</v>
      </c>
      <c r="AX90" s="3">
        <v>112452</v>
      </c>
      <c r="AY90" t="str">
        <f t="shared" si="38"/>
        <v>SIDHU</v>
      </c>
      <c r="AZ90" t="str">
        <f t="shared" si="39"/>
        <v>Old GT Road (NH1)</v>
      </c>
      <c r="BC90" s="3">
        <v>167171</v>
      </c>
      <c r="BD90" s="3" t="s">
        <v>72</v>
      </c>
      <c r="BE90" s="42" t="s">
        <v>333</v>
      </c>
      <c r="BF90" s="12" t="s">
        <v>334</v>
      </c>
      <c r="BG90" s="4" t="s">
        <v>187</v>
      </c>
      <c r="BH90" s="4" t="s">
        <v>321</v>
      </c>
      <c r="BI90" s="12" t="s">
        <v>321</v>
      </c>
      <c r="BJ90" s="51" t="s">
        <v>189</v>
      </c>
    </row>
    <row r="91" spans="1:62" ht="96.5" x14ac:dyDescent="0.35">
      <c r="A91">
        <v>332207</v>
      </c>
      <c r="B91" s="84">
        <f t="shared" si="20"/>
        <v>170.62200000000001</v>
      </c>
      <c r="C91" s="84">
        <f t="shared" si="21"/>
        <v>189.497999999999</v>
      </c>
      <c r="E91" s="3">
        <v>112453</v>
      </c>
      <c r="F91" s="84">
        <v>562.5</v>
      </c>
      <c r="G91" s="86">
        <v>627</v>
      </c>
      <c r="H91" s="18">
        <v>517.5</v>
      </c>
      <c r="I91" s="18">
        <v>598.5</v>
      </c>
      <c r="J91" s="90">
        <v>130.5</v>
      </c>
      <c r="K91" s="90">
        <v>121.5</v>
      </c>
      <c r="L91" s="84">
        <v>103.5</v>
      </c>
      <c r="M91" s="86">
        <v>117</v>
      </c>
      <c r="N91" s="3">
        <v>244099</v>
      </c>
      <c r="O91">
        <f t="shared" si="22"/>
        <v>425</v>
      </c>
      <c r="P91">
        <f t="shared" si="23"/>
        <v>413</v>
      </c>
      <c r="Q91">
        <f t="shared" si="24"/>
        <v>54</v>
      </c>
      <c r="R91">
        <f t="shared" si="25"/>
        <v>55</v>
      </c>
      <c r="S91">
        <f t="shared" si="26"/>
        <v>364</v>
      </c>
      <c r="T91">
        <f t="shared" si="27"/>
        <v>358</v>
      </c>
      <c r="U91">
        <f t="shared" si="28"/>
        <v>42</v>
      </c>
      <c r="V91">
        <f t="shared" si="29"/>
        <v>42</v>
      </c>
      <c r="X91" s="5">
        <v>106218</v>
      </c>
      <c r="Y91">
        <f t="shared" si="30"/>
        <v>486</v>
      </c>
      <c r="Z91">
        <f t="shared" si="31"/>
        <v>432</v>
      </c>
      <c r="AA91">
        <f t="shared" si="32"/>
        <v>50</v>
      </c>
      <c r="AB91">
        <f t="shared" si="33"/>
        <v>36</v>
      </c>
      <c r="AC91">
        <f t="shared" si="34"/>
        <v>5685</v>
      </c>
      <c r="AD91">
        <f t="shared" si="35"/>
        <v>4485</v>
      </c>
      <c r="AE91">
        <f t="shared" si="36"/>
        <v>419</v>
      </c>
      <c r="AF91">
        <f t="shared" si="37"/>
        <v>469</v>
      </c>
      <c r="AG91" s="3">
        <v>244099</v>
      </c>
      <c r="AH91" s="31">
        <v>425</v>
      </c>
      <c r="AI91" s="31">
        <v>413</v>
      </c>
      <c r="AJ91" s="37">
        <v>12</v>
      </c>
      <c r="AK91" s="37">
        <v>2.9055690072639226</v>
      </c>
      <c r="AL91" s="36">
        <v>54</v>
      </c>
      <c r="AM91" s="36">
        <v>55</v>
      </c>
      <c r="AN91" s="37">
        <v>-1</v>
      </c>
      <c r="AO91" s="37">
        <v>-1.8181818181818181</v>
      </c>
      <c r="AP91" s="38">
        <v>5025.5</v>
      </c>
      <c r="AQ91" s="39">
        <v>4281.5</v>
      </c>
      <c r="AR91" s="37">
        <v>744</v>
      </c>
      <c r="AS91" s="37">
        <v>17.377087469344858</v>
      </c>
      <c r="AT91" s="36">
        <v>591.5</v>
      </c>
      <c r="AU91" s="36">
        <v>717.5</v>
      </c>
      <c r="AV91" s="37">
        <v>-126</v>
      </c>
      <c r="AW91" s="37">
        <v>-17.560975609756095</v>
      </c>
      <c r="AX91" s="3">
        <v>112453</v>
      </c>
      <c r="AY91" t="str">
        <f t="shared" si="38"/>
        <v>AIRPORT_SINGH_ANUP</v>
      </c>
      <c r="AZ91" t="str">
        <f t="shared" si="39"/>
        <v>Greater Kailash I &amp;II</v>
      </c>
      <c r="BC91" s="3">
        <v>244099</v>
      </c>
      <c r="BD91" s="3" t="s">
        <v>72</v>
      </c>
      <c r="BE91" s="43" t="s">
        <v>335</v>
      </c>
      <c r="BF91" s="12" t="s">
        <v>336</v>
      </c>
      <c r="BG91" s="4" t="s">
        <v>85</v>
      </c>
      <c r="BH91" s="4" t="s">
        <v>337</v>
      </c>
      <c r="BI91" s="12" t="s">
        <v>337</v>
      </c>
      <c r="BJ91" s="51" t="s">
        <v>304</v>
      </c>
    </row>
    <row r="92" spans="1:62" ht="36.5" x14ac:dyDescent="0.35">
      <c r="A92">
        <v>331623</v>
      </c>
      <c r="B92" s="84">
        <f t="shared" si="20"/>
        <v>216.40700000000001</v>
      </c>
      <c r="C92" s="84">
        <f t="shared" si="21"/>
        <v>243.83500000000001</v>
      </c>
      <c r="E92" s="3">
        <v>112454</v>
      </c>
      <c r="F92" s="84">
        <v>400</v>
      </c>
      <c r="G92" s="86">
        <v>465</v>
      </c>
      <c r="H92" s="18">
        <v>383.5</v>
      </c>
      <c r="I92" s="18">
        <v>420</v>
      </c>
      <c r="J92" s="90">
        <v>94.5</v>
      </c>
      <c r="K92" s="90">
        <v>100</v>
      </c>
      <c r="L92" s="84">
        <v>80</v>
      </c>
      <c r="M92" s="86">
        <v>95</v>
      </c>
      <c r="N92" s="3">
        <v>112390</v>
      </c>
      <c r="O92">
        <f t="shared" si="22"/>
        <v>670</v>
      </c>
      <c r="P92">
        <f t="shared" si="23"/>
        <v>645</v>
      </c>
      <c r="Q92">
        <f t="shared" si="24"/>
        <v>90</v>
      </c>
      <c r="R92">
        <f t="shared" si="25"/>
        <v>115</v>
      </c>
      <c r="S92">
        <f t="shared" si="26"/>
        <v>630</v>
      </c>
      <c r="T92">
        <f t="shared" si="27"/>
        <v>555</v>
      </c>
      <c r="U92">
        <f t="shared" si="28"/>
        <v>90</v>
      </c>
      <c r="V92">
        <f t="shared" si="29"/>
        <v>85</v>
      </c>
      <c r="X92" s="3">
        <v>112440</v>
      </c>
      <c r="Y92">
        <f t="shared" si="30"/>
        <v>181</v>
      </c>
      <c r="Z92">
        <f t="shared" si="31"/>
        <v>220</v>
      </c>
      <c r="AA92">
        <f t="shared" si="32"/>
        <v>19</v>
      </c>
      <c r="AB92">
        <f t="shared" si="33"/>
        <v>26</v>
      </c>
      <c r="AC92">
        <f t="shared" si="34"/>
        <v>2397</v>
      </c>
      <c r="AD92">
        <f t="shared" si="35"/>
        <v>2046.0000009999999</v>
      </c>
      <c r="AE92">
        <f t="shared" si="36"/>
        <v>319</v>
      </c>
      <c r="AF92">
        <f t="shared" si="37"/>
        <v>341</v>
      </c>
      <c r="AG92" s="3">
        <v>112390</v>
      </c>
      <c r="AH92" s="31">
        <v>670</v>
      </c>
      <c r="AI92" s="31">
        <v>645</v>
      </c>
      <c r="AJ92" s="37">
        <v>25</v>
      </c>
      <c r="AK92" s="37">
        <v>3.8759689922480618</v>
      </c>
      <c r="AL92" s="36">
        <v>90</v>
      </c>
      <c r="AM92" s="36">
        <v>115</v>
      </c>
      <c r="AN92" s="37">
        <v>-25</v>
      </c>
      <c r="AO92" s="37">
        <v>-21.739130434782609</v>
      </c>
      <c r="AP92" s="38">
        <v>8045</v>
      </c>
      <c r="AQ92" s="39">
        <v>6434.5000140000002</v>
      </c>
      <c r="AR92" s="37">
        <v>1610.4999859999998</v>
      </c>
      <c r="AS92" s="37">
        <v>25.029139521266924</v>
      </c>
      <c r="AT92" s="36">
        <v>1115</v>
      </c>
      <c r="AU92" s="36">
        <v>1285.5</v>
      </c>
      <c r="AV92" s="37">
        <v>-170.5</v>
      </c>
      <c r="AW92" s="37">
        <v>-13.263321664721897</v>
      </c>
      <c r="AX92" s="3">
        <v>112454</v>
      </c>
      <c r="AY92" t="str">
        <f t="shared" si="38"/>
        <v>SAOMI SS</v>
      </c>
      <c r="AZ92" t="str">
        <f t="shared" si="39"/>
        <v>Outer Ring Road</v>
      </c>
      <c r="BC92" s="3">
        <v>112390</v>
      </c>
      <c r="BD92" s="3" t="s">
        <v>72</v>
      </c>
      <c r="BE92" s="40" t="s">
        <v>338</v>
      </c>
      <c r="BF92" s="12" t="s">
        <v>339</v>
      </c>
      <c r="BG92" s="4" t="s">
        <v>85</v>
      </c>
      <c r="BH92" s="4" t="s">
        <v>337</v>
      </c>
      <c r="BI92" s="12" t="s">
        <v>337</v>
      </c>
      <c r="BJ92" s="51" t="s">
        <v>304</v>
      </c>
    </row>
    <row r="93" spans="1:62" ht="48.5" x14ac:dyDescent="0.35">
      <c r="A93">
        <v>256507</v>
      </c>
      <c r="B93" s="84">
        <f t="shared" si="20"/>
        <v>0</v>
      </c>
      <c r="C93" s="84">
        <f t="shared" si="21"/>
        <v>0</v>
      </c>
      <c r="E93" s="3">
        <v>112455</v>
      </c>
      <c r="F93" s="84">
        <v>84</v>
      </c>
      <c r="G93" s="86">
        <v>103</v>
      </c>
      <c r="H93" s="18">
        <v>85</v>
      </c>
      <c r="I93" s="18">
        <v>96</v>
      </c>
      <c r="J93" s="90">
        <v>13</v>
      </c>
      <c r="K93" s="90">
        <v>16</v>
      </c>
      <c r="L93" s="84">
        <v>14</v>
      </c>
      <c r="M93" s="86">
        <v>9</v>
      </c>
      <c r="N93" s="3">
        <v>128472</v>
      </c>
      <c r="O93">
        <f t="shared" si="22"/>
        <v>375</v>
      </c>
      <c r="P93">
        <f t="shared" si="23"/>
        <v>315</v>
      </c>
      <c r="Q93">
        <f t="shared" si="24"/>
        <v>65</v>
      </c>
      <c r="R93">
        <f t="shared" si="25"/>
        <v>65</v>
      </c>
      <c r="S93">
        <f t="shared" si="26"/>
        <v>295</v>
      </c>
      <c r="T93">
        <f t="shared" si="27"/>
        <v>265</v>
      </c>
      <c r="U93">
        <f t="shared" si="28"/>
        <v>65</v>
      </c>
      <c r="V93">
        <f t="shared" si="29"/>
        <v>55</v>
      </c>
      <c r="X93" s="5">
        <v>234811</v>
      </c>
      <c r="Y93">
        <f t="shared" si="30"/>
        <v>130.5</v>
      </c>
      <c r="Z93">
        <f t="shared" si="31"/>
        <v>127</v>
      </c>
      <c r="AA93">
        <f t="shared" si="32"/>
        <v>67.5</v>
      </c>
      <c r="AB93">
        <f t="shared" si="33"/>
        <v>45</v>
      </c>
      <c r="AC93">
        <f t="shared" si="34"/>
        <v>1518</v>
      </c>
      <c r="AD93">
        <f t="shared" si="35"/>
        <v>1260</v>
      </c>
      <c r="AE93">
        <f t="shared" si="36"/>
        <v>586</v>
      </c>
      <c r="AF93">
        <f t="shared" si="37"/>
        <v>716.5</v>
      </c>
      <c r="AG93" s="3">
        <v>128472</v>
      </c>
      <c r="AH93" s="31">
        <v>375</v>
      </c>
      <c r="AI93" s="31">
        <v>315</v>
      </c>
      <c r="AJ93" s="37">
        <v>60</v>
      </c>
      <c r="AK93" s="37">
        <v>19.047619047619047</v>
      </c>
      <c r="AL93" s="36">
        <v>65</v>
      </c>
      <c r="AM93" s="36">
        <v>65</v>
      </c>
      <c r="AN93" s="37">
        <v>0</v>
      </c>
      <c r="AO93" s="37">
        <v>0</v>
      </c>
      <c r="AP93" s="38">
        <v>3810</v>
      </c>
      <c r="AQ93" s="39">
        <v>3137.5</v>
      </c>
      <c r="AR93" s="37">
        <v>672.5</v>
      </c>
      <c r="AS93" s="37">
        <v>21.434262948207174</v>
      </c>
      <c r="AT93" s="36">
        <v>730</v>
      </c>
      <c r="AU93" s="36">
        <v>768.5</v>
      </c>
      <c r="AV93" s="37">
        <v>-38.5</v>
      </c>
      <c r="AW93" s="37">
        <v>-5.0097592713077423</v>
      </c>
      <c r="AX93" s="3">
        <v>112455</v>
      </c>
      <c r="AY93" t="str">
        <f t="shared" si="38"/>
        <v>BCC_KAMLA_NATIONAL_MODERN_SONDHI</v>
      </c>
      <c r="AZ93" t="str">
        <f t="shared" si="39"/>
        <v>Lutyens</v>
      </c>
      <c r="BC93" s="3">
        <v>128472</v>
      </c>
      <c r="BD93" s="3" t="s">
        <v>72</v>
      </c>
      <c r="BE93" s="43" t="s">
        <v>340</v>
      </c>
      <c r="BF93" s="12" t="s">
        <v>341</v>
      </c>
      <c r="BG93" s="4" t="s">
        <v>89</v>
      </c>
      <c r="BH93" s="4" t="s">
        <v>342</v>
      </c>
      <c r="BI93" s="12" t="s">
        <v>342</v>
      </c>
      <c r="BJ93" s="51" t="s">
        <v>205</v>
      </c>
    </row>
    <row r="94" spans="1:62" ht="36.5" x14ac:dyDescent="0.35">
      <c r="A94">
        <v>185374</v>
      </c>
      <c r="B94" s="84">
        <f t="shared" si="20"/>
        <v>75.5</v>
      </c>
      <c r="C94" s="84">
        <f t="shared" si="21"/>
        <v>56</v>
      </c>
      <c r="E94" s="3">
        <v>112456</v>
      </c>
      <c r="F94" s="84">
        <v>315</v>
      </c>
      <c r="G94" s="86">
        <v>350</v>
      </c>
      <c r="H94" s="18">
        <v>308</v>
      </c>
      <c r="I94" s="18">
        <v>355</v>
      </c>
      <c r="J94" s="90">
        <v>157</v>
      </c>
      <c r="K94" s="90">
        <v>175</v>
      </c>
      <c r="L94" s="84">
        <v>85</v>
      </c>
      <c r="M94" s="86">
        <v>130</v>
      </c>
      <c r="N94" s="3">
        <v>136152</v>
      </c>
      <c r="O94">
        <f t="shared" si="22"/>
        <v>322</v>
      </c>
      <c r="P94">
        <f t="shared" si="23"/>
        <v>329</v>
      </c>
      <c r="Q94">
        <f t="shared" si="24"/>
        <v>58</v>
      </c>
      <c r="R94">
        <f t="shared" si="25"/>
        <v>79</v>
      </c>
      <c r="S94">
        <f t="shared" si="26"/>
        <v>300</v>
      </c>
      <c r="T94">
        <f t="shared" si="27"/>
        <v>269</v>
      </c>
      <c r="U94">
        <f t="shared" si="28"/>
        <v>62</v>
      </c>
      <c r="V94">
        <f t="shared" si="29"/>
        <v>67</v>
      </c>
      <c r="X94" s="3">
        <v>112436</v>
      </c>
      <c r="Y94">
        <f t="shared" si="30"/>
        <v>569</v>
      </c>
      <c r="Z94">
        <f t="shared" si="31"/>
        <v>592.5</v>
      </c>
      <c r="AA94">
        <f t="shared" si="32"/>
        <v>291</v>
      </c>
      <c r="AB94">
        <f t="shared" si="33"/>
        <v>211.5</v>
      </c>
      <c r="AC94">
        <f t="shared" si="34"/>
        <v>7082.5</v>
      </c>
      <c r="AD94">
        <f t="shared" si="35"/>
        <v>6136.5000139999993</v>
      </c>
      <c r="AE94">
        <f t="shared" si="36"/>
        <v>2583.5</v>
      </c>
      <c r="AF94">
        <f t="shared" si="37"/>
        <v>2721</v>
      </c>
      <c r="AG94" s="3">
        <v>136152</v>
      </c>
      <c r="AH94" s="31">
        <v>322</v>
      </c>
      <c r="AI94" s="31">
        <v>329</v>
      </c>
      <c r="AJ94" s="37">
        <v>-7</v>
      </c>
      <c r="AK94" s="37">
        <v>-2.1276595744680851</v>
      </c>
      <c r="AL94" s="36">
        <v>58</v>
      </c>
      <c r="AM94" s="36">
        <v>79</v>
      </c>
      <c r="AN94" s="37">
        <v>-21</v>
      </c>
      <c r="AO94" s="37">
        <v>-26.582278481012654</v>
      </c>
      <c r="AP94" s="38">
        <v>3878</v>
      </c>
      <c r="AQ94" s="39">
        <v>3105.500008</v>
      </c>
      <c r="AR94" s="37">
        <v>772.49999200000002</v>
      </c>
      <c r="AS94" s="37">
        <v>24.875221059732162</v>
      </c>
      <c r="AT94" s="36">
        <v>838</v>
      </c>
      <c r="AU94" s="36">
        <v>977.5</v>
      </c>
      <c r="AV94" s="37">
        <v>-139.5</v>
      </c>
      <c r="AW94" s="37">
        <v>-14.271099744245525</v>
      </c>
      <c r="AX94" s="3">
        <v>112456</v>
      </c>
      <c r="AY94" t="str">
        <f t="shared" si="38"/>
        <v>SYALL SS</v>
      </c>
      <c r="AZ94" t="str">
        <f t="shared" si="39"/>
        <v>Punjabi Bagh</v>
      </c>
      <c r="BC94" s="3">
        <v>136152</v>
      </c>
      <c r="BD94" s="3" t="s">
        <v>72</v>
      </c>
      <c r="BE94" s="43" t="s">
        <v>343</v>
      </c>
      <c r="BF94" s="12" t="s">
        <v>344</v>
      </c>
      <c r="BG94" s="4" t="s">
        <v>89</v>
      </c>
      <c r="BH94" s="4" t="s">
        <v>345</v>
      </c>
      <c r="BI94" s="12" t="s">
        <v>345</v>
      </c>
      <c r="BJ94" s="51" t="s">
        <v>205</v>
      </c>
    </row>
    <row r="95" spans="1:62" ht="36.5" x14ac:dyDescent="0.35">
      <c r="A95">
        <v>106246</v>
      </c>
      <c r="B95" s="84">
        <f t="shared" si="20"/>
        <v>0</v>
      </c>
      <c r="C95" s="84">
        <f t="shared" si="21"/>
        <v>0</v>
      </c>
      <c r="E95" s="3">
        <v>244099</v>
      </c>
      <c r="F95" s="84">
        <v>364</v>
      </c>
      <c r="G95" s="86">
        <v>425</v>
      </c>
      <c r="H95" s="18">
        <v>358</v>
      </c>
      <c r="I95" s="18">
        <v>413</v>
      </c>
      <c r="J95" s="90">
        <v>42</v>
      </c>
      <c r="K95" s="90">
        <v>55</v>
      </c>
      <c r="L95" s="84">
        <v>42</v>
      </c>
      <c r="M95" s="86">
        <v>54</v>
      </c>
      <c r="N95" s="3">
        <v>112414</v>
      </c>
      <c r="O95">
        <f t="shared" si="22"/>
        <v>625.5</v>
      </c>
      <c r="P95">
        <f t="shared" si="23"/>
        <v>598</v>
      </c>
      <c r="Q95">
        <f t="shared" si="24"/>
        <v>76.5</v>
      </c>
      <c r="R95">
        <f t="shared" si="25"/>
        <v>108</v>
      </c>
      <c r="S95">
        <f t="shared" si="26"/>
        <v>550.5</v>
      </c>
      <c r="T95">
        <f t="shared" si="27"/>
        <v>533</v>
      </c>
      <c r="U95">
        <f t="shared" si="28"/>
        <v>103.5</v>
      </c>
      <c r="V95">
        <f t="shared" si="29"/>
        <v>99</v>
      </c>
      <c r="X95" s="3">
        <v>152706</v>
      </c>
      <c r="Y95">
        <f t="shared" si="30"/>
        <v>130</v>
      </c>
      <c r="Z95">
        <f t="shared" si="31"/>
        <v>110</v>
      </c>
      <c r="AA95">
        <f t="shared" si="32"/>
        <v>190</v>
      </c>
      <c r="AB95">
        <f t="shared" si="33"/>
        <v>150</v>
      </c>
      <c r="AC95">
        <f t="shared" si="34"/>
        <v>1535</v>
      </c>
      <c r="AD95">
        <f t="shared" si="35"/>
        <v>1054.5</v>
      </c>
      <c r="AE95">
        <f t="shared" si="36"/>
        <v>1565</v>
      </c>
      <c r="AF95">
        <f t="shared" si="37"/>
        <v>1511.5</v>
      </c>
      <c r="AG95" s="3">
        <v>112414</v>
      </c>
      <c r="AH95" s="31">
        <v>625.5</v>
      </c>
      <c r="AI95" s="31">
        <v>598</v>
      </c>
      <c r="AJ95" s="37">
        <v>27.5</v>
      </c>
      <c r="AK95" s="37">
        <v>4.5986622073578589</v>
      </c>
      <c r="AL95" s="36">
        <v>76.5</v>
      </c>
      <c r="AM95" s="36">
        <v>108</v>
      </c>
      <c r="AN95" s="37">
        <v>-31.5</v>
      </c>
      <c r="AO95" s="37">
        <v>-29.166666666666668</v>
      </c>
      <c r="AP95" s="38">
        <v>7427</v>
      </c>
      <c r="AQ95" s="39">
        <v>6095.5000449999998</v>
      </c>
      <c r="AR95" s="37">
        <v>1331.4999550000002</v>
      </c>
      <c r="AS95" s="37">
        <v>21.843982366831405</v>
      </c>
      <c r="AT95" s="36">
        <v>1125</v>
      </c>
      <c r="AU95" s="36">
        <v>1283.5</v>
      </c>
      <c r="AV95" s="37">
        <v>-158.5</v>
      </c>
      <c r="AW95" s="37">
        <v>-12.3490455784963</v>
      </c>
      <c r="AX95" s="3">
        <v>244099</v>
      </c>
      <c r="AY95" t="str">
        <f t="shared" si="38"/>
        <v>AUTO CARE-WELCOME</v>
      </c>
      <c r="AZ95" t="str">
        <f t="shared" si="39"/>
        <v>Punjabi Bagh</v>
      </c>
      <c r="BC95" s="3">
        <v>112414</v>
      </c>
      <c r="BD95" s="3" t="s">
        <v>72</v>
      </c>
      <c r="BE95" s="41" t="s">
        <v>346</v>
      </c>
      <c r="BF95" s="12" t="s">
        <v>328</v>
      </c>
      <c r="BG95" s="4" t="s">
        <v>85</v>
      </c>
      <c r="BH95" s="4" t="s">
        <v>326</v>
      </c>
      <c r="BI95" s="12" t="s">
        <v>326</v>
      </c>
      <c r="BJ95" s="51" t="s">
        <v>304</v>
      </c>
    </row>
    <row r="96" spans="1:62" ht="60.5" x14ac:dyDescent="0.35">
      <c r="A96">
        <v>112399</v>
      </c>
      <c r="B96" s="84">
        <f t="shared" si="20"/>
        <v>76</v>
      </c>
      <c r="C96" s="84">
        <f t="shared" si="21"/>
        <v>63</v>
      </c>
      <c r="E96" s="3">
        <v>181987</v>
      </c>
      <c r="F96" s="84">
        <v>56</v>
      </c>
      <c r="G96" s="86">
        <v>60</v>
      </c>
      <c r="H96" s="18">
        <v>60</v>
      </c>
      <c r="I96" s="18">
        <v>76</v>
      </c>
      <c r="J96" s="90">
        <v>156</v>
      </c>
      <c r="K96" s="90">
        <v>140</v>
      </c>
      <c r="L96" s="84">
        <v>148</v>
      </c>
      <c r="M96" s="86">
        <v>204</v>
      </c>
      <c r="N96" s="3">
        <v>112450</v>
      </c>
      <c r="O96">
        <f t="shared" si="22"/>
        <v>515</v>
      </c>
      <c r="P96">
        <f t="shared" si="23"/>
        <v>500</v>
      </c>
      <c r="Q96">
        <f t="shared" si="24"/>
        <v>65</v>
      </c>
      <c r="R96">
        <f t="shared" si="25"/>
        <v>92</v>
      </c>
      <c r="S96">
        <f t="shared" si="26"/>
        <v>470</v>
      </c>
      <c r="T96">
        <f t="shared" si="27"/>
        <v>435</v>
      </c>
      <c r="U96">
        <f t="shared" si="28"/>
        <v>70</v>
      </c>
      <c r="V96">
        <f t="shared" si="29"/>
        <v>85</v>
      </c>
      <c r="X96" s="5">
        <v>106321</v>
      </c>
      <c r="Y96">
        <f t="shared" si="30"/>
        <v>538</v>
      </c>
      <c r="Z96">
        <f t="shared" si="31"/>
        <v>533</v>
      </c>
      <c r="AA96">
        <f t="shared" si="32"/>
        <v>126</v>
      </c>
      <c r="AB96">
        <f t="shared" si="33"/>
        <v>171</v>
      </c>
      <c r="AC96">
        <f t="shared" si="34"/>
        <v>6731</v>
      </c>
      <c r="AD96">
        <f t="shared" si="35"/>
        <v>5609.5</v>
      </c>
      <c r="AE96">
        <f t="shared" si="36"/>
        <v>1661</v>
      </c>
      <c r="AF96">
        <f t="shared" si="37"/>
        <v>2137</v>
      </c>
      <c r="AG96" s="3">
        <v>112450</v>
      </c>
      <c r="AH96" s="31">
        <v>515</v>
      </c>
      <c r="AI96" s="31">
        <v>500</v>
      </c>
      <c r="AJ96" s="37">
        <v>15</v>
      </c>
      <c r="AK96" s="37">
        <v>3</v>
      </c>
      <c r="AL96" s="36">
        <v>65</v>
      </c>
      <c r="AM96" s="36">
        <v>92</v>
      </c>
      <c r="AN96" s="37">
        <v>-27</v>
      </c>
      <c r="AO96" s="37">
        <v>-29.347826086956523</v>
      </c>
      <c r="AP96" s="38">
        <v>6251</v>
      </c>
      <c r="AQ96" s="39">
        <v>5008</v>
      </c>
      <c r="AR96" s="37">
        <v>1243</v>
      </c>
      <c r="AS96" s="37">
        <v>24.820287539936103</v>
      </c>
      <c r="AT96" s="36">
        <v>1065</v>
      </c>
      <c r="AU96" s="36">
        <v>1087</v>
      </c>
      <c r="AV96" s="37">
        <v>-22</v>
      </c>
      <c r="AW96" s="37">
        <v>-2.0239190432382701</v>
      </c>
      <c r="AX96" s="3">
        <v>181987</v>
      </c>
      <c r="AY96" t="str">
        <f t="shared" si="38"/>
        <v>BHAGWATI_GREENHRT_TRIYAMJIT</v>
      </c>
      <c r="AZ96" t="str">
        <f t="shared" si="39"/>
        <v>Narela- Bawana</v>
      </c>
      <c r="BC96" s="3">
        <v>112450</v>
      </c>
      <c r="BD96" s="3" t="s">
        <v>72</v>
      </c>
      <c r="BE96" s="43" t="s">
        <v>347</v>
      </c>
      <c r="BF96" s="12" t="s">
        <v>348</v>
      </c>
      <c r="BG96" s="4" t="s">
        <v>85</v>
      </c>
      <c r="BH96" s="4" t="s">
        <v>332</v>
      </c>
      <c r="BI96" s="12" t="s">
        <v>332</v>
      </c>
      <c r="BJ96" s="51" t="s">
        <v>304</v>
      </c>
    </row>
    <row r="97" spans="1:62" ht="36.5" x14ac:dyDescent="0.35">
      <c r="A97">
        <v>112400</v>
      </c>
      <c r="B97" s="84">
        <f t="shared" si="20"/>
        <v>375</v>
      </c>
      <c r="C97" s="84">
        <f t="shared" si="21"/>
        <v>434</v>
      </c>
      <c r="E97" s="3">
        <v>112457</v>
      </c>
      <c r="F97" s="84">
        <v>265</v>
      </c>
      <c r="G97" s="86">
        <v>270.5</v>
      </c>
      <c r="H97" s="18">
        <v>238</v>
      </c>
      <c r="I97" s="18">
        <v>254.5</v>
      </c>
      <c r="J97" s="90">
        <v>30</v>
      </c>
      <c r="K97" s="90">
        <v>37.5</v>
      </c>
      <c r="L97" s="84">
        <v>41</v>
      </c>
      <c r="M97" s="86">
        <v>33.5</v>
      </c>
      <c r="N97" s="3">
        <v>112407</v>
      </c>
      <c r="O97">
        <f t="shared" si="22"/>
        <v>140</v>
      </c>
      <c r="P97">
        <f t="shared" si="23"/>
        <v>157.5</v>
      </c>
      <c r="Q97">
        <f t="shared" si="24"/>
        <v>14</v>
      </c>
      <c r="R97">
        <f t="shared" si="25"/>
        <v>12.5</v>
      </c>
      <c r="S97">
        <f t="shared" si="26"/>
        <v>142</v>
      </c>
      <c r="T97">
        <f t="shared" si="27"/>
        <v>146</v>
      </c>
      <c r="U97">
        <f t="shared" si="28"/>
        <v>22</v>
      </c>
      <c r="V97">
        <f t="shared" si="29"/>
        <v>16</v>
      </c>
      <c r="X97" s="9">
        <v>41056538</v>
      </c>
      <c r="Y97">
        <f t="shared" si="30"/>
        <v>0</v>
      </c>
      <c r="Z97">
        <f t="shared" si="31"/>
        <v>13.5</v>
      </c>
      <c r="AA97">
        <f t="shared" si="32"/>
        <v>32</v>
      </c>
      <c r="AB97">
        <f t="shared" si="33"/>
        <v>34.5</v>
      </c>
      <c r="AC97">
        <f t="shared" si="34"/>
        <v>145.5</v>
      </c>
      <c r="AD97">
        <f t="shared" si="35"/>
        <v>138.5</v>
      </c>
      <c r="AE97">
        <f t="shared" si="36"/>
        <v>453.5</v>
      </c>
      <c r="AF97">
        <f t="shared" si="37"/>
        <v>353</v>
      </c>
      <c r="AG97" s="3">
        <v>112407</v>
      </c>
      <c r="AH97" s="31">
        <v>140</v>
      </c>
      <c r="AI97" s="31">
        <v>157.5</v>
      </c>
      <c r="AJ97" s="37">
        <v>-17.5</v>
      </c>
      <c r="AK97" s="37">
        <v>-11.111111111111111</v>
      </c>
      <c r="AL97" s="36">
        <v>14</v>
      </c>
      <c r="AM97" s="36">
        <v>12.5</v>
      </c>
      <c r="AN97" s="37">
        <v>1.5</v>
      </c>
      <c r="AO97" s="37">
        <v>12</v>
      </c>
      <c r="AP97" s="38">
        <v>1929.5</v>
      </c>
      <c r="AQ97" s="39">
        <v>1602.5000009999999</v>
      </c>
      <c r="AR97" s="37">
        <v>326.99999900000012</v>
      </c>
      <c r="AS97" s="37">
        <v>20.405616149512884</v>
      </c>
      <c r="AT97" s="36">
        <v>240.5</v>
      </c>
      <c r="AU97" s="36">
        <v>198</v>
      </c>
      <c r="AV97" s="37">
        <v>42.5</v>
      </c>
      <c r="AW97" s="37">
        <v>21.464646464646464</v>
      </c>
      <c r="AX97" s="3">
        <v>112457</v>
      </c>
      <c r="AY97" t="str">
        <f t="shared" si="38"/>
        <v>UNIQUE</v>
      </c>
      <c r="AZ97" t="str">
        <f t="shared" si="39"/>
        <v>Mayur Vihar -Anand Vihar -Preet Vihar</v>
      </c>
      <c r="BC97" s="3">
        <v>112407</v>
      </c>
      <c r="BD97" s="3" t="s">
        <v>72</v>
      </c>
      <c r="BE97" s="41" t="s">
        <v>349</v>
      </c>
      <c r="BF97" s="12" t="s">
        <v>350</v>
      </c>
      <c r="BG97" s="4" t="s">
        <v>89</v>
      </c>
      <c r="BH97" s="4" t="s">
        <v>342</v>
      </c>
      <c r="BI97" s="12" t="s">
        <v>342</v>
      </c>
      <c r="BJ97" s="51" t="s">
        <v>205</v>
      </c>
    </row>
    <row r="98" spans="1:62" ht="48.5" x14ac:dyDescent="0.35">
      <c r="A98">
        <v>250828</v>
      </c>
      <c r="B98" s="84">
        <f t="shared" si="20"/>
        <v>372</v>
      </c>
      <c r="C98" s="84">
        <f t="shared" si="21"/>
        <v>341</v>
      </c>
      <c r="E98" s="3">
        <v>112458</v>
      </c>
      <c r="F98" s="84">
        <v>805</v>
      </c>
      <c r="G98" s="86">
        <v>860</v>
      </c>
      <c r="H98" s="18">
        <v>729</v>
      </c>
      <c r="I98" s="18">
        <v>820</v>
      </c>
      <c r="J98" s="90">
        <v>85</v>
      </c>
      <c r="K98" s="90">
        <v>100</v>
      </c>
      <c r="L98" s="84">
        <v>95</v>
      </c>
      <c r="M98" s="86">
        <v>100</v>
      </c>
      <c r="N98" s="3">
        <v>112385</v>
      </c>
      <c r="O98">
        <f t="shared" si="22"/>
        <v>390</v>
      </c>
      <c r="P98">
        <f t="shared" si="23"/>
        <v>405</v>
      </c>
      <c r="Q98">
        <f t="shared" si="24"/>
        <v>70</v>
      </c>
      <c r="R98">
        <f t="shared" si="25"/>
        <v>55</v>
      </c>
      <c r="S98">
        <f t="shared" si="26"/>
        <v>400</v>
      </c>
      <c r="T98">
        <f t="shared" si="27"/>
        <v>330</v>
      </c>
      <c r="U98">
        <f t="shared" si="28"/>
        <v>40</v>
      </c>
      <c r="V98">
        <f t="shared" si="29"/>
        <v>50</v>
      </c>
      <c r="X98" s="5">
        <v>102119</v>
      </c>
      <c r="Y98">
        <f t="shared" si="30"/>
        <v>641</v>
      </c>
      <c r="Z98">
        <f t="shared" si="31"/>
        <v>605</v>
      </c>
      <c r="AA98">
        <f t="shared" si="32"/>
        <v>405</v>
      </c>
      <c r="AB98">
        <f t="shared" si="33"/>
        <v>481</v>
      </c>
      <c r="AC98">
        <f t="shared" si="34"/>
        <v>7495.5</v>
      </c>
      <c r="AD98">
        <f t="shared" si="35"/>
        <v>5913.5</v>
      </c>
      <c r="AE98">
        <f t="shared" si="36"/>
        <v>5736.5</v>
      </c>
      <c r="AF98">
        <f t="shared" si="37"/>
        <v>5761</v>
      </c>
      <c r="AG98" s="3">
        <v>112385</v>
      </c>
      <c r="AH98" s="31">
        <v>390</v>
      </c>
      <c r="AI98" s="31">
        <v>405</v>
      </c>
      <c r="AJ98" s="37">
        <v>-15</v>
      </c>
      <c r="AK98" s="37">
        <v>-3.7037037037037033</v>
      </c>
      <c r="AL98" s="36">
        <v>70</v>
      </c>
      <c r="AM98" s="36">
        <v>55</v>
      </c>
      <c r="AN98" s="37">
        <v>15</v>
      </c>
      <c r="AO98" s="37">
        <v>27.27272727272727</v>
      </c>
      <c r="AP98" s="38">
        <v>4975</v>
      </c>
      <c r="AQ98" s="39">
        <v>4170</v>
      </c>
      <c r="AR98" s="37">
        <v>805</v>
      </c>
      <c r="AS98" s="37">
        <v>19.304556354916066</v>
      </c>
      <c r="AT98" s="36">
        <v>685</v>
      </c>
      <c r="AU98" s="36">
        <v>800</v>
      </c>
      <c r="AV98" s="37">
        <v>-115</v>
      </c>
      <c r="AW98" s="37">
        <v>-14.374999999999998</v>
      </c>
      <c r="AX98" s="3">
        <v>112458</v>
      </c>
      <c r="AY98" t="str">
        <f t="shared" si="38"/>
        <v>VAIBHAV-KARTIK-LAXMI</v>
      </c>
      <c r="AZ98" t="str">
        <f t="shared" si="39"/>
        <v>Punjabi Bagh</v>
      </c>
      <c r="BC98" s="3">
        <v>112385</v>
      </c>
      <c r="BD98" s="3" t="s">
        <v>72</v>
      </c>
      <c r="BE98" s="40" t="s">
        <v>351</v>
      </c>
      <c r="BF98" s="12" t="s">
        <v>352</v>
      </c>
      <c r="BG98" s="4" t="s">
        <v>187</v>
      </c>
      <c r="BH98" s="4" t="s">
        <v>353</v>
      </c>
      <c r="BI98" s="12" t="s">
        <v>353</v>
      </c>
      <c r="BJ98" s="51" t="s">
        <v>189</v>
      </c>
    </row>
    <row r="99" spans="1:62" ht="36.5" x14ac:dyDescent="0.35">
      <c r="A99">
        <v>106247</v>
      </c>
      <c r="B99" s="84">
        <f t="shared" si="20"/>
        <v>308</v>
      </c>
      <c r="C99" s="84">
        <f t="shared" si="21"/>
        <v>304</v>
      </c>
      <c r="E99" s="3">
        <v>112459</v>
      </c>
      <c r="F99" s="84">
        <v>398</v>
      </c>
      <c r="G99" s="86">
        <v>416</v>
      </c>
      <c r="H99" s="18">
        <v>325</v>
      </c>
      <c r="I99" s="18">
        <v>379</v>
      </c>
      <c r="J99" s="90">
        <v>65</v>
      </c>
      <c r="K99" s="90">
        <v>79</v>
      </c>
      <c r="L99" s="84">
        <v>70</v>
      </c>
      <c r="M99" s="86">
        <v>84</v>
      </c>
      <c r="N99" s="3">
        <v>112439</v>
      </c>
      <c r="O99">
        <f t="shared" si="22"/>
        <v>293</v>
      </c>
      <c r="P99">
        <f t="shared" si="23"/>
        <v>293</v>
      </c>
      <c r="Q99">
        <f t="shared" si="24"/>
        <v>279</v>
      </c>
      <c r="R99">
        <f t="shared" si="25"/>
        <v>253</v>
      </c>
      <c r="S99">
        <f t="shared" si="26"/>
        <v>269</v>
      </c>
      <c r="T99">
        <f t="shared" si="27"/>
        <v>266.5</v>
      </c>
      <c r="U99">
        <f t="shared" si="28"/>
        <v>269</v>
      </c>
      <c r="V99">
        <f t="shared" si="29"/>
        <v>231.5</v>
      </c>
      <c r="X99" s="9">
        <v>41056344</v>
      </c>
      <c r="Y99">
        <f t="shared" si="30"/>
        <v>36</v>
      </c>
      <c r="Z99">
        <f t="shared" si="31"/>
        <v>47.5</v>
      </c>
      <c r="AA99">
        <f t="shared" si="32"/>
        <v>54</v>
      </c>
      <c r="AB99">
        <f t="shared" si="33"/>
        <v>75.5</v>
      </c>
      <c r="AC99">
        <f t="shared" si="34"/>
        <v>404.5</v>
      </c>
      <c r="AD99">
        <f t="shared" si="35"/>
        <v>356</v>
      </c>
      <c r="AE99">
        <f t="shared" si="36"/>
        <v>578.5</v>
      </c>
      <c r="AF99">
        <f t="shared" si="37"/>
        <v>800</v>
      </c>
      <c r="AG99" s="3">
        <v>112439</v>
      </c>
      <c r="AH99" s="31">
        <v>293</v>
      </c>
      <c r="AI99" s="31">
        <v>293</v>
      </c>
      <c r="AJ99" s="37">
        <v>0</v>
      </c>
      <c r="AK99" s="37">
        <v>0</v>
      </c>
      <c r="AL99" s="36">
        <v>279</v>
      </c>
      <c r="AM99" s="36">
        <v>253</v>
      </c>
      <c r="AN99" s="37">
        <v>26</v>
      </c>
      <c r="AO99" s="37">
        <v>10.276679841897234</v>
      </c>
      <c r="AP99" s="38">
        <v>3692</v>
      </c>
      <c r="AQ99" s="39">
        <v>3142.000008</v>
      </c>
      <c r="AR99" s="37">
        <v>549.99999200000002</v>
      </c>
      <c r="AS99" s="37">
        <v>17.504773730096058</v>
      </c>
      <c r="AT99" s="36">
        <v>3052</v>
      </c>
      <c r="AU99" s="36">
        <v>2928.5</v>
      </c>
      <c r="AV99" s="37">
        <v>123.5</v>
      </c>
      <c r="AW99" s="37">
        <v>4.2171760286836264</v>
      </c>
      <c r="AX99" s="3">
        <v>112459</v>
      </c>
      <c r="AY99" t="str">
        <f t="shared" si="38"/>
        <v>PUSHPANJALI</v>
      </c>
      <c r="AZ99" t="str">
        <f t="shared" si="39"/>
        <v>Hauj Khas-Saket-Vasant Kunj</v>
      </c>
      <c r="BC99" s="3">
        <v>112439</v>
      </c>
      <c r="BD99" s="3" t="s">
        <v>72</v>
      </c>
      <c r="BE99" s="43" t="s">
        <v>354</v>
      </c>
      <c r="BF99" s="12" t="s">
        <v>355</v>
      </c>
      <c r="BG99" s="4" t="s">
        <v>187</v>
      </c>
      <c r="BH99" s="4" t="s">
        <v>356</v>
      </c>
      <c r="BI99" s="12" t="s">
        <v>356</v>
      </c>
      <c r="BJ99" s="51" t="s">
        <v>189</v>
      </c>
    </row>
    <row r="100" spans="1:62" ht="48.5" x14ac:dyDescent="0.35">
      <c r="A100">
        <v>107629</v>
      </c>
      <c r="B100" s="84">
        <f t="shared" si="20"/>
        <v>513</v>
      </c>
      <c r="C100" s="84">
        <f t="shared" si="21"/>
        <v>562.5</v>
      </c>
      <c r="E100" s="3">
        <v>112460</v>
      </c>
      <c r="F100" s="84">
        <v>153</v>
      </c>
      <c r="G100" s="86">
        <v>190</v>
      </c>
      <c r="H100" s="18">
        <v>156</v>
      </c>
      <c r="I100" s="18">
        <v>155</v>
      </c>
      <c r="J100" s="90">
        <v>26</v>
      </c>
      <c r="K100" s="90">
        <v>39</v>
      </c>
      <c r="L100" s="84">
        <v>29</v>
      </c>
      <c r="M100" s="86">
        <v>34</v>
      </c>
      <c r="N100" s="3">
        <v>168006</v>
      </c>
      <c r="O100">
        <f t="shared" si="22"/>
        <v>52.5</v>
      </c>
      <c r="P100">
        <f t="shared" si="23"/>
        <v>52</v>
      </c>
      <c r="Q100">
        <f t="shared" si="24"/>
        <v>13.5</v>
      </c>
      <c r="R100">
        <f t="shared" si="25"/>
        <v>32</v>
      </c>
      <c r="S100">
        <f t="shared" si="26"/>
        <v>52</v>
      </c>
      <c r="T100">
        <f t="shared" si="27"/>
        <v>48</v>
      </c>
      <c r="U100">
        <f t="shared" si="28"/>
        <v>20</v>
      </c>
      <c r="V100">
        <f t="shared" si="29"/>
        <v>24</v>
      </c>
      <c r="X100" s="3">
        <v>112404</v>
      </c>
      <c r="Y100">
        <f t="shared" si="30"/>
        <v>423</v>
      </c>
      <c r="Z100">
        <f t="shared" si="31"/>
        <v>400</v>
      </c>
      <c r="AA100">
        <f t="shared" si="32"/>
        <v>261</v>
      </c>
      <c r="AB100">
        <f t="shared" si="33"/>
        <v>296</v>
      </c>
      <c r="AC100">
        <f t="shared" si="34"/>
        <v>5152.5</v>
      </c>
      <c r="AD100">
        <f t="shared" si="35"/>
        <v>4329.5000089999994</v>
      </c>
      <c r="AE100">
        <f t="shared" si="36"/>
        <v>3555.5</v>
      </c>
      <c r="AF100">
        <f t="shared" si="37"/>
        <v>3369</v>
      </c>
      <c r="AG100" s="3">
        <v>168006</v>
      </c>
      <c r="AH100" s="31">
        <v>52.5</v>
      </c>
      <c r="AI100" s="31">
        <v>52</v>
      </c>
      <c r="AJ100" s="37">
        <v>0.5</v>
      </c>
      <c r="AK100" s="37">
        <v>0.96153846153846156</v>
      </c>
      <c r="AL100" s="36">
        <v>13.5</v>
      </c>
      <c r="AM100" s="36">
        <v>32</v>
      </c>
      <c r="AN100" s="37">
        <v>-18.5</v>
      </c>
      <c r="AO100" s="37">
        <v>-57.8125</v>
      </c>
      <c r="AP100" s="38">
        <v>629.5</v>
      </c>
      <c r="AQ100" s="39">
        <v>493.5</v>
      </c>
      <c r="AR100" s="37">
        <v>136</v>
      </c>
      <c r="AS100" s="37">
        <v>27.558257345491388</v>
      </c>
      <c r="AT100" s="36">
        <v>242.5</v>
      </c>
      <c r="AU100" s="36">
        <v>286.5</v>
      </c>
      <c r="AV100" s="37">
        <v>-44</v>
      </c>
      <c r="AW100" s="37">
        <v>-15.357766143106458</v>
      </c>
      <c r="AX100" s="3">
        <v>112460</v>
      </c>
      <c r="AY100" t="str">
        <f t="shared" si="38"/>
        <v>VASUNDHARA_VIJ</v>
      </c>
      <c r="AZ100" t="str">
        <f t="shared" si="39"/>
        <v>Mayur Vihar -Anand Vihar -Preet Vihar</v>
      </c>
      <c r="BC100" s="3">
        <v>168006</v>
      </c>
      <c r="BD100" s="3" t="s">
        <v>72</v>
      </c>
      <c r="BE100" s="41" t="s">
        <v>357</v>
      </c>
      <c r="BF100" s="12" t="s">
        <v>358</v>
      </c>
      <c r="BG100" s="4" t="s">
        <v>89</v>
      </c>
      <c r="BH100" s="4" t="s">
        <v>294</v>
      </c>
      <c r="BI100" s="12" t="s">
        <v>294</v>
      </c>
      <c r="BJ100" s="51" t="s">
        <v>91</v>
      </c>
    </row>
    <row r="101" spans="1:62" ht="36.5" x14ac:dyDescent="0.35">
      <c r="A101">
        <v>356946</v>
      </c>
      <c r="B101" s="84">
        <f t="shared" si="20"/>
        <v>318.35399999999902</v>
      </c>
      <c r="C101" s="84">
        <f t="shared" si="21"/>
        <v>356.21699999999902</v>
      </c>
      <c r="E101" s="3">
        <v>112461</v>
      </c>
      <c r="F101" s="84">
        <v>298</v>
      </c>
      <c r="G101" s="86">
        <v>313</v>
      </c>
      <c r="H101" s="18">
        <v>296</v>
      </c>
      <c r="I101" s="18">
        <v>319</v>
      </c>
      <c r="J101" s="90">
        <v>340</v>
      </c>
      <c r="K101" s="90">
        <v>361</v>
      </c>
      <c r="L101" s="84">
        <v>274</v>
      </c>
      <c r="M101" s="86">
        <v>347</v>
      </c>
      <c r="N101" s="3">
        <v>112456</v>
      </c>
      <c r="O101">
        <f t="shared" si="22"/>
        <v>350</v>
      </c>
      <c r="P101">
        <f t="shared" si="23"/>
        <v>355</v>
      </c>
      <c r="Q101">
        <f t="shared" si="24"/>
        <v>130</v>
      </c>
      <c r="R101">
        <f t="shared" si="25"/>
        <v>175</v>
      </c>
      <c r="S101">
        <f t="shared" si="26"/>
        <v>315</v>
      </c>
      <c r="T101">
        <f t="shared" si="27"/>
        <v>308</v>
      </c>
      <c r="U101">
        <f t="shared" si="28"/>
        <v>85</v>
      </c>
      <c r="V101">
        <f t="shared" si="29"/>
        <v>157</v>
      </c>
      <c r="X101" s="3">
        <v>198751</v>
      </c>
      <c r="Y101">
        <f t="shared" si="30"/>
        <v>24</v>
      </c>
      <c r="Z101">
        <f t="shared" si="31"/>
        <v>32</v>
      </c>
      <c r="AA101">
        <f t="shared" si="32"/>
        <v>12</v>
      </c>
      <c r="AB101">
        <f t="shared" si="33"/>
        <v>28</v>
      </c>
      <c r="AC101">
        <f t="shared" si="34"/>
        <v>338.5</v>
      </c>
      <c r="AD101">
        <f t="shared" si="35"/>
        <v>257.5</v>
      </c>
      <c r="AE101">
        <f t="shared" si="36"/>
        <v>195.5</v>
      </c>
      <c r="AF101">
        <f t="shared" si="37"/>
        <v>248.5</v>
      </c>
      <c r="AG101" s="3">
        <v>112456</v>
      </c>
      <c r="AH101" s="31">
        <v>350</v>
      </c>
      <c r="AI101" s="31">
        <v>355</v>
      </c>
      <c r="AJ101" s="37">
        <v>-5</v>
      </c>
      <c r="AK101" s="37">
        <v>-1.4084507042253522</v>
      </c>
      <c r="AL101" s="36">
        <v>130</v>
      </c>
      <c r="AM101" s="36">
        <v>175</v>
      </c>
      <c r="AN101" s="37">
        <v>-45</v>
      </c>
      <c r="AO101" s="37">
        <v>-25.714285714285712</v>
      </c>
      <c r="AP101" s="38">
        <v>4343</v>
      </c>
      <c r="AQ101" s="39">
        <v>3662.0000150000001</v>
      </c>
      <c r="AR101" s="37">
        <v>680.99998499999992</v>
      </c>
      <c r="AS101" s="37">
        <v>18.59639492655764</v>
      </c>
      <c r="AT101" s="36">
        <v>1893</v>
      </c>
      <c r="AU101" s="36">
        <v>2064</v>
      </c>
      <c r="AV101" s="37">
        <v>-171</v>
      </c>
      <c r="AW101" s="37">
        <v>-8.2848837209302317</v>
      </c>
      <c r="AX101" s="3">
        <v>112461</v>
      </c>
      <c r="AY101" t="str">
        <f t="shared" si="38"/>
        <v>FAST TRACK-VEEJAY</v>
      </c>
      <c r="AZ101" t="str">
        <f t="shared" si="39"/>
        <v>Ashok Vihar</v>
      </c>
      <c r="BC101" s="3">
        <v>112456</v>
      </c>
      <c r="BD101" s="3" t="s">
        <v>72</v>
      </c>
      <c r="BE101" s="43" t="s">
        <v>359</v>
      </c>
      <c r="BF101" s="12" t="s">
        <v>360</v>
      </c>
      <c r="BG101" s="4" t="s">
        <v>85</v>
      </c>
      <c r="BH101" s="4" t="s">
        <v>361</v>
      </c>
      <c r="BI101" s="12" t="s">
        <v>361</v>
      </c>
      <c r="BJ101" s="51" t="s">
        <v>304</v>
      </c>
    </row>
    <row r="102" spans="1:62" ht="36.5" x14ac:dyDescent="0.35">
      <c r="A102">
        <v>186832</v>
      </c>
      <c r="B102" s="84">
        <f t="shared" si="20"/>
        <v>586</v>
      </c>
      <c r="C102" s="84">
        <f t="shared" si="21"/>
        <v>644</v>
      </c>
      <c r="E102" s="3">
        <v>236924</v>
      </c>
      <c r="F102" s="84">
        <v>0</v>
      </c>
      <c r="G102" s="86">
        <v>0</v>
      </c>
      <c r="H102" s="18">
        <v>0</v>
      </c>
      <c r="I102" s="18">
        <v>0</v>
      </c>
      <c r="J102" s="90">
        <v>0</v>
      </c>
      <c r="K102" s="90">
        <v>0</v>
      </c>
      <c r="L102" s="84">
        <v>0</v>
      </c>
      <c r="M102" s="86">
        <v>0</v>
      </c>
      <c r="N102" s="3">
        <v>112446</v>
      </c>
      <c r="O102">
        <f t="shared" si="22"/>
        <v>252</v>
      </c>
      <c r="P102">
        <f t="shared" si="23"/>
        <v>248</v>
      </c>
      <c r="Q102">
        <f t="shared" si="24"/>
        <v>28</v>
      </c>
      <c r="R102">
        <f t="shared" si="25"/>
        <v>40</v>
      </c>
      <c r="S102">
        <f t="shared" si="26"/>
        <v>218</v>
      </c>
      <c r="T102">
        <f t="shared" si="27"/>
        <v>220</v>
      </c>
      <c r="U102">
        <f t="shared" si="28"/>
        <v>24</v>
      </c>
      <c r="V102">
        <f t="shared" si="29"/>
        <v>32</v>
      </c>
      <c r="X102" s="5">
        <v>186865</v>
      </c>
      <c r="Y102">
        <f t="shared" si="30"/>
        <v>325</v>
      </c>
      <c r="Z102">
        <f t="shared" si="31"/>
        <v>330.5</v>
      </c>
      <c r="AA102">
        <f t="shared" si="32"/>
        <v>35</v>
      </c>
      <c r="AB102">
        <f t="shared" si="33"/>
        <v>31.5</v>
      </c>
      <c r="AC102">
        <f t="shared" si="34"/>
        <v>4084.5</v>
      </c>
      <c r="AD102">
        <f t="shared" si="35"/>
        <v>3248</v>
      </c>
      <c r="AE102">
        <f t="shared" si="36"/>
        <v>403.5</v>
      </c>
      <c r="AF102">
        <f t="shared" si="37"/>
        <v>383</v>
      </c>
      <c r="AG102" s="3">
        <v>112446</v>
      </c>
      <c r="AH102" s="31">
        <v>252</v>
      </c>
      <c r="AI102" s="31">
        <v>248</v>
      </c>
      <c r="AJ102" s="37">
        <v>4</v>
      </c>
      <c r="AK102" s="37">
        <v>1.6129032258064515</v>
      </c>
      <c r="AL102" s="36">
        <v>28</v>
      </c>
      <c r="AM102" s="36">
        <v>40</v>
      </c>
      <c r="AN102" s="37">
        <v>-12</v>
      </c>
      <c r="AO102" s="37">
        <v>-30</v>
      </c>
      <c r="AP102" s="38">
        <v>2964</v>
      </c>
      <c r="AQ102" s="39">
        <v>2554.5</v>
      </c>
      <c r="AR102" s="37">
        <v>409.5</v>
      </c>
      <c r="AS102" s="37">
        <v>16.030534351145036</v>
      </c>
      <c r="AT102" s="36">
        <v>396</v>
      </c>
      <c r="AU102" s="36">
        <v>500.5</v>
      </c>
      <c r="AV102" s="37">
        <v>-104.5</v>
      </c>
      <c r="AW102" s="37">
        <v>-20.87912087912088</v>
      </c>
      <c r="AX102" s="3">
        <v>236924</v>
      </c>
      <c r="AY102" t="str">
        <f t="shared" si="38"/>
        <v>MATTA</v>
      </c>
      <c r="AZ102" t="str">
        <f t="shared" si="39"/>
        <v>Mayur Vihar -Anand Vihar -Preet Vihar</v>
      </c>
      <c r="BC102" s="3">
        <v>112446</v>
      </c>
      <c r="BD102" s="3" t="s">
        <v>72</v>
      </c>
      <c r="BE102" s="43" t="s">
        <v>362</v>
      </c>
      <c r="BF102" s="12" t="s">
        <v>363</v>
      </c>
      <c r="BG102" s="4" t="s">
        <v>89</v>
      </c>
      <c r="BH102" s="4" t="s">
        <v>345</v>
      </c>
      <c r="BI102" s="12" t="s">
        <v>345</v>
      </c>
      <c r="BJ102" s="51" t="s">
        <v>205</v>
      </c>
    </row>
    <row r="103" spans="1:62" ht="36.5" x14ac:dyDescent="0.35">
      <c r="A103">
        <v>106249</v>
      </c>
      <c r="B103" s="84">
        <f t="shared" si="20"/>
        <v>234</v>
      </c>
      <c r="C103" s="84">
        <f t="shared" si="21"/>
        <v>238</v>
      </c>
      <c r="E103" s="3">
        <v>112462</v>
      </c>
      <c r="F103" s="84">
        <v>254</v>
      </c>
      <c r="G103" s="86">
        <v>267</v>
      </c>
      <c r="H103" s="18">
        <v>244</v>
      </c>
      <c r="I103" s="18">
        <v>250</v>
      </c>
      <c r="J103" s="90">
        <v>22</v>
      </c>
      <c r="K103" s="90">
        <v>30</v>
      </c>
      <c r="L103" s="84">
        <v>26</v>
      </c>
      <c r="M103" s="86">
        <v>41</v>
      </c>
      <c r="N103" s="3">
        <v>112461</v>
      </c>
      <c r="O103">
        <f t="shared" si="22"/>
        <v>313</v>
      </c>
      <c r="P103">
        <f t="shared" si="23"/>
        <v>319</v>
      </c>
      <c r="Q103">
        <f t="shared" si="24"/>
        <v>347</v>
      </c>
      <c r="R103">
        <f t="shared" si="25"/>
        <v>361</v>
      </c>
      <c r="S103">
        <f t="shared" si="26"/>
        <v>298</v>
      </c>
      <c r="T103">
        <f t="shared" si="27"/>
        <v>296</v>
      </c>
      <c r="U103">
        <f t="shared" si="28"/>
        <v>274</v>
      </c>
      <c r="V103">
        <f t="shared" si="29"/>
        <v>340</v>
      </c>
      <c r="X103" s="7">
        <v>150887</v>
      </c>
      <c r="Y103">
        <f t="shared" si="30"/>
        <v>36</v>
      </c>
      <c r="Z103">
        <f t="shared" si="31"/>
        <v>41</v>
      </c>
      <c r="AA103">
        <f t="shared" si="32"/>
        <v>48</v>
      </c>
      <c r="AB103">
        <f t="shared" si="33"/>
        <v>25</v>
      </c>
      <c r="AC103">
        <f t="shared" si="34"/>
        <v>473</v>
      </c>
      <c r="AD103">
        <f t="shared" si="35"/>
        <v>374</v>
      </c>
      <c r="AE103">
        <f t="shared" si="36"/>
        <v>337</v>
      </c>
      <c r="AF103">
        <f t="shared" si="37"/>
        <v>353</v>
      </c>
      <c r="AG103" s="3">
        <v>112461</v>
      </c>
      <c r="AH103" s="31">
        <v>313</v>
      </c>
      <c r="AI103" s="31">
        <v>319</v>
      </c>
      <c r="AJ103" s="37">
        <v>-6</v>
      </c>
      <c r="AK103" s="37">
        <v>-1.8808777429467085</v>
      </c>
      <c r="AL103" s="36">
        <v>347</v>
      </c>
      <c r="AM103" s="36">
        <v>361</v>
      </c>
      <c r="AN103" s="37">
        <v>-14</v>
      </c>
      <c r="AO103" s="37">
        <v>-3.8781163434903045</v>
      </c>
      <c r="AP103" s="38">
        <v>3617</v>
      </c>
      <c r="AQ103" s="39">
        <v>3260.0000109999996</v>
      </c>
      <c r="AR103" s="37">
        <v>356.99998900000037</v>
      </c>
      <c r="AS103" s="37">
        <v>10.950919871024515</v>
      </c>
      <c r="AT103" s="36">
        <v>3336</v>
      </c>
      <c r="AU103" s="36">
        <v>6519</v>
      </c>
      <c r="AV103" s="37">
        <v>-3183</v>
      </c>
      <c r="AW103" s="37">
        <v>-48.826507132995857</v>
      </c>
      <c r="AX103" s="3">
        <v>112462</v>
      </c>
      <c r="AY103" t="str">
        <f t="shared" si="38"/>
        <v>VASUNDHARA_VIJ</v>
      </c>
      <c r="AZ103" t="str">
        <f t="shared" si="39"/>
        <v>Mayur Vihar -Anand Vihar -Preet Vihar</v>
      </c>
      <c r="BC103" s="3">
        <v>112461</v>
      </c>
      <c r="BD103" s="3" t="s">
        <v>72</v>
      </c>
      <c r="BE103" s="43" t="s">
        <v>364</v>
      </c>
      <c r="BF103" s="12" t="s">
        <v>365</v>
      </c>
      <c r="BG103" s="4" t="s">
        <v>187</v>
      </c>
      <c r="BH103" s="4" t="s">
        <v>366</v>
      </c>
      <c r="BI103" s="12" t="s">
        <v>366</v>
      </c>
      <c r="BJ103" s="51" t="s">
        <v>367</v>
      </c>
    </row>
    <row r="104" spans="1:62" ht="36.5" x14ac:dyDescent="0.35">
      <c r="A104">
        <v>41056985</v>
      </c>
      <c r="B104" s="84">
        <f t="shared" si="20"/>
        <v>105</v>
      </c>
      <c r="C104" s="84">
        <f t="shared" si="21"/>
        <v>111</v>
      </c>
      <c r="E104" s="3">
        <v>131712</v>
      </c>
      <c r="F104" s="84">
        <v>108</v>
      </c>
      <c r="G104" s="86">
        <v>140.5</v>
      </c>
      <c r="H104" s="18">
        <v>125.5</v>
      </c>
      <c r="I104" s="18">
        <v>140</v>
      </c>
      <c r="J104" s="90">
        <v>116.5</v>
      </c>
      <c r="K104" s="90">
        <v>108</v>
      </c>
      <c r="L104" s="84">
        <v>118</v>
      </c>
      <c r="M104" s="86">
        <v>107.5</v>
      </c>
      <c r="N104" s="3">
        <v>112422</v>
      </c>
      <c r="O104">
        <f t="shared" si="22"/>
        <v>606.5</v>
      </c>
      <c r="P104">
        <f t="shared" si="23"/>
        <v>597.5</v>
      </c>
      <c r="Q104">
        <f t="shared" si="24"/>
        <v>67.5</v>
      </c>
      <c r="R104">
        <f t="shared" si="25"/>
        <v>96.5</v>
      </c>
      <c r="S104">
        <f t="shared" si="26"/>
        <v>533</v>
      </c>
      <c r="T104">
        <f t="shared" si="27"/>
        <v>535.5</v>
      </c>
      <c r="U104">
        <f t="shared" si="28"/>
        <v>81</v>
      </c>
      <c r="V104">
        <f t="shared" si="29"/>
        <v>76.5</v>
      </c>
      <c r="X104" s="3">
        <v>112427</v>
      </c>
      <c r="Y104">
        <f t="shared" si="30"/>
        <v>400.5</v>
      </c>
      <c r="Z104">
        <f t="shared" si="31"/>
        <v>336</v>
      </c>
      <c r="AA104">
        <f t="shared" si="32"/>
        <v>175.5</v>
      </c>
      <c r="AB104">
        <f t="shared" si="33"/>
        <v>90</v>
      </c>
      <c r="AC104">
        <f t="shared" si="34"/>
        <v>4499.5</v>
      </c>
      <c r="AD104">
        <f t="shared" si="35"/>
        <v>3430</v>
      </c>
      <c r="AE104">
        <f t="shared" si="36"/>
        <v>1344.5</v>
      </c>
      <c r="AF104">
        <f t="shared" si="37"/>
        <v>1137.5</v>
      </c>
      <c r="AG104" s="3">
        <v>112422</v>
      </c>
      <c r="AH104" s="31">
        <v>606.5</v>
      </c>
      <c r="AI104" s="31">
        <v>597.5</v>
      </c>
      <c r="AJ104" s="37">
        <v>9</v>
      </c>
      <c r="AK104" s="37">
        <v>1.506276150627615</v>
      </c>
      <c r="AL104" s="36">
        <v>67.5</v>
      </c>
      <c r="AM104" s="36">
        <v>96.5</v>
      </c>
      <c r="AN104" s="37">
        <v>-29</v>
      </c>
      <c r="AO104" s="37">
        <v>-30.051813471502591</v>
      </c>
      <c r="AP104" s="38">
        <v>7147</v>
      </c>
      <c r="AQ104" s="39">
        <v>6295.500016</v>
      </c>
      <c r="AR104" s="37">
        <v>851.49998400000004</v>
      </c>
      <c r="AS104" s="37">
        <v>13.525533823142158</v>
      </c>
      <c r="AT104" s="36">
        <v>927</v>
      </c>
      <c r="AU104" s="36">
        <v>1185.5</v>
      </c>
      <c r="AV104" s="37">
        <v>-258.5</v>
      </c>
      <c r="AW104" s="37">
        <v>-21.805145508224378</v>
      </c>
      <c r="AX104" s="3">
        <v>131712</v>
      </c>
      <c r="AY104" t="str">
        <f t="shared" si="38"/>
        <v>GARG-VIJAY-NEW HARYANA</v>
      </c>
      <c r="AZ104" t="str">
        <f t="shared" si="39"/>
        <v>Rohtak Road</v>
      </c>
      <c r="BC104" s="3">
        <v>112422</v>
      </c>
      <c r="BD104" s="3" t="s">
        <v>72</v>
      </c>
      <c r="BE104" s="42" t="s">
        <v>368</v>
      </c>
      <c r="BF104" s="12" t="s">
        <v>369</v>
      </c>
      <c r="BG104" s="4" t="s">
        <v>187</v>
      </c>
      <c r="BH104" s="4" t="s">
        <v>370</v>
      </c>
      <c r="BI104" s="12" t="s">
        <v>370</v>
      </c>
      <c r="BJ104" s="51" t="s">
        <v>189</v>
      </c>
    </row>
    <row r="105" spans="1:62" ht="24.5" x14ac:dyDescent="0.35">
      <c r="A105">
        <v>102112</v>
      </c>
      <c r="B105" s="84">
        <f t="shared" si="20"/>
        <v>562.5</v>
      </c>
      <c r="C105" s="84">
        <f t="shared" si="21"/>
        <v>589.5</v>
      </c>
      <c r="E105" s="3">
        <v>198666</v>
      </c>
      <c r="F105" s="84">
        <v>145.5</v>
      </c>
      <c r="G105" s="86">
        <v>170</v>
      </c>
      <c r="H105" s="18">
        <v>127.5</v>
      </c>
      <c r="I105" s="18">
        <v>148.5</v>
      </c>
      <c r="J105" s="90">
        <v>48.5</v>
      </c>
      <c r="K105" s="90">
        <v>35.5</v>
      </c>
      <c r="L105" s="84">
        <v>52.5</v>
      </c>
      <c r="M105" s="86">
        <v>62</v>
      </c>
      <c r="N105" s="3">
        <v>112438</v>
      </c>
      <c r="O105">
        <f t="shared" si="22"/>
        <v>299</v>
      </c>
      <c r="P105">
        <f t="shared" si="23"/>
        <v>324</v>
      </c>
      <c r="Q105">
        <f t="shared" si="24"/>
        <v>53.5</v>
      </c>
      <c r="R105">
        <f t="shared" si="25"/>
        <v>72</v>
      </c>
      <c r="S105">
        <f t="shared" si="26"/>
        <v>274</v>
      </c>
      <c r="T105">
        <f t="shared" si="27"/>
        <v>292.5</v>
      </c>
      <c r="U105">
        <f t="shared" si="28"/>
        <v>50</v>
      </c>
      <c r="V105">
        <f t="shared" si="29"/>
        <v>54.5</v>
      </c>
      <c r="X105" s="5">
        <v>186860</v>
      </c>
      <c r="Y105">
        <f t="shared" si="30"/>
        <v>770</v>
      </c>
      <c r="Z105">
        <f t="shared" si="31"/>
        <v>733</v>
      </c>
      <c r="AA105">
        <f t="shared" si="32"/>
        <v>210</v>
      </c>
      <c r="AB105">
        <f t="shared" si="33"/>
        <v>233</v>
      </c>
      <c r="AC105">
        <f t="shared" si="34"/>
        <v>9185</v>
      </c>
      <c r="AD105">
        <f t="shared" si="35"/>
        <v>7271</v>
      </c>
      <c r="AE105">
        <f t="shared" si="36"/>
        <v>2775</v>
      </c>
      <c r="AF105">
        <f t="shared" si="37"/>
        <v>3090</v>
      </c>
      <c r="AG105" s="3">
        <v>112438</v>
      </c>
      <c r="AH105" s="31">
        <v>299</v>
      </c>
      <c r="AI105" s="31">
        <v>324</v>
      </c>
      <c r="AJ105" s="37">
        <v>-25</v>
      </c>
      <c r="AK105" s="37">
        <v>-7.716049382716049</v>
      </c>
      <c r="AL105" s="36">
        <v>53.5</v>
      </c>
      <c r="AM105" s="36">
        <v>72</v>
      </c>
      <c r="AN105" s="37">
        <v>-18.5</v>
      </c>
      <c r="AO105" s="37">
        <v>-25.694444444444443</v>
      </c>
      <c r="AP105" s="38">
        <v>3676.5</v>
      </c>
      <c r="AQ105" s="39">
        <v>3065.5000090000003</v>
      </c>
      <c r="AR105" s="37">
        <v>610.99999099999968</v>
      </c>
      <c r="AS105" s="37">
        <v>19.931495325596639</v>
      </c>
      <c r="AT105" s="36">
        <v>756</v>
      </c>
      <c r="AU105" s="36">
        <v>943</v>
      </c>
      <c r="AV105" s="37">
        <v>-187</v>
      </c>
      <c r="AW105" s="37">
        <v>-19.830328738069987</v>
      </c>
      <c r="AX105" s="3">
        <v>198666</v>
      </c>
      <c r="AY105" t="str">
        <f t="shared" si="38"/>
        <v>BPBAWANA_JAIMATA</v>
      </c>
      <c r="AZ105" t="str">
        <f t="shared" si="39"/>
        <v>Narela- Bawana</v>
      </c>
      <c r="BC105" s="3">
        <v>112438</v>
      </c>
      <c r="BD105" s="3" t="s">
        <v>72</v>
      </c>
      <c r="BE105" s="43" t="s">
        <v>371</v>
      </c>
      <c r="BF105" s="12" t="s">
        <v>372</v>
      </c>
      <c r="BG105" s="4" t="s">
        <v>85</v>
      </c>
      <c r="BH105" s="4" t="s">
        <v>373</v>
      </c>
      <c r="BI105" s="12" t="s">
        <v>373</v>
      </c>
      <c r="BJ105" s="51" t="s">
        <v>120</v>
      </c>
    </row>
    <row r="106" spans="1:62" ht="36.5" x14ac:dyDescent="0.35">
      <c r="A106">
        <v>41057004</v>
      </c>
      <c r="B106" s="84">
        <f t="shared" si="20"/>
        <v>749.5</v>
      </c>
      <c r="C106" s="84">
        <f t="shared" si="21"/>
        <v>823</v>
      </c>
      <c r="E106" s="3">
        <v>112466</v>
      </c>
      <c r="F106" s="84">
        <v>49.5</v>
      </c>
      <c r="G106" s="86">
        <v>59</v>
      </c>
      <c r="H106" s="18">
        <v>37.5</v>
      </c>
      <c r="I106" s="18">
        <v>16</v>
      </c>
      <c r="J106" s="90">
        <v>16.5</v>
      </c>
      <c r="K106" s="90">
        <v>8</v>
      </c>
      <c r="L106" s="84">
        <v>16.5</v>
      </c>
      <c r="M106" s="86">
        <v>21</v>
      </c>
      <c r="N106" s="3">
        <v>112442</v>
      </c>
      <c r="O106">
        <f t="shared" si="22"/>
        <v>234.5</v>
      </c>
      <c r="P106">
        <f t="shared" si="23"/>
        <v>252</v>
      </c>
      <c r="Q106">
        <f t="shared" si="24"/>
        <v>1003.5</v>
      </c>
      <c r="R106">
        <f t="shared" si="25"/>
        <v>874</v>
      </c>
      <c r="S106">
        <f t="shared" si="26"/>
        <v>244</v>
      </c>
      <c r="T106">
        <f t="shared" si="27"/>
        <v>232.5</v>
      </c>
      <c r="U106">
        <f t="shared" si="28"/>
        <v>654</v>
      </c>
      <c r="V106">
        <f t="shared" si="29"/>
        <v>813.5</v>
      </c>
      <c r="X106" s="5">
        <v>186864</v>
      </c>
      <c r="Y106">
        <f t="shared" si="30"/>
        <v>352</v>
      </c>
      <c r="Z106">
        <f t="shared" si="31"/>
        <v>322</v>
      </c>
      <c r="AA106">
        <f t="shared" si="32"/>
        <v>92</v>
      </c>
      <c r="AB106">
        <f t="shared" si="33"/>
        <v>52</v>
      </c>
      <c r="AC106">
        <f t="shared" si="34"/>
        <v>3994</v>
      </c>
      <c r="AD106">
        <f t="shared" si="35"/>
        <v>2936</v>
      </c>
      <c r="AE106">
        <f t="shared" si="36"/>
        <v>752</v>
      </c>
      <c r="AF106">
        <f t="shared" si="37"/>
        <v>808</v>
      </c>
      <c r="AG106" s="3">
        <v>112442</v>
      </c>
      <c r="AH106" s="31">
        <v>234.5</v>
      </c>
      <c r="AI106" s="31">
        <v>252</v>
      </c>
      <c r="AJ106" s="37">
        <v>-17.5</v>
      </c>
      <c r="AK106" s="37">
        <v>-6.9444444444444446</v>
      </c>
      <c r="AL106" s="36">
        <v>1003.5</v>
      </c>
      <c r="AM106" s="36">
        <v>874</v>
      </c>
      <c r="AN106" s="37">
        <v>129.5</v>
      </c>
      <c r="AO106" s="37">
        <v>14.816933638443935</v>
      </c>
      <c r="AP106" s="38">
        <v>3138</v>
      </c>
      <c r="AQ106" s="39">
        <v>2941.5</v>
      </c>
      <c r="AR106" s="37">
        <v>196.5</v>
      </c>
      <c r="AS106" s="37">
        <v>6.6802651708312082</v>
      </c>
      <c r="AT106" s="36">
        <v>9254</v>
      </c>
      <c r="AU106" s="36">
        <v>9569</v>
      </c>
      <c r="AV106" s="37">
        <v>-315</v>
      </c>
      <c r="AW106" s="37">
        <v>-3.2918800292611556</v>
      </c>
      <c r="AX106" s="3">
        <v>112466</v>
      </c>
      <c r="AY106" t="str">
        <f t="shared" si="38"/>
        <v>YASHWANT</v>
      </c>
      <c r="AZ106" t="str">
        <f t="shared" si="39"/>
        <v>Lutyens</v>
      </c>
      <c r="BC106" s="3">
        <v>112442</v>
      </c>
      <c r="BD106" s="3" t="s">
        <v>72</v>
      </c>
      <c r="BE106" s="43" t="s">
        <v>374</v>
      </c>
      <c r="BF106" s="12" t="s">
        <v>375</v>
      </c>
      <c r="BG106" s="4" t="s">
        <v>187</v>
      </c>
      <c r="BH106" s="4" t="s">
        <v>356</v>
      </c>
      <c r="BI106" s="12" t="s">
        <v>356</v>
      </c>
      <c r="BJ106" s="51" t="s">
        <v>189</v>
      </c>
    </row>
    <row r="107" spans="1:62" ht="48.5" x14ac:dyDescent="0.35">
      <c r="A107">
        <v>106250</v>
      </c>
      <c r="B107" s="84">
        <f t="shared" si="20"/>
        <v>62.5</v>
      </c>
      <c r="C107" s="84">
        <f t="shared" si="21"/>
        <v>68</v>
      </c>
      <c r="E107" s="3">
        <v>255872</v>
      </c>
      <c r="F107" s="84"/>
      <c r="G107" s="86">
        <v>0</v>
      </c>
      <c r="H107" s="18"/>
      <c r="I107" s="18"/>
      <c r="J107" s="90"/>
      <c r="K107" s="90">
        <v>4</v>
      </c>
      <c r="L107" s="84">
        <v>0</v>
      </c>
      <c r="M107" s="86">
        <v>4</v>
      </c>
      <c r="N107" s="3">
        <v>147286</v>
      </c>
      <c r="O107">
        <f t="shared" si="22"/>
        <v>351</v>
      </c>
      <c r="P107">
        <f t="shared" si="23"/>
        <v>355.5</v>
      </c>
      <c r="Q107">
        <f t="shared" si="24"/>
        <v>27</v>
      </c>
      <c r="R107">
        <f t="shared" si="25"/>
        <v>40.5</v>
      </c>
      <c r="S107">
        <f t="shared" si="26"/>
        <v>292.5</v>
      </c>
      <c r="T107">
        <f t="shared" si="27"/>
        <v>315</v>
      </c>
      <c r="U107">
        <f t="shared" si="28"/>
        <v>31.5</v>
      </c>
      <c r="V107">
        <f t="shared" si="29"/>
        <v>45</v>
      </c>
      <c r="X107" s="3">
        <v>148414</v>
      </c>
      <c r="Y107">
        <f t="shared" si="30"/>
        <v>243</v>
      </c>
      <c r="Z107">
        <f t="shared" si="31"/>
        <v>198</v>
      </c>
      <c r="AA107">
        <f t="shared" si="32"/>
        <v>357</v>
      </c>
      <c r="AB107">
        <f t="shared" si="33"/>
        <v>354</v>
      </c>
      <c r="AC107">
        <f t="shared" si="34"/>
        <v>2632</v>
      </c>
      <c r="AD107">
        <f t="shared" si="35"/>
        <v>1941</v>
      </c>
      <c r="AE107">
        <f t="shared" si="36"/>
        <v>4276</v>
      </c>
      <c r="AF107">
        <f t="shared" si="37"/>
        <v>3886</v>
      </c>
      <c r="AG107" s="3">
        <v>147286</v>
      </c>
      <c r="AH107" s="31">
        <v>351</v>
      </c>
      <c r="AI107" s="31">
        <v>355.5</v>
      </c>
      <c r="AJ107" s="37">
        <v>-4.5</v>
      </c>
      <c r="AK107" s="37">
        <v>-1.2658227848101267</v>
      </c>
      <c r="AL107" s="36">
        <v>27</v>
      </c>
      <c r="AM107" s="36">
        <v>40.5</v>
      </c>
      <c r="AN107" s="37">
        <v>-13.5</v>
      </c>
      <c r="AO107" s="37">
        <v>-33.333333333333329</v>
      </c>
      <c r="AP107" s="38">
        <v>4079.5</v>
      </c>
      <c r="AQ107" s="39">
        <v>3655.5000039999995</v>
      </c>
      <c r="AR107" s="37">
        <v>423.99999600000046</v>
      </c>
      <c r="AS107" s="37">
        <v>11.598960348407662</v>
      </c>
      <c r="AT107" s="36">
        <v>460.5</v>
      </c>
      <c r="AU107" s="36">
        <v>600</v>
      </c>
      <c r="AV107" s="37">
        <v>-139.5</v>
      </c>
      <c r="AW107" s="37">
        <v>-23.25</v>
      </c>
      <c r="AX107" s="3">
        <v>255872</v>
      </c>
      <c r="AY107" t="str">
        <f t="shared" si="38"/>
        <v>WEST DELHI</v>
      </c>
      <c r="AZ107" t="str">
        <f t="shared" si="39"/>
        <v>FuelEnt</v>
      </c>
      <c r="BC107" s="3">
        <v>147286</v>
      </c>
      <c r="BD107" s="3" t="s">
        <v>72</v>
      </c>
      <c r="BE107" s="41" t="s">
        <v>376</v>
      </c>
      <c r="BF107" s="12" t="s">
        <v>377</v>
      </c>
      <c r="BG107" s="4" t="s">
        <v>187</v>
      </c>
      <c r="BH107" s="4" t="s">
        <v>366</v>
      </c>
      <c r="BI107" s="12" t="s">
        <v>366</v>
      </c>
      <c r="BJ107" s="51" t="s">
        <v>367</v>
      </c>
    </row>
    <row r="108" spans="1:62" ht="48.5" x14ac:dyDescent="0.35">
      <c r="A108">
        <v>41056821</v>
      </c>
      <c r="B108" s="84">
        <f t="shared" si="20"/>
        <v>465</v>
      </c>
      <c r="C108" s="84">
        <f t="shared" si="21"/>
        <v>470</v>
      </c>
      <c r="E108" s="3">
        <v>256507</v>
      </c>
      <c r="F108" s="84"/>
      <c r="G108" s="86">
        <v>0</v>
      </c>
      <c r="H108" s="18"/>
      <c r="I108" s="18"/>
      <c r="J108" s="90"/>
      <c r="K108" s="90">
        <v>6</v>
      </c>
      <c r="L108" s="84">
        <v>0</v>
      </c>
      <c r="M108" s="86">
        <v>0</v>
      </c>
      <c r="N108" s="3">
        <v>151186</v>
      </c>
      <c r="O108">
        <f t="shared" si="22"/>
        <v>30</v>
      </c>
      <c r="P108">
        <f t="shared" si="23"/>
        <v>64</v>
      </c>
      <c r="Q108">
        <f t="shared" si="24"/>
        <v>10</v>
      </c>
      <c r="R108">
        <f t="shared" si="25"/>
        <v>26</v>
      </c>
      <c r="S108">
        <f t="shared" si="26"/>
        <v>50</v>
      </c>
      <c r="T108">
        <f t="shared" si="27"/>
        <v>54.5</v>
      </c>
      <c r="U108">
        <f t="shared" si="28"/>
        <v>10</v>
      </c>
      <c r="V108">
        <f t="shared" si="29"/>
        <v>23.5</v>
      </c>
      <c r="X108" s="9">
        <v>41056828</v>
      </c>
      <c r="Y108">
        <f t="shared" si="30"/>
        <v>278.5</v>
      </c>
      <c r="Z108">
        <f t="shared" si="31"/>
        <v>262</v>
      </c>
      <c r="AA108">
        <f t="shared" si="32"/>
        <v>73.5</v>
      </c>
      <c r="AB108">
        <f t="shared" si="33"/>
        <v>65</v>
      </c>
      <c r="AC108">
        <f t="shared" si="34"/>
        <v>3563</v>
      </c>
      <c r="AD108">
        <f t="shared" si="35"/>
        <v>2713</v>
      </c>
      <c r="AE108">
        <f t="shared" si="36"/>
        <v>882</v>
      </c>
      <c r="AF108">
        <f t="shared" si="37"/>
        <v>972.5</v>
      </c>
      <c r="AG108" s="3">
        <v>151186</v>
      </c>
      <c r="AH108" s="31">
        <v>30</v>
      </c>
      <c r="AI108" s="31">
        <v>64</v>
      </c>
      <c r="AJ108" s="37">
        <v>-34</v>
      </c>
      <c r="AK108" s="37">
        <v>-53.125</v>
      </c>
      <c r="AL108" s="36">
        <v>10</v>
      </c>
      <c r="AM108" s="36">
        <v>26</v>
      </c>
      <c r="AN108" s="37">
        <v>-16</v>
      </c>
      <c r="AO108" s="37">
        <v>-61.53846153846154</v>
      </c>
      <c r="AP108" s="38">
        <v>633</v>
      </c>
      <c r="AQ108" s="39">
        <v>615</v>
      </c>
      <c r="AR108" s="37">
        <v>18</v>
      </c>
      <c r="AS108" s="37">
        <v>2.9268292682926833</v>
      </c>
      <c r="AT108" s="36">
        <v>171</v>
      </c>
      <c r="AU108" s="36">
        <v>258.5</v>
      </c>
      <c r="AV108" s="37">
        <v>-87.5</v>
      </c>
      <c r="AW108" s="37">
        <v>-33.849129593810446</v>
      </c>
      <c r="AX108" s="3">
        <v>256507</v>
      </c>
      <c r="AY108" t="str">
        <f t="shared" si="38"/>
        <v>SOUTH WEST DELHI</v>
      </c>
      <c r="AZ108" t="str">
        <f t="shared" si="39"/>
        <v>FuelEnt</v>
      </c>
      <c r="BC108" s="3">
        <v>151186</v>
      </c>
      <c r="BD108" s="3" t="s">
        <v>72</v>
      </c>
      <c r="BE108" s="41" t="s">
        <v>378</v>
      </c>
      <c r="BF108" s="12" t="s">
        <v>379</v>
      </c>
      <c r="BG108" s="4" t="s">
        <v>89</v>
      </c>
      <c r="BH108" s="4" t="s">
        <v>294</v>
      </c>
      <c r="BI108" s="12" t="s">
        <v>294</v>
      </c>
      <c r="BJ108" s="51" t="s">
        <v>91</v>
      </c>
    </row>
    <row r="109" spans="1:62" ht="36.5" x14ac:dyDescent="0.35">
      <c r="A109">
        <v>106251</v>
      </c>
      <c r="B109" s="84">
        <f t="shared" si="20"/>
        <v>536</v>
      </c>
      <c r="C109" s="84">
        <f t="shared" si="21"/>
        <v>572</v>
      </c>
      <c r="E109" s="3">
        <v>257311</v>
      </c>
      <c r="F109" s="84"/>
      <c r="G109" s="86">
        <v>0</v>
      </c>
      <c r="H109" s="18"/>
      <c r="I109" s="18"/>
      <c r="J109" s="90"/>
      <c r="K109" s="90"/>
      <c r="L109" s="84">
        <v>0</v>
      </c>
      <c r="M109" s="86">
        <v>6</v>
      </c>
      <c r="N109" s="9">
        <v>41076270</v>
      </c>
      <c r="O109">
        <f t="shared" si="22"/>
        <v>112</v>
      </c>
      <c r="P109">
        <f t="shared" si="23"/>
        <v>18</v>
      </c>
      <c r="Q109">
        <f t="shared" si="24"/>
        <v>68</v>
      </c>
      <c r="R109">
        <f t="shared" si="25"/>
        <v>4</v>
      </c>
      <c r="S109">
        <f t="shared" si="26"/>
        <v>96</v>
      </c>
      <c r="T109">
        <f t="shared" si="27"/>
        <v>0</v>
      </c>
      <c r="U109">
        <f t="shared" si="28"/>
        <v>42</v>
      </c>
      <c r="V109">
        <f t="shared" si="29"/>
        <v>0</v>
      </c>
      <c r="X109" s="3">
        <v>112458</v>
      </c>
      <c r="Y109">
        <f t="shared" si="30"/>
        <v>860</v>
      </c>
      <c r="Z109">
        <f t="shared" si="31"/>
        <v>820</v>
      </c>
      <c r="AA109">
        <f t="shared" si="32"/>
        <v>100</v>
      </c>
      <c r="AB109">
        <f t="shared" si="33"/>
        <v>100</v>
      </c>
      <c r="AC109">
        <f t="shared" si="34"/>
        <v>10228</v>
      </c>
      <c r="AD109">
        <f t="shared" si="35"/>
        <v>8335</v>
      </c>
      <c r="AE109">
        <f t="shared" si="36"/>
        <v>1190</v>
      </c>
      <c r="AF109">
        <f t="shared" si="37"/>
        <v>1310</v>
      </c>
      <c r="AG109" s="9">
        <v>41076270</v>
      </c>
      <c r="AH109" s="31">
        <v>112</v>
      </c>
      <c r="AI109" s="31">
        <v>18</v>
      </c>
      <c r="AJ109" s="37">
        <v>94</v>
      </c>
      <c r="AK109" s="37">
        <v>522.22222222222229</v>
      </c>
      <c r="AL109" s="36">
        <v>68</v>
      </c>
      <c r="AM109" s="36">
        <v>4</v>
      </c>
      <c r="AN109" s="37">
        <v>64</v>
      </c>
      <c r="AO109" s="37">
        <v>1600</v>
      </c>
      <c r="AP109" s="38">
        <v>1146</v>
      </c>
      <c r="AQ109" s="39">
        <v>0</v>
      </c>
      <c r="AR109" s="37">
        <v>1146</v>
      </c>
      <c r="AS109" s="37" t="e">
        <v>#DIV/0!</v>
      </c>
      <c r="AT109" s="36">
        <v>629</v>
      </c>
      <c r="AU109" s="36">
        <v>7</v>
      </c>
      <c r="AV109" s="37">
        <v>622</v>
      </c>
      <c r="AW109" s="37">
        <v>8885.7142857142862</v>
      </c>
      <c r="AX109" s="3">
        <v>257311</v>
      </c>
      <c r="AY109" t="e">
        <f t="shared" si="38"/>
        <v>#N/A</v>
      </c>
      <c r="AZ109" t="e">
        <f t="shared" si="39"/>
        <v>#N/A</v>
      </c>
      <c r="BC109" s="9">
        <v>41076270</v>
      </c>
      <c r="BD109" s="9" t="s">
        <v>380</v>
      </c>
      <c r="BE109" s="47" t="s">
        <v>381</v>
      </c>
      <c r="BF109" s="14" t="s">
        <v>382</v>
      </c>
      <c r="BG109" s="10" t="s">
        <v>85</v>
      </c>
      <c r="BH109" s="10" t="s">
        <v>383</v>
      </c>
      <c r="BI109" s="12" t="s">
        <v>383</v>
      </c>
      <c r="BJ109" s="51" t="s">
        <v>141</v>
      </c>
    </row>
    <row r="110" spans="1:62" ht="48.5" x14ac:dyDescent="0.35">
      <c r="A110">
        <v>41019298</v>
      </c>
      <c r="B110" s="84">
        <f t="shared" si="20"/>
        <v>308</v>
      </c>
      <c r="C110" s="84">
        <f t="shared" si="21"/>
        <v>306</v>
      </c>
      <c r="E110" s="5">
        <v>106251</v>
      </c>
      <c r="F110" s="19">
        <v>536</v>
      </c>
      <c r="G110" s="19">
        <v>572</v>
      </c>
      <c r="H110" s="19">
        <v>454.5</v>
      </c>
      <c r="I110" s="19">
        <v>504</v>
      </c>
      <c r="J110" s="19">
        <v>73.5</v>
      </c>
      <c r="K110" s="19">
        <v>84</v>
      </c>
      <c r="L110" s="19">
        <v>68</v>
      </c>
      <c r="M110" s="19">
        <v>76</v>
      </c>
      <c r="N110" s="9">
        <v>41056524</v>
      </c>
      <c r="O110">
        <f t="shared" si="22"/>
        <v>185.5</v>
      </c>
      <c r="P110">
        <f t="shared" si="23"/>
        <v>169.5</v>
      </c>
      <c r="Q110">
        <f t="shared" si="24"/>
        <v>379.5</v>
      </c>
      <c r="R110">
        <f t="shared" si="25"/>
        <v>445.5</v>
      </c>
      <c r="S110">
        <f t="shared" si="26"/>
        <v>174</v>
      </c>
      <c r="T110">
        <f t="shared" si="27"/>
        <v>134</v>
      </c>
      <c r="U110">
        <f t="shared" si="28"/>
        <v>328</v>
      </c>
      <c r="V110">
        <f t="shared" si="29"/>
        <v>449</v>
      </c>
      <c r="X110" s="9">
        <v>41057013</v>
      </c>
      <c r="Y110">
        <f t="shared" si="30"/>
        <v>262</v>
      </c>
      <c r="Z110">
        <f t="shared" si="31"/>
        <v>275</v>
      </c>
      <c r="AA110">
        <f t="shared" si="32"/>
        <v>18</v>
      </c>
      <c r="AB110">
        <f t="shared" si="33"/>
        <v>22</v>
      </c>
      <c r="AC110">
        <f t="shared" si="34"/>
        <v>3365.5</v>
      </c>
      <c r="AD110">
        <f t="shared" si="35"/>
        <v>2685.5</v>
      </c>
      <c r="AE110">
        <f t="shared" si="36"/>
        <v>279.5</v>
      </c>
      <c r="AF110">
        <f t="shared" si="37"/>
        <v>327.5</v>
      </c>
      <c r="AG110" s="9">
        <v>41056524</v>
      </c>
      <c r="AH110" s="31">
        <v>185.5</v>
      </c>
      <c r="AI110" s="31">
        <v>169.5</v>
      </c>
      <c r="AJ110" s="37">
        <v>16</v>
      </c>
      <c r="AK110" s="37">
        <v>9.4395280235988199</v>
      </c>
      <c r="AL110" s="36">
        <v>379.5</v>
      </c>
      <c r="AM110" s="36">
        <v>445.5</v>
      </c>
      <c r="AN110" s="37">
        <v>-66</v>
      </c>
      <c r="AO110" s="37">
        <v>-14.814814814814813</v>
      </c>
      <c r="AP110" s="38">
        <v>2205</v>
      </c>
      <c r="AQ110" s="39">
        <v>1314</v>
      </c>
      <c r="AR110" s="37">
        <v>891</v>
      </c>
      <c r="AS110" s="37">
        <v>67.808219178082197</v>
      </c>
      <c r="AT110" s="36">
        <v>4223</v>
      </c>
      <c r="AU110" s="36">
        <v>4776.5</v>
      </c>
      <c r="AV110" s="37">
        <v>-553.5</v>
      </c>
      <c r="AW110" s="37">
        <v>-11.587982832618025</v>
      </c>
      <c r="AX110" s="5">
        <v>106251</v>
      </c>
      <c r="AY110" t="str">
        <f t="shared" si="38"/>
        <v>RAVI FS</v>
      </c>
      <c r="AZ110" t="str">
        <f t="shared" si="39"/>
        <v>Hauj Khas-Saket-Vasant Kunj</v>
      </c>
      <c r="BC110" s="9">
        <v>41056524</v>
      </c>
      <c r="BD110" s="9" t="s">
        <v>380</v>
      </c>
      <c r="BE110" s="48" t="s">
        <v>384</v>
      </c>
      <c r="BF110" s="14" t="s">
        <v>385</v>
      </c>
      <c r="BG110" s="10" t="s">
        <v>187</v>
      </c>
      <c r="BH110" s="12" t="s">
        <v>356</v>
      </c>
      <c r="BI110" s="12" t="s">
        <v>356</v>
      </c>
      <c r="BJ110" s="51" t="s">
        <v>189</v>
      </c>
    </row>
    <row r="111" spans="1:62" ht="48.5" x14ac:dyDescent="0.35">
      <c r="A111">
        <v>102075</v>
      </c>
      <c r="B111" s="84">
        <f t="shared" si="20"/>
        <v>270</v>
      </c>
      <c r="C111" s="84">
        <f t="shared" si="21"/>
        <v>270</v>
      </c>
      <c r="E111" s="5">
        <v>356678</v>
      </c>
      <c r="F111" s="19">
        <v>453.89400000000001</v>
      </c>
      <c r="G111" s="19">
        <v>501.79899999999901</v>
      </c>
      <c r="H111" s="19">
        <v>470.80600000000004</v>
      </c>
      <c r="I111" s="19">
        <v>488</v>
      </c>
      <c r="J111" s="19">
        <v>52.112000000000002</v>
      </c>
      <c r="K111" s="19">
        <v>54</v>
      </c>
      <c r="L111" s="19">
        <v>52.351999999999897</v>
      </c>
      <c r="M111" s="19">
        <v>61.103000000000002</v>
      </c>
      <c r="N111" s="9">
        <v>41056343</v>
      </c>
      <c r="O111">
        <f t="shared" si="22"/>
        <v>28</v>
      </c>
      <c r="P111">
        <f t="shared" si="23"/>
        <v>36</v>
      </c>
      <c r="Q111">
        <f t="shared" si="24"/>
        <v>20</v>
      </c>
      <c r="R111">
        <f t="shared" si="25"/>
        <v>24</v>
      </c>
      <c r="S111">
        <f t="shared" si="26"/>
        <v>28</v>
      </c>
      <c r="T111">
        <f t="shared" si="27"/>
        <v>24</v>
      </c>
      <c r="U111">
        <f t="shared" si="28"/>
        <v>20</v>
      </c>
      <c r="V111">
        <f t="shared" si="29"/>
        <v>24</v>
      </c>
      <c r="X111" s="5">
        <v>106341</v>
      </c>
      <c r="Y111">
        <f t="shared" si="30"/>
        <v>351</v>
      </c>
      <c r="Z111">
        <f t="shared" si="31"/>
        <v>351</v>
      </c>
      <c r="AA111">
        <f t="shared" si="32"/>
        <v>83</v>
      </c>
      <c r="AB111">
        <f t="shared" si="33"/>
        <v>81</v>
      </c>
      <c r="AC111">
        <f t="shared" si="34"/>
        <v>4051</v>
      </c>
      <c r="AD111">
        <f t="shared" si="35"/>
        <v>4007</v>
      </c>
      <c r="AE111">
        <f t="shared" si="36"/>
        <v>1107</v>
      </c>
      <c r="AF111">
        <f t="shared" si="37"/>
        <v>1401</v>
      </c>
      <c r="AG111" s="9">
        <v>41056343</v>
      </c>
      <c r="AH111" s="31">
        <v>28</v>
      </c>
      <c r="AI111" s="31">
        <v>36</v>
      </c>
      <c r="AJ111" s="37">
        <v>-8</v>
      </c>
      <c r="AK111" s="37">
        <v>-22.222222222222221</v>
      </c>
      <c r="AL111" s="36">
        <v>20</v>
      </c>
      <c r="AM111" s="36">
        <v>24</v>
      </c>
      <c r="AN111" s="37">
        <v>-4</v>
      </c>
      <c r="AO111" s="37">
        <v>-16.666666666666664</v>
      </c>
      <c r="AP111" s="38">
        <v>327</v>
      </c>
      <c r="AQ111" s="39">
        <v>254</v>
      </c>
      <c r="AR111" s="37">
        <v>73</v>
      </c>
      <c r="AS111" s="37">
        <v>28.740157480314959</v>
      </c>
      <c r="AT111" s="36">
        <v>239</v>
      </c>
      <c r="AU111" s="36">
        <v>298</v>
      </c>
      <c r="AV111" s="37">
        <v>-59</v>
      </c>
      <c r="AW111" s="37">
        <v>-19.798657718120804</v>
      </c>
      <c r="AX111" s="5">
        <v>356678</v>
      </c>
      <c r="AY111" t="str">
        <f t="shared" si="38"/>
        <v>White Patch_Geeta Colony</v>
      </c>
      <c r="AZ111" t="str">
        <f t="shared" si="39"/>
        <v>Mayur Vihar -Anand Vihar -Preet Vihar</v>
      </c>
      <c r="BC111" s="9">
        <v>41056343</v>
      </c>
      <c r="BD111" s="9" t="s">
        <v>380</v>
      </c>
      <c r="BE111" s="47" t="s">
        <v>386</v>
      </c>
      <c r="BF111" s="14" t="s">
        <v>387</v>
      </c>
      <c r="BG111" s="10" t="s">
        <v>85</v>
      </c>
      <c r="BH111" s="10" t="s">
        <v>192</v>
      </c>
      <c r="BI111" s="12" t="s">
        <v>192</v>
      </c>
      <c r="BJ111" s="51" t="s">
        <v>178</v>
      </c>
    </row>
    <row r="112" spans="1:62" ht="36.5" x14ac:dyDescent="0.35">
      <c r="A112">
        <v>106256</v>
      </c>
      <c r="B112" s="84">
        <f t="shared" si="20"/>
        <v>230</v>
      </c>
      <c r="C112" s="84">
        <f t="shared" si="21"/>
        <v>293</v>
      </c>
      <c r="E112" s="5">
        <v>524842</v>
      </c>
      <c r="F112" s="19">
        <v>336</v>
      </c>
      <c r="G112" s="19">
        <v>256</v>
      </c>
      <c r="H112" s="19">
        <v>296</v>
      </c>
      <c r="I112" s="19">
        <v>302</v>
      </c>
      <c r="J112" s="19">
        <v>142</v>
      </c>
      <c r="K112" s="19">
        <v>160</v>
      </c>
      <c r="L112" s="19">
        <v>182</v>
      </c>
      <c r="M112" s="19">
        <v>182</v>
      </c>
      <c r="N112" s="9">
        <v>41032594</v>
      </c>
      <c r="O112">
        <f t="shared" si="22"/>
        <v>322.5</v>
      </c>
      <c r="P112">
        <f t="shared" si="23"/>
        <v>238.5</v>
      </c>
      <c r="Q112">
        <f t="shared" si="24"/>
        <v>96.5</v>
      </c>
      <c r="R112">
        <f t="shared" si="25"/>
        <v>54.5</v>
      </c>
      <c r="S112">
        <f t="shared" si="26"/>
        <v>282</v>
      </c>
      <c r="T112">
        <f t="shared" si="27"/>
        <v>213.5</v>
      </c>
      <c r="U112">
        <f t="shared" si="28"/>
        <v>81</v>
      </c>
      <c r="V112">
        <f t="shared" si="29"/>
        <v>63.5</v>
      </c>
      <c r="X112" s="9">
        <v>41027003</v>
      </c>
      <c r="Y112">
        <f t="shared" si="30"/>
        <v>155</v>
      </c>
      <c r="Z112">
        <f t="shared" si="31"/>
        <v>165.5</v>
      </c>
      <c r="AA112">
        <f t="shared" si="32"/>
        <v>65</v>
      </c>
      <c r="AB112">
        <f t="shared" si="33"/>
        <v>82.5</v>
      </c>
      <c r="AC112">
        <f t="shared" si="34"/>
        <v>2078.5</v>
      </c>
      <c r="AD112">
        <f t="shared" si="35"/>
        <v>1640.5</v>
      </c>
      <c r="AE112">
        <f t="shared" si="36"/>
        <v>944.5</v>
      </c>
      <c r="AF112">
        <f t="shared" si="37"/>
        <v>771</v>
      </c>
      <c r="AG112" s="9">
        <v>41032594</v>
      </c>
      <c r="AH112" s="31">
        <v>322.5</v>
      </c>
      <c r="AI112" s="31">
        <v>238.5</v>
      </c>
      <c r="AJ112" s="37">
        <v>84</v>
      </c>
      <c r="AK112" s="37">
        <v>35.220125786163521</v>
      </c>
      <c r="AL112" s="36">
        <v>96.5</v>
      </c>
      <c r="AM112" s="36">
        <v>54.5</v>
      </c>
      <c r="AN112" s="37">
        <v>42</v>
      </c>
      <c r="AO112" s="37">
        <v>77.064220183486242</v>
      </c>
      <c r="AP112" s="38">
        <v>3785.5</v>
      </c>
      <c r="AQ112" s="39">
        <v>2484.5</v>
      </c>
      <c r="AR112" s="37">
        <v>1301</v>
      </c>
      <c r="AS112" s="37">
        <v>52.36466089756491</v>
      </c>
      <c r="AT112" s="36">
        <v>988.5</v>
      </c>
      <c r="AU112" s="36">
        <v>843.5</v>
      </c>
      <c r="AV112" s="37">
        <v>145</v>
      </c>
      <c r="AW112" s="37">
        <v>17.190278601066982</v>
      </c>
      <c r="AX112" s="5">
        <v>524842</v>
      </c>
      <c r="AY112" t="str">
        <f t="shared" si="38"/>
        <v>ARAVALI</v>
      </c>
      <c r="AZ112" t="str">
        <f t="shared" si="39"/>
        <v>Dwarka</v>
      </c>
      <c r="BC112" s="9">
        <v>41032594</v>
      </c>
      <c r="BD112" s="9" t="s">
        <v>380</v>
      </c>
      <c r="BE112" s="47" t="s">
        <v>388</v>
      </c>
      <c r="BF112" s="14" t="s">
        <v>389</v>
      </c>
      <c r="BG112" s="10" t="s">
        <v>89</v>
      </c>
      <c r="BH112" s="10" t="s">
        <v>204</v>
      </c>
      <c r="BI112" s="12" t="s">
        <v>204</v>
      </c>
      <c r="BJ112" s="51" t="s">
        <v>205</v>
      </c>
    </row>
    <row r="113" spans="1:62" ht="48.5" x14ac:dyDescent="0.35">
      <c r="A113">
        <v>41031838</v>
      </c>
      <c r="B113" s="84">
        <f t="shared" si="20"/>
        <v>368</v>
      </c>
      <c r="C113" s="84">
        <f t="shared" si="21"/>
        <v>389</v>
      </c>
      <c r="E113" s="5">
        <v>106287</v>
      </c>
      <c r="F113" s="19">
        <v>684</v>
      </c>
      <c r="G113" s="19">
        <v>700</v>
      </c>
      <c r="H113" s="19">
        <v>670</v>
      </c>
      <c r="I113" s="19">
        <v>750</v>
      </c>
      <c r="J113" s="19">
        <v>270</v>
      </c>
      <c r="K113" s="19">
        <v>308</v>
      </c>
      <c r="L113" s="19">
        <v>290</v>
      </c>
      <c r="M113" s="19">
        <v>408</v>
      </c>
      <c r="N113" s="9">
        <v>41057008</v>
      </c>
      <c r="O113">
        <f t="shared" si="22"/>
        <v>403</v>
      </c>
      <c r="P113">
        <f t="shared" si="23"/>
        <v>335</v>
      </c>
      <c r="Q113">
        <f t="shared" si="24"/>
        <v>85</v>
      </c>
      <c r="R113">
        <f t="shared" si="25"/>
        <v>205</v>
      </c>
      <c r="S113">
        <f t="shared" si="26"/>
        <v>405</v>
      </c>
      <c r="T113">
        <f t="shared" si="27"/>
        <v>325</v>
      </c>
      <c r="U113">
        <f t="shared" si="28"/>
        <v>95</v>
      </c>
      <c r="V113">
        <f t="shared" si="29"/>
        <v>200</v>
      </c>
      <c r="X113" s="9">
        <v>41056327</v>
      </c>
      <c r="Y113">
        <f t="shared" si="30"/>
        <v>512</v>
      </c>
      <c r="Z113">
        <f t="shared" si="31"/>
        <v>479</v>
      </c>
      <c r="AA113">
        <f t="shared" si="32"/>
        <v>126</v>
      </c>
      <c r="AB113">
        <f t="shared" si="33"/>
        <v>118</v>
      </c>
      <c r="AC113">
        <f t="shared" si="34"/>
        <v>5992.5</v>
      </c>
      <c r="AD113">
        <f t="shared" si="35"/>
        <v>4774</v>
      </c>
      <c r="AE113">
        <f t="shared" si="36"/>
        <v>1420.5</v>
      </c>
      <c r="AF113">
        <f t="shared" si="37"/>
        <v>1513</v>
      </c>
      <c r="AG113" s="9">
        <v>41057008</v>
      </c>
      <c r="AH113" s="31">
        <v>403</v>
      </c>
      <c r="AI113" s="31">
        <v>335</v>
      </c>
      <c r="AJ113" s="37">
        <v>68</v>
      </c>
      <c r="AK113" s="37">
        <v>20.298507462686565</v>
      </c>
      <c r="AL113" s="36">
        <v>85</v>
      </c>
      <c r="AM113" s="36">
        <v>205</v>
      </c>
      <c r="AN113" s="37">
        <v>-120</v>
      </c>
      <c r="AO113" s="37">
        <v>-58.536585365853654</v>
      </c>
      <c r="AP113" s="38">
        <v>4938</v>
      </c>
      <c r="AQ113" s="39">
        <v>3737</v>
      </c>
      <c r="AR113" s="37">
        <v>1201</v>
      </c>
      <c r="AS113" s="37">
        <v>32.138078672732142</v>
      </c>
      <c r="AT113" s="36">
        <v>1523</v>
      </c>
      <c r="AU113" s="36">
        <v>2621</v>
      </c>
      <c r="AV113" s="37">
        <v>-1098</v>
      </c>
      <c r="AW113" s="37">
        <v>-41.892407478061813</v>
      </c>
      <c r="AX113" s="5">
        <v>106287</v>
      </c>
      <c r="AY113" t="str">
        <f t="shared" si="38"/>
        <v>White Patch_Moti Bagh</v>
      </c>
      <c r="AZ113" t="str">
        <f t="shared" si="39"/>
        <v>Inner Ring Road</v>
      </c>
      <c r="BC113" s="9">
        <v>41057008</v>
      </c>
      <c r="BD113" s="9" t="s">
        <v>380</v>
      </c>
      <c r="BE113" s="48" t="s">
        <v>390</v>
      </c>
      <c r="BF113" s="14" t="s">
        <v>391</v>
      </c>
      <c r="BG113" s="10" t="s">
        <v>89</v>
      </c>
      <c r="BH113" s="10" t="s">
        <v>204</v>
      </c>
      <c r="BI113" s="12" t="s">
        <v>204</v>
      </c>
      <c r="BJ113" s="51" t="s">
        <v>205</v>
      </c>
    </row>
    <row r="114" spans="1:62" ht="48.5" x14ac:dyDescent="0.35">
      <c r="A114">
        <v>41057005</v>
      </c>
      <c r="B114" s="84">
        <f t="shared" si="20"/>
        <v>581</v>
      </c>
      <c r="C114" s="84">
        <f t="shared" si="21"/>
        <v>665</v>
      </c>
      <c r="E114" s="5">
        <v>231563</v>
      </c>
      <c r="F114" s="19">
        <v>461</v>
      </c>
      <c r="G114" s="19">
        <v>461</v>
      </c>
      <c r="H114" s="19">
        <v>494</v>
      </c>
      <c r="I114" s="19">
        <v>494</v>
      </c>
      <c r="J114" s="19">
        <v>254</v>
      </c>
      <c r="K114" s="19">
        <v>232</v>
      </c>
      <c r="L114" s="19">
        <v>208</v>
      </c>
      <c r="M114" s="19">
        <v>225</v>
      </c>
      <c r="N114" s="9">
        <v>41028903</v>
      </c>
      <c r="O114">
        <f t="shared" si="22"/>
        <v>502</v>
      </c>
      <c r="P114">
        <f t="shared" si="23"/>
        <v>525</v>
      </c>
      <c r="Q114">
        <f t="shared" si="24"/>
        <v>136</v>
      </c>
      <c r="R114">
        <f t="shared" si="25"/>
        <v>188</v>
      </c>
      <c r="S114">
        <f t="shared" si="26"/>
        <v>500</v>
      </c>
      <c r="T114">
        <f t="shared" si="27"/>
        <v>474</v>
      </c>
      <c r="U114">
        <f t="shared" si="28"/>
        <v>138</v>
      </c>
      <c r="V114">
        <f t="shared" si="29"/>
        <v>164</v>
      </c>
      <c r="X114" s="9">
        <v>41019298</v>
      </c>
      <c r="Y114">
        <f t="shared" si="30"/>
        <v>306</v>
      </c>
      <c r="Z114">
        <f t="shared" si="31"/>
        <v>288</v>
      </c>
      <c r="AA114">
        <f t="shared" si="32"/>
        <v>86</v>
      </c>
      <c r="AB114">
        <f t="shared" si="33"/>
        <v>75</v>
      </c>
      <c r="AC114">
        <f t="shared" si="34"/>
        <v>3515.5</v>
      </c>
      <c r="AD114">
        <f t="shared" si="35"/>
        <v>2525</v>
      </c>
      <c r="AE114">
        <f t="shared" si="36"/>
        <v>938.5</v>
      </c>
      <c r="AF114">
        <f t="shared" si="37"/>
        <v>944</v>
      </c>
      <c r="AG114" s="9">
        <v>41028903</v>
      </c>
      <c r="AH114" s="31">
        <v>502</v>
      </c>
      <c r="AI114" s="31">
        <v>525</v>
      </c>
      <c r="AJ114" s="37">
        <v>-23</v>
      </c>
      <c r="AK114" s="37">
        <v>-4.3809523809523814</v>
      </c>
      <c r="AL114" s="36">
        <v>136</v>
      </c>
      <c r="AM114" s="36">
        <v>188</v>
      </c>
      <c r="AN114" s="37">
        <v>-52</v>
      </c>
      <c r="AO114" s="37">
        <v>-27.659574468085108</v>
      </c>
      <c r="AP114" s="38">
        <v>6529</v>
      </c>
      <c r="AQ114" s="39">
        <v>5005</v>
      </c>
      <c r="AR114" s="37">
        <v>1524</v>
      </c>
      <c r="AS114" s="37">
        <v>30.449550449550451</v>
      </c>
      <c r="AT114" s="36">
        <v>1900</v>
      </c>
      <c r="AU114" s="36">
        <v>2106</v>
      </c>
      <c r="AV114" s="37">
        <v>-206</v>
      </c>
      <c r="AW114" s="37">
        <v>-9.7815764482431149</v>
      </c>
      <c r="AX114" s="5">
        <v>231563</v>
      </c>
      <c r="AY114" t="str">
        <f t="shared" si="38"/>
        <v>White Patch_Bhikaji Kama to South Ex RING Road</v>
      </c>
      <c r="AZ114" t="str">
        <f t="shared" si="39"/>
        <v>Inner Ring Road</v>
      </c>
      <c r="BC114" s="9">
        <v>41028903</v>
      </c>
      <c r="BD114" s="9" t="s">
        <v>380</v>
      </c>
      <c r="BE114" s="47" t="s">
        <v>393</v>
      </c>
      <c r="BF114" s="14" t="s">
        <v>394</v>
      </c>
      <c r="BG114" s="10" t="s">
        <v>89</v>
      </c>
      <c r="BH114" s="10" t="s">
        <v>307</v>
      </c>
      <c r="BI114" s="12" t="s">
        <v>395</v>
      </c>
      <c r="BJ114" s="51" t="s">
        <v>248</v>
      </c>
    </row>
    <row r="115" spans="1:62" ht="48.5" x14ac:dyDescent="0.35">
      <c r="A115">
        <v>147286</v>
      </c>
      <c r="B115" s="84">
        <f t="shared" si="20"/>
        <v>292.5</v>
      </c>
      <c r="C115" s="84">
        <f t="shared" si="21"/>
        <v>351</v>
      </c>
      <c r="E115" s="5">
        <v>190056</v>
      </c>
      <c r="F115" s="19">
        <v>149.5</v>
      </c>
      <c r="G115" s="19">
        <v>126.5</v>
      </c>
      <c r="H115" s="19">
        <v>158</v>
      </c>
      <c r="I115" s="19">
        <v>174</v>
      </c>
      <c r="J115" s="19">
        <v>54</v>
      </c>
      <c r="K115" s="19">
        <v>68</v>
      </c>
      <c r="L115" s="19">
        <v>36.5</v>
      </c>
      <c r="M115" s="19">
        <v>39.5</v>
      </c>
      <c r="N115" s="9">
        <v>41056984</v>
      </c>
      <c r="O115">
        <f t="shared" si="22"/>
        <v>402</v>
      </c>
      <c r="P115">
        <f t="shared" si="23"/>
        <v>353</v>
      </c>
      <c r="Q115">
        <f t="shared" si="24"/>
        <v>30</v>
      </c>
      <c r="R115">
        <f t="shared" si="25"/>
        <v>30</v>
      </c>
      <c r="S115">
        <f t="shared" si="26"/>
        <v>378</v>
      </c>
      <c r="T115">
        <f t="shared" si="27"/>
        <v>328</v>
      </c>
      <c r="U115">
        <f t="shared" si="28"/>
        <v>30</v>
      </c>
      <c r="V115">
        <f t="shared" si="29"/>
        <v>31</v>
      </c>
      <c r="X115" s="3">
        <v>167171</v>
      </c>
      <c r="Y115">
        <f t="shared" si="30"/>
        <v>91</v>
      </c>
      <c r="Z115">
        <f t="shared" si="31"/>
        <v>93.5</v>
      </c>
      <c r="AA115">
        <f t="shared" si="32"/>
        <v>35</v>
      </c>
      <c r="AB115">
        <f t="shared" si="33"/>
        <v>34.5</v>
      </c>
      <c r="AC115">
        <f t="shared" si="34"/>
        <v>1131</v>
      </c>
      <c r="AD115">
        <f t="shared" si="35"/>
        <v>951.5</v>
      </c>
      <c r="AE115">
        <f t="shared" si="36"/>
        <v>403</v>
      </c>
      <c r="AF115">
        <f t="shared" si="37"/>
        <v>333.5</v>
      </c>
      <c r="AG115" s="9">
        <v>41056984</v>
      </c>
      <c r="AH115" s="31">
        <v>402</v>
      </c>
      <c r="AI115" s="31">
        <v>353</v>
      </c>
      <c r="AJ115" s="37">
        <v>49</v>
      </c>
      <c r="AK115" s="37">
        <v>13.881019830028329</v>
      </c>
      <c r="AL115" s="36">
        <v>30</v>
      </c>
      <c r="AM115" s="36">
        <v>30</v>
      </c>
      <c r="AN115" s="37">
        <v>0</v>
      </c>
      <c r="AO115" s="37">
        <v>0</v>
      </c>
      <c r="AP115" s="38">
        <v>4738</v>
      </c>
      <c r="AQ115" s="39">
        <v>3483.5</v>
      </c>
      <c r="AR115" s="37">
        <v>1254.5</v>
      </c>
      <c r="AS115" s="37">
        <v>36.012630974594515</v>
      </c>
      <c r="AT115" s="36">
        <v>386</v>
      </c>
      <c r="AU115" s="36">
        <v>348.5</v>
      </c>
      <c r="AV115" s="37">
        <v>37.5</v>
      </c>
      <c r="AW115" s="37">
        <v>10.760401721664275</v>
      </c>
      <c r="AX115" s="5">
        <v>190056</v>
      </c>
      <c r="AY115" t="str">
        <f t="shared" si="38"/>
        <v>White Patch_DwarkaExpressway_Bijwasan</v>
      </c>
      <c r="AZ115" t="str">
        <f t="shared" si="39"/>
        <v>Dwarka</v>
      </c>
      <c r="BC115" s="9">
        <v>41056984</v>
      </c>
      <c r="BD115" s="9" t="s">
        <v>380</v>
      </c>
      <c r="BE115" s="47" t="s">
        <v>396</v>
      </c>
      <c r="BF115" s="14" t="s">
        <v>397</v>
      </c>
      <c r="BG115" s="10" t="s">
        <v>85</v>
      </c>
      <c r="BH115" s="10" t="s">
        <v>192</v>
      </c>
      <c r="BI115" s="12" t="s">
        <v>192</v>
      </c>
      <c r="BJ115" s="51" t="s">
        <v>178</v>
      </c>
    </row>
    <row r="116" spans="1:62" ht="36.5" x14ac:dyDescent="0.35">
      <c r="A116">
        <v>106259</v>
      </c>
      <c r="B116" s="84">
        <f t="shared" si="20"/>
        <v>174.5</v>
      </c>
      <c r="C116" s="84">
        <f t="shared" si="21"/>
        <v>175</v>
      </c>
      <c r="E116" s="5">
        <v>106289</v>
      </c>
      <c r="F116" s="19">
        <v>693</v>
      </c>
      <c r="G116" s="19">
        <v>787</v>
      </c>
      <c r="H116" s="19">
        <v>665</v>
      </c>
      <c r="I116" s="19">
        <v>723.5</v>
      </c>
      <c r="J116" s="19">
        <v>163</v>
      </c>
      <c r="K116" s="19">
        <v>166.5</v>
      </c>
      <c r="L116" s="19">
        <v>131</v>
      </c>
      <c r="M116" s="19">
        <v>151</v>
      </c>
      <c r="N116" s="9">
        <v>41056983</v>
      </c>
      <c r="O116">
        <f t="shared" si="22"/>
        <v>266</v>
      </c>
      <c r="P116">
        <f t="shared" si="23"/>
        <v>297</v>
      </c>
      <c r="Q116">
        <f t="shared" si="24"/>
        <v>28</v>
      </c>
      <c r="R116">
        <f t="shared" si="25"/>
        <v>48.5</v>
      </c>
      <c r="S116">
        <f t="shared" si="26"/>
        <v>251</v>
      </c>
      <c r="T116">
        <f t="shared" si="27"/>
        <v>244</v>
      </c>
      <c r="U116">
        <f t="shared" si="28"/>
        <v>21</v>
      </c>
      <c r="V116">
        <f t="shared" si="29"/>
        <v>40</v>
      </c>
      <c r="X116" s="9">
        <v>41056995</v>
      </c>
      <c r="Y116">
        <f t="shared" si="30"/>
        <v>111</v>
      </c>
      <c r="Z116">
        <f t="shared" si="31"/>
        <v>111.5</v>
      </c>
      <c r="AA116">
        <f t="shared" si="32"/>
        <v>26</v>
      </c>
      <c r="AB116">
        <f t="shared" si="33"/>
        <v>112.5</v>
      </c>
      <c r="AC116">
        <f t="shared" si="34"/>
        <v>1376</v>
      </c>
      <c r="AD116">
        <f t="shared" si="35"/>
        <v>1097.5</v>
      </c>
      <c r="AE116">
        <f t="shared" si="36"/>
        <v>823</v>
      </c>
      <c r="AF116">
        <f t="shared" si="37"/>
        <v>1578</v>
      </c>
      <c r="AG116" s="9">
        <v>41056983</v>
      </c>
      <c r="AH116" s="31">
        <v>266</v>
      </c>
      <c r="AI116" s="31">
        <v>297</v>
      </c>
      <c r="AJ116" s="37">
        <v>-31</v>
      </c>
      <c r="AK116" s="37">
        <v>-10.437710437710438</v>
      </c>
      <c r="AL116" s="36">
        <v>28</v>
      </c>
      <c r="AM116" s="36">
        <v>48.5</v>
      </c>
      <c r="AN116" s="37">
        <v>-20.5</v>
      </c>
      <c r="AO116" s="37">
        <v>-42.268041237113401</v>
      </c>
      <c r="AP116" s="38">
        <v>3623.5</v>
      </c>
      <c r="AQ116" s="39">
        <v>2999</v>
      </c>
      <c r="AR116" s="37">
        <v>624.5</v>
      </c>
      <c r="AS116" s="37">
        <v>20.823607869289763</v>
      </c>
      <c r="AT116" s="36">
        <v>523.5</v>
      </c>
      <c r="AU116" s="36">
        <v>649.5</v>
      </c>
      <c r="AV116" s="37">
        <v>-126</v>
      </c>
      <c r="AW116" s="37">
        <v>-19.399538106235568</v>
      </c>
      <c r="AX116" s="5">
        <v>106289</v>
      </c>
      <c r="AY116" t="str">
        <f t="shared" si="38"/>
        <v>White Patch_Merrut Expressway</v>
      </c>
      <c r="AZ116" t="str">
        <f t="shared" si="39"/>
        <v>Mayur Vihar -Anand Vihar -Preet Vihar</v>
      </c>
      <c r="BC116" s="9">
        <v>41056983</v>
      </c>
      <c r="BD116" s="9" t="s">
        <v>380</v>
      </c>
      <c r="BE116" s="48" t="s">
        <v>398</v>
      </c>
      <c r="BF116" s="14" t="s">
        <v>399</v>
      </c>
      <c r="BG116" s="10" t="s">
        <v>187</v>
      </c>
      <c r="BH116" s="10" t="s">
        <v>366</v>
      </c>
      <c r="BI116" s="12" t="s">
        <v>366</v>
      </c>
      <c r="BJ116" s="51" t="s">
        <v>367</v>
      </c>
    </row>
    <row r="117" spans="1:62" ht="36.5" x14ac:dyDescent="0.35">
      <c r="A117">
        <v>112401</v>
      </c>
      <c r="B117" s="84">
        <f t="shared" si="20"/>
        <v>138</v>
      </c>
      <c r="C117" s="84">
        <f t="shared" si="21"/>
        <v>133</v>
      </c>
      <c r="E117" s="5">
        <v>106344</v>
      </c>
      <c r="F117" s="19">
        <v>725</v>
      </c>
      <c r="G117" s="19">
        <v>831.5</v>
      </c>
      <c r="H117" s="19">
        <v>676.5</v>
      </c>
      <c r="I117" s="19">
        <v>729.5</v>
      </c>
      <c r="J117" s="19">
        <v>157.5</v>
      </c>
      <c r="K117" s="19">
        <v>134.5</v>
      </c>
      <c r="L117" s="19">
        <v>163</v>
      </c>
      <c r="M117" s="19">
        <v>222.5</v>
      </c>
      <c r="N117" s="9">
        <v>41032431</v>
      </c>
      <c r="O117">
        <f t="shared" si="22"/>
        <v>374</v>
      </c>
      <c r="P117">
        <f t="shared" si="23"/>
        <v>348</v>
      </c>
      <c r="Q117">
        <f t="shared" si="24"/>
        <v>77</v>
      </c>
      <c r="R117">
        <f t="shared" si="25"/>
        <v>70</v>
      </c>
      <c r="S117">
        <f t="shared" si="26"/>
        <v>350</v>
      </c>
      <c r="T117">
        <f t="shared" si="27"/>
        <v>315</v>
      </c>
      <c r="U117">
        <f t="shared" si="28"/>
        <v>65</v>
      </c>
      <c r="V117">
        <f t="shared" si="29"/>
        <v>53</v>
      </c>
      <c r="X117" s="5">
        <v>332207</v>
      </c>
      <c r="Y117">
        <f t="shared" si="30"/>
        <v>189.497999999999</v>
      </c>
      <c r="Z117">
        <f t="shared" si="31"/>
        <v>170.15200000000002</v>
      </c>
      <c r="AA117">
        <f t="shared" si="32"/>
        <v>88.007000000000005</v>
      </c>
      <c r="AB117">
        <f t="shared" si="33"/>
        <v>64.468999999999994</v>
      </c>
      <c r="AC117">
        <f t="shared" si="34"/>
        <v>2273.7429999999986</v>
      </c>
      <c r="AD117">
        <f t="shared" si="35"/>
        <v>1733.4449999999999</v>
      </c>
      <c r="AE117">
        <f t="shared" si="36"/>
        <v>869.22899999999959</v>
      </c>
      <c r="AF117">
        <f t="shared" si="37"/>
        <v>827.04099999999971</v>
      </c>
      <c r="AG117" s="9">
        <v>41032431</v>
      </c>
      <c r="AH117" s="31">
        <v>374</v>
      </c>
      <c r="AI117" s="31">
        <v>348</v>
      </c>
      <c r="AJ117" s="37">
        <v>26</v>
      </c>
      <c r="AK117" s="37">
        <v>7.4712643678160928</v>
      </c>
      <c r="AL117" s="36">
        <v>77</v>
      </c>
      <c r="AM117" s="36">
        <v>70</v>
      </c>
      <c r="AN117" s="37">
        <v>7</v>
      </c>
      <c r="AO117" s="37">
        <v>10</v>
      </c>
      <c r="AP117" s="38">
        <v>4622</v>
      </c>
      <c r="AQ117" s="39">
        <v>3755</v>
      </c>
      <c r="AR117" s="37">
        <v>867</v>
      </c>
      <c r="AS117" s="37">
        <v>23.089214380825567</v>
      </c>
      <c r="AT117" s="36">
        <v>870</v>
      </c>
      <c r="AU117" s="36">
        <v>903</v>
      </c>
      <c r="AV117" s="37">
        <v>-33</v>
      </c>
      <c r="AW117" s="37">
        <v>-3.6544850498338874</v>
      </c>
      <c r="AX117" s="5">
        <v>106344</v>
      </c>
      <c r="AY117" t="str">
        <f t="shared" si="38"/>
        <v>White Patch- Rohini</v>
      </c>
      <c r="AZ117" t="str">
        <f t="shared" si="39"/>
        <v>Rohini</v>
      </c>
      <c r="BC117" s="9">
        <v>41032431</v>
      </c>
      <c r="BD117" s="9" t="s">
        <v>380</v>
      </c>
      <c r="BE117" s="47" t="s">
        <v>400</v>
      </c>
      <c r="BF117" s="14" t="s">
        <v>391</v>
      </c>
      <c r="BG117" s="10" t="s">
        <v>89</v>
      </c>
      <c r="BH117" s="10" t="s">
        <v>310</v>
      </c>
      <c r="BI117" s="12" t="s">
        <v>392</v>
      </c>
      <c r="BJ117" s="51" t="s">
        <v>178</v>
      </c>
    </row>
    <row r="118" spans="1:62" ht="48.5" x14ac:dyDescent="0.35">
      <c r="A118">
        <v>194183</v>
      </c>
      <c r="B118" s="84">
        <f t="shared" si="20"/>
        <v>361</v>
      </c>
      <c r="C118" s="84">
        <f t="shared" si="21"/>
        <v>408</v>
      </c>
      <c r="E118" s="5">
        <v>102112</v>
      </c>
      <c r="F118" s="19">
        <v>562.5</v>
      </c>
      <c r="G118" s="19">
        <v>589.5</v>
      </c>
      <c r="H118" s="19">
        <v>468</v>
      </c>
      <c r="I118" s="19">
        <v>522</v>
      </c>
      <c r="J118" s="19">
        <v>108</v>
      </c>
      <c r="K118" s="19">
        <v>108</v>
      </c>
      <c r="L118" s="19">
        <v>103.5</v>
      </c>
      <c r="M118" s="19">
        <v>112.5</v>
      </c>
      <c r="N118" s="9">
        <v>41056499</v>
      </c>
      <c r="O118">
        <f t="shared" si="22"/>
        <v>242</v>
      </c>
      <c r="P118">
        <f t="shared" si="23"/>
        <v>231</v>
      </c>
      <c r="Q118">
        <f t="shared" si="24"/>
        <v>106</v>
      </c>
      <c r="R118">
        <f t="shared" si="25"/>
        <v>113</v>
      </c>
      <c r="S118">
        <f t="shared" si="26"/>
        <v>220</v>
      </c>
      <c r="T118">
        <f t="shared" si="27"/>
        <v>205</v>
      </c>
      <c r="U118">
        <f t="shared" si="28"/>
        <v>93</v>
      </c>
      <c r="V118">
        <f t="shared" si="29"/>
        <v>120</v>
      </c>
      <c r="X118" s="5">
        <v>106323</v>
      </c>
      <c r="Y118">
        <f t="shared" si="30"/>
        <v>130</v>
      </c>
      <c r="Z118">
        <f t="shared" si="31"/>
        <v>116.5</v>
      </c>
      <c r="AA118">
        <f t="shared" si="32"/>
        <v>164</v>
      </c>
      <c r="AB118">
        <f t="shared" si="33"/>
        <v>123.5</v>
      </c>
      <c r="AC118">
        <f t="shared" si="34"/>
        <v>1540</v>
      </c>
      <c r="AD118">
        <f t="shared" si="35"/>
        <v>1241.5</v>
      </c>
      <c r="AE118">
        <f t="shared" si="36"/>
        <v>1602</v>
      </c>
      <c r="AF118">
        <f t="shared" si="37"/>
        <v>1805.5</v>
      </c>
      <c r="AG118" s="9">
        <v>41056499</v>
      </c>
      <c r="AH118" s="31">
        <v>242</v>
      </c>
      <c r="AI118" s="31">
        <v>231</v>
      </c>
      <c r="AJ118" s="37">
        <v>11</v>
      </c>
      <c r="AK118" s="37">
        <v>4.7619047619047619</v>
      </c>
      <c r="AL118" s="36">
        <v>106</v>
      </c>
      <c r="AM118" s="36">
        <v>113</v>
      </c>
      <c r="AN118" s="37">
        <v>-7</v>
      </c>
      <c r="AO118" s="37">
        <v>-6.1946902654867255</v>
      </c>
      <c r="AP118" s="38">
        <v>2993</v>
      </c>
      <c r="AQ118" s="39">
        <v>2342</v>
      </c>
      <c r="AR118" s="37">
        <v>651</v>
      </c>
      <c r="AS118" s="37">
        <v>27.79675491033305</v>
      </c>
      <c r="AT118" s="36">
        <v>1354</v>
      </c>
      <c r="AU118" s="36">
        <v>1421</v>
      </c>
      <c r="AV118" s="37">
        <v>-67</v>
      </c>
      <c r="AW118" s="37">
        <v>-4.7149894440534839</v>
      </c>
      <c r="AX118" s="5">
        <v>102112</v>
      </c>
      <c r="AY118" t="str">
        <f t="shared" si="38"/>
        <v>RING ROAD</v>
      </c>
      <c r="AZ118" t="str">
        <f t="shared" si="39"/>
        <v>Inner Ring Road</v>
      </c>
      <c r="BC118" s="9">
        <v>41056499</v>
      </c>
      <c r="BD118" s="9" t="s">
        <v>380</v>
      </c>
      <c r="BE118" s="48" t="s">
        <v>401</v>
      </c>
      <c r="BF118" s="14" t="s">
        <v>402</v>
      </c>
      <c r="BG118" s="10" t="s">
        <v>187</v>
      </c>
      <c r="BH118" s="10" t="s">
        <v>315</v>
      </c>
      <c r="BI118" s="12" t="s">
        <v>315</v>
      </c>
      <c r="BJ118" s="51" t="s">
        <v>189</v>
      </c>
    </row>
    <row r="119" spans="1:62" ht="24.5" x14ac:dyDescent="0.35">
      <c r="A119">
        <v>112402</v>
      </c>
      <c r="B119" s="84">
        <f t="shared" si="20"/>
        <v>200</v>
      </c>
      <c r="C119" s="84">
        <f t="shared" si="21"/>
        <v>205</v>
      </c>
      <c r="E119" s="5">
        <v>102118</v>
      </c>
      <c r="F119" s="19">
        <v>535</v>
      </c>
      <c r="G119" s="19">
        <v>567</v>
      </c>
      <c r="H119" s="19">
        <v>544</v>
      </c>
      <c r="I119" s="19">
        <v>574</v>
      </c>
      <c r="J119" s="19">
        <v>190</v>
      </c>
      <c r="K119" s="19">
        <v>208</v>
      </c>
      <c r="L119" s="19">
        <v>175</v>
      </c>
      <c r="M119" s="19">
        <v>227</v>
      </c>
      <c r="N119" s="9">
        <v>41056527</v>
      </c>
      <c r="O119">
        <f t="shared" si="22"/>
        <v>256</v>
      </c>
      <c r="P119">
        <f t="shared" si="23"/>
        <v>238.5</v>
      </c>
      <c r="Q119">
        <f t="shared" si="24"/>
        <v>92</v>
      </c>
      <c r="R119">
        <f t="shared" si="25"/>
        <v>123.5</v>
      </c>
      <c r="S119">
        <f t="shared" si="26"/>
        <v>281.5</v>
      </c>
      <c r="T119">
        <f t="shared" si="27"/>
        <v>229.5</v>
      </c>
      <c r="U119">
        <f t="shared" si="28"/>
        <v>96.5</v>
      </c>
      <c r="V119">
        <f t="shared" si="29"/>
        <v>112.5</v>
      </c>
      <c r="X119" s="9">
        <v>41031838</v>
      </c>
      <c r="Y119">
        <f t="shared" si="30"/>
        <v>389</v>
      </c>
      <c r="Z119">
        <f t="shared" si="31"/>
        <v>283.5</v>
      </c>
      <c r="AA119">
        <f t="shared" si="32"/>
        <v>141</v>
      </c>
      <c r="AB119">
        <f t="shared" si="33"/>
        <v>85.5</v>
      </c>
      <c r="AC119">
        <f t="shared" si="34"/>
        <v>4464.5</v>
      </c>
      <c r="AD119">
        <f t="shared" si="35"/>
        <v>2907.5</v>
      </c>
      <c r="AE119">
        <f t="shared" si="36"/>
        <v>1373.5</v>
      </c>
      <c r="AF119">
        <f t="shared" si="37"/>
        <v>1009</v>
      </c>
      <c r="AG119" s="9">
        <v>41056527</v>
      </c>
      <c r="AH119" s="31">
        <v>256</v>
      </c>
      <c r="AI119" s="31">
        <v>238.5</v>
      </c>
      <c r="AJ119" s="37">
        <v>17.5</v>
      </c>
      <c r="AK119" s="37">
        <v>7.3375262054507342</v>
      </c>
      <c r="AL119" s="36">
        <v>92</v>
      </c>
      <c r="AM119" s="36">
        <v>123.5</v>
      </c>
      <c r="AN119" s="37">
        <v>-31.5</v>
      </c>
      <c r="AO119" s="37">
        <v>-25.506072874493928</v>
      </c>
      <c r="AP119" s="38">
        <v>3346.5</v>
      </c>
      <c r="AQ119" s="39">
        <v>2575.5</v>
      </c>
      <c r="AR119" s="37">
        <v>771</v>
      </c>
      <c r="AS119" s="37">
        <v>29.935934769947579</v>
      </c>
      <c r="AT119" s="36">
        <v>1372.5</v>
      </c>
      <c r="AU119" s="36">
        <v>1336.5</v>
      </c>
      <c r="AV119" s="37">
        <v>36</v>
      </c>
      <c r="AW119" s="37">
        <v>2.6936026936026933</v>
      </c>
      <c r="AX119" s="5">
        <v>102118</v>
      </c>
      <c r="AY119" t="str">
        <f t="shared" si="38"/>
        <v>MATTA</v>
      </c>
      <c r="AZ119" t="str">
        <f t="shared" si="39"/>
        <v>Mayur Vihar -Anand Vihar -Preet Vihar</v>
      </c>
      <c r="BC119" s="9">
        <v>41056527</v>
      </c>
      <c r="BD119" s="9" t="s">
        <v>380</v>
      </c>
      <c r="BE119" s="47" t="s">
        <v>403</v>
      </c>
      <c r="BF119" s="14" t="s">
        <v>404</v>
      </c>
      <c r="BG119" s="10" t="s">
        <v>187</v>
      </c>
      <c r="BH119" s="10" t="s">
        <v>188</v>
      </c>
      <c r="BI119" s="12" t="s">
        <v>188</v>
      </c>
      <c r="BJ119" s="51" t="s">
        <v>189</v>
      </c>
    </row>
    <row r="120" spans="1:62" ht="24.5" x14ac:dyDescent="0.35">
      <c r="A120">
        <v>106260</v>
      </c>
      <c r="B120" s="84">
        <f t="shared" si="20"/>
        <v>145</v>
      </c>
      <c r="C120" s="84">
        <f t="shared" si="21"/>
        <v>140</v>
      </c>
      <c r="E120" s="5">
        <v>194183</v>
      </c>
      <c r="F120" s="19">
        <v>361</v>
      </c>
      <c r="G120" s="19">
        <v>408</v>
      </c>
      <c r="H120" s="19">
        <v>300</v>
      </c>
      <c r="I120" s="19">
        <v>341</v>
      </c>
      <c r="J120" s="19">
        <v>68</v>
      </c>
      <c r="K120" s="19">
        <v>69</v>
      </c>
      <c r="L120" s="19">
        <v>73</v>
      </c>
      <c r="M120" s="19">
        <v>84</v>
      </c>
      <c r="N120" s="9">
        <v>41019288</v>
      </c>
      <c r="O120">
        <f t="shared" si="22"/>
        <v>266</v>
      </c>
      <c r="P120">
        <f t="shared" si="23"/>
        <v>243</v>
      </c>
      <c r="Q120">
        <f t="shared" si="24"/>
        <v>20</v>
      </c>
      <c r="R120">
        <f t="shared" si="25"/>
        <v>21</v>
      </c>
      <c r="S120">
        <f t="shared" si="26"/>
        <v>217</v>
      </c>
      <c r="T120">
        <f t="shared" si="27"/>
        <v>210</v>
      </c>
      <c r="U120">
        <f t="shared" si="28"/>
        <v>25</v>
      </c>
      <c r="V120">
        <f t="shared" si="29"/>
        <v>24</v>
      </c>
      <c r="X120" s="5">
        <v>106330</v>
      </c>
      <c r="Y120">
        <f t="shared" si="30"/>
        <v>959</v>
      </c>
      <c r="Z120">
        <f t="shared" si="31"/>
        <v>675</v>
      </c>
      <c r="AA120">
        <f t="shared" si="32"/>
        <v>157</v>
      </c>
      <c r="AB120">
        <f t="shared" si="33"/>
        <v>99</v>
      </c>
      <c r="AC120">
        <f t="shared" si="34"/>
        <v>8765.5</v>
      </c>
      <c r="AD120">
        <f t="shared" si="35"/>
        <v>7329.5</v>
      </c>
      <c r="AE120">
        <f t="shared" si="36"/>
        <v>1334.5</v>
      </c>
      <c r="AF120">
        <f t="shared" si="37"/>
        <v>1475.5</v>
      </c>
      <c r="AG120" s="9">
        <v>41019288</v>
      </c>
      <c r="AH120" s="31">
        <v>266</v>
      </c>
      <c r="AI120" s="31">
        <v>243</v>
      </c>
      <c r="AJ120" s="37">
        <v>23</v>
      </c>
      <c r="AK120" s="37">
        <v>9.4650205761316872</v>
      </c>
      <c r="AL120" s="36">
        <v>20</v>
      </c>
      <c r="AM120" s="36">
        <v>21</v>
      </c>
      <c r="AN120" s="37">
        <v>-1</v>
      </c>
      <c r="AO120" s="37">
        <v>-4.7619047619047619</v>
      </c>
      <c r="AP120" s="38">
        <v>3089.5</v>
      </c>
      <c r="AQ120" s="39">
        <v>2426</v>
      </c>
      <c r="AR120" s="37">
        <v>663.5</v>
      </c>
      <c r="AS120" s="37">
        <v>27.349546578730422</v>
      </c>
      <c r="AT120" s="36">
        <v>278.5</v>
      </c>
      <c r="AU120" s="36">
        <v>306</v>
      </c>
      <c r="AV120" s="37">
        <v>-27.5</v>
      </c>
      <c r="AW120" s="37">
        <v>-8.9869281045751634</v>
      </c>
      <c r="AX120" s="5">
        <v>194183</v>
      </c>
      <c r="AY120" t="str">
        <f t="shared" si="38"/>
        <v>White Patch_Dwarka Sector19</v>
      </c>
      <c r="AZ120" t="str">
        <f t="shared" si="39"/>
        <v>Dwarka</v>
      </c>
      <c r="BC120" s="9">
        <v>41019288</v>
      </c>
      <c r="BD120" s="9" t="s">
        <v>380</v>
      </c>
      <c r="BE120" s="47" t="s">
        <v>405</v>
      </c>
      <c r="BF120" s="15" t="s">
        <v>389</v>
      </c>
      <c r="BG120" s="10" t="s">
        <v>89</v>
      </c>
      <c r="BH120" s="10" t="s">
        <v>345</v>
      </c>
      <c r="BI120" s="12" t="s">
        <v>345</v>
      </c>
      <c r="BJ120" s="51" t="s">
        <v>205</v>
      </c>
    </row>
    <row r="121" spans="1:62" ht="36.5" x14ac:dyDescent="0.35">
      <c r="A121">
        <v>144329</v>
      </c>
      <c r="B121" s="84">
        <f t="shared" si="20"/>
        <v>331</v>
      </c>
      <c r="C121" s="84">
        <f t="shared" si="21"/>
        <v>285</v>
      </c>
      <c r="E121" s="5">
        <v>186866</v>
      </c>
      <c r="F121" s="19">
        <v>725</v>
      </c>
      <c r="G121" s="19">
        <v>809</v>
      </c>
      <c r="H121" s="19">
        <v>641</v>
      </c>
      <c r="I121" s="19">
        <v>680</v>
      </c>
      <c r="J121" s="19">
        <v>181</v>
      </c>
      <c r="K121" s="19">
        <v>190</v>
      </c>
      <c r="L121" s="19">
        <v>173</v>
      </c>
      <c r="M121" s="19">
        <v>221</v>
      </c>
      <c r="N121" s="9">
        <v>41056544</v>
      </c>
      <c r="O121">
        <f t="shared" si="22"/>
        <v>387</v>
      </c>
      <c r="P121">
        <f t="shared" si="23"/>
        <v>458</v>
      </c>
      <c r="Q121">
        <f t="shared" si="24"/>
        <v>254</v>
      </c>
      <c r="R121">
        <f t="shared" si="25"/>
        <v>292</v>
      </c>
      <c r="S121">
        <f t="shared" si="26"/>
        <v>395</v>
      </c>
      <c r="T121">
        <f t="shared" si="27"/>
        <v>415</v>
      </c>
      <c r="U121">
        <f t="shared" si="28"/>
        <v>207</v>
      </c>
      <c r="V121">
        <f t="shared" si="29"/>
        <v>318</v>
      </c>
      <c r="X121" s="5">
        <v>106373</v>
      </c>
      <c r="Y121">
        <f t="shared" si="30"/>
        <v>110</v>
      </c>
      <c r="Z121">
        <f t="shared" si="31"/>
        <v>94.5</v>
      </c>
      <c r="AA121">
        <f t="shared" si="32"/>
        <v>450</v>
      </c>
      <c r="AB121">
        <f t="shared" si="33"/>
        <v>463.5</v>
      </c>
      <c r="AC121">
        <f t="shared" si="34"/>
        <v>1211.5</v>
      </c>
      <c r="AD121">
        <f t="shared" si="35"/>
        <v>940.5</v>
      </c>
      <c r="AE121">
        <f t="shared" si="36"/>
        <v>5700.5</v>
      </c>
      <c r="AF121">
        <f t="shared" si="37"/>
        <v>5724</v>
      </c>
      <c r="AG121" s="9">
        <v>41056544</v>
      </c>
      <c r="AH121" s="31">
        <v>387</v>
      </c>
      <c r="AI121" s="31">
        <v>458</v>
      </c>
      <c r="AJ121" s="37">
        <v>-71</v>
      </c>
      <c r="AK121" s="37">
        <v>-15.502183406113538</v>
      </c>
      <c r="AL121" s="36">
        <v>254</v>
      </c>
      <c r="AM121" s="36">
        <v>292</v>
      </c>
      <c r="AN121" s="37">
        <v>-38</v>
      </c>
      <c r="AO121" s="37">
        <v>-13.013698630136986</v>
      </c>
      <c r="AP121" s="38">
        <v>5430.5</v>
      </c>
      <c r="AQ121" s="39">
        <v>4234</v>
      </c>
      <c r="AR121" s="37">
        <v>1196.5</v>
      </c>
      <c r="AS121" s="37">
        <v>28.259329239489844</v>
      </c>
      <c r="AT121" s="36">
        <v>2701.5</v>
      </c>
      <c r="AU121" s="36">
        <v>3414</v>
      </c>
      <c r="AV121" s="37">
        <v>-712.5</v>
      </c>
      <c r="AW121" s="37">
        <v>-20.869947275922669</v>
      </c>
      <c r="AX121" s="5">
        <v>186866</v>
      </c>
      <c r="AY121" t="str">
        <f t="shared" si="38"/>
        <v>White Patch_Chhatarpur_to_Gurgaon</v>
      </c>
      <c r="AZ121" t="str">
        <f t="shared" si="39"/>
        <v>Hauj Khas-Saket-Vasant Kunj</v>
      </c>
      <c r="BC121" s="9">
        <v>41056544</v>
      </c>
      <c r="BD121" s="9" t="s">
        <v>380</v>
      </c>
      <c r="BE121" s="48" t="s">
        <v>406</v>
      </c>
      <c r="BF121" s="14" t="s">
        <v>407</v>
      </c>
      <c r="BG121" s="10" t="s">
        <v>187</v>
      </c>
      <c r="BH121" s="10" t="s">
        <v>356</v>
      </c>
      <c r="BI121" s="12" t="s">
        <v>408</v>
      </c>
      <c r="BJ121" s="51" t="s">
        <v>367</v>
      </c>
    </row>
    <row r="122" spans="1:62" ht="36.5" x14ac:dyDescent="0.35">
      <c r="A122">
        <v>106261</v>
      </c>
      <c r="B122" s="84">
        <f t="shared" si="20"/>
        <v>375</v>
      </c>
      <c r="C122" s="84">
        <f t="shared" si="21"/>
        <v>440</v>
      </c>
      <c r="E122" s="5">
        <v>185374</v>
      </c>
      <c r="F122" s="19">
        <v>75.5</v>
      </c>
      <c r="G122" s="19">
        <v>56</v>
      </c>
      <c r="H122" s="19">
        <v>52</v>
      </c>
      <c r="I122" s="19">
        <v>66</v>
      </c>
      <c r="J122" s="19">
        <v>26</v>
      </c>
      <c r="K122" s="19">
        <v>30</v>
      </c>
      <c r="L122" s="19">
        <v>26.5</v>
      </c>
      <c r="M122" s="19">
        <v>42</v>
      </c>
      <c r="N122" s="9">
        <v>41057003</v>
      </c>
      <c r="O122">
        <f t="shared" si="22"/>
        <v>430</v>
      </c>
      <c r="P122">
        <f t="shared" si="23"/>
        <v>385</v>
      </c>
      <c r="Q122">
        <f t="shared" si="24"/>
        <v>171</v>
      </c>
      <c r="R122">
        <f t="shared" si="25"/>
        <v>140</v>
      </c>
      <c r="S122">
        <f t="shared" si="26"/>
        <v>375</v>
      </c>
      <c r="T122">
        <f t="shared" si="27"/>
        <v>335</v>
      </c>
      <c r="U122">
        <f t="shared" si="28"/>
        <v>162</v>
      </c>
      <c r="V122">
        <f t="shared" si="29"/>
        <v>125</v>
      </c>
      <c r="X122" s="5">
        <v>186837</v>
      </c>
      <c r="Y122">
        <f t="shared" si="30"/>
        <v>414</v>
      </c>
      <c r="Z122">
        <f t="shared" si="31"/>
        <v>365</v>
      </c>
      <c r="AA122">
        <f t="shared" si="32"/>
        <v>96</v>
      </c>
      <c r="AB122">
        <f t="shared" si="33"/>
        <v>89</v>
      </c>
      <c r="AC122">
        <f t="shared" si="34"/>
        <v>4658.5</v>
      </c>
      <c r="AD122">
        <f t="shared" si="35"/>
        <v>4892.5</v>
      </c>
      <c r="AE122">
        <f t="shared" si="36"/>
        <v>1133.5</v>
      </c>
      <c r="AF122">
        <f t="shared" si="37"/>
        <v>1480</v>
      </c>
      <c r="AG122" s="9">
        <v>41057003</v>
      </c>
      <c r="AH122" s="31">
        <v>430</v>
      </c>
      <c r="AI122" s="31">
        <v>385</v>
      </c>
      <c r="AJ122" s="37">
        <v>45</v>
      </c>
      <c r="AK122" s="37">
        <v>11.688311688311687</v>
      </c>
      <c r="AL122" s="36">
        <v>171</v>
      </c>
      <c r="AM122" s="36">
        <v>140</v>
      </c>
      <c r="AN122" s="37">
        <v>31</v>
      </c>
      <c r="AO122" s="37">
        <v>22.142857142857142</v>
      </c>
      <c r="AP122" s="38">
        <v>5056</v>
      </c>
      <c r="AQ122" s="39">
        <v>3910</v>
      </c>
      <c r="AR122" s="37">
        <v>1146</v>
      </c>
      <c r="AS122" s="37">
        <v>29.309462915601024</v>
      </c>
      <c r="AT122" s="36">
        <v>1752</v>
      </c>
      <c r="AU122" s="36">
        <v>1759</v>
      </c>
      <c r="AV122" s="37">
        <v>-7</v>
      </c>
      <c r="AW122" s="37">
        <v>-0.39795338260375218</v>
      </c>
      <c r="AX122" s="5">
        <v>185374</v>
      </c>
      <c r="AY122" t="str">
        <f t="shared" si="38"/>
        <v>BPBAWANA_JAIMATA</v>
      </c>
      <c r="AZ122" t="str">
        <f t="shared" si="39"/>
        <v>Narela- Bawana</v>
      </c>
      <c r="BC122" s="9">
        <v>41057003</v>
      </c>
      <c r="BD122" s="9" t="s">
        <v>380</v>
      </c>
      <c r="BE122" s="48" t="s">
        <v>409</v>
      </c>
      <c r="BF122" s="14" t="s">
        <v>410</v>
      </c>
      <c r="BG122" s="10" t="s">
        <v>187</v>
      </c>
      <c r="BH122" s="10" t="s">
        <v>321</v>
      </c>
      <c r="BI122" s="12" t="s">
        <v>321</v>
      </c>
      <c r="BJ122" s="51" t="s">
        <v>189</v>
      </c>
    </row>
    <row r="123" spans="1:62" ht="60.5" x14ac:dyDescent="0.35">
      <c r="A123">
        <v>102111</v>
      </c>
      <c r="B123" s="84">
        <f t="shared" si="20"/>
        <v>57.5</v>
      </c>
      <c r="C123" s="84">
        <f t="shared" si="21"/>
        <v>50</v>
      </c>
      <c r="E123" s="5">
        <v>356946</v>
      </c>
      <c r="F123" s="19">
        <v>318.35399999999902</v>
      </c>
      <c r="G123" s="19">
        <v>356.21699999999902</v>
      </c>
      <c r="H123" s="19">
        <v>283.13999999999987</v>
      </c>
      <c r="I123" s="19">
        <v>321.75399999999991</v>
      </c>
      <c r="J123" s="19">
        <v>46.072000000000102</v>
      </c>
      <c r="K123" s="19">
        <v>59.113999999999905</v>
      </c>
      <c r="L123" s="19">
        <v>53.072000000000003</v>
      </c>
      <c r="M123" s="19">
        <v>63.829000000000001</v>
      </c>
      <c r="N123" s="9">
        <v>41056396</v>
      </c>
      <c r="O123">
        <f t="shared" si="22"/>
        <v>285.5</v>
      </c>
      <c r="P123">
        <f t="shared" si="23"/>
        <v>279</v>
      </c>
      <c r="Q123">
        <f t="shared" si="24"/>
        <v>28.5</v>
      </c>
      <c r="R123">
        <f t="shared" si="25"/>
        <v>29</v>
      </c>
      <c r="S123">
        <f t="shared" si="26"/>
        <v>276</v>
      </c>
      <c r="T123">
        <f t="shared" si="27"/>
        <v>238.5</v>
      </c>
      <c r="U123">
        <f t="shared" si="28"/>
        <v>42</v>
      </c>
      <c r="V123">
        <f t="shared" si="29"/>
        <v>29.5</v>
      </c>
      <c r="X123" s="5">
        <v>312687</v>
      </c>
      <c r="Y123">
        <f t="shared" si="30"/>
        <v>241.197</v>
      </c>
      <c r="Z123">
        <f t="shared" si="31"/>
        <v>233.14800000000002</v>
      </c>
      <c r="AA123">
        <f t="shared" si="32"/>
        <v>90.855999999999895</v>
      </c>
      <c r="AB123">
        <f t="shared" si="33"/>
        <v>124.47800000000001</v>
      </c>
      <c r="AC123">
        <f t="shared" si="34"/>
        <v>2943.7079999999996</v>
      </c>
      <c r="AD123">
        <f t="shared" si="35"/>
        <v>2377.6959999999999</v>
      </c>
      <c r="AE123">
        <f t="shared" si="36"/>
        <v>1185.2109999999998</v>
      </c>
      <c r="AF123">
        <f t="shared" si="37"/>
        <v>1529.8989999999999</v>
      </c>
      <c r="AG123" s="9">
        <v>41056396</v>
      </c>
      <c r="AH123" s="31">
        <v>285.5</v>
      </c>
      <c r="AI123" s="31">
        <v>279</v>
      </c>
      <c r="AJ123" s="37">
        <v>6.5</v>
      </c>
      <c r="AK123" s="37">
        <v>2.3297491039426523</v>
      </c>
      <c r="AL123" s="36">
        <v>28.5</v>
      </c>
      <c r="AM123" s="36">
        <v>29</v>
      </c>
      <c r="AN123" s="37">
        <v>-0.5</v>
      </c>
      <c r="AO123" s="37">
        <v>-1.7241379310344827</v>
      </c>
      <c r="AP123" s="38">
        <v>3568</v>
      </c>
      <c r="AQ123" s="39">
        <v>2663</v>
      </c>
      <c r="AR123" s="37">
        <v>905</v>
      </c>
      <c r="AS123" s="37">
        <v>33.984228313931659</v>
      </c>
      <c r="AT123" s="36">
        <v>495</v>
      </c>
      <c r="AU123" s="36">
        <v>400.5</v>
      </c>
      <c r="AV123" s="37">
        <v>94.5</v>
      </c>
      <c r="AW123" s="37">
        <v>23.595505617977526</v>
      </c>
      <c r="AX123" s="5">
        <v>356946</v>
      </c>
      <c r="AY123" t="str">
        <f t="shared" si="38"/>
        <v>KRISHNA-RAIZADA</v>
      </c>
      <c r="AZ123" t="str">
        <f t="shared" si="39"/>
        <v>Old Delhi</v>
      </c>
      <c r="BC123" s="9">
        <v>41056396</v>
      </c>
      <c r="BD123" s="9" t="s">
        <v>380</v>
      </c>
      <c r="BE123" s="48" t="s">
        <v>411</v>
      </c>
      <c r="BF123" s="14" t="s">
        <v>412</v>
      </c>
      <c r="BG123" s="10" t="s">
        <v>169</v>
      </c>
      <c r="BH123" s="10" t="s">
        <v>100</v>
      </c>
      <c r="BI123" s="12" t="s">
        <v>100</v>
      </c>
      <c r="BJ123" s="51" t="s">
        <v>77</v>
      </c>
    </row>
    <row r="124" spans="1:62" ht="60.5" x14ac:dyDescent="0.35">
      <c r="A124">
        <v>186858</v>
      </c>
      <c r="B124" s="84">
        <f t="shared" si="20"/>
        <v>575</v>
      </c>
      <c r="C124" s="84">
        <f t="shared" si="21"/>
        <v>630</v>
      </c>
      <c r="E124" s="5">
        <v>153271</v>
      </c>
      <c r="F124" s="19">
        <v>382.01900000000001</v>
      </c>
      <c r="G124" s="19">
        <v>439.77999999999901</v>
      </c>
      <c r="H124" s="19">
        <v>381.17</v>
      </c>
      <c r="I124" s="19">
        <v>415.09300000000002</v>
      </c>
      <c r="J124" s="19">
        <v>68.861000000000004</v>
      </c>
      <c r="K124" s="19">
        <v>77.147999999999996</v>
      </c>
      <c r="L124" s="19">
        <v>60.531999999999897</v>
      </c>
      <c r="M124" s="19">
        <v>72.349000000000004</v>
      </c>
      <c r="N124" s="9">
        <v>41030511</v>
      </c>
      <c r="O124">
        <f t="shared" si="22"/>
        <v>390</v>
      </c>
      <c r="P124">
        <f t="shared" si="23"/>
        <v>350</v>
      </c>
      <c r="Q124">
        <f t="shared" si="24"/>
        <v>355</v>
      </c>
      <c r="R124">
        <f t="shared" si="25"/>
        <v>375</v>
      </c>
      <c r="S124">
        <f t="shared" si="26"/>
        <v>345</v>
      </c>
      <c r="T124">
        <f t="shared" si="27"/>
        <v>330</v>
      </c>
      <c r="U124">
        <f t="shared" si="28"/>
        <v>364</v>
      </c>
      <c r="V124">
        <f t="shared" si="29"/>
        <v>370</v>
      </c>
      <c r="X124" s="3">
        <v>112413</v>
      </c>
      <c r="Y124">
        <f t="shared" si="30"/>
        <v>116</v>
      </c>
      <c r="Z124">
        <f t="shared" si="31"/>
        <v>107.5</v>
      </c>
      <c r="AA124">
        <f t="shared" si="32"/>
        <v>16</v>
      </c>
      <c r="AB124">
        <f t="shared" si="33"/>
        <v>24.5</v>
      </c>
      <c r="AC124">
        <f t="shared" si="34"/>
        <v>1234</v>
      </c>
      <c r="AD124">
        <f t="shared" si="35"/>
        <v>1022.5</v>
      </c>
      <c r="AE124">
        <f t="shared" si="36"/>
        <v>162</v>
      </c>
      <c r="AF124">
        <f t="shared" si="37"/>
        <v>244.5</v>
      </c>
      <c r="AG124" s="9">
        <v>41030511</v>
      </c>
      <c r="AH124" s="31">
        <v>390</v>
      </c>
      <c r="AI124" s="31">
        <v>350</v>
      </c>
      <c r="AJ124" s="37">
        <v>40</v>
      </c>
      <c r="AK124" s="37">
        <v>11.428571428571429</v>
      </c>
      <c r="AL124" s="36">
        <v>355</v>
      </c>
      <c r="AM124" s="36">
        <v>375</v>
      </c>
      <c r="AN124" s="37">
        <v>-20</v>
      </c>
      <c r="AO124" s="37">
        <v>-5.3333333333333339</v>
      </c>
      <c r="AP124" s="38">
        <v>4480</v>
      </c>
      <c r="AQ124" s="39">
        <v>3655</v>
      </c>
      <c r="AR124" s="37">
        <v>825</v>
      </c>
      <c r="AS124" s="37">
        <v>22.571819425444598</v>
      </c>
      <c r="AT124" s="36">
        <v>4622</v>
      </c>
      <c r="AU124" s="36">
        <v>4823.03</v>
      </c>
      <c r="AV124" s="37">
        <v>-201.02999999999975</v>
      </c>
      <c r="AW124" s="37">
        <v>-4.1681266755545741</v>
      </c>
      <c r="AX124" s="5">
        <v>153271</v>
      </c>
      <c r="AY124" t="str">
        <f t="shared" si="38"/>
        <v>AUTO CENTRE_NAVYUG_PREM</v>
      </c>
      <c r="AZ124" t="str">
        <f t="shared" si="39"/>
        <v>Greater Kailash I &amp;II</v>
      </c>
      <c r="BC124" s="9">
        <v>41030511</v>
      </c>
      <c r="BD124" s="9" t="s">
        <v>380</v>
      </c>
      <c r="BE124" s="47" t="s">
        <v>413</v>
      </c>
      <c r="BF124" s="14" t="s">
        <v>273</v>
      </c>
      <c r="BG124" s="10" t="s">
        <v>111</v>
      </c>
      <c r="BH124" s="10" t="s">
        <v>414</v>
      </c>
      <c r="BI124" s="12" t="s">
        <v>414</v>
      </c>
      <c r="BJ124" s="51" t="s">
        <v>275</v>
      </c>
    </row>
    <row r="125" spans="1:62" ht="36.5" x14ac:dyDescent="0.35">
      <c r="A125">
        <v>305307</v>
      </c>
      <c r="B125" s="84">
        <f t="shared" si="20"/>
        <v>263</v>
      </c>
      <c r="C125" s="84">
        <f t="shared" si="21"/>
        <v>294</v>
      </c>
      <c r="E125" s="5">
        <v>106226</v>
      </c>
      <c r="F125" s="19">
        <v>192</v>
      </c>
      <c r="G125" s="19">
        <v>226.5</v>
      </c>
      <c r="H125" s="19">
        <v>169.5</v>
      </c>
      <c r="I125" s="19">
        <v>204</v>
      </c>
      <c r="J125" s="19">
        <v>50.5</v>
      </c>
      <c r="K125" s="19">
        <v>62</v>
      </c>
      <c r="L125" s="19">
        <v>28</v>
      </c>
      <c r="M125" s="19">
        <v>45.5</v>
      </c>
      <c r="N125" s="9">
        <v>41056820</v>
      </c>
      <c r="O125">
        <f t="shared" si="22"/>
        <v>131</v>
      </c>
      <c r="P125">
        <f t="shared" si="23"/>
        <v>101</v>
      </c>
      <c r="Q125">
        <f t="shared" si="24"/>
        <v>221</v>
      </c>
      <c r="R125">
        <f t="shared" si="25"/>
        <v>405</v>
      </c>
      <c r="S125">
        <f t="shared" si="26"/>
        <v>114</v>
      </c>
      <c r="T125">
        <f t="shared" si="27"/>
        <v>93.5</v>
      </c>
      <c r="U125">
        <f t="shared" si="28"/>
        <v>238</v>
      </c>
      <c r="V125">
        <f t="shared" si="29"/>
        <v>377.5</v>
      </c>
      <c r="X125" s="9">
        <v>41019306</v>
      </c>
      <c r="Y125">
        <f t="shared" si="30"/>
        <v>81.5</v>
      </c>
      <c r="Z125">
        <f t="shared" si="31"/>
        <v>71</v>
      </c>
      <c r="AA125">
        <f t="shared" si="32"/>
        <v>22.5</v>
      </c>
      <c r="AB125">
        <f t="shared" si="33"/>
        <v>13</v>
      </c>
      <c r="AC125">
        <f t="shared" si="34"/>
        <v>933.5</v>
      </c>
      <c r="AD125">
        <f t="shared" si="35"/>
        <v>712</v>
      </c>
      <c r="AE125">
        <f t="shared" si="36"/>
        <v>196.5</v>
      </c>
      <c r="AF125">
        <f t="shared" si="37"/>
        <v>223.5</v>
      </c>
      <c r="AG125" s="9">
        <v>41056820</v>
      </c>
      <c r="AH125" s="31">
        <v>131</v>
      </c>
      <c r="AI125" s="31">
        <v>101</v>
      </c>
      <c r="AJ125" s="37">
        <v>30</v>
      </c>
      <c r="AK125" s="37">
        <v>29.702970297029701</v>
      </c>
      <c r="AL125" s="36">
        <v>221</v>
      </c>
      <c r="AM125" s="36">
        <v>405</v>
      </c>
      <c r="AN125" s="37">
        <v>-184</v>
      </c>
      <c r="AO125" s="37">
        <v>-45.432098765432102</v>
      </c>
      <c r="AP125" s="38">
        <v>1415</v>
      </c>
      <c r="AQ125" s="39">
        <v>1030.5</v>
      </c>
      <c r="AR125" s="37">
        <v>384.5</v>
      </c>
      <c r="AS125" s="37">
        <v>37.311984473556528</v>
      </c>
      <c r="AT125" s="36">
        <v>4124</v>
      </c>
      <c r="AU125" s="36">
        <v>4972</v>
      </c>
      <c r="AV125" s="37">
        <v>-848</v>
      </c>
      <c r="AW125" s="37">
        <v>-17.055510860820593</v>
      </c>
      <c r="AX125" s="5">
        <v>106226</v>
      </c>
      <c r="AY125" t="str">
        <f t="shared" si="38"/>
        <v>MANN SS</v>
      </c>
      <c r="AZ125" t="str">
        <f t="shared" si="39"/>
        <v>Old Delhi</v>
      </c>
      <c r="BC125" s="9">
        <v>41056820</v>
      </c>
      <c r="BD125" s="9" t="s">
        <v>380</v>
      </c>
      <c r="BE125" s="48" t="s">
        <v>415</v>
      </c>
      <c r="BF125" s="14" t="s">
        <v>416</v>
      </c>
      <c r="BG125" s="10" t="s">
        <v>200</v>
      </c>
      <c r="BH125" s="10" t="s">
        <v>223</v>
      </c>
      <c r="BI125" s="12" t="s">
        <v>223</v>
      </c>
      <c r="BJ125" s="51" t="s">
        <v>172</v>
      </c>
    </row>
    <row r="126" spans="1:62" ht="36.5" x14ac:dyDescent="0.35">
      <c r="A126">
        <v>231563</v>
      </c>
      <c r="B126" s="84">
        <f t="shared" si="20"/>
        <v>461</v>
      </c>
      <c r="C126" s="84">
        <f t="shared" si="21"/>
        <v>461</v>
      </c>
      <c r="E126" s="5">
        <v>186852</v>
      </c>
      <c r="F126" s="19">
        <v>207</v>
      </c>
      <c r="G126" s="19">
        <v>220.5</v>
      </c>
      <c r="H126" s="19">
        <v>220.5</v>
      </c>
      <c r="I126" s="19">
        <v>228</v>
      </c>
      <c r="J126" s="19">
        <v>49.5</v>
      </c>
      <c r="K126" s="19">
        <v>72</v>
      </c>
      <c r="L126" s="19">
        <v>63</v>
      </c>
      <c r="M126" s="19">
        <v>67.5</v>
      </c>
      <c r="N126" s="9">
        <v>41056533</v>
      </c>
      <c r="O126">
        <f t="shared" si="22"/>
        <v>323.5</v>
      </c>
      <c r="P126">
        <f t="shared" si="23"/>
        <v>276.5</v>
      </c>
      <c r="Q126">
        <f t="shared" si="24"/>
        <v>198.5</v>
      </c>
      <c r="R126">
        <f t="shared" si="25"/>
        <v>196.5</v>
      </c>
      <c r="S126">
        <f t="shared" si="26"/>
        <v>300</v>
      </c>
      <c r="T126">
        <f t="shared" si="27"/>
        <v>234</v>
      </c>
      <c r="U126">
        <f t="shared" si="28"/>
        <v>182</v>
      </c>
      <c r="V126">
        <f t="shared" si="29"/>
        <v>184</v>
      </c>
      <c r="X126" s="3">
        <v>112397</v>
      </c>
      <c r="Y126">
        <f t="shared" si="30"/>
        <v>760</v>
      </c>
      <c r="Z126">
        <f t="shared" si="31"/>
        <v>639</v>
      </c>
      <c r="AA126">
        <f t="shared" si="32"/>
        <v>220</v>
      </c>
      <c r="AB126">
        <f t="shared" si="33"/>
        <v>207</v>
      </c>
      <c r="AC126">
        <f t="shared" si="34"/>
        <v>8268.5</v>
      </c>
      <c r="AD126">
        <f t="shared" si="35"/>
        <v>6579.0000059999993</v>
      </c>
      <c r="AE126">
        <f t="shared" si="36"/>
        <v>2225.5</v>
      </c>
      <c r="AF126">
        <f t="shared" si="37"/>
        <v>2448</v>
      </c>
      <c r="AG126" s="9">
        <v>41056533</v>
      </c>
      <c r="AH126" s="31">
        <v>323.5</v>
      </c>
      <c r="AI126" s="31">
        <v>276.5</v>
      </c>
      <c r="AJ126" s="37">
        <v>47</v>
      </c>
      <c r="AK126" s="37">
        <v>16.998191681735985</v>
      </c>
      <c r="AL126" s="36">
        <v>198.5</v>
      </c>
      <c r="AM126" s="36">
        <v>196.5</v>
      </c>
      <c r="AN126" s="37">
        <v>2</v>
      </c>
      <c r="AO126" s="37">
        <v>1.0178117048346056</v>
      </c>
      <c r="AP126" s="38">
        <v>3516</v>
      </c>
      <c r="AQ126" s="39">
        <v>2679</v>
      </c>
      <c r="AR126" s="37">
        <v>837</v>
      </c>
      <c r="AS126" s="37">
        <v>31.243001119820828</v>
      </c>
      <c r="AT126" s="36">
        <v>2240</v>
      </c>
      <c r="AU126" s="36">
        <v>2547.5</v>
      </c>
      <c r="AV126" s="37">
        <v>-307.5</v>
      </c>
      <c r="AW126" s="37">
        <v>-12.070657507360156</v>
      </c>
      <c r="AX126" s="5">
        <v>186852</v>
      </c>
      <c r="AY126" t="str">
        <f t="shared" si="38"/>
        <v>White Patch- Outer Ring Road</v>
      </c>
      <c r="AZ126" t="str">
        <f t="shared" si="39"/>
        <v>Outer Ring Road</v>
      </c>
      <c r="BC126" s="9">
        <v>41056533</v>
      </c>
      <c r="BD126" s="9" t="s">
        <v>380</v>
      </c>
      <c r="BE126" s="47" t="s">
        <v>417</v>
      </c>
      <c r="BF126" s="14" t="s">
        <v>418</v>
      </c>
      <c r="BG126" s="10" t="s">
        <v>103</v>
      </c>
      <c r="BH126" s="10" t="s">
        <v>211</v>
      </c>
      <c r="BI126" s="12" t="s">
        <v>211</v>
      </c>
      <c r="BJ126" s="51" t="s">
        <v>135</v>
      </c>
    </row>
    <row r="127" spans="1:62" ht="36.5" x14ac:dyDescent="0.35">
      <c r="A127">
        <v>107657</v>
      </c>
      <c r="B127" s="84">
        <f t="shared" si="20"/>
        <v>508.5</v>
      </c>
      <c r="C127" s="84">
        <f t="shared" si="21"/>
        <v>622.5</v>
      </c>
      <c r="E127" s="5">
        <v>102076</v>
      </c>
      <c r="F127" s="19">
        <v>332.5</v>
      </c>
      <c r="G127" s="19">
        <v>351</v>
      </c>
      <c r="H127" s="19">
        <v>351</v>
      </c>
      <c r="I127" s="19">
        <v>342</v>
      </c>
      <c r="J127" s="19">
        <v>63</v>
      </c>
      <c r="K127" s="19">
        <v>90</v>
      </c>
      <c r="L127" s="19">
        <v>69.5</v>
      </c>
      <c r="M127" s="19">
        <v>63</v>
      </c>
      <c r="N127" s="9">
        <v>41019264</v>
      </c>
      <c r="O127">
        <f t="shared" si="22"/>
        <v>14.345780000000001</v>
      </c>
      <c r="P127">
        <f t="shared" si="23"/>
        <v>16.082999999999998</v>
      </c>
      <c r="Q127">
        <f t="shared" si="24"/>
        <v>486.50895999999995</v>
      </c>
      <c r="R127">
        <f t="shared" si="25"/>
        <v>504.44900000000007</v>
      </c>
      <c r="S127">
        <f t="shared" si="26"/>
        <v>11.782550000000001</v>
      </c>
      <c r="T127">
        <f t="shared" si="27"/>
        <v>12.796999999999997</v>
      </c>
      <c r="U127">
        <f t="shared" si="28"/>
        <v>416.11876000000001</v>
      </c>
      <c r="V127">
        <f t="shared" si="29"/>
        <v>451.15800000000007</v>
      </c>
      <c r="X127" s="9">
        <v>41031854</v>
      </c>
      <c r="Y127">
        <f t="shared" si="30"/>
        <v>373.5</v>
      </c>
      <c r="Z127">
        <f t="shared" si="31"/>
        <v>475</v>
      </c>
      <c r="AA127">
        <f t="shared" si="32"/>
        <v>84.5</v>
      </c>
      <c r="AB127">
        <f t="shared" si="33"/>
        <v>128</v>
      </c>
      <c r="AC127">
        <f t="shared" si="34"/>
        <v>5352</v>
      </c>
      <c r="AD127">
        <f t="shared" si="35"/>
        <v>3769.5</v>
      </c>
      <c r="AE127">
        <f t="shared" si="36"/>
        <v>1258</v>
      </c>
      <c r="AF127">
        <f t="shared" si="37"/>
        <v>1372.5</v>
      </c>
      <c r="AG127" s="9">
        <v>41019264</v>
      </c>
      <c r="AH127" s="31">
        <v>14.345780000000001</v>
      </c>
      <c r="AI127" s="31">
        <v>16.082999999999998</v>
      </c>
      <c r="AJ127" s="37">
        <v>-1.7372199999999971</v>
      </c>
      <c r="AK127" s="37">
        <v>-10.801591742834031</v>
      </c>
      <c r="AL127" s="36">
        <v>486.50895999999995</v>
      </c>
      <c r="AM127" s="36">
        <v>504.44900000000007</v>
      </c>
      <c r="AN127" s="37">
        <v>-17.940040000000124</v>
      </c>
      <c r="AO127" s="37">
        <v>-3.5563634777747843</v>
      </c>
      <c r="AP127" s="38">
        <v>177.66002999999995</v>
      </c>
      <c r="AQ127" s="39">
        <v>160.42068</v>
      </c>
      <c r="AR127" s="37">
        <v>17.239349999999945</v>
      </c>
      <c r="AS127" s="37">
        <v>10.746338938346318</v>
      </c>
      <c r="AT127" s="36">
        <v>5395.563470000001</v>
      </c>
      <c r="AU127" s="36">
        <v>5694.1439200000004</v>
      </c>
      <c r="AV127" s="37">
        <v>-298.58044999999947</v>
      </c>
      <c r="AW127" s="37">
        <v>-5.2436407332675818</v>
      </c>
      <c r="AX127" s="5">
        <v>102076</v>
      </c>
      <c r="AY127" t="str">
        <f t="shared" si="38"/>
        <v>KIRTINANAK</v>
      </c>
      <c r="AZ127" t="str">
        <f t="shared" si="39"/>
        <v>Rohini</v>
      </c>
      <c r="BC127" s="9">
        <v>41019264</v>
      </c>
      <c r="BD127" s="9" t="s">
        <v>380</v>
      </c>
      <c r="BE127" s="47" t="s">
        <v>419</v>
      </c>
      <c r="BF127" s="14" t="s">
        <v>420</v>
      </c>
      <c r="BG127" s="10" t="s">
        <v>81</v>
      </c>
      <c r="BH127" s="10" t="s">
        <v>421</v>
      </c>
      <c r="BI127" s="12" t="s">
        <v>421</v>
      </c>
      <c r="BJ127" s="51" t="s">
        <v>135</v>
      </c>
    </row>
    <row r="128" spans="1:62" ht="24.5" x14ac:dyDescent="0.35">
      <c r="A128">
        <v>41026624</v>
      </c>
      <c r="B128" s="84">
        <f t="shared" si="20"/>
        <v>344.5</v>
      </c>
      <c r="C128" s="84">
        <f t="shared" si="21"/>
        <v>397</v>
      </c>
      <c r="E128" s="5">
        <v>106329</v>
      </c>
      <c r="F128" s="19">
        <v>320.5</v>
      </c>
      <c r="G128" s="19">
        <v>344.5</v>
      </c>
      <c r="H128" s="19">
        <v>304</v>
      </c>
      <c r="I128" s="19">
        <v>344</v>
      </c>
      <c r="J128" s="19">
        <v>58</v>
      </c>
      <c r="K128" s="19">
        <v>74</v>
      </c>
      <c r="L128" s="19">
        <v>55.5</v>
      </c>
      <c r="M128" s="19">
        <v>61.5</v>
      </c>
      <c r="N128" s="9">
        <v>41056998</v>
      </c>
      <c r="O128">
        <f t="shared" si="22"/>
        <v>157.5</v>
      </c>
      <c r="P128">
        <f t="shared" si="23"/>
        <v>172</v>
      </c>
      <c r="Q128">
        <f t="shared" si="24"/>
        <v>51.5</v>
      </c>
      <c r="R128">
        <f t="shared" si="25"/>
        <v>49</v>
      </c>
      <c r="S128">
        <f t="shared" si="26"/>
        <v>143.5</v>
      </c>
      <c r="T128">
        <f t="shared" si="27"/>
        <v>151</v>
      </c>
      <c r="U128">
        <f t="shared" si="28"/>
        <v>35.5</v>
      </c>
      <c r="V128">
        <f t="shared" si="29"/>
        <v>61</v>
      </c>
      <c r="X128" s="3">
        <v>112425</v>
      </c>
      <c r="Y128">
        <f t="shared" si="30"/>
        <v>280</v>
      </c>
      <c r="Z128">
        <f t="shared" si="31"/>
        <v>278</v>
      </c>
      <c r="AA128">
        <f t="shared" si="32"/>
        <v>98</v>
      </c>
      <c r="AB128">
        <f t="shared" si="33"/>
        <v>124</v>
      </c>
      <c r="AC128">
        <f t="shared" si="34"/>
        <v>3229.5</v>
      </c>
      <c r="AD128">
        <f t="shared" si="35"/>
        <v>2697.5000239999999</v>
      </c>
      <c r="AE128">
        <f t="shared" si="36"/>
        <v>1228.5</v>
      </c>
      <c r="AF128">
        <f t="shared" si="37"/>
        <v>1461.5</v>
      </c>
      <c r="AG128" s="9">
        <v>41056998</v>
      </c>
      <c r="AH128" s="31">
        <v>157.5</v>
      </c>
      <c r="AI128" s="31">
        <v>172</v>
      </c>
      <c r="AJ128" s="37">
        <v>-14.5</v>
      </c>
      <c r="AK128" s="37">
        <v>-8.4302325581395348</v>
      </c>
      <c r="AL128" s="36">
        <v>51.5</v>
      </c>
      <c r="AM128" s="36">
        <v>49</v>
      </c>
      <c r="AN128" s="37">
        <v>2.5</v>
      </c>
      <c r="AO128" s="37">
        <v>5.1020408163265305</v>
      </c>
      <c r="AP128" s="38">
        <v>2070</v>
      </c>
      <c r="AQ128" s="39">
        <v>1734.5</v>
      </c>
      <c r="AR128" s="37">
        <v>335.5</v>
      </c>
      <c r="AS128" s="37">
        <v>19.342750072066877</v>
      </c>
      <c r="AT128" s="36">
        <v>711</v>
      </c>
      <c r="AU128" s="36">
        <v>909.5</v>
      </c>
      <c r="AV128" s="37">
        <v>-198.5</v>
      </c>
      <c r="AW128" s="37">
        <v>-21.825178669598682</v>
      </c>
      <c r="AX128" s="5">
        <v>106329</v>
      </c>
      <c r="AY128" t="str">
        <f t="shared" si="38"/>
        <v>BSGS</v>
      </c>
      <c r="AZ128" t="str">
        <f t="shared" si="39"/>
        <v>Outer Ring Road</v>
      </c>
      <c r="BC128" s="9">
        <v>41056998</v>
      </c>
      <c r="BD128" s="9" t="s">
        <v>380</v>
      </c>
      <c r="BE128" s="47" t="s">
        <v>422</v>
      </c>
      <c r="BF128" s="14" t="s">
        <v>423</v>
      </c>
      <c r="BG128" s="10" t="s">
        <v>111</v>
      </c>
      <c r="BH128" s="10" t="s">
        <v>116</v>
      </c>
      <c r="BI128" s="12" t="s">
        <v>116</v>
      </c>
      <c r="BJ128" s="51" t="s">
        <v>105</v>
      </c>
    </row>
    <row r="129" spans="1:62" ht="60.5" x14ac:dyDescent="0.35">
      <c r="A129">
        <v>168006</v>
      </c>
      <c r="B129" s="84">
        <f t="shared" si="20"/>
        <v>52</v>
      </c>
      <c r="C129" s="84">
        <f t="shared" si="21"/>
        <v>52.5</v>
      </c>
      <c r="E129" s="5">
        <v>102119</v>
      </c>
      <c r="F129" s="19">
        <v>601</v>
      </c>
      <c r="G129" s="19">
        <v>641</v>
      </c>
      <c r="H129" s="19">
        <v>538.5</v>
      </c>
      <c r="I129" s="19">
        <v>605</v>
      </c>
      <c r="J129" s="19">
        <v>499.5</v>
      </c>
      <c r="K129" s="19">
        <v>481</v>
      </c>
      <c r="L129" s="19">
        <v>441</v>
      </c>
      <c r="M129" s="19">
        <v>405</v>
      </c>
      <c r="N129" s="9">
        <v>41056999</v>
      </c>
      <c r="O129">
        <f t="shared" si="22"/>
        <v>283</v>
      </c>
      <c r="P129">
        <f t="shared" si="23"/>
        <v>257</v>
      </c>
      <c r="Q129">
        <f t="shared" si="24"/>
        <v>300</v>
      </c>
      <c r="R129">
        <f t="shared" si="25"/>
        <v>256</v>
      </c>
      <c r="S129">
        <f t="shared" si="26"/>
        <v>244</v>
      </c>
      <c r="T129">
        <f t="shared" si="27"/>
        <v>221</v>
      </c>
      <c r="U129">
        <f t="shared" si="28"/>
        <v>240</v>
      </c>
      <c r="V129">
        <f t="shared" si="29"/>
        <v>208</v>
      </c>
      <c r="X129" s="5">
        <v>102116</v>
      </c>
      <c r="Y129">
        <f t="shared" si="30"/>
        <v>252</v>
      </c>
      <c r="Z129">
        <f t="shared" si="31"/>
        <v>232</v>
      </c>
      <c r="AA129">
        <f t="shared" si="32"/>
        <v>108</v>
      </c>
      <c r="AB129">
        <f t="shared" si="33"/>
        <v>104</v>
      </c>
      <c r="AC129">
        <f t="shared" si="34"/>
        <v>2868</v>
      </c>
      <c r="AD129">
        <f t="shared" si="35"/>
        <v>2386</v>
      </c>
      <c r="AE129">
        <f t="shared" si="36"/>
        <v>1164</v>
      </c>
      <c r="AF129">
        <f t="shared" si="37"/>
        <v>1266</v>
      </c>
      <c r="AG129" s="9">
        <v>41056999</v>
      </c>
      <c r="AH129" s="31">
        <v>283</v>
      </c>
      <c r="AI129" s="31">
        <v>257</v>
      </c>
      <c r="AJ129" s="37">
        <v>26</v>
      </c>
      <c r="AK129" s="37">
        <v>10.116731517509727</v>
      </c>
      <c r="AL129" s="36">
        <v>300</v>
      </c>
      <c r="AM129" s="36">
        <v>256</v>
      </c>
      <c r="AN129" s="37">
        <v>44</v>
      </c>
      <c r="AO129" s="37">
        <v>17.1875</v>
      </c>
      <c r="AP129" s="38">
        <v>3125.5</v>
      </c>
      <c r="AQ129" s="39">
        <v>2435</v>
      </c>
      <c r="AR129" s="37">
        <v>690.5</v>
      </c>
      <c r="AS129" s="37">
        <v>28.357289527720742</v>
      </c>
      <c r="AT129" s="36">
        <v>3351.5</v>
      </c>
      <c r="AU129" s="36">
        <v>2939</v>
      </c>
      <c r="AV129" s="37">
        <v>412.5</v>
      </c>
      <c r="AW129" s="37">
        <v>14.035386185777476</v>
      </c>
      <c r="AX129" s="5">
        <v>102119</v>
      </c>
      <c r="AY129" t="str">
        <f t="shared" si="38"/>
        <v>White Patch- Inner Ring Road</v>
      </c>
      <c r="AZ129" t="str">
        <f t="shared" si="39"/>
        <v>Inner Ring Road</v>
      </c>
      <c r="BC129" s="9">
        <v>41056999</v>
      </c>
      <c r="BD129" s="9" t="s">
        <v>380</v>
      </c>
      <c r="BE129" s="48" t="s">
        <v>424</v>
      </c>
      <c r="BF129" s="14" t="s">
        <v>425</v>
      </c>
      <c r="BG129" s="10" t="s">
        <v>75</v>
      </c>
      <c r="BH129" s="10" t="s">
        <v>220</v>
      </c>
      <c r="BI129" s="12" t="s">
        <v>220</v>
      </c>
      <c r="BJ129" s="51" t="s">
        <v>77</v>
      </c>
    </row>
    <row r="130" spans="1:62" ht="36.5" x14ac:dyDescent="0.35">
      <c r="A130">
        <v>102073</v>
      </c>
      <c r="B130" s="84">
        <f t="shared" si="20"/>
        <v>524</v>
      </c>
      <c r="C130" s="84">
        <f t="shared" si="21"/>
        <v>578</v>
      </c>
      <c r="E130" s="5">
        <v>182561</v>
      </c>
      <c r="F130" s="19">
        <v>298.5</v>
      </c>
      <c r="G130" s="19">
        <v>313.5</v>
      </c>
      <c r="H130" s="19">
        <v>309</v>
      </c>
      <c r="I130" s="19">
        <v>272</v>
      </c>
      <c r="J130" s="19">
        <v>187</v>
      </c>
      <c r="K130" s="19">
        <v>260</v>
      </c>
      <c r="L130" s="19">
        <v>235.5</v>
      </c>
      <c r="M130" s="19">
        <v>260.5</v>
      </c>
      <c r="N130" s="9">
        <v>41031180</v>
      </c>
      <c r="O130">
        <f t="shared" si="22"/>
        <v>200</v>
      </c>
      <c r="P130">
        <f t="shared" si="23"/>
        <v>225.5</v>
      </c>
      <c r="Q130">
        <f t="shared" si="24"/>
        <v>136</v>
      </c>
      <c r="R130">
        <f t="shared" si="25"/>
        <v>234.5</v>
      </c>
      <c r="S130">
        <f t="shared" si="26"/>
        <v>205</v>
      </c>
      <c r="T130">
        <f t="shared" si="27"/>
        <v>205.5</v>
      </c>
      <c r="U130">
        <f t="shared" si="28"/>
        <v>109</v>
      </c>
      <c r="V130">
        <f t="shared" si="29"/>
        <v>233.5</v>
      </c>
      <c r="X130" s="5">
        <v>193265</v>
      </c>
      <c r="Y130">
        <f t="shared" si="30"/>
        <v>406</v>
      </c>
      <c r="Z130">
        <f t="shared" si="31"/>
        <v>313</v>
      </c>
      <c r="AA130">
        <f t="shared" si="32"/>
        <v>54</v>
      </c>
      <c r="AB130">
        <f t="shared" si="33"/>
        <v>51</v>
      </c>
      <c r="AC130">
        <f t="shared" si="34"/>
        <v>4276</v>
      </c>
      <c r="AD130">
        <f t="shared" si="35"/>
        <v>3154.5</v>
      </c>
      <c r="AE130">
        <f t="shared" si="36"/>
        <v>644</v>
      </c>
      <c r="AF130">
        <f t="shared" si="37"/>
        <v>632.5</v>
      </c>
      <c r="AG130" s="9">
        <v>41031180</v>
      </c>
      <c r="AH130" s="31">
        <v>200</v>
      </c>
      <c r="AI130" s="31">
        <v>225.5</v>
      </c>
      <c r="AJ130" s="37">
        <v>-25.5</v>
      </c>
      <c r="AK130" s="37">
        <v>-11.308203991130821</v>
      </c>
      <c r="AL130" s="36">
        <v>136</v>
      </c>
      <c r="AM130" s="36">
        <v>234.5</v>
      </c>
      <c r="AN130" s="37">
        <v>-98.5</v>
      </c>
      <c r="AO130" s="37">
        <v>-42.004264392324089</v>
      </c>
      <c r="AP130" s="38">
        <v>2714</v>
      </c>
      <c r="AQ130" s="39">
        <v>2219</v>
      </c>
      <c r="AR130" s="37">
        <v>495</v>
      </c>
      <c r="AS130" s="37">
        <v>22.307345651194233</v>
      </c>
      <c r="AT130" s="36">
        <v>2774</v>
      </c>
      <c r="AU130" s="36">
        <v>2717</v>
      </c>
      <c r="AV130" s="37">
        <v>57</v>
      </c>
      <c r="AW130" s="37">
        <v>2.0979020979020979</v>
      </c>
      <c r="AX130" s="5">
        <v>182561</v>
      </c>
      <c r="AY130" t="str">
        <f t="shared" si="38"/>
        <v>White Patch_BhatiMines</v>
      </c>
      <c r="AZ130" t="str">
        <f t="shared" si="39"/>
        <v>Bhati Mines</v>
      </c>
      <c r="BC130" s="9">
        <v>41031180</v>
      </c>
      <c r="BD130" s="9" t="s">
        <v>380</v>
      </c>
      <c r="BE130" s="47" t="s">
        <v>426</v>
      </c>
      <c r="BF130" s="14" t="s">
        <v>427</v>
      </c>
      <c r="BG130" s="10" t="s">
        <v>103</v>
      </c>
      <c r="BH130" s="10" t="s">
        <v>428</v>
      </c>
      <c r="BI130" s="12" t="s">
        <v>428</v>
      </c>
      <c r="BJ130" s="51" t="s">
        <v>105</v>
      </c>
    </row>
    <row r="131" spans="1:62" ht="48.5" x14ac:dyDescent="0.35">
      <c r="A131">
        <v>193265</v>
      </c>
      <c r="B131" s="84">
        <f t="shared" ref="B131:B194" si="40">VLOOKUP(A131,E$2:G$399,2,FALSE)</f>
        <v>330</v>
      </c>
      <c r="C131" s="84">
        <f t="shared" ref="C131:C194" si="41">VLOOKUP(A131,E$2:G$399,3,FALSE)</f>
        <v>406</v>
      </c>
      <c r="E131" s="5">
        <v>102099</v>
      </c>
      <c r="F131" s="19">
        <v>530</v>
      </c>
      <c r="G131" s="19">
        <v>555</v>
      </c>
      <c r="H131" s="19">
        <v>510</v>
      </c>
      <c r="I131" s="19">
        <v>545</v>
      </c>
      <c r="J131" s="19">
        <v>90</v>
      </c>
      <c r="K131" s="19">
        <v>95</v>
      </c>
      <c r="L131" s="19">
        <v>90</v>
      </c>
      <c r="M131" s="19">
        <v>85</v>
      </c>
      <c r="N131" s="9">
        <v>41056793</v>
      </c>
      <c r="O131">
        <f t="shared" ref="O131:O194" si="42">VLOOKUP(N131,E$2:M$399,3,FALSE)</f>
        <v>338</v>
      </c>
      <c r="P131">
        <f t="shared" ref="P131:P194" si="43">VLOOKUP(N131,E$2:M$399,5,FALSE)</f>
        <v>288.5</v>
      </c>
      <c r="Q131">
        <f t="shared" ref="Q131:Q194" si="44">VLOOKUP(N131,E$2:M$399,9,FALSE)</f>
        <v>54</v>
      </c>
      <c r="R131">
        <f t="shared" ref="R131:R194" si="45">VLOOKUP(N131,E$2:M$399,7,FALSE)</f>
        <v>56.5</v>
      </c>
      <c r="S131">
        <f t="shared" ref="S131:S194" si="46">VLOOKUP(N131,E$2:M$399,2,FALSE)</f>
        <v>393</v>
      </c>
      <c r="T131">
        <f t="shared" ref="T131:T194" si="47">VLOOKUP(N131,E$2:M$399,4,FALSE)</f>
        <v>257</v>
      </c>
      <c r="U131">
        <f t="shared" ref="U131:U194" si="48">VLOOKUP(N131,E$2:M$399,8,FALSE)</f>
        <v>65</v>
      </c>
      <c r="V131">
        <f t="shared" ref="V131:V194" si="49">VLOOKUP(N131,E$2:M$399,6,FALSE)</f>
        <v>50</v>
      </c>
      <c r="X131" s="5">
        <v>186840</v>
      </c>
      <c r="Y131">
        <f t="shared" ref="Y131:Y194" si="50">VLOOKUP(X131,AG$2:AI$398,2,FALSE)</f>
        <v>445</v>
      </c>
      <c r="Z131">
        <f t="shared" ref="Z131:Z194" si="51">VLOOKUP(X131,AG$2:AI$398,3,FALSE)</f>
        <v>370</v>
      </c>
      <c r="AA131">
        <f t="shared" ref="AA131:AA194" si="52">VLOOKUP(X131,AG$2:AM$398,6,FALSE)</f>
        <v>75</v>
      </c>
      <c r="AB131">
        <f t="shared" ref="AB131:AB194" si="53">VLOOKUP(X131,AG$2:AM$398,7,FALSE)</f>
        <v>70</v>
      </c>
      <c r="AC131">
        <f t="shared" ref="AC131:AC194" si="54">VLOOKUP(X131,AG$2:AU$398,10,FALSE)</f>
        <v>4900</v>
      </c>
      <c r="AD131">
        <f t="shared" ref="AD131:AD194" si="55">VLOOKUP(X131,AG$2:AU$398,11,FALSE)</f>
        <v>3991</v>
      </c>
      <c r="AE131">
        <f t="shared" ref="AE131:AE194" si="56">VLOOKUP(X131,AG$2:AU$398,14,FALSE)</f>
        <v>840</v>
      </c>
      <c r="AF131">
        <f t="shared" ref="AF131:AF194" si="57">VLOOKUP(X131,AG$2:AU$398,15,FALSE)</f>
        <v>957</v>
      </c>
      <c r="AG131" s="9">
        <v>41056793</v>
      </c>
      <c r="AH131" s="31">
        <v>338</v>
      </c>
      <c r="AI131" s="31">
        <v>288.5</v>
      </c>
      <c r="AJ131" s="37">
        <v>49.5</v>
      </c>
      <c r="AK131" s="37">
        <v>17.157712305025996</v>
      </c>
      <c r="AL131" s="36">
        <v>54</v>
      </c>
      <c r="AM131" s="36">
        <v>56.5</v>
      </c>
      <c r="AN131" s="37">
        <v>-2.5</v>
      </c>
      <c r="AO131" s="37">
        <v>-4.4247787610619467</v>
      </c>
      <c r="AP131" s="38">
        <v>4144.5</v>
      </c>
      <c r="AQ131" s="39">
        <v>2835.5</v>
      </c>
      <c r="AR131" s="37">
        <v>1309</v>
      </c>
      <c r="AS131" s="37">
        <v>46.164697584200312</v>
      </c>
      <c r="AT131" s="36">
        <v>724.5</v>
      </c>
      <c r="AU131" s="36">
        <v>719</v>
      </c>
      <c r="AV131" s="37">
        <v>5.5</v>
      </c>
      <c r="AW131" s="37">
        <v>0.76495132127955501</v>
      </c>
      <c r="AX131" s="5">
        <v>102099</v>
      </c>
      <c r="AY131" t="str">
        <f t="shared" ref="AY131:AY194" si="58">VLOOKUP(AX131,BC$2:BJ$398,6,FALSE)</f>
        <v>RAJINDER-RS BHOLA</v>
      </c>
      <c r="AZ131" t="str">
        <f t="shared" ref="AZ131:AZ194" si="59">VLOOKUP(AX131,BC$2:BJ$398,8,FALSE)</f>
        <v>Inner Ring Road</v>
      </c>
      <c r="BC131" s="9">
        <v>41056793</v>
      </c>
      <c r="BD131" s="9" t="s">
        <v>380</v>
      </c>
      <c r="BE131" s="47" t="s">
        <v>429</v>
      </c>
      <c r="BF131" s="14" t="s">
        <v>430</v>
      </c>
      <c r="BG131" s="10" t="s">
        <v>94</v>
      </c>
      <c r="BH131" s="10" t="s">
        <v>247</v>
      </c>
      <c r="BI131" s="12" t="s">
        <v>247</v>
      </c>
      <c r="BJ131" s="51" t="s">
        <v>248</v>
      </c>
    </row>
    <row r="132" spans="1:62" ht="36.5" x14ac:dyDescent="0.35">
      <c r="A132">
        <v>112403</v>
      </c>
      <c r="B132" s="84">
        <f t="shared" si="40"/>
        <v>301</v>
      </c>
      <c r="C132" s="84">
        <f t="shared" si="41"/>
        <v>327</v>
      </c>
      <c r="E132" s="5">
        <v>102083</v>
      </c>
      <c r="F132" s="19">
        <v>243</v>
      </c>
      <c r="G132" s="19">
        <v>222.5</v>
      </c>
      <c r="H132" s="19">
        <v>237</v>
      </c>
      <c r="I132" s="19">
        <v>264.5</v>
      </c>
      <c r="J132" s="19">
        <v>55</v>
      </c>
      <c r="K132" s="19">
        <v>51.5</v>
      </c>
      <c r="L132" s="19">
        <v>63</v>
      </c>
      <c r="M132" s="19">
        <v>49.5</v>
      </c>
      <c r="N132" s="9">
        <v>41056823</v>
      </c>
      <c r="O132">
        <f t="shared" si="42"/>
        <v>363</v>
      </c>
      <c r="P132">
        <f t="shared" si="43"/>
        <v>353</v>
      </c>
      <c r="Q132">
        <f t="shared" si="44"/>
        <v>80</v>
      </c>
      <c r="R132">
        <f t="shared" si="45"/>
        <v>105</v>
      </c>
      <c r="S132">
        <f t="shared" si="46"/>
        <v>348</v>
      </c>
      <c r="T132">
        <f t="shared" si="47"/>
        <v>310.5</v>
      </c>
      <c r="U132">
        <f t="shared" si="48"/>
        <v>210</v>
      </c>
      <c r="V132">
        <f t="shared" si="49"/>
        <v>93.5</v>
      </c>
      <c r="X132" s="5">
        <v>106322</v>
      </c>
      <c r="Y132">
        <f t="shared" si="50"/>
        <v>139</v>
      </c>
      <c r="Z132">
        <f t="shared" si="51"/>
        <v>138</v>
      </c>
      <c r="AA132">
        <f t="shared" si="52"/>
        <v>73</v>
      </c>
      <c r="AB132">
        <f t="shared" si="53"/>
        <v>86</v>
      </c>
      <c r="AC132">
        <f t="shared" si="54"/>
        <v>1828</v>
      </c>
      <c r="AD132">
        <f t="shared" si="55"/>
        <v>1397</v>
      </c>
      <c r="AE132">
        <f t="shared" si="56"/>
        <v>838</v>
      </c>
      <c r="AF132">
        <f t="shared" si="57"/>
        <v>962.5</v>
      </c>
      <c r="AG132" s="9">
        <v>41056823</v>
      </c>
      <c r="AH132" s="31">
        <v>363</v>
      </c>
      <c r="AI132" s="31">
        <v>353</v>
      </c>
      <c r="AJ132" s="37">
        <v>10</v>
      </c>
      <c r="AK132" s="37">
        <v>2.8328611898017</v>
      </c>
      <c r="AL132" s="36">
        <v>80</v>
      </c>
      <c r="AM132" s="36">
        <v>105</v>
      </c>
      <c r="AN132" s="37">
        <v>-25</v>
      </c>
      <c r="AO132" s="37">
        <v>-23.809523809523807</v>
      </c>
      <c r="AP132" s="38">
        <v>4431.5</v>
      </c>
      <c r="AQ132" s="39">
        <v>3570</v>
      </c>
      <c r="AR132" s="37">
        <v>861.5</v>
      </c>
      <c r="AS132" s="37">
        <v>24.131652661064425</v>
      </c>
      <c r="AT132" s="36">
        <v>1422.5</v>
      </c>
      <c r="AU132" s="36">
        <v>1379.5</v>
      </c>
      <c r="AV132" s="37">
        <v>43</v>
      </c>
      <c r="AW132" s="37">
        <v>3.1170714026821313</v>
      </c>
      <c r="AX132" s="5">
        <v>102083</v>
      </c>
      <c r="AY132" t="str">
        <f t="shared" si="58"/>
        <v>RING ROAD</v>
      </c>
      <c r="AZ132" t="str">
        <f t="shared" si="59"/>
        <v>Inner Ring Road</v>
      </c>
      <c r="BC132" s="9">
        <v>41056823</v>
      </c>
      <c r="BD132" s="9" t="s">
        <v>380</v>
      </c>
      <c r="BE132" s="47" t="s">
        <v>431</v>
      </c>
      <c r="BF132" s="14" t="s">
        <v>432</v>
      </c>
      <c r="BG132" s="10" t="s">
        <v>103</v>
      </c>
      <c r="BH132" s="10" t="s">
        <v>144</v>
      </c>
      <c r="BI132" s="12" t="s">
        <v>144</v>
      </c>
      <c r="BJ132" s="51" t="s">
        <v>105</v>
      </c>
    </row>
    <row r="133" spans="1:62" ht="36.5" x14ac:dyDescent="0.35">
      <c r="A133">
        <v>106265</v>
      </c>
      <c r="B133" s="84">
        <f t="shared" si="40"/>
        <v>227.5</v>
      </c>
      <c r="C133" s="84">
        <f t="shared" si="41"/>
        <v>261.5</v>
      </c>
      <c r="E133" s="5">
        <v>106366</v>
      </c>
      <c r="F133" s="19">
        <v>517.5</v>
      </c>
      <c r="G133" s="19">
        <v>594</v>
      </c>
      <c r="H133" s="19">
        <v>472.5</v>
      </c>
      <c r="I133" s="19">
        <v>539.5</v>
      </c>
      <c r="J133" s="19">
        <v>85.5</v>
      </c>
      <c r="K133" s="19">
        <v>92.5</v>
      </c>
      <c r="L133" s="19">
        <v>76.5</v>
      </c>
      <c r="M133" s="19">
        <v>90</v>
      </c>
      <c r="N133" s="9">
        <v>41056344</v>
      </c>
      <c r="O133">
        <f t="shared" si="42"/>
        <v>36</v>
      </c>
      <c r="P133">
        <f t="shared" si="43"/>
        <v>47.5</v>
      </c>
      <c r="Q133">
        <f t="shared" si="44"/>
        <v>54</v>
      </c>
      <c r="R133">
        <f t="shared" si="45"/>
        <v>75.5</v>
      </c>
      <c r="S133">
        <f t="shared" si="46"/>
        <v>31.5</v>
      </c>
      <c r="T133">
        <f t="shared" si="47"/>
        <v>27.5</v>
      </c>
      <c r="U133">
        <f t="shared" si="48"/>
        <v>40.5</v>
      </c>
      <c r="V133">
        <f t="shared" si="49"/>
        <v>46.5</v>
      </c>
      <c r="X133" s="5">
        <v>102115</v>
      </c>
      <c r="Y133">
        <f t="shared" si="50"/>
        <v>350</v>
      </c>
      <c r="Z133">
        <f t="shared" si="51"/>
        <v>210</v>
      </c>
      <c r="AA133">
        <f t="shared" si="52"/>
        <v>0</v>
      </c>
      <c r="AB133">
        <f t="shared" si="53"/>
        <v>0</v>
      </c>
      <c r="AC133">
        <f t="shared" si="54"/>
        <v>2742</v>
      </c>
      <c r="AD133">
        <f t="shared" si="55"/>
        <v>2032</v>
      </c>
      <c r="AE133">
        <f t="shared" si="56"/>
        <v>0</v>
      </c>
      <c r="AF133">
        <f t="shared" si="57"/>
        <v>0</v>
      </c>
      <c r="AG133" s="9">
        <v>41056344</v>
      </c>
      <c r="AH133" s="31">
        <v>36</v>
      </c>
      <c r="AI133" s="31">
        <v>47.5</v>
      </c>
      <c r="AJ133" s="37">
        <v>-11.5</v>
      </c>
      <c r="AK133" s="37">
        <v>-24.210526315789473</v>
      </c>
      <c r="AL133" s="36">
        <v>54</v>
      </c>
      <c r="AM133" s="36">
        <v>75.5</v>
      </c>
      <c r="AN133" s="37">
        <v>-21.5</v>
      </c>
      <c r="AO133" s="37">
        <v>-28.476821192052981</v>
      </c>
      <c r="AP133" s="38">
        <v>404.5</v>
      </c>
      <c r="AQ133" s="39">
        <v>356</v>
      </c>
      <c r="AR133" s="37">
        <v>48.5</v>
      </c>
      <c r="AS133" s="37">
        <v>13.623595505617978</v>
      </c>
      <c r="AT133" s="36">
        <v>578.5</v>
      </c>
      <c r="AU133" s="36">
        <v>800</v>
      </c>
      <c r="AV133" s="37">
        <v>-221.5</v>
      </c>
      <c r="AW133" s="37">
        <v>-27.6875</v>
      </c>
      <c r="AX133" s="5">
        <v>106366</v>
      </c>
      <c r="AY133" t="str">
        <f t="shared" si="58"/>
        <v>AUTO CARE-WELCOME</v>
      </c>
      <c r="AZ133" t="str">
        <f t="shared" si="59"/>
        <v>Inner Ring Road</v>
      </c>
      <c r="BC133" s="9">
        <v>41056344</v>
      </c>
      <c r="BD133" s="9" t="s">
        <v>380</v>
      </c>
      <c r="BE133" s="48" t="s">
        <v>433</v>
      </c>
      <c r="BF133" s="14" t="s">
        <v>434</v>
      </c>
      <c r="BG133" s="10" t="s">
        <v>200</v>
      </c>
      <c r="BH133" s="10" t="s">
        <v>300</v>
      </c>
      <c r="BI133" s="12" t="s">
        <v>300</v>
      </c>
      <c r="BJ133" s="51" t="s">
        <v>261</v>
      </c>
    </row>
    <row r="134" spans="1:62" ht="36.5" x14ac:dyDescent="0.35">
      <c r="A134">
        <v>190058</v>
      </c>
      <c r="B134" s="84">
        <f t="shared" si="40"/>
        <v>555</v>
      </c>
      <c r="C134" s="84">
        <f t="shared" si="41"/>
        <v>592.5</v>
      </c>
      <c r="E134" s="5">
        <v>186872</v>
      </c>
      <c r="F134" s="19">
        <v>63</v>
      </c>
      <c r="G134" s="19">
        <v>58.5</v>
      </c>
      <c r="H134" s="19">
        <v>40.5</v>
      </c>
      <c r="I134" s="19">
        <v>62</v>
      </c>
      <c r="J134" s="19">
        <v>575.5</v>
      </c>
      <c r="K134" s="19">
        <v>744</v>
      </c>
      <c r="L134" s="19">
        <v>753</v>
      </c>
      <c r="M134" s="19">
        <v>627.5</v>
      </c>
      <c r="N134" s="9">
        <v>41057001</v>
      </c>
      <c r="O134">
        <f t="shared" si="42"/>
        <v>110</v>
      </c>
      <c r="P134">
        <f t="shared" si="43"/>
        <v>124.5</v>
      </c>
      <c r="Q134">
        <f t="shared" si="44"/>
        <v>91</v>
      </c>
      <c r="R134">
        <f t="shared" si="45"/>
        <v>92.5</v>
      </c>
      <c r="S134">
        <f t="shared" si="46"/>
        <v>134.5</v>
      </c>
      <c r="T134">
        <f t="shared" si="47"/>
        <v>120</v>
      </c>
      <c r="U134">
        <f t="shared" si="48"/>
        <v>111.5</v>
      </c>
      <c r="V134">
        <f t="shared" si="49"/>
        <v>94</v>
      </c>
      <c r="X134" s="5">
        <v>106366</v>
      </c>
      <c r="Y134">
        <f t="shared" si="50"/>
        <v>594</v>
      </c>
      <c r="Z134">
        <f t="shared" si="51"/>
        <v>539.5</v>
      </c>
      <c r="AA134">
        <f t="shared" si="52"/>
        <v>90</v>
      </c>
      <c r="AB134">
        <f t="shared" si="53"/>
        <v>92.5</v>
      </c>
      <c r="AC134">
        <f t="shared" si="54"/>
        <v>6887</v>
      </c>
      <c r="AD134">
        <f t="shared" si="55"/>
        <v>5402</v>
      </c>
      <c r="AE134">
        <f t="shared" si="56"/>
        <v>1059</v>
      </c>
      <c r="AF134">
        <f t="shared" si="57"/>
        <v>1270</v>
      </c>
      <c r="AG134" s="9">
        <v>41057001</v>
      </c>
      <c r="AH134" s="31">
        <v>110</v>
      </c>
      <c r="AI134" s="31">
        <v>124.5</v>
      </c>
      <c r="AJ134" s="37">
        <v>-14.5</v>
      </c>
      <c r="AK134" s="37">
        <v>-11.646586345381527</v>
      </c>
      <c r="AL134" s="36">
        <v>91</v>
      </c>
      <c r="AM134" s="36">
        <v>92.5</v>
      </c>
      <c r="AN134" s="37">
        <v>-1.5</v>
      </c>
      <c r="AO134" s="37">
        <v>-1.6216216216216217</v>
      </c>
      <c r="AP134" s="38">
        <v>1513.5</v>
      </c>
      <c r="AQ134" s="39">
        <v>1273</v>
      </c>
      <c r="AR134" s="37">
        <v>240.5</v>
      </c>
      <c r="AS134" s="37">
        <v>18.892380204241949</v>
      </c>
      <c r="AT134" s="36">
        <v>1208.5</v>
      </c>
      <c r="AU134" s="36">
        <v>1029.5</v>
      </c>
      <c r="AV134" s="37">
        <v>179</v>
      </c>
      <c r="AW134" s="37">
        <v>17.387081107333657</v>
      </c>
      <c r="AX134" s="5">
        <v>186872</v>
      </c>
      <c r="AY134" t="str">
        <f t="shared" si="58"/>
        <v>White Patch_SGTNagar</v>
      </c>
      <c r="AZ134" t="str">
        <f t="shared" si="59"/>
        <v>Rohini</v>
      </c>
      <c r="BC134" s="9">
        <v>41057001</v>
      </c>
      <c r="BD134" s="9" t="s">
        <v>380</v>
      </c>
      <c r="BE134" s="47" t="s">
        <v>435</v>
      </c>
      <c r="BF134" s="14" t="s">
        <v>436</v>
      </c>
      <c r="BG134" s="10" t="s">
        <v>103</v>
      </c>
      <c r="BH134" s="10" t="s">
        <v>104</v>
      </c>
      <c r="BI134" s="12" t="s">
        <v>104</v>
      </c>
      <c r="BJ134" s="51" t="s">
        <v>105</v>
      </c>
    </row>
    <row r="135" spans="1:62" ht="48.5" x14ac:dyDescent="0.35">
      <c r="A135">
        <v>112404</v>
      </c>
      <c r="B135" s="84">
        <f t="shared" si="40"/>
        <v>387</v>
      </c>
      <c r="C135" s="84">
        <f t="shared" si="41"/>
        <v>423</v>
      </c>
      <c r="E135" s="5">
        <v>102102</v>
      </c>
      <c r="F135" s="19">
        <v>325</v>
      </c>
      <c r="G135" s="19">
        <v>370</v>
      </c>
      <c r="H135" s="19">
        <v>288</v>
      </c>
      <c r="I135" s="19">
        <v>315</v>
      </c>
      <c r="J135" s="19">
        <v>72</v>
      </c>
      <c r="K135" s="19">
        <v>81</v>
      </c>
      <c r="L135" s="19">
        <v>95</v>
      </c>
      <c r="M135" s="19">
        <v>128</v>
      </c>
      <c r="N135" s="9">
        <v>41019248</v>
      </c>
      <c r="O135">
        <f t="shared" si="42"/>
        <v>660</v>
      </c>
      <c r="P135">
        <f t="shared" si="43"/>
        <v>657</v>
      </c>
      <c r="Q135">
        <f t="shared" si="44"/>
        <v>308</v>
      </c>
      <c r="R135">
        <f t="shared" si="45"/>
        <v>329</v>
      </c>
      <c r="S135">
        <f t="shared" si="46"/>
        <v>624</v>
      </c>
      <c r="T135">
        <f t="shared" si="47"/>
        <v>634</v>
      </c>
      <c r="U135">
        <f t="shared" si="48"/>
        <v>256</v>
      </c>
      <c r="V135">
        <f t="shared" si="49"/>
        <v>280</v>
      </c>
      <c r="X135" s="9">
        <v>41056820</v>
      </c>
      <c r="Y135">
        <f t="shared" si="50"/>
        <v>131</v>
      </c>
      <c r="Z135">
        <f t="shared" si="51"/>
        <v>101</v>
      </c>
      <c r="AA135">
        <f t="shared" si="52"/>
        <v>221</v>
      </c>
      <c r="AB135">
        <f t="shared" si="53"/>
        <v>405</v>
      </c>
      <c r="AC135">
        <f t="shared" si="54"/>
        <v>1415</v>
      </c>
      <c r="AD135">
        <f t="shared" si="55"/>
        <v>1030.5</v>
      </c>
      <c r="AE135">
        <f t="shared" si="56"/>
        <v>4124</v>
      </c>
      <c r="AF135">
        <f t="shared" si="57"/>
        <v>4972</v>
      </c>
      <c r="AG135" s="9">
        <v>41019248</v>
      </c>
      <c r="AH135" s="31">
        <v>660</v>
      </c>
      <c r="AI135" s="31">
        <v>657</v>
      </c>
      <c r="AJ135" s="37">
        <v>3</v>
      </c>
      <c r="AK135" s="37">
        <v>0.45662100456621002</v>
      </c>
      <c r="AL135" s="36">
        <v>308</v>
      </c>
      <c r="AM135" s="36">
        <v>329</v>
      </c>
      <c r="AN135" s="37">
        <v>-21</v>
      </c>
      <c r="AO135" s="37">
        <v>-6.3829787234042552</v>
      </c>
      <c r="AP135" s="38">
        <v>8312.5</v>
      </c>
      <c r="AQ135" s="39">
        <v>6568.5</v>
      </c>
      <c r="AR135" s="37">
        <v>1744</v>
      </c>
      <c r="AS135" s="37">
        <v>26.550962929131462</v>
      </c>
      <c r="AT135" s="36">
        <v>3746.5</v>
      </c>
      <c r="AU135" s="36">
        <v>3919.5</v>
      </c>
      <c r="AV135" s="37">
        <v>-173</v>
      </c>
      <c r="AW135" s="37">
        <v>-4.4138282944253096</v>
      </c>
      <c r="AX135" s="5">
        <v>102102</v>
      </c>
      <c r="AY135" t="str">
        <f t="shared" si="58"/>
        <v>MATTA</v>
      </c>
      <c r="AZ135" t="str">
        <f t="shared" si="59"/>
        <v>Mayur Vihar -Anand Vihar -Preet Vihar</v>
      </c>
      <c r="BC135" s="9">
        <v>41019248</v>
      </c>
      <c r="BD135" s="9" t="s">
        <v>380</v>
      </c>
      <c r="BE135" s="47" t="s">
        <v>437</v>
      </c>
      <c r="BF135" s="14" t="s">
        <v>438</v>
      </c>
      <c r="BG135" s="10" t="s">
        <v>81</v>
      </c>
      <c r="BH135" s="10" t="s">
        <v>439</v>
      </c>
      <c r="BI135" s="12" t="s">
        <v>439</v>
      </c>
      <c r="BJ135" s="51" t="s">
        <v>135</v>
      </c>
    </row>
    <row r="136" spans="1:62" ht="24.5" x14ac:dyDescent="0.35">
      <c r="A136">
        <v>274208</v>
      </c>
      <c r="B136" s="84">
        <f t="shared" si="40"/>
        <v>391.5</v>
      </c>
      <c r="C136" s="84">
        <f t="shared" si="41"/>
        <v>360</v>
      </c>
      <c r="E136" s="5">
        <v>371684</v>
      </c>
      <c r="F136" s="19">
        <v>52</v>
      </c>
      <c r="G136" s="19">
        <v>64</v>
      </c>
      <c r="H136" s="19">
        <v>39</v>
      </c>
      <c r="I136" s="19">
        <v>46</v>
      </c>
      <c r="J136" s="19">
        <v>9</v>
      </c>
      <c r="K136" s="19">
        <v>4</v>
      </c>
      <c r="L136" s="19">
        <v>8</v>
      </c>
      <c r="M136" s="19">
        <v>8</v>
      </c>
      <c r="N136" s="9">
        <v>41057002</v>
      </c>
      <c r="O136">
        <f t="shared" si="42"/>
        <v>217.5</v>
      </c>
      <c r="P136">
        <f t="shared" si="43"/>
        <v>246</v>
      </c>
      <c r="Q136">
        <f t="shared" si="44"/>
        <v>90.5</v>
      </c>
      <c r="R136">
        <f t="shared" si="45"/>
        <v>99</v>
      </c>
      <c r="S136">
        <f t="shared" si="46"/>
        <v>235</v>
      </c>
      <c r="T136">
        <f t="shared" si="47"/>
        <v>235.5</v>
      </c>
      <c r="U136">
        <f t="shared" si="48"/>
        <v>80</v>
      </c>
      <c r="V136">
        <f t="shared" si="49"/>
        <v>101.5</v>
      </c>
      <c r="X136" s="3">
        <v>112399</v>
      </c>
      <c r="Y136">
        <f t="shared" si="50"/>
        <v>63</v>
      </c>
      <c r="Z136">
        <f t="shared" si="51"/>
        <v>72.5</v>
      </c>
      <c r="AA136">
        <f t="shared" si="52"/>
        <v>99</v>
      </c>
      <c r="AB136">
        <f t="shared" si="53"/>
        <v>85.5</v>
      </c>
      <c r="AC136">
        <f t="shared" si="54"/>
        <v>910</v>
      </c>
      <c r="AD136">
        <f t="shared" si="55"/>
        <v>761.5</v>
      </c>
      <c r="AE136">
        <f t="shared" si="56"/>
        <v>1118</v>
      </c>
      <c r="AF136">
        <f t="shared" si="57"/>
        <v>1138</v>
      </c>
      <c r="AG136" s="9">
        <v>41057002</v>
      </c>
      <c r="AH136" s="31">
        <v>217.5</v>
      </c>
      <c r="AI136" s="31">
        <v>246</v>
      </c>
      <c r="AJ136" s="37">
        <v>-28.5</v>
      </c>
      <c r="AK136" s="37">
        <v>-11.585365853658537</v>
      </c>
      <c r="AL136" s="36">
        <v>90.5</v>
      </c>
      <c r="AM136" s="36">
        <v>99</v>
      </c>
      <c r="AN136" s="37">
        <v>-8.5</v>
      </c>
      <c r="AO136" s="37">
        <v>-8.5858585858585847</v>
      </c>
      <c r="AP136" s="38">
        <v>3057.5</v>
      </c>
      <c r="AQ136" s="39">
        <v>2578.5</v>
      </c>
      <c r="AR136" s="37">
        <v>479</v>
      </c>
      <c r="AS136" s="37">
        <v>18.576691875121195</v>
      </c>
      <c r="AT136" s="36">
        <v>1136.5</v>
      </c>
      <c r="AU136" s="36">
        <v>1295</v>
      </c>
      <c r="AV136" s="37">
        <v>-158.5</v>
      </c>
      <c r="AW136" s="37">
        <v>-12.239382239382239</v>
      </c>
      <c r="AX136" s="5">
        <v>371684</v>
      </c>
      <c r="AY136" t="str">
        <f t="shared" si="58"/>
        <v>BCC_KAMLA_NATIONAL_MODERN_SONDHI</v>
      </c>
      <c r="AZ136" t="str">
        <f t="shared" si="59"/>
        <v>Lutyens</v>
      </c>
      <c r="BC136" s="9">
        <v>41057002</v>
      </c>
      <c r="BD136" s="9" t="s">
        <v>380</v>
      </c>
      <c r="BE136" s="47" t="s">
        <v>440</v>
      </c>
      <c r="BF136" s="14" t="s">
        <v>441</v>
      </c>
      <c r="BG136" s="10" t="s">
        <v>111</v>
      </c>
      <c r="BH136" s="10" t="s">
        <v>271</v>
      </c>
      <c r="BI136" s="12" t="s">
        <v>271</v>
      </c>
      <c r="BJ136" s="51" t="s">
        <v>113</v>
      </c>
    </row>
    <row r="137" spans="1:62" ht="36.5" x14ac:dyDescent="0.35">
      <c r="A137">
        <v>41028209</v>
      </c>
      <c r="B137" s="84">
        <f t="shared" si="40"/>
        <v>228</v>
      </c>
      <c r="C137" s="84">
        <f t="shared" si="41"/>
        <v>242</v>
      </c>
      <c r="E137" s="5">
        <v>186836</v>
      </c>
      <c r="F137" s="19">
        <v>159.5</v>
      </c>
      <c r="G137" s="19">
        <v>151.5</v>
      </c>
      <c r="H137" s="19">
        <v>140.5</v>
      </c>
      <c r="I137" s="19">
        <v>156</v>
      </c>
      <c r="J137" s="19">
        <v>131.5</v>
      </c>
      <c r="K137" s="19">
        <v>160</v>
      </c>
      <c r="L137" s="19">
        <v>176.5</v>
      </c>
      <c r="M137" s="19">
        <v>166.5</v>
      </c>
      <c r="N137" s="9">
        <v>41019252</v>
      </c>
      <c r="O137">
        <f t="shared" si="42"/>
        <v>557</v>
      </c>
      <c r="P137">
        <f t="shared" si="43"/>
        <v>529</v>
      </c>
      <c r="Q137">
        <f t="shared" si="44"/>
        <v>105</v>
      </c>
      <c r="R137">
        <f t="shared" si="45"/>
        <v>109</v>
      </c>
      <c r="S137">
        <f t="shared" si="46"/>
        <v>504</v>
      </c>
      <c r="T137">
        <f t="shared" si="47"/>
        <v>481</v>
      </c>
      <c r="U137">
        <f t="shared" si="48"/>
        <v>90</v>
      </c>
      <c r="V137">
        <f t="shared" si="49"/>
        <v>91</v>
      </c>
      <c r="X137" s="9">
        <v>41056343</v>
      </c>
      <c r="Y137">
        <f t="shared" si="50"/>
        <v>28</v>
      </c>
      <c r="Z137">
        <f t="shared" si="51"/>
        <v>36</v>
      </c>
      <c r="AA137">
        <f t="shared" si="52"/>
        <v>20</v>
      </c>
      <c r="AB137">
        <f t="shared" si="53"/>
        <v>24</v>
      </c>
      <c r="AC137">
        <f t="shared" si="54"/>
        <v>327</v>
      </c>
      <c r="AD137">
        <f t="shared" si="55"/>
        <v>254</v>
      </c>
      <c r="AE137">
        <f t="shared" si="56"/>
        <v>239</v>
      </c>
      <c r="AF137">
        <f t="shared" si="57"/>
        <v>298</v>
      </c>
      <c r="AG137" s="9">
        <v>41019252</v>
      </c>
      <c r="AH137" s="31">
        <v>557</v>
      </c>
      <c r="AI137" s="31">
        <v>529</v>
      </c>
      <c r="AJ137" s="37">
        <v>28</v>
      </c>
      <c r="AK137" s="37">
        <v>5.2930056710775046</v>
      </c>
      <c r="AL137" s="36">
        <v>105</v>
      </c>
      <c r="AM137" s="36">
        <v>109</v>
      </c>
      <c r="AN137" s="37">
        <v>-4</v>
      </c>
      <c r="AO137" s="37">
        <v>-3.669724770642202</v>
      </c>
      <c r="AP137" s="38">
        <v>6636</v>
      </c>
      <c r="AQ137" s="39">
        <v>5210</v>
      </c>
      <c r="AR137" s="37">
        <v>1426</v>
      </c>
      <c r="AS137" s="37">
        <v>27.370441458733207</v>
      </c>
      <c r="AT137" s="36">
        <v>1222</v>
      </c>
      <c r="AU137" s="36">
        <v>1305</v>
      </c>
      <c r="AV137" s="37">
        <v>-83</v>
      </c>
      <c r="AW137" s="37">
        <v>-6.3601532567049812</v>
      </c>
      <c r="AX137" s="5">
        <v>186836</v>
      </c>
      <c r="AY137" t="str">
        <f t="shared" si="58"/>
        <v>MOOLCHAND</v>
      </c>
      <c r="AZ137" t="str">
        <f t="shared" si="59"/>
        <v>New GT Road (NH44)</v>
      </c>
      <c r="BC137" s="9">
        <v>41019252</v>
      </c>
      <c r="BD137" s="9" t="s">
        <v>380</v>
      </c>
      <c r="BE137" s="48" t="s">
        <v>442</v>
      </c>
      <c r="BF137" s="14" t="s">
        <v>443</v>
      </c>
      <c r="BG137" s="10" t="s">
        <v>81</v>
      </c>
      <c r="BH137" s="10" t="s">
        <v>154</v>
      </c>
      <c r="BI137" s="12" t="s">
        <v>154</v>
      </c>
      <c r="BJ137" s="51" t="s">
        <v>135</v>
      </c>
    </row>
    <row r="138" spans="1:62" ht="36.5" x14ac:dyDescent="0.35">
      <c r="A138">
        <v>41032462</v>
      </c>
      <c r="B138" s="84">
        <f t="shared" si="40"/>
        <v>347</v>
      </c>
      <c r="C138" s="84">
        <f t="shared" si="41"/>
        <v>402</v>
      </c>
      <c r="E138" s="5">
        <v>102107</v>
      </c>
      <c r="F138" s="19">
        <v>420.5</v>
      </c>
      <c r="G138" s="19">
        <v>425.5</v>
      </c>
      <c r="H138" s="19">
        <v>307.5</v>
      </c>
      <c r="I138" s="19">
        <v>414</v>
      </c>
      <c r="J138" s="19">
        <v>72.5</v>
      </c>
      <c r="K138" s="19">
        <v>90</v>
      </c>
      <c r="L138" s="19">
        <v>67.5</v>
      </c>
      <c r="M138" s="19">
        <v>76.5</v>
      </c>
      <c r="N138" s="9">
        <v>41056502</v>
      </c>
      <c r="O138">
        <f t="shared" si="42"/>
        <v>302.5</v>
      </c>
      <c r="P138">
        <f t="shared" si="43"/>
        <v>304</v>
      </c>
      <c r="Q138">
        <f t="shared" si="44"/>
        <v>610.5</v>
      </c>
      <c r="R138">
        <f t="shared" si="45"/>
        <v>579</v>
      </c>
      <c r="S138">
        <f t="shared" si="46"/>
        <v>281</v>
      </c>
      <c r="T138">
        <f t="shared" si="47"/>
        <v>255</v>
      </c>
      <c r="U138">
        <f t="shared" si="48"/>
        <v>386</v>
      </c>
      <c r="V138">
        <f t="shared" si="49"/>
        <v>587</v>
      </c>
      <c r="X138" s="3">
        <v>112437</v>
      </c>
      <c r="Y138">
        <f t="shared" si="50"/>
        <v>665</v>
      </c>
      <c r="Z138">
        <f t="shared" si="51"/>
        <v>600</v>
      </c>
      <c r="AA138">
        <f t="shared" si="52"/>
        <v>215</v>
      </c>
      <c r="AB138">
        <f t="shared" si="53"/>
        <v>260</v>
      </c>
      <c r="AC138">
        <f t="shared" si="54"/>
        <v>7471</v>
      </c>
      <c r="AD138">
        <f t="shared" si="55"/>
        <v>6033.5000120000004</v>
      </c>
      <c r="AE138">
        <f t="shared" si="56"/>
        <v>2485</v>
      </c>
      <c r="AF138">
        <f t="shared" si="57"/>
        <v>2993.5</v>
      </c>
      <c r="AG138" s="9">
        <v>41056502</v>
      </c>
      <c r="AH138" s="31">
        <v>302.5</v>
      </c>
      <c r="AI138" s="31">
        <v>304</v>
      </c>
      <c r="AJ138" s="37">
        <v>-1.5</v>
      </c>
      <c r="AK138" s="37">
        <v>-0.49342105263157893</v>
      </c>
      <c r="AL138" s="36">
        <v>610.5</v>
      </c>
      <c r="AM138" s="36">
        <v>579</v>
      </c>
      <c r="AN138" s="37">
        <v>31.5</v>
      </c>
      <c r="AO138" s="37">
        <v>5.4404145077720205</v>
      </c>
      <c r="AP138" s="38">
        <v>3706.5</v>
      </c>
      <c r="AQ138" s="39">
        <v>2989</v>
      </c>
      <c r="AR138" s="37">
        <v>717.5</v>
      </c>
      <c r="AS138" s="37">
        <v>24.004683840749415</v>
      </c>
      <c r="AT138" s="36">
        <v>7382.5</v>
      </c>
      <c r="AU138" s="36">
        <v>6141</v>
      </c>
      <c r="AV138" s="37">
        <v>1241.5</v>
      </c>
      <c r="AW138" s="37">
        <v>20.216577104706072</v>
      </c>
      <c r="AX138" s="5">
        <v>102107</v>
      </c>
      <c r="AY138" t="str">
        <f t="shared" si="58"/>
        <v>White Patch_Merrut Expressway</v>
      </c>
      <c r="AZ138" t="str">
        <f t="shared" si="59"/>
        <v>Mayur Vihar -Anand Vihar -Preet Vihar</v>
      </c>
      <c r="BC138" s="9">
        <v>41056502</v>
      </c>
      <c r="BD138" s="9" t="s">
        <v>380</v>
      </c>
      <c r="BE138" s="47" t="s">
        <v>444</v>
      </c>
      <c r="BF138" s="14" t="s">
        <v>445</v>
      </c>
      <c r="BG138" s="10" t="s">
        <v>103</v>
      </c>
      <c r="BH138" s="10" t="s">
        <v>361</v>
      </c>
      <c r="BI138" s="12" t="s">
        <v>408</v>
      </c>
      <c r="BJ138" s="51" t="s">
        <v>304</v>
      </c>
    </row>
    <row r="139" spans="1:62" ht="60.5" x14ac:dyDescent="0.35">
      <c r="A139">
        <v>41084274</v>
      </c>
      <c r="B139" s="84">
        <f t="shared" si="40"/>
        <v>518</v>
      </c>
      <c r="C139" s="84">
        <f t="shared" si="41"/>
        <v>606</v>
      </c>
      <c r="E139" s="5">
        <v>190058</v>
      </c>
      <c r="F139" s="19">
        <v>555</v>
      </c>
      <c r="G139" s="19">
        <v>592.5</v>
      </c>
      <c r="H139" s="19">
        <v>506</v>
      </c>
      <c r="I139" s="19">
        <v>543.5</v>
      </c>
      <c r="J139" s="19">
        <v>188</v>
      </c>
      <c r="K139" s="19">
        <v>194.5</v>
      </c>
      <c r="L139" s="19">
        <v>145</v>
      </c>
      <c r="M139" s="19">
        <v>163.5</v>
      </c>
      <c r="N139" s="9">
        <v>41056530</v>
      </c>
      <c r="O139">
        <f t="shared" si="42"/>
        <v>86.5</v>
      </c>
      <c r="P139">
        <f t="shared" si="43"/>
        <v>84</v>
      </c>
      <c r="Q139">
        <f t="shared" si="44"/>
        <v>35.5</v>
      </c>
      <c r="R139">
        <f t="shared" si="45"/>
        <v>35</v>
      </c>
      <c r="S139">
        <f t="shared" si="46"/>
        <v>80.5</v>
      </c>
      <c r="T139">
        <f t="shared" si="47"/>
        <v>76</v>
      </c>
      <c r="U139">
        <f t="shared" si="48"/>
        <v>26.5</v>
      </c>
      <c r="V139">
        <f t="shared" si="49"/>
        <v>26</v>
      </c>
      <c r="X139" s="3">
        <v>112402</v>
      </c>
      <c r="Y139">
        <f t="shared" si="50"/>
        <v>205</v>
      </c>
      <c r="Z139">
        <f t="shared" si="51"/>
        <v>203.5</v>
      </c>
      <c r="AA139">
        <f t="shared" si="52"/>
        <v>329</v>
      </c>
      <c r="AB139">
        <f t="shared" si="53"/>
        <v>280.5</v>
      </c>
      <c r="AC139">
        <f t="shared" si="54"/>
        <v>2430.5</v>
      </c>
      <c r="AD139">
        <f t="shared" si="55"/>
        <v>1669</v>
      </c>
      <c r="AE139">
        <f t="shared" si="56"/>
        <v>3641.5</v>
      </c>
      <c r="AF139">
        <f t="shared" si="57"/>
        <v>3966.5</v>
      </c>
      <c r="AG139" s="9">
        <v>41056530</v>
      </c>
      <c r="AH139" s="31">
        <v>86.5</v>
      </c>
      <c r="AI139" s="31">
        <v>84</v>
      </c>
      <c r="AJ139" s="37">
        <v>2.5</v>
      </c>
      <c r="AK139" s="37">
        <v>2.9761904761904758</v>
      </c>
      <c r="AL139" s="36">
        <v>35.5</v>
      </c>
      <c r="AM139" s="36">
        <v>35</v>
      </c>
      <c r="AN139" s="37">
        <v>0.5</v>
      </c>
      <c r="AO139" s="37">
        <v>1.4285714285714286</v>
      </c>
      <c r="AP139" s="38">
        <v>1094</v>
      </c>
      <c r="AQ139" s="39">
        <v>895</v>
      </c>
      <c r="AR139" s="37">
        <v>199</v>
      </c>
      <c r="AS139" s="37">
        <v>22.234636871508378</v>
      </c>
      <c r="AT139" s="36">
        <v>366</v>
      </c>
      <c r="AU139" s="36">
        <v>521</v>
      </c>
      <c r="AV139" s="37">
        <v>-155</v>
      </c>
      <c r="AW139" s="37">
        <v>-29.750479846449135</v>
      </c>
      <c r="AX139" s="5">
        <v>190058</v>
      </c>
      <c r="AY139" t="str">
        <f t="shared" si="58"/>
        <v>White Patch_Chhatarpur_to_Gurgaon</v>
      </c>
      <c r="AZ139" t="str">
        <f t="shared" si="59"/>
        <v>Hauj Khas-Saket-Vasant Kunj</v>
      </c>
      <c r="BC139" s="9">
        <v>41056530</v>
      </c>
      <c r="BD139" s="9" t="s">
        <v>380</v>
      </c>
      <c r="BE139" s="47" t="s">
        <v>446</v>
      </c>
      <c r="BF139" s="14" t="s">
        <v>447</v>
      </c>
      <c r="BG139" s="10" t="s">
        <v>103</v>
      </c>
      <c r="BH139" s="10" t="s">
        <v>208</v>
      </c>
      <c r="BI139" s="12" t="s">
        <v>208</v>
      </c>
      <c r="BJ139" s="51" t="s">
        <v>105</v>
      </c>
    </row>
    <row r="140" spans="1:62" ht="36.5" x14ac:dyDescent="0.35">
      <c r="A140">
        <v>41070344</v>
      </c>
      <c r="B140" s="84">
        <f t="shared" si="40"/>
        <v>201.5</v>
      </c>
      <c r="C140" s="84">
        <f t="shared" si="41"/>
        <v>194</v>
      </c>
      <c r="E140" s="5">
        <v>186840</v>
      </c>
      <c r="F140" s="19">
        <v>360</v>
      </c>
      <c r="G140" s="19">
        <v>445</v>
      </c>
      <c r="H140" s="19">
        <v>340</v>
      </c>
      <c r="I140" s="19">
        <v>370</v>
      </c>
      <c r="J140" s="19">
        <v>60</v>
      </c>
      <c r="K140" s="19">
        <v>70</v>
      </c>
      <c r="L140" s="19">
        <v>60</v>
      </c>
      <c r="M140" s="19">
        <v>75</v>
      </c>
      <c r="N140" s="9">
        <v>41056327</v>
      </c>
      <c r="O140">
        <f t="shared" si="42"/>
        <v>512</v>
      </c>
      <c r="P140">
        <f t="shared" si="43"/>
        <v>479</v>
      </c>
      <c r="Q140">
        <f t="shared" si="44"/>
        <v>126</v>
      </c>
      <c r="R140">
        <f t="shared" si="45"/>
        <v>118</v>
      </c>
      <c r="S140">
        <f t="shared" si="46"/>
        <v>440</v>
      </c>
      <c r="T140">
        <f t="shared" si="47"/>
        <v>428</v>
      </c>
      <c r="U140">
        <f t="shared" si="48"/>
        <v>110</v>
      </c>
      <c r="V140">
        <f t="shared" si="49"/>
        <v>104</v>
      </c>
      <c r="X140" s="5">
        <v>106265</v>
      </c>
      <c r="Y140">
        <f t="shared" si="50"/>
        <v>261.5</v>
      </c>
      <c r="Z140">
        <f t="shared" si="51"/>
        <v>230</v>
      </c>
      <c r="AA140">
        <f t="shared" si="52"/>
        <v>56.5</v>
      </c>
      <c r="AB140">
        <f t="shared" si="53"/>
        <v>48</v>
      </c>
      <c r="AC140">
        <f t="shared" si="54"/>
        <v>2984.5</v>
      </c>
      <c r="AD140">
        <f t="shared" si="55"/>
        <v>2374.5</v>
      </c>
      <c r="AE140">
        <f t="shared" si="56"/>
        <v>625.5</v>
      </c>
      <c r="AF140">
        <f t="shared" si="57"/>
        <v>639.5</v>
      </c>
      <c r="AG140" s="9">
        <v>41056327</v>
      </c>
      <c r="AH140" s="31">
        <v>512</v>
      </c>
      <c r="AI140" s="31">
        <v>479</v>
      </c>
      <c r="AJ140" s="37">
        <v>33</v>
      </c>
      <c r="AK140" s="37">
        <v>6.8893528183716075</v>
      </c>
      <c r="AL140" s="36">
        <v>126</v>
      </c>
      <c r="AM140" s="36">
        <v>118</v>
      </c>
      <c r="AN140" s="37">
        <v>8</v>
      </c>
      <c r="AO140" s="37">
        <v>6.7796610169491522</v>
      </c>
      <c r="AP140" s="38">
        <v>5992.5</v>
      </c>
      <c r="AQ140" s="39">
        <v>4774</v>
      </c>
      <c r="AR140" s="37">
        <v>1218.5</v>
      </c>
      <c r="AS140" s="37">
        <v>25.523669878508588</v>
      </c>
      <c r="AT140" s="36">
        <v>1420.5</v>
      </c>
      <c r="AU140" s="36">
        <v>1513</v>
      </c>
      <c r="AV140" s="37">
        <v>-92.5</v>
      </c>
      <c r="AW140" s="37">
        <v>-6.1136814276272311</v>
      </c>
      <c r="AX140" s="5">
        <v>186840</v>
      </c>
      <c r="AY140" t="str">
        <f t="shared" si="58"/>
        <v>White Patch_Model Town</v>
      </c>
      <c r="AZ140" t="str">
        <f t="shared" si="59"/>
        <v>Inner Ring Road</v>
      </c>
      <c r="BC140" s="9">
        <v>41056327</v>
      </c>
      <c r="BD140" s="9" t="s">
        <v>380</v>
      </c>
      <c r="BE140" s="47" t="s">
        <v>448</v>
      </c>
      <c r="BF140" s="14" t="s">
        <v>449</v>
      </c>
      <c r="BG140" s="10" t="s">
        <v>85</v>
      </c>
      <c r="BH140" s="10" t="s">
        <v>332</v>
      </c>
      <c r="BI140" s="12" t="s">
        <v>332</v>
      </c>
      <c r="BJ140" s="51" t="s">
        <v>178</v>
      </c>
    </row>
    <row r="141" spans="1:62" ht="48.5" x14ac:dyDescent="0.35">
      <c r="A141">
        <v>106269</v>
      </c>
      <c r="B141" s="84">
        <f t="shared" si="40"/>
        <v>545</v>
      </c>
      <c r="C141" s="84">
        <f t="shared" si="41"/>
        <v>615</v>
      </c>
      <c r="E141" s="5">
        <v>106272</v>
      </c>
      <c r="F141" s="19">
        <v>599</v>
      </c>
      <c r="G141" s="19">
        <v>655.5</v>
      </c>
      <c r="H141" s="19">
        <v>546</v>
      </c>
      <c r="I141" s="19">
        <v>584</v>
      </c>
      <c r="J141" s="19">
        <v>116</v>
      </c>
      <c r="K141" s="19">
        <v>112</v>
      </c>
      <c r="L141" s="19">
        <v>101</v>
      </c>
      <c r="M141" s="19">
        <v>108.5</v>
      </c>
      <c r="N141" s="9">
        <v>41056985</v>
      </c>
      <c r="O141">
        <f t="shared" si="42"/>
        <v>111</v>
      </c>
      <c r="P141">
        <f t="shared" si="43"/>
        <v>99</v>
      </c>
      <c r="Q141">
        <f t="shared" si="44"/>
        <v>168</v>
      </c>
      <c r="R141">
        <f t="shared" si="45"/>
        <v>144</v>
      </c>
      <c r="S141">
        <f t="shared" si="46"/>
        <v>105</v>
      </c>
      <c r="T141">
        <f t="shared" si="47"/>
        <v>96</v>
      </c>
      <c r="U141">
        <f t="shared" si="48"/>
        <v>153</v>
      </c>
      <c r="V141">
        <f t="shared" si="49"/>
        <v>112</v>
      </c>
      <c r="X141" s="5">
        <v>106337</v>
      </c>
      <c r="Y141">
        <f t="shared" si="50"/>
        <v>237.5</v>
      </c>
      <c r="Z141">
        <f t="shared" si="51"/>
        <v>225.5</v>
      </c>
      <c r="AA141">
        <f t="shared" si="52"/>
        <v>48.5</v>
      </c>
      <c r="AB141">
        <f t="shared" si="53"/>
        <v>60.5</v>
      </c>
      <c r="AC141">
        <f t="shared" si="54"/>
        <v>2799.5</v>
      </c>
      <c r="AD141">
        <f t="shared" si="55"/>
        <v>2135.5</v>
      </c>
      <c r="AE141">
        <f t="shared" si="56"/>
        <v>616.5</v>
      </c>
      <c r="AF141">
        <f t="shared" si="57"/>
        <v>725</v>
      </c>
      <c r="AG141" s="9">
        <v>41056985</v>
      </c>
      <c r="AH141" s="31">
        <v>111</v>
      </c>
      <c r="AI141" s="31">
        <v>99</v>
      </c>
      <c r="AJ141" s="37">
        <v>12</v>
      </c>
      <c r="AK141" s="37">
        <v>12.121212121212121</v>
      </c>
      <c r="AL141" s="36">
        <v>168</v>
      </c>
      <c r="AM141" s="36">
        <v>144</v>
      </c>
      <c r="AN141" s="37">
        <v>24</v>
      </c>
      <c r="AO141" s="37">
        <v>16.666666666666664</v>
      </c>
      <c r="AP141" s="38">
        <v>1307</v>
      </c>
      <c r="AQ141" s="39">
        <v>943.5</v>
      </c>
      <c r="AR141" s="37">
        <v>363.5</v>
      </c>
      <c r="AS141" s="37">
        <v>38.526762056173816</v>
      </c>
      <c r="AT141" s="36">
        <v>2049</v>
      </c>
      <c r="AU141" s="36">
        <v>1930.5</v>
      </c>
      <c r="AV141" s="37">
        <v>118.5</v>
      </c>
      <c r="AW141" s="37">
        <v>6.1383061383061381</v>
      </c>
      <c r="AX141" s="5">
        <v>106272</v>
      </c>
      <c r="AY141" t="str">
        <f t="shared" si="58"/>
        <v>SAOMI SS</v>
      </c>
      <c r="AZ141" t="str">
        <f t="shared" si="59"/>
        <v>Outer Ring Road</v>
      </c>
      <c r="BC141" s="9">
        <v>41056985</v>
      </c>
      <c r="BD141" s="9" t="s">
        <v>380</v>
      </c>
      <c r="BE141" s="48" t="s">
        <v>450</v>
      </c>
      <c r="BF141" s="14" t="s">
        <v>451</v>
      </c>
      <c r="BG141" s="10" t="s">
        <v>81</v>
      </c>
      <c r="BH141" s="10" t="s">
        <v>140</v>
      </c>
      <c r="BI141" s="12" t="s">
        <v>140</v>
      </c>
      <c r="BJ141" s="51" t="s">
        <v>141</v>
      </c>
    </row>
    <row r="142" spans="1:62" ht="48.5" x14ac:dyDescent="0.35">
      <c r="A142">
        <v>106270</v>
      </c>
      <c r="B142" s="84">
        <f t="shared" si="40"/>
        <v>678</v>
      </c>
      <c r="C142" s="84">
        <f t="shared" si="41"/>
        <v>770</v>
      </c>
      <c r="E142" s="5">
        <v>106340</v>
      </c>
      <c r="F142" s="19">
        <v>324.5</v>
      </c>
      <c r="G142" s="19">
        <v>319</v>
      </c>
      <c r="H142" s="19">
        <v>340.5</v>
      </c>
      <c r="I142" s="19">
        <v>370</v>
      </c>
      <c r="J142" s="19">
        <v>67.5</v>
      </c>
      <c r="K142" s="19">
        <v>76</v>
      </c>
      <c r="L142" s="19">
        <v>57.5</v>
      </c>
      <c r="M142" s="19">
        <v>53</v>
      </c>
      <c r="N142" s="9">
        <v>41056821</v>
      </c>
      <c r="O142">
        <f t="shared" si="42"/>
        <v>470</v>
      </c>
      <c r="P142">
        <f t="shared" si="43"/>
        <v>553.5</v>
      </c>
      <c r="Q142">
        <f t="shared" si="44"/>
        <v>268</v>
      </c>
      <c r="R142">
        <f t="shared" si="45"/>
        <v>450.5</v>
      </c>
      <c r="S142">
        <f t="shared" si="46"/>
        <v>465</v>
      </c>
      <c r="T142">
        <f t="shared" si="47"/>
        <v>465</v>
      </c>
      <c r="U142">
        <f t="shared" si="48"/>
        <v>319</v>
      </c>
      <c r="V142">
        <f t="shared" si="49"/>
        <v>385</v>
      </c>
      <c r="X142" s="5">
        <v>241496</v>
      </c>
      <c r="Y142">
        <f t="shared" si="50"/>
        <v>250</v>
      </c>
      <c r="Z142">
        <f t="shared" si="51"/>
        <v>188</v>
      </c>
      <c r="AA142">
        <f t="shared" si="52"/>
        <v>48</v>
      </c>
      <c r="AB142">
        <f t="shared" si="53"/>
        <v>28</v>
      </c>
      <c r="AC142">
        <f t="shared" si="54"/>
        <v>2550</v>
      </c>
      <c r="AD142">
        <f t="shared" si="55"/>
        <v>2021</v>
      </c>
      <c r="AE142">
        <f t="shared" si="56"/>
        <v>356</v>
      </c>
      <c r="AF142">
        <f t="shared" si="57"/>
        <v>355</v>
      </c>
      <c r="AG142" s="9">
        <v>41056821</v>
      </c>
      <c r="AH142" s="31">
        <v>470</v>
      </c>
      <c r="AI142" s="31">
        <v>553.5</v>
      </c>
      <c r="AJ142" s="37">
        <v>-83.5</v>
      </c>
      <c r="AK142" s="37">
        <v>-15.085817524841916</v>
      </c>
      <c r="AL142" s="36">
        <v>268</v>
      </c>
      <c r="AM142" s="36">
        <v>450.5</v>
      </c>
      <c r="AN142" s="37">
        <v>-182.5</v>
      </c>
      <c r="AO142" s="37">
        <v>-40.510543840177583</v>
      </c>
      <c r="AP142" s="38">
        <v>6411</v>
      </c>
      <c r="AQ142" s="39">
        <v>5254</v>
      </c>
      <c r="AR142" s="37">
        <v>1157</v>
      </c>
      <c r="AS142" s="37">
        <v>22.021317091739625</v>
      </c>
      <c r="AT142" s="36">
        <v>4681</v>
      </c>
      <c r="AU142" s="36">
        <v>4779.5</v>
      </c>
      <c r="AV142" s="37">
        <v>-98.5</v>
      </c>
      <c r="AW142" s="37">
        <v>-2.060885029814834</v>
      </c>
      <c r="AX142" s="5">
        <v>106340</v>
      </c>
      <c r="AY142" t="str">
        <f t="shared" si="58"/>
        <v>White Patch_OuterRingRoad_IITDelhi</v>
      </c>
      <c r="AZ142" t="str">
        <f t="shared" si="59"/>
        <v>Outer Ring Road</v>
      </c>
      <c r="BC142" s="9">
        <v>41056821</v>
      </c>
      <c r="BD142" s="9" t="s">
        <v>380</v>
      </c>
      <c r="BE142" s="48" t="s">
        <v>452</v>
      </c>
      <c r="BF142" s="14" t="s">
        <v>438</v>
      </c>
      <c r="BG142" s="10" t="s">
        <v>81</v>
      </c>
      <c r="BH142" s="10" t="s">
        <v>439</v>
      </c>
      <c r="BI142" s="12" t="s">
        <v>439</v>
      </c>
      <c r="BJ142" s="51" t="s">
        <v>135</v>
      </c>
    </row>
    <row r="143" spans="1:62" ht="36.5" x14ac:dyDescent="0.35">
      <c r="A143">
        <v>41056502</v>
      </c>
      <c r="B143" s="84">
        <f t="shared" si="40"/>
        <v>281</v>
      </c>
      <c r="C143" s="84">
        <f t="shared" si="41"/>
        <v>302.5</v>
      </c>
      <c r="E143" s="5">
        <v>186856</v>
      </c>
      <c r="F143" s="19">
        <v>289</v>
      </c>
      <c r="G143" s="19">
        <v>276</v>
      </c>
      <c r="H143" s="19">
        <v>289</v>
      </c>
      <c r="I143" s="19">
        <v>317.5</v>
      </c>
      <c r="J143" s="19">
        <v>87</v>
      </c>
      <c r="K143" s="19">
        <v>84.5</v>
      </c>
      <c r="L143" s="19">
        <v>91</v>
      </c>
      <c r="M143" s="19">
        <v>86</v>
      </c>
      <c r="N143" s="9">
        <v>41019298</v>
      </c>
      <c r="O143">
        <f t="shared" si="42"/>
        <v>306</v>
      </c>
      <c r="P143">
        <f t="shared" si="43"/>
        <v>288</v>
      </c>
      <c r="Q143">
        <f t="shared" si="44"/>
        <v>86</v>
      </c>
      <c r="R143">
        <f t="shared" si="45"/>
        <v>75</v>
      </c>
      <c r="S143">
        <f t="shared" si="46"/>
        <v>308</v>
      </c>
      <c r="T143">
        <f t="shared" si="47"/>
        <v>245</v>
      </c>
      <c r="U143">
        <f t="shared" si="48"/>
        <v>90</v>
      </c>
      <c r="V143">
        <f t="shared" si="49"/>
        <v>95</v>
      </c>
      <c r="X143" s="5">
        <v>106344</v>
      </c>
      <c r="Y143">
        <f t="shared" si="50"/>
        <v>831.5</v>
      </c>
      <c r="Z143">
        <f t="shared" si="51"/>
        <v>729.5</v>
      </c>
      <c r="AA143">
        <f t="shared" si="52"/>
        <v>222.5</v>
      </c>
      <c r="AB143">
        <f t="shared" si="53"/>
        <v>134.5</v>
      </c>
      <c r="AC143">
        <f t="shared" si="54"/>
        <v>9021.5</v>
      </c>
      <c r="AD143">
        <f t="shared" si="55"/>
        <v>7136.5</v>
      </c>
      <c r="AE143">
        <f t="shared" si="56"/>
        <v>1872.5</v>
      </c>
      <c r="AF143">
        <f t="shared" si="57"/>
        <v>1929.5</v>
      </c>
      <c r="AG143" s="9">
        <v>41019298</v>
      </c>
      <c r="AH143" s="31">
        <v>306</v>
      </c>
      <c r="AI143" s="31">
        <v>288</v>
      </c>
      <c r="AJ143" s="37">
        <v>18</v>
      </c>
      <c r="AK143" s="37">
        <v>6.25</v>
      </c>
      <c r="AL143" s="36">
        <v>86</v>
      </c>
      <c r="AM143" s="36">
        <v>75</v>
      </c>
      <c r="AN143" s="37">
        <v>11</v>
      </c>
      <c r="AO143" s="37">
        <v>14.666666666666666</v>
      </c>
      <c r="AP143" s="38">
        <v>3515.5</v>
      </c>
      <c r="AQ143" s="39">
        <v>2525</v>
      </c>
      <c r="AR143" s="37">
        <v>990.5</v>
      </c>
      <c r="AS143" s="37">
        <v>39.227722772277232</v>
      </c>
      <c r="AT143" s="36">
        <v>938.5</v>
      </c>
      <c r="AU143" s="36">
        <v>944</v>
      </c>
      <c r="AV143" s="37">
        <v>-5.5</v>
      </c>
      <c r="AW143" s="37">
        <v>-0.5826271186440678</v>
      </c>
      <c r="AX143" s="5">
        <v>186856</v>
      </c>
      <c r="AY143" t="str">
        <f t="shared" si="58"/>
        <v>GANPATI</v>
      </c>
      <c r="AZ143" t="str">
        <f t="shared" si="59"/>
        <v>Pitampura</v>
      </c>
      <c r="BC143" s="9">
        <v>41019298</v>
      </c>
      <c r="BD143" s="9" t="s">
        <v>380</v>
      </c>
      <c r="BE143" s="47" t="s">
        <v>453</v>
      </c>
      <c r="BF143" s="14" t="s">
        <v>454</v>
      </c>
      <c r="BG143" s="10" t="s">
        <v>81</v>
      </c>
      <c r="BH143" s="10" t="s">
        <v>455</v>
      </c>
      <c r="BI143" s="12" t="s">
        <v>455</v>
      </c>
      <c r="BJ143" s="51" t="s">
        <v>141</v>
      </c>
    </row>
    <row r="144" spans="1:62" ht="36.5" x14ac:dyDescent="0.35">
      <c r="A144">
        <v>102119</v>
      </c>
      <c r="B144" s="84">
        <f t="shared" si="40"/>
        <v>601</v>
      </c>
      <c r="C144" s="84">
        <f t="shared" si="41"/>
        <v>641</v>
      </c>
      <c r="E144" s="5">
        <v>106218</v>
      </c>
      <c r="F144" s="19">
        <v>438.5</v>
      </c>
      <c r="G144" s="19">
        <v>486</v>
      </c>
      <c r="H144" s="19">
        <v>378</v>
      </c>
      <c r="I144" s="19">
        <v>432</v>
      </c>
      <c r="J144" s="19">
        <v>36</v>
      </c>
      <c r="K144" s="19">
        <v>36</v>
      </c>
      <c r="L144" s="19">
        <v>33.5</v>
      </c>
      <c r="M144" s="19">
        <v>50</v>
      </c>
      <c r="N144" s="9">
        <v>41031838</v>
      </c>
      <c r="O144">
        <f t="shared" si="42"/>
        <v>389</v>
      </c>
      <c r="P144">
        <f t="shared" si="43"/>
        <v>283.5</v>
      </c>
      <c r="Q144">
        <f t="shared" si="44"/>
        <v>141</v>
      </c>
      <c r="R144">
        <f t="shared" si="45"/>
        <v>85.5</v>
      </c>
      <c r="S144">
        <f t="shared" si="46"/>
        <v>368</v>
      </c>
      <c r="T144">
        <f t="shared" si="47"/>
        <v>285</v>
      </c>
      <c r="U144">
        <f t="shared" si="48"/>
        <v>139</v>
      </c>
      <c r="V144">
        <f t="shared" si="49"/>
        <v>86</v>
      </c>
      <c r="X144" s="5">
        <v>106284</v>
      </c>
      <c r="Y144">
        <f t="shared" si="50"/>
        <v>249.5</v>
      </c>
      <c r="Z144">
        <f t="shared" si="51"/>
        <v>229.5</v>
      </c>
      <c r="AA144">
        <f t="shared" si="52"/>
        <v>22.5</v>
      </c>
      <c r="AB144">
        <f t="shared" si="53"/>
        <v>22.5</v>
      </c>
      <c r="AC144">
        <f t="shared" si="54"/>
        <v>3067</v>
      </c>
      <c r="AD144">
        <f t="shared" si="55"/>
        <v>2457.5</v>
      </c>
      <c r="AE144">
        <f t="shared" si="56"/>
        <v>243</v>
      </c>
      <c r="AF144">
        <f t="shared" si="57"/>
        <v>269.5</v>
      </c>
      <c r="AG144" s="9">
        <v>41031838</v>
      </c>
      <c r="AH144" s="31">
        <v>389</v>
      </c>
      <c r="AI144" s="31">
        <v>283.5</v>
      </c>
      <c r="AJ144" s="37">
        <v>105.5</v>
      </c>
      <c r="AK144" s="37">
        <v>37.213403880070544</v>
      </c>
      <c r="AL144" s="36">
        <v>141</v>
      </c>
      <c r="AM144" s="36">
        <v>85.5</v>
      </c>
      <c r="AN144" s="37">
        <v>55.5</v>
      </c>
      <c r="AO144" s="37">
        <v>64.912280701754383</v>
      </c>
      <c r="AP144" s="38">
        <v>4464.5</v>
      </c>
      <c r="AQ144" s="39">
        <v>2907.5</v>
      </c>
      <c r="AR144" s="37">
        <v>1557</v>
      </c>
      <c r="AS144" s="37">
        <v>53.551160791057605</v>
      </c>
      <c r="AT144" s="36">
        <v>1373.5</v>
      </c>
      <c r="AU144" s="36">
        <v>1009</v>
      </c>
      <c r="AV144" s="37">
        <v>364.5</v>
      </c>
      <c r="AW144" s="37">
        <v>36.124876114965311</v>
      </c>
      <c r="AX144" s="5">
        <v>106218</v>
      </c>
      <c r="AY144" t="str">
        <f t="shared" si="58"/>
        <v>ALLIED_MASIH</v>
      </c>
      <c r="AZ144" t="str">
        <f t="shared" si="59"/>
        <v>Mayur Vihar -Anand Vihar -Preet Vihar</v>
      </c>
      <c r="BC144" s="9">
        <v>41031838</v>
      </c>
      <c r="BD144" s="9" t="s">
        <v>380</v>
      </c>
      <c r="BE144" s="47" t="s">
        <v>456</v>
      </c>
      <c r="BF144" s="14" t="s">
        <v>457</v>
      </c>
      <c r="BG144" s="10" t="s">
        <v>81</v>
      </c>
      <c r="BH144" s="10" t="s">
        <v>134</v>
      </c>
      <c r="BI144" s="12" t="s">
        <v>134</v>
      </c>
      <c r="BJ144" s="51" t="s">
        <v>135</v>
      </c>
    </row>
    <row r="145" spans="1:62" ht="48.5" x14ac:dyDescent="0.35">
      <c r="A145">
        <v>106272</v>
      </c>
      <c r="B145" s="84">
        <f t="shared" si="40"/>
        <v>599</v>
      </c>
      <c r="C145" s="84">
        <f t="shared" si="41"/>
        <v>655.5</v>
      </c>
      <c r="E145" s="5">
        <v>106360</v>
      </c>
      <c r="F145" s="19">
        <v>484</v>
      </c>
      <c r="G145" s="19">
        <v>564</v>
      </c>
      <c r="H145" s="19">
        <v>457.5</v>
      </c>
      <c r="I145" s="19">
        <v>527</v>
      </c>
      <c r="J145" s="19">
        <v>84.5</v>
      </c>
      <c r="K145" s="19">
        <v>89</v>
      </c>
      <c r="L145" s="19">
        <v>80</v>
      </c>
      <c r="M145" s="19">
        <v>96</v>
      </c>
      <c r="N145" s="9">
        <v>41057005</v>
      </c>
      <c r="O145">
        <f t="shared" si="42"/>
        <v>665</v>
      </c>
      <c r="P145">
        <f t="shared" si="43"/>
        <v>650</v>
      </c>
      <c r="Q145">
        <f t="shared" si="44"/>
        <v>155</v>
      </c>
      <c r="R145">
        <f t="shared" si="45"/>
        <v>185</v>
      </c>
      <c r="S145">
        <f t="shared" si="46"/>
        <v>581</v>
      </c>
      <c r="T145">
        <f t="shared" si="47"/>
        <v>570</v>
      </c>
      <c r="U145">
        <f t="shared" si="48"/>
        <v>164</v>
      </c>
      <c r="V145">
        <f t="shared" si="49"/>
        <v>190</v>
      </c>
      <c r="X145" s="5">
        <v>106303</v>
      </c>
      <c r="Y145">
        <f t="shared" si="50"/>
        <v>267.5</v>
      </c>
      <c r="Z145">
        <f t="shared" si="51"/>
        <v>273</v>
      </c>
      <c r="AA145">
        <f t="shared" si="52"/>
        <v>54.5</v>
      </c>
      <c r="AB145">
        <f t="shared" si="53"/>
        <v>71</v>
      </c>
      <c r="AC145">
        <f t="shared" si="54"/>
        <v>3403</v>
      </c>
      <c r="AD145">
        <f t="shared" si="55"/>
        <v>2825</v>
      </c>
      <c r="AE145">
        <f t="shared" si="56"/>
        <v>763</v>
      </c>
      <c r="AF145">
        <f t="shared" si="57"/>
        <v>885.5</v>
      </c>
      <c r="AG145" s="9">
        <v>41057005</v>
      </c>
      <c r="AH145" s="31">
        <v>665</v>
      </c>
      <c r="AI145" s="31">
        <v>650</v>
      </c>
      <c r="AJ145" s="37">
        <v>15</v>
      </c>
      <c r="AK145" s="37">
        <v>2.3076923076923079</v>
      </c>
      <c r="AL145" s="36">
        <v>155</v>
      </c>
      <c r="AM145" s="36">
        <v>185</v>
      </c>
      <c r="AN145" s="37">
        <v>-30</v>
      </c>
      <c r="AO145" s="37">
        <v>-16.216216216216218</v>
      </c>
      <c r="AP145" s="38">
        <v>8360</v>
      </c>
      <c r="AQ145" s="39">
        <v>6603.5</v>
      </c>
      <c r="AR145" s="37">
        <v>1756.5</v>
      </c>
      <c r="AS145" s="37">
        <v>26.59953055198001</v>
      </c>
      <c r="AT145" s="36">
        <v>2081</v>
      </c>
      <c r="AU145" s="36">
        <v>2328.5</v>
      </c>
      <c r="AV145" s="37">
        <v>-247.5</v>
      </c>
      <c r="AW145" s="37">
        <v>-10.629160403693366</v>
      </c>
      <c r="AX145" s="5">
        <v>106360</v>
      </c>
      <c r="AY145" t="str">
        <f t="shared" si="58"/>
        <v>SAKSHAM</v>
      </c>
      <c r="AZ145" t="str">
        <f t="shared" si="59"/>
        <v>Punjabi Bagh</v>
      </c>
      <c r="BC145" s="9">
        <v>41057005</v>
      </c>
      <c r="BD145" s="9" t="s">
        <v>380</v>
      </c>
      <c r="BE145" s="47" t="s">
        <v>458</v>
      </c>
      <c r="BF145" s="14" t="s">
        <v>459</v>
      </c>
      <c r="BG145" s="10" t="s">
        <v>94</v>
      </c>
      <c r="BH145" s="10" t="s">
        <v>161</v>
      </c>
      <c r="BI145" s="12" t="s">
        <v>161</v>
      </c>
      <c r="BJ145" s="51" t="s">
        <v>96</v>
      </c>
    </row>
    <row r="146" spans="1:62" ht="36.5" x14ac:dyDescent="0.35">
      <c r="A146">
        <v>153271</v>
      </c>
      <c r="B146" s="84">
        <f t="shared" si="40"/>
        <v>382.01900000000001</v>
      </c>
      <c r="C146" s="84">
        <f t="shared" si="41"/>
        <v>439.77999999999901</v>
      </c>
      <c r="E146" s="5">
        <v>107657</v>
      </c>
      <c r="F146" s="19">
        <v>508.5</v>
      </c>
      <c r="G146" s="19">
        <v>622.5</v>
      </c>
      <c r="H146" s="19">
        <v>493</v>
      </c>
      <c r="I146" s="19">
        <v>558.5</v>
      </c>
      <c r="J146" s="19">
        <v>93</v>
      </c>
      <c r="K146" s="19">
        <v>111.5</v>
      </c>
      <c r="L146" s="19">
        <v>85.5</v>
      </c>
      <c r="M146" s="19">
        <v>117.5</v>
      </c>
      <c r="N146" s="9">
        <v>41026624</v>
      </c>
      <c r="O146">
        <f t="shared" si="42"/>
        <v>397</v>
      </c>
      <c r="P146">
        <f t="shared" si="43"/>
        <v>391.5</v>
      </c>
      <c r="Q146">
        <f t="shared" si="44"/>
        <v>27</v>
      </c>
      <c r="R146">
        <f t="shared" si="45"/>
        <v>59.5</v>
      </c>
      <c r="S146">
        <f t="shared" si="46"/>
        <v>344.5</v>
      </c>
      <c r="T146">
        <f t="shared" si="47"/>
        <v>326</v>
      </c>
      <c r="U146">
        <f t="shared" si="48"/>
        <v>47.5</v>
      </c>
      <c r="V146">
        <f t="shared" si="49"/>
        <v>34</v>
      </c>
      <c r="X146" s="7">
        <v>108140</v>
      </c>
      <c r="Y146">
        <f t="shared" si="50"/>
        <v>508.5</v>
      </c>
      <c r="Z146">
        <f t="shared" si="51"/>
        <v>459</v>
      </c>
      <c r="AA146">
        <f t="shared" si="52"/>
        <v>67.5</v>
      </c>
      <c r="AB146">
        <f t="shared" si="53"/>
        <v>63</v>
      </c>
      <c r="AC146">
        <f t="shared" si="54"/>
        <v>5718.5</v>
      </c>
      <c r="AD146">
        <f t="shared" si="55"/>
        <v>4744.5</v>
      </c>
      <c r="AE146">
        <f t="shared" si="56"/>
        <v>777.5</v>
      </c>
      <c r="AF146">
        <f t="shared" si="57"/>
        <v>810.5</v>
      </c>
      <c r="AG146" s="9">
        <v>41026624</v>
      </c>
      <c r="AH146" s="31">
        <v>397</v>
      </c>
      <c r="AI146" s="31">
        <v>391.5</v>
      </c>
      <c r="AJ146" s="37">
        <v>5.5</v>
      </c>
      <c r="AK146" s="37">
        <v>1.40485312899106</v>
      </c>
      <c r="AL146" s="36">
        <v>27</v>
      </c>
      <c r="AM146" s="36">
        <v>59.5</v>
      </c>
      <c r="AN146" s="37">
        <v>-32.5</v>
      </c>
      <c r="AO146" s="37">
        <v>-54.621848739495796</v>
      </c>
      <c r="AP146" s="38">
        <v>4537.5</v>
      </c>
      <c r="AQ146" s="39">
        <v>3484</v>
      </c>
      <c r="AR146" s="37">
        <v>1053.5</v>
      </c>
      <c r="AS146" s="37">
        <v>30.238231917336396</v>
      </c>
      <c r="AT146" s="36">
        <v>530.5</v>
      </c>
      <c r="AU146" s="36">
        <v>652.5</v>
      </c>
      <c r="AV146" s="37">
        <v>-122</v>
      </c>
      <c r="AW146" s="37">
        <v>-18.697318007662837</v>
      </c>
      <c r="AX146" s="5">
        <v>107657</v>
      </c>
      <c r="AY146" t="str">
        <f t="shared" si="58"/>
        <v>White Patch- Rohini</v>
      </c>
      <c r="AZ146" t="str">
        <f t="shared" si="59"/>
        <v>Pitampura</v>
      </c>
      <c r="BC146" s="9">
        <v>41026624</v>
      </c>
      <c r="BD146" s="9" t="s">
        <v>380</v>
      </c>
      <c r="BE146" s="47" t="s">
        <v>460</v>
      </c>
      <c r="BF146" s="14" t="s">
        <v>461</v>
      </c>
      <c r="BG146" s="10" t="s">
        <v>228</v>
      </c>
      <c r="BH146" s="10" t="s">
        <v>462</v>
      </c>
      <c r="BI146" s="12" t="s">
        <v>462</v>
      </c>
      <c r="BJ146" s="51" t="s">
        <v>230</v>
      </c>
    </row>
    <row r="147" spans="1:62" ht="84.5" x14ac:dyDescent="0.35">
      <c r="A147">
        <v>368600</v>
      </c>
      <c r="B147" s="84">
        <f t="shared" si="40"/>
        <v>467.33100000000002</v>
      </c>
      <c r="C147" s="84">
        <f t="shared" si="41"/>
        <v>489.31599999999901</v>
      </c>
      <c r="E147" s="7">
        <v>108140</v>
      </c>
      <c r="F147" s="19">
        <v>450</v>
      </c>
      <c r="G147" s="19">
        <v>508.5</v>
      </c>
      <c r="H147" s="19">
        <v>414</v>
      </c>
      <c r="I147" s="19">
        <v>459</v>
      </c>
      <c r="J147" s="19">
        <v>54</v>
      </c>
      <c r="K147" s="19">
        <v>63</v>
      </c>
      <c r="L147" s="19">
        <v>72</v>
      </c>
      <c r="M147" s="19">
        <v>67.5</v>
      </c>
      <c r="N147" s="9">
        <v>41084274</v>
      </c>
      <c r="O147">
        <f t="shared" si="42"/>
        <v>606</v>
      </c>
      <c r="P147">
        <f t="shared" si="43"/>
        <v>533</v>
      </c>
      <c r="Q147">
        <f t="shared" si="44"/>
        <v>97</v>
      </c>
      <c r="R147">
        <f t="shared" si="45"/>
        <v>91</v>
      </c>
      <c r="S147">
        <f t="shared" si="46"/>
        <v>518</v>
      </c>
      <c r="T147">
        <f t="shared" si="47"/>
        <v>387</v>
      </c>
      <c r="U147">
        <f t="shared" si="48"/>
        <v>82</v>
      </c>
      <c r="V147">
        <f t="shared" si="49"/>
        <v>67.900000000000006</v>
      </c>
      <c r="X147" s="3">
        <v>112448</v>
      </c>
      <c r="Y147">
        <f t="shared" si="50"/>
        <v>271</v>
      </c>
      <c r="Z147">
        <f t="shared" si="51"/>
        <v>242</v>
      </c>
      <c r="AA147">
        <f t="shared" si="52"/>
        <v>65</v>
      </c>
      <c r="AB147">
        <f t="shared" si="53"/>
        <v>68</v>
      </c>
      <c r="AC147">
        <f t="shared" si="54"/>
        <v>3123.5</v>
      </c>
      <c r="AD147">
        <f t="shared" si="55"/>
        <v>2454.5000150000001</v>
      </c>
      <c r="AE147">
        <f t="shared" si="56"/>
        <v>822.5</v>
      </c>
      <c r="AF147">
        <f t="shared" si="57"/>
        <v>581</v>
      </c>
      <c r="AG147" s="9">
        <v>41084274</v>
      </c>
      <c r="AH147" s="31">
        <v>606</v>
      </c>
      <c r="AI147" s="31">
        <v>533</v>
      </c>
      <c r="AJ147" s="37">
        <v>73</v>
      </c>
      <c r="AK147" s="37">
        <v>13.696060037523452</v>
      </c>
      <c r="AL147" s="36">
        <v>97</v>
      </c>
      <c r="AM147" s="36">
        <v>91</v>
      </c>
      <c r="AN147" s="37">
        <v>6</v>
      </c>
      <c r="AO147" s="37">
        <v>6.593406593406594</v>
      </c>
      <c r="AP147" s="38">
        <v>6997.2910599999996</v>
      </c>
      <c r="AQ147" s="39">
        <v>5753</v>
      </c>
      <c r="AR147" s="37">
        <v>1244.2910599999996</v>
      </c>
      <c r="AS147" s="37">
        <v>21.628560055623144</v>
      </c>
      <c r="AT147" s="36">
        <v>1090.9478800000002</v>
      </c>
      <c r="AU147" s="36">
        <v>1244.9000000000001</v>
      </c>
      <c r="AV147" s="37">
        <v>-153.95211999999992</v>
      </c>
      <c r="AW147" s="37">
        <v>-12.36662543176158</v>
      </c>
      <c r="AX147" s="7">
        <v>108140</v>
      </c>
      <c r="AY147" t="str">
        <f t="shared" si="58"/>
        <v>White Patch_Dwarka_To_Bijwasan</v>
      </c>
      <c r="AZ147" t="str">
        <f t="shared" si="59"/>
        <v>Dwarka</v>
      </c>
      <c r="BC147" s="9">
        <v>41084274</v>
      </c>
      <c r="BD147" s="9" t="s">
        <v>380</v>
      </c>
      <c r="BE147" s="47" t="s">
        <v>463</v>
      </c>
      <c r="BF147" s="14" t="s">
        <v>464</v>
      </c>
      <c r="BG147" s="10" t="s">
        <v>169</v>
      </c>
      <c r="BH147" s="10" t="s">
        <v>100</v>
      </c>
      <c r="BI147" s="12" t="s">
        <v>100</v>
      </c>
      <c r="BJ147" s="51" t="s">
        <v>77</v>
      </c>
    </row>
    <row r="148" spans="1:62" ht="48.5" x14ac:dyDescent="0.35">
      <c r="A148">
        <v>308771</v>
      </c>
      <c r="B148" s="84">
        <f t="shared" si="40"/>
        <v>388.81</v>
      </c>
      <c r="C148" s="84">
        <f t="shared" si="41"/>
        <v>445.92899999999901</v>
      </c>
      <c r="E148" s="5">
        <v>106354</v>
      </c>
      <c r="F148" s="19">
        <v>630</v>
      </c>
      <c r="G148" s="19">
        <v>653.5</v>
      </c>
      <c r="H148" s="19">
        <v>600</v>
      </c>
      <c r="I148" s="19">
        <v>605.5</v>
      </c>
      <c r="J148" s="19">
        <v>104</v>
      </c>
      <c r="K148" s="19">
        <v>118.5</v>
      </c>
      <c r="L148" s="19">
        <v>104</v>
      </c>
      <c r="M148" s="19">
        <v>94.5</v>
      </c>
      <c r="N148" s="9">
        <v>41070344</v>
      </c>
      <c r="O148">
        <f t="shared" si="42"/>
        <v>194</v>
      </c>
      <c r="P148">
        <f t="shared" si="43"/>
        <v>261.5</v>
      </c>
      <c r="Q148">
        <f t="shared" si="44"/>
        <v>52</v>
      </c>
      <c r="R148">
        <f t="shared" si="45"/>
        <v>120.5</v>
      </c>
      <c r="S148">
        <f t="shared" si="46"/>
        <v>201.5</v>
      </c>
      <c r="T148">
        <f t="shared" si="47"/>
        <v>232.5</v>
      </c>
      <c r="U148">
        <f t="shared" si="48"/>
        <v>73.5</v>
      </c>
      <c r="V148">
        <f t="shared" si="49"/>
        <v>103.5</v>
      </c>
      <c r="X148" s="5">
        <v>186842</v>
      </c>
      <c r="Y148">
        <f t="shared" si="50"/>
        <v>225</v>
      </c>
      <c r="Z148">
        <f t="shared" si="51"/>
        <v>184</v>
      </c>
      <c r="AA148">
        <f t="shared" si="52"/>
        <v>57</v>
      </c>
      <c r="AB148">
        <f t="shared" si="53"/>
        <v>48</v>
      </c>
      <c r="AC148">
        <f t="shared" si="54"/>
        <v>2659</v>
      </c>
      <c r="AD148">
        <f t="shared" si="55"/>
        <v>1964</v>
      </c>
      <c r="AE148">
        <f t="shared" si="56"/>
        <v>693</v>
      </c>
      <c r="AF148">
        <f t="shared" si="57"/>
        <v>750.5</v>
      </c>
      <c r="AG148" s="9">
        <v>41070344</v>
      </c>
      <c r="AH148" s="31">
        <v>194</v>
      </c>
      <c r="AI148" s="31">
        <v>261.5</v>
      </c>
      <c r="AJ148" s="37">
        <v>-67.5</v>
      </c>
      <c r="AK148" s="37">
        <v>-25.812619502868067</v>
      </c>
      <c r="AL148" s="36">
        <v>52</v>
      </c>
      <c r="AM148" s="36">
        <v>120.5</v>
      </c>
      <c r="AN148" s="37">
        <v>-68.5</v>
      </c>
      <c r="AO148" s="37">
        <v>-56.84647302904564</v>
      </c>
      <c r="AP148" s="38">
        <v>2832</v>
      </c>
      <c r="AQ148" s="39">
        <v>2408</v>
      </c>
      <c r="AR148" s="37">
        <v>424</v>
      </c>
      <c r="AS148" s="37">
        <v>17.607973421926911</v>
      </c>
      <c r="AT148" s="36">
        <v>1016</v>
      </c>
      <c r="AU148" s="36">
        <v>1320</v>
      </c>
      <c r="AV148" s="37">
        <v>-304</v>
      </c>
      <c r="AW148" s="37">
        <v>-23.030303030303031</v>
      </c>
      <c r="AX148" s="5">
        <v>106354</v>
      </c>
      <c r="AY148" t="str">
        <f t="shared" si="58"/>
        <v>SAOMI SS</v>
      </c>
      <c r="AZ148" t="str">
        <f t="shared" si="59"/>
        <v>Outer Ring Road</v>
      </c>
      <c r="BC148" s="9">
        <v>41070344</v>
      </c>
      <c r="BD148" s="9" t="s">
        <v>380</v>
      </c>
      <c r="BE148" s="47" t="s">
        <v>465</v>
      </c>
      <c r="BF148" s="14" t="s">
        <v>466</v>
      </c>
      <c r="BG148" s="10" t="s">
        <v>103</v>
      </c>
      <c r="BH148" s="10" t="s">
        <v>467</v>
      </c>
      <c r="BI148" s="12" t="s">
        <v>467</v>
      </c>
      <c r="BJ148" s="51" t="s">
        <v>135</v>
      </c>
    </row>
    <row r="149" spans="1:62" ht="48.5" x14ac:dyDescent="0.35">
      <c r="A149">
        <v>102090</v>
      </c>
      <c r="B149" s="84">
        <f t="shared" si="40"/>
        <v>184.5</v>
      </c>
      <c r="C149" s="84">
        <f t="shared" si="41"/>
        <v>234</v>
      </c>
      <c r="E149" s="5">
        <v>206614</v>
      </c>
      <c r="F149" s="19">
        <v>221</v>
      </c>
      <c r="G149" s="19">
        <v>244</v>
      </c>
      <c r="H149" s="19">
        <v>186.5</v>
      </c>
      <c r="I149" s="19">
        <v>191</v>
      </c>
      <c r="J149" s="19">
        <v>69.5</v>
      </c>
      <c r="K149" s="19">
        <v>67</v>
      </c>
      <c r="L149" s="19">
        <v>81</v>
      </c>
      <c r="M149" s="19">
        <v>98</v>
      </c>
      <c r="N149" s="9">
        <v>41019292</v>
      </c>
      <c r="O149">
        <f t="shared" si="42"/>
        <v>601.5</v>
      </c>
      <c r="P149">
        <f t="shared" si="43"/>
        <v>533</v>
      </c>
      <c r="Q149">
        <f t="shared" si="44"/>
        <v>118.5</v>
      </c>
      <c r="R149">
        <f t="shared" si="45"/>
        <v>108</v>
      </c>
      <c r="S149">
        <f t="shared" si="46"/>
        <v>549</v>
      </c>
      <c r="T149">
        <f t="shared" si="47"/>
        <v>492</v>
      </c>
      <c r="U149">
        <f t="shared" si="48"/>
        <v>136</v>
      </c>
      <c r="V149">
        <f t="shared" si="49"/>
        <v>102</v>
      </c>
      <c r="X149" s="3">
        <v>129151</v>
      </c>
      <c r="Y149">
        <f t="shared" si="50"/>
        <v>1197</v>
      </c>
      <c r="Z149">
        <f t="shared" si="51"/>
        <v>1008</v>
      </c>
      <c r="AA149">
        <f t="shared" si="52"/>
        <v>175</v>
      </c>
      <c r="AB149">
        <f t="shared" si="53"/>
        <v>172</v>
      </c>
      <c r="AC149">
        <f t="shared" si="54"/>
        <v>13654</v>
      </c>
      <c r="AD149">
        <f t="shared" si="55"/>
        <v>10266.500077000001</v>
      </c>
      <c r="AE149">
        <f t="shared" si="56"/>
        <v>1974</v>
      </c>
      <c r="AF149">
        <f t="shared" si="57"/>
        <v>2138.5</v>
      </c>
      <c r="AG149" s="9">
        <v>41019292</v>
      </c>
      <c r="AH149" s="31">
        <v>601.5</v>
      </c>
      <c r="AI149" s="31">
        <v>533</v>
      </c>
      <c r="AJ149" s="37">
        <v>68.5</v>
      </c>
      <c r="AK149" s="37">
        <v>12.851782363977485</v>
      </c>
      <c r="AL149" s="36">
        <v>118.5</v>
      </c>
      <c r="AM149" s="36">
        <v>108</v>
      </c>
      <c r="AN149" s="37">
        <v>10.5</v>
      </c>
      <c r="AO149" s="37">
        <v>9.7222222222222232</v>
      </c>
      <c r="AP149" s="38">
        <v>6906</v>
      </c>
      <c r="AQ149" s="39">
        <v>5049.5</v>
      </c>
      <c r="AR149" s="37">
        <v>1856.5</v>
      </c>
      <c r="AS149" s="37">
        <v>36.766016437271013</v>
      </c>
      <c r="AT149" s="36">
        <v>1453</v>
      </c>
      <c r="AU149" s="36">
        <v>1326.5</v>
      </c>
      <c r="AV149" s="37">
        <v>126.5</v>
      </c>
      <c r="AW149" s="37">
        <v>9.5363739163211463</v>
      </c>
      <c r="AX149" s="5">
        <v>206614</v>
      </c>
      <c r="AY149" t="str">
        <f t="shared" si="58"/>
        <v>White Patch_DichaonKalan</v>
      </c>
      <c r="AZ149" t="str">
        <f t="shared" si="59"/>
        <v>Nazafgarh-Kapashera</v>
      </c>
      <c r="BC149" s="9">
        <v>41019292</v>
      </c>
      <c r="BD149" s="9" t="s">
        <v>380</v>
      </c>
      <c r="BE149" s="48" t="s">
        <v>468</v>
      </c>
      <c r="BF149" s="14" t="s">
        <v>469</v>
      </c>
      <c r="BG149" s="10" t="s">
        <v>81</v>
      </c>
      <c r="BH149" s="10" t="s">
        <v>470</v>
      </c>
      <c r="BI149" s="12" t="s">
        <v>470</v>
      </c>
      <c r="BJ149" s="51" t="s">
        <v>135</v>
      </c>
    </row>
    <row r="150" spans="1:62" ht="24.5" x14ac:dyDescent="0.35">
      <c r="A150">
        <v>112407</v>
      </c>
      <c r="B150" s="84">
        <f t="shared" si="40"/>
        <v>142</v>
      </c>
      <c r="C150" s="84">
        <f t="shared" si="41"/>
        <v>140</v>
      </c>
      <c r="E150" s="5">
        <v>102108</v>
      </c>
      <c r="F150" s="19">
        <v>243</v>
      </c>
      <c r="G150" s="19">
        <v>265.5</v>
      </c>
      <c r="H150" s="19">
        <v>222</v>
      </c>
      <c r="I150" s="19">
        <v>225</v>
      </c>
      <c r="J150" s="19">
        <v>18</v>
      </c>
      <c r="K150" s="19">
        <v>27</v>
      </c>
      <c r="L150" s="19">
        <v>27</v>
      </c>
      <c r="M150" s="19">
        <v>22.5</v>
      </c>
      <c r="N150" s="9">
        <v>41056535</v>
      </c>
      <c r="O150">
        <f t="shared" si="42"/>
        <v>672</v>
      </c>
      <c r="P150">
        <f t="shared" si="43"/>
        <v>662</v>
      </c>
      <c r="Q150">
        <f t="shared" si="44"/>
        <v>88</v>
      </c>
      <c r="R150">
        <f t="shared" si="45"/>
        <v>98</v>
      </c>
      <c r="S150">
        <f t="shared" si="46"/>
        <v>665</v>
      </c>
      <c r="T150">
        <f t="shared" si="47"/>
        <v>625</v>
      </c>
      <c r="U150">
        <f t="shared" si="48"/>
        <v>95</v>
      </c>
      <c r="V150">
        <f t="shared" si="49"/>
        <v>95</v>
      </c>
      <c r="X150" s="9">
        <v>41056989</v>
      </c>
      <c r="Y150">
        <f t="shared" si="50"/>
        <v>253</v>
      </c>
      <c r="Z150">
        <f t="shared" si="51"/>
        <v>263.5</v>
      </c>
      <c r="AA150">
        <f t="shared" si="52"/>
        <v>459</v>
      </c>
      <c r="AB150">
        <f t="shared" si="53"/>
        <v>613.5</v>
      </c>
      <c r="AC150">
        <f t="shared" si="54"/>
        <v>3367</v>
      </c>
      <c r="AD150">
        <f t="shared" si="55"/>
        <v>2712</v>
      </c>
      <c r="AE150">
        <f t="shared" si="56"/>
        <v>6901</v>
      </c>
      <c r="AF150">
        <f t="shared" si="57"/>
        <v>6636</v>
      </c>
      <c r="AG150" s="9">
        <v>41056535</v>
      </c>
      <c r="AH150" s="31">
        <v>672</v>
      </c>
      <c r="AI150" s="31">
        <v>662</v>
      </c>
      <c r="AJ150" s="37">
        <v>10</v>
      </c>
      <c r="AK150" s="37">
        <v>1.5105740181268883</v>
      </c>
      <c r="AL150" s="36">
        <v>88</v>
      </c>
      <c r="AM150" s="36">
        <v>98</v>
      </c>
      <c r="AN150" s="37">
        <v>-10</v>
      </c>
      <c r="AO150" s="37">
        <v>-10.204081632653061</v>
      </c>
      <c r="AP150" s="38">
        <v>8183.5</v>
      </c>
      <c r="AQ150" s="39">
        <v>6161</v>
      </c>
      <c r="AR150" s="37">
        <v>2022.5</v>
      </c>
      <c r="AS150" s="37">
        <v>32.827463074176272</v>
      </c>
      <c r="AT150" s="36">
        <v>1135.5</v>
      </c>
      <c r="AU150" s="36">
        <v>1152</v>
      </c>
      <c r="AV150" s="37">
        <v>-16.5</v>
      </c>
      <c r="AW150" s="37">
        <v>-1.4322916666666665</v>
      </c>
      <c r="AX150" s="5">
        <v>102108</v>
      </c>
      <c r="AY150" t="str">
        <f t="shared" si="58"/>
        <v>UNIQUE</v>
      </c>
      <c r="AZ150" t="str">
        <f t="shared" si="59"/>
        <v>Mayur Vihar -Anand Vihar -Preet Vihar</v>
      </c>
      <c r="BC150" s="9">
        <v>41056535</v>
      </c>
      <c r="BD150" s="9" t="s">
        <v>380</v>
      </c>
      <c r="BE150" s="47" t="s">
        <v>471</v>
      </c>
      <c r="BF150" s="14" t="s">
        <v>472</v>
      </c>
      <c r="BG150" s="10" t="s">
        <v>228</v>
      </c>
      <c r="BH150" s="10" t="s">
        <v>229</v>
      </c>
      <c r="BI150" s="12" t="s">
        <v>229</v>
      </c>
      <c r="BJ150" s="51" t="s">
        <v>230</v>
      </c>
    </row>
    <row r="151" spans="1:62" ht="36.5" x14ac:dyDescent="0.35">
      <c r="A151">
        <v>112408</v>
      </c>
      <c r="B151" s="84">
        <f t="shared" si="40"/>
        <v>274.5</v>
      </c>
      <c r="C151" s="84">
        <f t="shared" si="41"/>
        <v>324.5</v>
      </c>
      <c r="E151" s="5">
        <v>102106</v>
      </c>
      <c r="F151" s="19">
        <v>369.5</v>
      </c>
      <c r="G151" s="19">
        <v>396</v>
      </c>
      <c r="H151" s="19">
        <v>393</v>
      </c>
      <c r="I151" s="19">
        <v>436</v>
      </c>
      <c r="J151" s="19">
        <v>297</v>
      </c>
      <c r="K151" s="19">
        <v>210</v>
      </c>
      <c r="L151" s="19">
        <v>214.5</v>
      </c>
      <c r="M151" s="19">
        <v>244</v>
      </c>
      <c r="N151" s="9">
        <v>41056542</v>
      </c>
      <c r="O151">
        <f t="shared" si="42"/>
        <v>365.5</v>
      </c>
      <c r="P151">
        <f t="shared" si="43"/>
        <v>367.5</v>
      </c>
      <c r="Q151">
        <f t="shared" si="44"/>
        <v>88.5</v>
      </c>
      <c r="R151">
        <f t="shared" si="45"/>
        <v>85.5</v>
      </c>
      <c r="S151">
        <f t="shared" si="46"/>
        <v>309</v>
      </c>
      <c r="T151">
        <f t="shared" si="47"/>
        <v>328</v>
      </c>
      <c r="U151">
        <f t="shared" si="48"/>
        <v>82</v>
      </c>
      <c r="V151">
        <f t="shared" si="49"/>
        <v>87</v>
      </c>
      <c r="X151" s="9">
        <v>41056502</v>
      </c>
      <c r="Y151">
        <f t="shared" si="50"/>
        <v>302.5</v>
      </c>
      <c r="Z151">
        <f t="shared" si="51"/>
        <v>304</v>
      </c>
      <c r="AA151">
        <f t="shared" si="52"/>
        <v>610.5</v>
      </c>
      <c r="AB151">
        <f t="shared" si="53"/>
        <v>579</v>
      </c>
      <c r="AC151">
        <f t="shared" si="54"/>
        <v>3706.5</v>
      </c>
      <c r="AD151">
        <f t="shared" si="55"/>
        <v>2989</v>
      </c>
      <c r="AE151">
        <f t="shared" si="56"/>
        <v>7382.5</v>
      </c>
      <c r="AF151">
        <f t="shared" si="57"/>
        <v>6141</v>
      </c>
      <c r="AG151" s="9">
        <v>41056542</v>
      </c>
      <c r="AH151" s="31">
        <v>365.5</v>
      </c>
      <c r="AI151" s="31">
        <v>367.5</v>
      </c>
      <c r="AJ151" s="37">
        <v>-2</v>
      </c>
      <c r="AK151" s="37">
        <v>-0.54421768707482987</v>
      </c>
      <c r="AL151" s="36">
        <v>88.5</v>
      </c>
      <c r="AM151" s="36">
        <v>85.5</v>
      </c>
      <c r="AN151" s="37">
        <v>3</v>
      </c>
      <c r="AO151" s="37">
        <v>3.5087719298245612</v>
      </c>
      <c r="AP151" s="38">
        <v>4515</v>
      </c>
      <c r="AQ151" s="39">
        <v>3715</v>
      </c>
      <c r="AR151" s="37">
        <v>800</v>
      </c>
      <c r="AS151" s="37">
        <v>21.534320323014803</v>
      </c>
      <c r="AT151" s="36">
        <v>1113</v>
      </c>
      <c r="AU151" s="36">
        <v>1220.5</v>
      </c>
      <c r="AV151" s="37">
        <v>-107.5</v>
      </c>
      <c r="AW151" s="37">
        <v>-8.8078656288406378</v>
      </c>
      <c r="AX151" s="5">
        <v>102106</v>
      </c>
      <c r="AY151" t="str">
        <f t="shared" si="58"/>
        <v>RAJINDER-RS BHOLA</v>
      </c>
      <c r="AZ151" t="str">
        <f t="shared" si="59"/>
        <v>Outer Ring Road</v>
      </c>
      <c r="BC151" s="9">
        <v>41056542</v>
      </c>
      <c r="BD151" s="9" t="s">
        <v>380</v>
      </c>
      <c r="BE151" s="48" t="s">
        <v>473</v>
      </c>
      <c r="BF151" s="14" t="s">
        <v>474</v>
      </c>
      <c r="BG151" s="10" t="s">
        <v>111</v>
      </c>
      <c r="BH151" s="10" t="s">
        <v>112</v>
      </c>
      <c r="BI151" s="12" t="s">
        <v>112</v>
      </c>
      <c r="BJ151" s="51" t="s">
        <v>113</v>
      </c>
    </row>
    <row r="152" spans="1:62" ht="36.5" x14ac:dyDescent="0.35">
      <c r="A152">
        <v>107653</v>
      </c>
      <c r="B152" s="84">
        <f t="shared" si="40"/>
        <v>180</v>
      </c>
      <c r="C152" s="84">
        <f t="shared" si="41"/>
        <v>199</v>
      </c>
      <c r="E152" s="5">
        <v>289183</v>
      </c>
      <c r="F152" s="19">
        <v>89</v>
      </c>
      <c r="G152" s="19">
        <v>112</v>
      </c>
      <c r="H152" s="19">
        <v>96</v>
      </c>
      <c r="I152" s="19">
        <v>92</v>
      </c>
      <c r="J152" s="19">
        <v>144</v>
      </c>
      <c r="K152" s="19">
        <v>136</v>
      </c>
      <c r="L152" s="19">
        <v>97</v>
      </c>
      <c r="M152" s="19">
        <v>116</v>
      </c>
      <c r="N152" s="9">
        <v>41056989</v>
      </c>
      <c r="O152">
        <f t="shared" si="42"/>
        <v>253</v>
      </c>
      <c r="P152">
        <f t="shared" si="43"/>
        <v>263.5</v>
      </c>
      <c r="Q152">
        <f t="shared" si="44"/>
        <v>459</v>
      </c>
      <c r="R152">
        <f t="shared" si="45"/>
        <v>613.5</v>
      </c>
      <c r="S152">
        <f t="shared" si="46"/>
        <v>259</v>
      </c>
      <c r="T152">
        <f t="shared" si="47"/>
        <v>236.5</v>
      </c>
      <c r="U152">
        <f t="shared" si="48"/>
        <v>755</v>
      </c>
      <c r="V152">
        <f t="shared" si="49"/>
        <v>553.5</v>
      </c>
      <c r="X152" s="9">
        <v>41019264</v>
      </c>
      <c r="Y152">
        <f t="shared" si="50"/>
        <v>14.345780000000001</v>
      </c>
      <c r="Z152">
        <f t="shared" si="51"/>
        <v>16.082999999999998</v>
      </c>
      <c r="AA152">
        <f t="shared" si="52"/>
        <v>486.50895999999995</v>
      </c>
      <c r="AB152">
        <f t="shared" si="53"/>
        <v>504.44900000000007</v>
      </c>
      <c r="AC152">
        <f t="shared" si="54"/>
        <v>177.66002999999995</v>
      </c>
      <c r="AD152">
        <f t="shared" si="55"/>
        <v>160.42068</v>
      </c>
      <c r="AE152">
        <f t="shared" si="56"/>
        <v>5395.563470000001</v>
      </c>
      <c r="AF152">
        <f t="shared" si="57"/>
        <v>5694.1439200000004</v>
      </c>
      <c r="AG152" s="9">
        <v>41056989</v>
      </c>
      <c r="AH152" s="31">
        <v>253</v>
      </c>
      <c r="AI152" s="31">
        <v>263.5</v>
      </c>
      <c r="AJ152" s="37">
        <v>-10.5</v>
      </c>
      <c r="AK152" s="37">
        <v>-3.9848197343453511</v>
      </c>
      <c r="AL152" s="36">
        <v>459</v>
      </c>
      <c r="AM152" s="36">
        <v>613.5</v>
      </c>
      <c r="AN152" s="37">
        <v>-154.5</v>
      </c>
      <c r="AO152" s="37">
        <v>-25.183374083129586</v>
      </c>
      <c r="AP152" s="38">
        <v>3367</v>
      </c>
      <c r="AQ152" s="39">
        <v>2712</v>
      </c>
      <c r="AR152" s="37">
        <v>655</v>
      </c>
      <c r="AS152" s="37">
        <v>24.151917404129794</v>
      </c>
      <c r="AT152" s="36">
        <v>6901</v>
      </c>
      <c r="AU152" s="36">
        <v>6636</v>
      </c>
      <c r="AV152" s="37">
        <v>265</v>
      </c>
      <c r="AW152" s="37">
        <v>3.993369499698614</v>
      </c>
      <c r="AX152" s="5">
        <v>289183</v>
      </c>
      <c r="AY152" t="str">
        <f t="shared" si="58"/>
        <v>GARG-VIJAY-NEW HARYANA</v>
      </c>
      <c r="AZ152" t="str">
        <f t="shared" si="59"/>
        <v>Rohtak Road</v>
      </c>
      <c r="BC152" s="9">
        <v>41056989</v>
      </c>
      <c r="BD152" s="9" t="s">
        <v>380</v>
      </c>
      <c r="BE152" s="48" t="s">
        <v>475</v>
      </c>
      <c r="BF152" s="14" t="s">
        <v>476</v>
      </c>
      <c r="BG152" s="10" t="s">
        <v>187</v>
      </c>
      <c r="BH152" s="10" t="s">
        <v>366</v>
      </c>
      <c r="BI152" s="12" t="s">
        <v>366</v>
      </c>
      <c r="BJ152" s="51" t="s">
        <v>367</v>
      </c>
    </row>
    <row r="153" spans="1:62" ht="36.5" x14ac:dyDescent="0.35">
      <c r="A153">
        <v>168009</v>
      </c>
      <c r="B153" s="84">
        <f t="shared" si="40"/>
        <v>62</v>
      </c>
      <c r="C153" s="84">
        <f t="shared" si="41"/>
        <v>67</v>
      </c>
      <c r="E153" s="5">
        <v>106337</v>
      </c>
      <c r="F153" s="19">
        <v>222</v>
      </c>
      <c r="G153" s="19">
        <v>237.5</v>
      </c>
      <c r="H153" s="19">
        <v>200</v>
      </c>
      <c r="I153" s="19">
        <v>225.5</v>
      </c>
      <c r="J153" s="19">
        <v>54</v>
      </c>
      <c r="K153" s="19">
        <v>60.5</v>
      </c>
      <c r="L153" s="19">
        <v>50</v>
      </c>
      <c r="M153" s="19">
        <v>48.5</v>
      </c>
      <c r="N153" s="9">
        <v>41056990</v>
      </c>
      <c r="O153">
        <f t="shared" si="42"/>
        <v>389</v>
      </c>
      <c r="P153">
        <f t="shared" si="43"/>
        <v>320</v>
      </c>
      <c r="Q153">
        <f t="shared" si="44"/>
        <v>109</v>
      </c>
      <c r="R153">
        <f t="shared" si="45"/>
        <v>118</v>
      </c>
      <c r="S153">
        <f t="shared" si="46"/>
        <v>320</v>
      </c>
      <c r="T153">
        <f t="shared" si="47"/>
        <v>300</v>
      </c>
      <c r="U153">
        <f t="shared" si="48"/>
        <v>100</v>
      </c>
      <c r="V153">
        <f t="shared" si="49"/>
        <v>100</v>
      </c>
      <c r="X153" s="5">
        <v>102110</v>
      </c>
      <c r="Y153">
        <f t="shared" si="50"/>
        <v>272</v>
      </c>
      <c r="Z153">
        <f t="shared" si="51"/>
        <v>240.5</v>
      </c>
      <c r="AA153">
        <f t="shared" si="52"/>
        <v>364</v>
      </c>
      <c r="AB153">
        <f t="shared" si="53"/>
        <v>365.5</v>
      </c>
      <c r="AC153">
        <f t="shared" si="54"/>
        <v>3230</v>
      </c>
      <c r="AD153">
        <f t="shared" si="55"/>
        <v>2247</v>
      </c>
      <c r="AE153">
        <f t="shared" si="56"/>
        <v>4418</v>
      </c>
      <c r="AF153">
        <f t="shared" si="57"/>
        <v>4288.5</v>
      </c>
      <c r="AG153" s="9">
        <v>41056990</v>
      </c>
      <c r="AH153" s="31">
        <v>389</v>
      </c>
      <c r="AI153" s="31">
        <v>320</v>
      </c>
      <c r="AJ153" s="37">
        <v>69</v>
      </c>
      <c r="AK153" s="37">
        <v>21.5625</v>
      </c>
      <c r="AL153" s="36">
        <v>109</v>
      </c>
      <c r="AM153" s="36">
        <v>118</v>
      </c>
      <c r="AN153" s="37">
        <v>-9</v>
      </c>
      <c r="AO153" s="37">
        <v>-7.6271186440677967</v>
      </c>
      <c r="AP153" s="38">
        <v>4004</v>
      </c>
      <c r="AQ153" s="39">
        <v>3458</v>
      </c>
      <c r="AR153" s="37">
        <v>546</v>
      </c>
      <c r="AS153" s="37">
        <v>15.789473684210526</v>
      </c>
      <c r="AT153" s="36">
        <v>1199</v>
      </c>
      <c r="AU153" s="36">
        <v>1336</v>
      </c>
      <c r="AV153" s="37">
        <v>-137</v>
      </c>
      <c r="AW153" s="37">
        <v>-10.254491017964073</v>
      </c>
      <c r="AX153" s="5">
        <v>106337</v>
      </c>
      <c r="AY153" t="str">
        <f t="shared" si="58"/>
        <v>White Patch_RKPuram</v>
      </c>
      <c r="AZ153" t="str">
        <f t="shared" si="59"/>
        <v>Hauj Khas-Saket-Vasant Kunj</v>
      </c>
      <c r="BC153" s="9">
        <v>41056990</v>
      </c>
      <c r="BD153" s="9" t="s">
        <v>380</v>
      </c>
      <c r="BE153" s="48" t="s">
        <v>477</v>
      </c>
      <c r="BF153" s="14" t="s">
        <v>478</v>
      </c>
      <c r="BG153" s="10" t="s">
        <v>228</v>
      </c>
      <c r="BH153" s="10" t="s">
        <v>232</v>
      </c>
      <c r="BI153" s="12" t="s">
        <v>232</v>
      </c>
      <c r="BJ153" s="51" t="s">
        <v>230</v>
      </c>
    </row>
    <row r="154" spans="1:62" ht="48.5" x14ac:dyDescent="0.35">
      <c r="A154">
        <v>106274</v>
      </c>
      <c r="B154" s="84">
        <f t="shared" si="40"/>
        <v>220</v>
      </c>
      <c r="C154" s="84">
        <f t="shared" si="41"/>
        <v>245</v>
      </c>
      <c r="E154" s="5">
        <v>106324</v>
      </c>
      <c r="F154" s="19">
        <v>468.5</v>
      </c>
      <c r="G154" s="19">
        <v>502</v>
      </c>
      <c r="H154" s="19">
        <v>445.5</v>
      </c>
      <c r="I154" s="19">
        <v>472.5</v>
      </c>
      <c r="J154" s="19">
        <v>94.5</v>
      </c>
      <c r="K154" s="19">
        <v>103.5</v>
      </c>
      <c r="L154" s="19">
        <v>83.5</v>
      </c>
      <c r="M154" s="19">
        <v>90</v>
      </c>
      <c r="N154" s="9">
        <v>41056991</v>
      </c>
      <c r="O154">
        <f t="shared" si="42"/>
        <v>436</v>
      </c>
      <c r="P154">
        <f t="shared" si="43"/>
        <v>414</v>
      </c>
      <c r="Q154">
        <f t="shared" si="44"/>
        <v>44</v>
      </c>
      <c r="R154">
        <f t="shared" si="45"/>
        <v>58</v>
      </c>
      <c r="S154">
        <f t="shared" si="46"/>
        <v>396</v>
      </c>
      <c r="T154">
        <f t="shared" si="47"/>
        <v>365</v>
      </c>
      <c r="U154">
        <f t="shared" si="48"/>
        <v>44</v>
      </c>
      <c r="V154">
        <f t="shared" si="49"/>
        <v>56</v>
      </c>
      <c r="X154" s="9">
        <v>41019248</v>
      </c>
      <c r="Y154">
        <f t="shared" si="50"/>
        <v>660</v>
      </c>
      <c r="Z154">
        <f t="shared" si="51"/>
        <v>657</v>
      </c>
      <c r="AA154">
        <f t="shared" si="52"/>
        <v>308</v>
      </c>
      <c r="AB154">
        <f t="shared" si="53"/>
        <v>329</v>
      </c>
      <c r="AC154">
        <f t="shared" si="54"/>
        <v>8312.5</v>
      </c>
      <c r="AD154">
        <f t="shared" si="55"/>
        <v>6568.5</v>
      </c>
      <c r="AE154">
        <f t="shared" si="56"/>
        <v>3746.5</v>
      </c>
      <c r="AF154">
        <f t="shared" si="57"/>
        <v>3919.5</v>
      </c>
      <c r="AG154" s="9">
        <v>41056991</v>
      </c>
      <c r="AH154" s="31">
        <v>436</v>
      </c>
      <c r="AI154" s="31">
        <v>414</v>
      </c>
      <c r="AJ154" s="37">
        <v>22</v>
      </c>
      <c r="AK154" s="37">
        <v>5.3140096618357484</v>
      </c>
      <c r="AL154" s="36">
        <v>44</v>
      </c>
      <c r="AM154" s="36">
        <v>58</v>
      </c>
      <c r="AN154" s="37">
        <v>-14</v>
      </c>
      <c r="AO154" s="37">
        <v>-24.137931034482758</v>
      </c>
      <c r="AP154" s="38">
        <v>5174</v>
      </c>
      <c r="AQ154" s="39">
        <v>4406</v>
      </c>
      <c r="AR154" s="37">
        <v>768</v>
      </c>
      <c r="AS154" s="37">
        <v>17.430776214253292</v>
      </c>
      <c r="AT154" s="36">
        <v>535</v>
      </c>
      <c r="AU154" s="36">
        <v>729</v>
      </c>
      <c r="AV154" s="37">
        <v>-194</v>
      </c>
      <c r="AW154" s="37">
        <v>-26.611796982167352</v>
      </c>
      <c r="AX154" s="5">
        <v>106324</v>
      </c>
      <c r="AY154" t="str">
        <f t="shared" si="58"/>
        <v>White Patch_Moti Bagh</v>
      </c>
      <c r="AZ154" t="str">
        <f t="shared" si="59"/>
        <v>Inner Ring Road</v>
      </c>
      <c r="BC154" s="9">
        <v>41056991</v>
      </c>
      <c r="BD154" s="9" t="s">
        <v>380</v>
      </c>
      <c r="BE154" s="47" t="s">
        <v>479</v>
      </c>
      <c r="BF154" s="14" t="s">
        <v>480</v>
      </c>
      <c r="BG154" s="10" t="s">
        <v>228</v>
      </c>
      <c r="BH154" s="10" t="s">
        <v>462</v>
      </c>
      <c r="BI154" s="12" t="s">
        <v>462</v>
      </c>
      <c r="BJ154" s="51" t="s">
        <v>172</v>
      </c>
    </row>
    <row r="155" spans="1:62" ht="72.5" x14ac:dyDescent="0.35">
      <c r="A155">
        <v>148414</v>
      </c>
      <c r="B155" s="84">
        <f t="shared" si="40"/>
        <v>239</v>
      </c>
      <c r="C155" s="84">
        <f t="shared" si="41"/>
        <v>243</v>
      </c>
      <c r="E155" s="5">
        <v>106321</v>
      </c>
      <c r="F155" s="19">
        <v>512</v>
      </c>
      <c r="G155" s="19">
        <v>538</v>
      </c>
      <c r="H155" s="19">
        <v>495</v>
      </c>
      <c r="I155" s="19">
        <v>533</v>
      </c>
      <c r="J155" s="19">
        <v>187</v>
      </c>
      <c r="K155" s="19">
        <v>171</v>
      </c>
      <c r="L155" s="19">
        <v>130</v>
      </c>
      <c r="M155" s="19">
        <v>126</v>
      </c>
      <c r="N155" s="9">
        <v>41056828</v>
      </c>
      <c r="O155">
        <f t="shared" si="42"/>
        <v>278.5</v>
      </c>
      <c r="P155">
        <f t="shared" si="43"/>
        <v>262</v>
      </c>
      <c r="Q155">
        <f t="shared" si="44"/>
        <v>73.5</v>
      </c>
      <c r="R155">
        <f t="shared" si="45"/>
        <v>65</v>
      </c>
      <c r="S155">
        <f t="shared" si="46"/>
        <v>282</v>
      </c>
      <c r="T155">
        <f t="shared" si="47"/>
        <v>238.5</v>
      </c>
      <c r="U155">
        <f t="shared" si="48"/>
        <v>60</v>
      </c>
      <c r="V155">
        <f t="shared" si="49"/>
        <v>66.5</v>
      </c>
      <c r="X155" s="5">
        <v>102096</v>
      </c>
      <c r="Y155">
        <f t="shared" si="50"/>
        <v>138.5</v>
      </c>
      <c r="Z155">
        <f t="shared" si="51"/>
        <v>135</v>
      </c>
      <c r="AA155">
        <f t="shared" si="52"/>
        <v>443.5</v>
      </c>
      <c r="AB155">
        <f t="shared" si="53"/>
        <v>423</v>
      </c>
      <c r="AC155">
        <f t="shared" si="54"/>
        <v>1700.5</v>
      </c>
      <c r="AD155">
        <f t="shared" si="55"/>
        <v>1298</v>
      </c>
      <c r="AE155">
        <f t="shared" si="56"/>
        <v>4613.5</v>
      </c>
      <c r="AF155">
        <f t="shared" si="57"/>
        <v>4411.5</v>
      </c>
      <c r="AG155" s="9">
        <v>41056828</v>
      </c>
      <c r="AH155" s="31">
        <v>278.5</v>
      </c>
      <c r="AI155" s="31">
        <v>262</v>
      </c>
      <c r="AJ155" s="37">
        <v>16.5</v>
      </c>
      <c r="AK155" s="37">
        <v>6.2977099236641214</v>
      </c>
      <c r="AL155" s="36">
        <v>73.5</v>
      </c>
      <c r="AM155" s="36">
        <v>65</v>
      </c>
      <c r="AN155" s="37">
        <v>8.5</v>
      </c>
      <c r="AO155" s="37">
        <v>13.076923076923078</v>
      </c>
      <c r="AP155" s="38">
        <v>3563</v>
      </c>
      <c r="AQ155" s="39">
        <v>2713</v>
      </c>
      <c r="AR155" s="37">
        <v>850</v>
      </c>
      <c r="AS155" s="37">
        <v>31.330630298562479</v>
      </c>
      <c r="AT155" s="36">
        <v>882</v>
      </c>
      <c r="AU155" s="36">
        <v>972.5</v>
      </c>
      <c r="AV155" s="37">
        <v>-90.5</v>
      </c>
      <c r="AW155" s="37">
        <v>-9.3059125964010274</v>
      </c>
      <c r="AX155" s="5">
        <v>106321</v>
      </c>
      <c r="AY155" t="str">
        <f t="shared" si="58"/>
        <v>BSGS</v>
      </c>
      <c r="AZ155" t="str">
        <f t="shared" si="59"/>
        <v>Hauj Khas-Saket-Vasant Kunj</v>
      </c>
      <c r="BC155" s="9">
        <v>41056828</v>
      </c>
      <c r="BD155" s="9" t="s">
        <v>380</v>
      </c>
      <c r="BE155" s="48" t="s">
        <v>481</v>
      </c>
      <c r="BF155" s="14" t="s">
        <v>482</v>
      </c>
      <c r="BG155" s="10" t="s">
        <v>103</v>
      </c>
      <c r="BH155" s="10" t="s">
        <v>483</v>
      </c>
      <c r="BI155" s="12" t="s">
        <v>483</v>
      </c>
      <c r="BJ155" s="51" t="s">
        <v>105</v>
      </c>
    </row>
    <row r="156" spans="1:62" ht="36.5" x14ac:dyDescent="0.35">
      <c r="A156">
        <v>144348</v>
      </c>
      <c r="B156" s="84">
        <f t="shared" si="40"/>
        <v>280</v>
      </c>
      <c r="C156" s="84">
        <f t="shared" si="41"/>
        <v>330</v>
      </c>
      <c r="E156" s="5">
        <v>102091</v>
      </c>
      <c r="F156" s="19">
        <v>185</v>
      </c>
      <c r="G156" s="19">
        <v>192</v>
      </c>
      <c r="H156" s="19">
        <v>175.5</v>
      </c>
      <c r="I156" s="19">
        <v>202.5</v>
      </c>
      <c r="J156" s="19">
        <v>40.5</v>
      </c>
      <c r="K156" s="19">
        <v>67.5</v>
      </c>
      <c r="L156" s="19">
        <v>51</v>
      </c>
      <c r="M156" s="19">
        <v>50</v>
      </c>
      <c r="N156" s="11">
        <v>41056842</v>
      </c>
      <c r="O156">
        <f t="shared" si="42"/>
        <v>378.92469</v>
      </c>
      <c r="P156">
        <f t="shared" si="43"/>
        <v>359.99400000000009</v>
      </c>
      <c r="Q156">
        <f t="shared" si="44"/>
        <v>118.82</v>
      </c>
      <c r="R156">
        <f t="shared" si="45"/>
        <v>136.75899999999999</v>
      </c>
      <c r="S156">
        <f t="shared" si="46"/>
        <v>333.53694999999999</v>
      </c>
      <c r="T156">
        <f t="shared" si="47"/>
        <v>321.56400000000002</v>
      </c>
      <c r="U156">
        <f t="shared" si="48"/>
        <v>115.17472999999998</v>
      </c>
      <c r="V156">
        <f t="shared" si="49"/>
        <v>117.36999999999999</v>
      </c>
      <c r="X156" s="3">
        <v>112441</v>
      </c>
      <c r="Y156">
        <f t="shared" si="50"/>
        <v>706.5</v>
      </c>
      <c r="Z156">
        <f t="shared" si="51"/>
        <v>666</v>
      </c>
      <c r="AA156">
        <f t="shared" si="52"/>
        <v>301.5</v>
      </c>
      <c r="AB156">
        <f t="shared" si="53"/>
        <v>324</v>
      </c>
      <c r="AC156">
        <f t="shared" si="54"/>
        <v>8205</v>
      </c>
      <c r="AD156">
        <f t="shared" si="55"/>
        <v>6686.5</v>
      </c>
      <c r="AE156">
        <f t="shared" si="56"/>
        <v>3683</v>
      </c>
      <c r="AF156">
        <f t="shared" si="57"/>
        <v>3965.5</v>
      </c>
      <c r="AG156" s="11">
        <v>41056842</v>
      </c>
      <c r="AH156" s="31">
        <v>378.92469</v>
      </c>
      <c r="AI156" s="31">
        <v>359.99400000000009</v>
      </c>
      <c r="AJ156" s="37">
        <v>18.930689999999913</v>
      </c>
      <c r="AK156" s="37">
        <v>5.2586126435440343</v>
      </c>
      <c r="AL156" s="36">
        <v>118.82</v>
      </c>
      <c r="AM156" s="36">
        <v>136.75899999999999</v>
      </c>
      <c r="AN156" s="37">
        <v>-17.938999999999993</v>
      </c>
      <c r="AO156" s="37">
        <v>-13.117235428746914</v>
      </c>
      <c r="AP156" s="38">
        <v>4498.4003199999997</v>
      </c>
      <c r="AQ156" s="39">
        <v>3701.6773190000004</v>
      </c>
      <c r="AR156" s="37">
        <v>796.72300099999939</v>
      </c>
      <c r="AS156" s="37">
        <v>21.523296936515045</v>
      </c>
      <c r="AT156" s="36">
        <v>1465.1052799999998</v>
      </c>
      <c r="AU156" s="36">
        <v>1600.9568199999994</v>
      </c>
      <c r="AV156" s="37">
        <v>-135.85153999999966</v>
      </c>
      <c r="AW156" s="37">
        <v>-8.4856467271865395</v>
      </c>
      <c r="AX156" s="5">
        <v>102091</v>
      </c>
      <c r="AY156" t="str">
        <f t="shared" si="58"/>
        <v>JALVAYU</v>
      </c>
      <c r="AZ156" t="str">
        <f t="shared" si="59"/>
        <v>Inner Ring Road</v>
      </c>
      <c r="BC156" s="11">
        <v>41056842</v>
      </c>
      <c r="BD156" s="9" t="s">
        <v>380</v>
      </c>
      <c r="BE156" s="49" t="s">
        <v>484</v>
      </c>
      <c r="BF156" s="14" t="s">
        <v>485</v>
      </c>
      <c r="BG156" s="10" t="s">
        <v>103</v>
      </c>
      <c r="BH156" s="10" t="s">
        <v>104</v>
      </c>
      <c r="BI156" s="12" t="s">
        <v>104</v>
      </c>
      <c r="BJ156" s="51" t="s">
        <v>105</v>
      </c>
    </row>
    <row r="157" spans="1:62" ht="48.5" x14ac:dyDescent="0.35">
      <c r="A157">
        <v>112410</v>
      </c>
      <c r="B157" s="84">
        <f t="shared" si="40"/>
        <v>87</v>
      </c>
      <c r="C157" s="84">
        <f t="shared" si="41"/>
        <v>98</v>
      </c>
      <c r="E157" s="5">
        <v>193265</v>
      </c>
      <c r="F157" s="19">
        <v>330</v>
      </c>
      <c r="G157" s="19">
        <v>406</v>
      </c>
      <c r="H157" s="19">
        <v>250</v>
      </c>
      <c r="I157" s="19">
        <v>313</v>
      </c>
      <c r="J157" s="19">
        <v>44</v>
      </c>
      <c r="K157" s="19">
        <v>51</v>
      </c>
      <c r="L157" s="19">
        <v>56</v>
      </c>
      <c r="M157" s="19">
        <v>54</v>
      </c>
      <c r="N157" s="9">
        <v>41056538</v>
      </c>
      <c r="O157">
        <f t="shared" si="42"/>
        <v>0</v>
      </c>
      <c r="P157">
        <f t="shared" si="43"/>
        <v>13.5</v>
      </c>
      <c r="Q157">
        <f t="shared" si="44"/>
        <v>32</v>
      </c>
      <c r="R157">
        <f t="shared" si="45"/>
        <v>34.5</v>
      </c>
      <c r="S157">
        <f t="shared" si="46"/>
        <v>14</v>
      </c>
      <c r="T157">
        <f t="shared" si="47"/>
        <v>9</v>
      </c>
      <c r="U157">
        <f t="shared" si="48"/>
        <v>36</v>
      </c>
      <c r="V157">
        <f t="shared" si="49"/>
        <v>39</v>
      </c>
      <c r="X157" s="9">
        <v>41056544</v>
      </c>
      <c r="Y157">
        <f t="shared" si="50"/>
        <v>387</v>
      </c>
      <c r="Z157">
        <f t="shared" si="51"/>
        <v>458</v>
      </c>
      <c r="AA157">
        <f t="shared" si="52"/>
        <v>254</v>
      </c>
      <c r="AB157">
        <f t="shared" si="53"/>
        <v>292</v>
      </c>
      <c r="AC157">
        <f t="shared" si="54"/>
        <v>5430.5</v>
      </c>
      <c r="AD157">
        <f t="shared" si="55"/>
        <v>4234</v>
      </c>
      <c r="AE157">
        <f t="shared" si="56"/>
        <v>2701.5</v>
      </c>
      <c r="AF157">
        <f t="shared" si="57"/>
        <v>3414</v>
      </c>
      <c r="AG157" s="9">
        <v>41056538</v>
      </c>
      <c r="AH157" s="31">
        <v>0</v>
      </c>
      <c r="AI157" s="31">
        <v>13.5</v>
      </c>
      <c r="AJ157" s="37">
        <v>-13.5</v>
      </c>
      <c r="AK157" s="37">
        <v>-100</v>
      </c>
      <c r="AL157" s="36">
        <v>32</v>
      </c>
      <c r="AM157" s="36">
        <v>34.5</v>
      </c>
      <c r="AN157" s="37">
        <v>-2.5</v>
      </c>
      <c r="AO157" s="37">
        <v>-7.2463768115942031</v>
      </c>
      <c r="AP157" s="38">
        <v>145.5</v>
      </c>
      <c r="AQ157" s="39">
        <v>138.5</v>
      </c>
      <c r="AR157" s="37">
        <v>7</v>
      </c>
      <c r="AS157" s="37">
        <v>5.0541516245487363</v>
      </c>
      <c r="AT157" s="36">
        <v>453.5</v>
      </c>
      <c r="AU157" s="36">
        <v>353</v>
      </c>
      <c r="AV157" s="37">
        <v>100.5</v>
      </c>
      <c r="AW157" s="37">
        <v>28.47025495750708</v>
      </c>
      <c r="AX157" s="5">
        <v>193265</v>
      </c>
      <c r="AY157" t="str">
        <f t="shared" si="58"/>
        <v>BS DWARKA</v>
      </c>
      <c r="AZ157" t="str">
        <f t="shared" si="59"/>
        <v>Dwarka</v>
      </c>
      <c r="BC157" s="9">
        <v>41056538</v>
      </c>
      <c r="BD157" s="9" t="s">
        <v>380</v>
      </c>
      <c r="BE157" s="48" t="s">
        <v>486</v>
      </c>
      <c r="BF157" s="14" t="s">
        <v>434</v>
      </c>
      <c r="BG157" s="10" t="s">
        <v>200</v>
      </c>
      <c r="BH157" s="10" t="s">
        <v>300</v>
      </c>
      <c r="BI157" s="12" t="s">
        <v>300</v>
      </c>
      <c r="BJ157" s="51" t="s">
        <v>261</v>
      </c>
    </row>
    <row r="158" spans="1:62" ht="36.5" x14ac:dyDescent="0.35">
      <c r="A158">
        <v>148413</v>
      </c>
      <c r="B158" s="84">
        <f t="shared" si="40"/>
        <v>350</v>
      </c>
      <c r="C158" s="84">
        <f t="shared" si="41"/>
        <v>380</v>
      </c>
      <c r="E158" s="5">
        <v>208231</v>
      </c>
      <c r="F158" s="19">
        <v>395</v>
      </c>
      <c r="G158" s="19">
        <v>432</v>
      </c>
      <c r="H158" s="19">
        <v>344</v>
      </c>
      <c r="I158" s="19">
        <v>412</v>
      </c>
      <c r="J158" s="19">
        <v>100</v>
      </c>
      <c r="K158" s="19">
        <v>116</v>
      </c>
      <c r="L158" s="19">
        <v>95</v>
      </c>
      <c r="M158" s="19">
        <v>96</v>
      </c>
      <c r="N158" s="9">
        <v>41056986</v>
      </c>
      <c r="O158">
        <f t="shared" si="42"/>
        <v>422</v>
      </c>
      <c r="P158">
        <f t="shared" si="43"/>
        <v>405</v>
      </c>
      <c r="Q158">
        <f t="shared" si="44"/>
        <v>25</v>
      </c>
      <c r="R158">
        <f t="shared" si="45"/>
        <v>28</v>
      </c>
      <c r="S158">
        <f t="shared" si="46"/>
        <v>354</v>
      </c>
      <c r="T158">
        <f t="shared" si="47"/>
        <v>355</v>
      </c>
      <c r="U158">
        <f t="shared" si="48"/>
        <v>44</v>
      </c>
      <c r="V158">
        <f t="shared" si="49"/>
        <v>46</v>
      </c>
      <c r="X158" s="3">
        <v>112391</v>
      </c>
      <c r="Y158">
        <f t="shared" si="50"/>
        <v>667</v>
      </c>
      <c r="Z158">
        <f t="shared" si="51"/>
        <v>625</v>
      </c>
      <c r="AA158">
        <f t="shared" si="52"/>
        <v>145</v>
      </c>
      <c r="AB158">
        <f t="shared" si="53"/>
        <v>155</v>
      </c>
      <c r="AC158">
        <f t="shared" si="54"/>
        <v>7661</v>
      </c>
      <c r="AD158">
        <f t="shared" si="55"/>
        <v>6250.5000120000004</v>
      </c>
      <c r="AE158">
        <f t="shared" si="56"/>
        <v>1603</v>
      </c>
      <c r="AF158">
        <f t="shared" si="57"/>
        <v>1887.5</v>
      </c>
      <c r="AG158" s="9">
        <v>41056986</v>
      </c>
      <c r="AH158" s="31">
        <v>422</v>
      </c>
      <c r="AI158" s="31">
        <v>405</v>
      </c>
      <c r="AJ158" s="37">
        <v>17</v>
      </c>
      <c r="AK158" s="37">
        <v>4.1975308641975309</v>
      </c>
      <c r="AL158" s="36">
        <v>25</v>
      </c>
      <c r="AM158" s="36">
        <v>28</v>
      </c>
      <c r="AN158" s="37">
        <v>-3</v>
      </c>
      <c r="AO158" s="37">
        <v>-10.714285714285714</v>
      </c>
      <c r="AP158" s="38">
        <v>4698</v>
      </c>
      <c r="AQ158" s="39">
        <v>3863</v>
      </c>
      <c r="AR158" s="37">
        <v>835</v>
      </c>
      <c r="AS158" s="37">
        <v>21.615324877038571</v>
      </c>
      <c r="AT158" s="36">
        <v>443</v>
      </c>
      <c r="AU158" s="36">
        <v>461</v>
      </c>
      <c r="AV158" s="37">
        <v>-18</v>
      </c>
      <c r="AW158" s="37">
        <v>-3.9045553145336225</v>
      </c>
      <c r="AX158" s="5">
        <v>208231</v>
      </c>
      <c r="AY158" t="str">
        <f t="shared" si="58"/>
        <v>White Patch- Outer Ring Road</v>
      </c>
      <c r="AZ158" t="str">
        <f t="shared" si="59"/>
        <v>Outer Ring Road</v>
      </c>
      <c r="BC158" s="9">
        <v>41056986</v>
      </c>
      <c r="BD158" s="9" t="s">
        <v>380</v>
      </c>
      <c r="BE158" s="47" t="s">
        <v>487</v>
      </c>
      <c r="BF158" s="14" t="s">
        <v>480</v>
      </c>
      <c r="BG158" s="10" t="s">
        <v>228</v>
      </c>
      <c r="BH158" s="10" t="s">
        <v>488</v>
      </c>
      <c r="BI158" s="12" t="s">
        <v>488</v>
      </c>
      <c r="BJ158" s="51" t="s">
        <v>172</v>
      </c>
    </row>
    <row r="159" spans="1:62" ht="60.5" x14ac:dyDescent="0.35">
      <c r="A159">
        <v>106275</v>
      </c>
      <c r="B159" s="84">
        <f t="shared" si="40"/>
        <v>609</v>
      </c>
      <c r="C159" s="84">
        <f t="shared" si="41"/>
        <v>689</v>
      </c>
      <c r="E159" s="5">
        <v>205875</v>
      </c>
      <c r="F159" s="19">
        <v>207.5</v>
      </c>
      <c r="G159" s="19">
        <v>248</v>
      </c>
      <c r="H159" s="19">
        <v>181.5</v>
      </c>
      <c r="I159" s="19">
        <v>191</v>
      </c>
      <c r="J159" s="19">
        <v>28.5</v>
      </c>
      <c r="K159" s="19">
        <v>29</v>
      </c>
      <c r="L159" s="19">
        <v>32.5</v>
      </c>
      <c r="M159" s="19">
        <v>36</v>
      </c>
      <c r="N159" s="9">
        <v>41027027</v>
      </c>
      <c r="O159">
        <f t="shared" si="42"/>
        <v>162</v>
      </c>
      <c r="P159">
        <f t="shared" si="43"/>
        <v>227.5</v>
      </c>
      <c r="Q159">
        <f t="shared" si="44"/>
        <v>18</v>
      </c>
      <c r="R159">
        <f t="shared" si="45"/>
        <v>33.5</v>
      </c>
      <c r="S159">
        <f t="shared" si="46"/>
        <v>228.5</v>
      </c>
      <c r="T159">
        <f t="shared" si="47"/>
        <v>218</v>
      </c>
      <c r="U159">
        <f t="shared" si="48"/>
        <v>31.5</v>
      </c>
      <c r="V159">
        <f t="shared" si="49"/>
        <v>25</v>
      </c>
      <c r="X159" s="9">
        <v>41030786</v>
      </c>
      <c r="Y159">
        <f t="shared" si="50"/>
        <v>1091</v>
      </c>
      <c r="Z159">
        <f t="shared" si="51"/>
        <v>973</v>
      </c>
      <c r="AA159">
        <f t="shared" si="52"/>
        <v>314</v>
      </c>
      <c r="AB159">
        <f t="shared" si="53"/>
        <v>315</v>
      </c>
      <c r="AC159">
        <f t="shared" si="54"/>
        <v>12214</v>
      </c>
      <c r="AD159">
        <f t="shared" si="55"/>
        <v>9874</v>
      </c>
      <c r="AE159">
        <f t="shared" si="56"/>
        <v>3626</v>
      </c>
      <c r="AF159">
        <f t="shared" si="57"/>
        <v>4058.5</v>
      </c>
      <c r="AG159" s="9">
        <v>41027027</v>
      </c>
      <c r="AH159" s="31">
        <v>162</v>
      </c>
      <c r="AI159" s="31">
        <v>227.5</v>
      </c>
      <c r="AJ159" s="37">
        <v>-65.5</v>
      </c>
      <c r="AK159" s="37">
        <v>-28.791208791208788</v>
      </c>
      <c r="AL159" s="36">
        <v>18</v>
      </c>
      <c r="AM159" s="36">
        <v>33.5</v>
      </c>
      <c r="AN159" s="37">
        <v>-15.5</v>
      </c>
      <c r="AO159" s="37">
        <v>-46.268656716417908</v>
      </c>
      <c r="AP159" s="38">
        <v>2693.5</v>
      </c>
      <c r="AQ159" s="39">
        <v>2212</v>
      </c>
      <c r="AR159" s="37">
        <v>481.5</v>
      </c>
      <c r="AS159" s="37">
        <v>21.767631103074141</v>
      </c>
      <c r="AT159" s="36">
        <v>328.5</v>
      </c>
      <c r="AU159" s="36">
        <v>341.5</v>
      </c>
      <c r="AV159" s="37">
        <v>-13</v>
      </c>
      <c r="AW159" s="37">
        <v>-3.8067349926793561</v>
      </c>
      <c r="AX159" s="5">
        <v>205875</v>
      </c>
      <c r="AY159" t="str">
        <f t="shared" si="58"/>
        <v>SHIV SS</v>
      </c>
      <c r="AZ159" t="str">
        <f t="shared" si="59"/>
        <v>Dwarka</v>
      </c>
      <c r="BC159" s="9">
        <v>41027027</v>
      </c>
      <c r="BD159" s="9" t="s">
        <v>380</v>
      </c>
      <c r="BE159" s="47" t="s">
        <v>489</v>
      </c>
      <c r="BF159" s="14" t="s">
        <v>490</v>
      </c>
      <c r="BG159" s="10" t="s">
        <v>75</v>
      </c>
      <c r="BH159" s="10" t="s">
        <v>100</v>
      </c>
      <c r="BI159" s="12" t="s">
        <v>100</v>
      </c>
      <c r="BJ159" s="51" t="s">
        <v>77</v>
      </c>
    </row>
    <row r="160" spans="1:62" ht="48.5" x14ac:dyDescent="0.35">
      <c r="A160">
        <v>157172</v>
      </c>
      <c r="B160" s="84">
        <f t="shared" si="40"/>
        <v>131</v>
      </c>
      <c r="C160" s="84">
        <f t="shared" si="41"/>
        <v>115</v>
      </c>
      <c r="E160" s="5">
        <v>312646</v>
      </c>
      <c r="F160" s="19">
        <v>314.649</v>
      </c>
      <c r="G160" s="19">
        <v>359.49299999999897</v>
      </c>
      <c r="H160" s="19">
        <v>318.10299999999989</v>
      </c>
      <c r="I160" s="19">
        <v>355.66500000000002</v>
      </c>
      <c r="J160" s="19">
        <v>83.644999999999911</v>
      </c>
      <c r="K160" s="19">
        <v>90.721999999999994</v>
      </c>
      <c r="L160" s="19">
        <v>73.988</v>
      </c>
      <c r="M160" s="19">
        <v>83.540999999999897</v>
      </c>
      <c r="N160" s="9">
        <v>41019250</v>
      </c>
      <c r="O160">
        <f t="shared" si="42"/>
        <v>171.5</v>
      </c>
      <c r="P160">
        <f t="shared" si="43"/>
        <v>166.5</v>
      </c>
      <c r="Q160">
        <f t="shared" si="44"/>
        <v>74.5</v>
      </c>
      <c r="R160">
        <f t="shared" si="45"/>
        <v>67.5</v>
      </c>
      <c r="S160">
        <f t="shared" si="46"/>
        <v>173</v>
      </c>
      <c r="T160">
        <f t="shared" si="47"/>
        <v>174.5</v>
      </c>
      <c r="U160">
        <f t="shared" si="48"/>
        <v>61</v>
      </c>
      <c r="V160">
        <f t="shared" si="49"/>
        <v>71.5</v>
      </c>
      <c r="X160" s="3">
        <v>112453</v>
      </c>
      <c r="Y160">
        <f t="shared" si="50"/>
        <v>627</v>
      </c>
      <c r="Z160">
        <f t="shared" si="51"/>
        <v>598.5</v>
      </c>
      <c r="AA160">
        <f t="shared" si="52"/>
        <v>117</v>
      </c>
      <c r="AB160">
        <f t="shared" si="53"/>
        <v>121.5</v>
      </c>
      <c r="AC160">
        <f t="shared" si="54"/>
        <v>7304</v>
      </c>
      <c r="AD160">
        <f t="shared" si="55"/>
        <v>5970.5000280000004</v>
      </c>
      <c r="AE160">
        <f t="shared" si="56"/>
        <v>1346</v>
      </c>
      <c r="AF160">
        <f t="shared" si="57"/>
        <v>1601.5</v>
      </c>
      <c r="AG160" s="9">
        <v>41019250</v>
      </c>
      <c r="AH160" s="31">
        <v>171.5</v>
      </c>
      <c r="AI160" s="31">
        <v>166.5</v>
      </c>
      <c r="AJ160" s="37">
        <v>5</v>
      </c>
      <c r="AK160" s="37">
        <v>3.0030030030030028</v>
      </c>
      <c r="AL160" s="36">
        <v>74.5</v>
      </c>
      <c r="AM160" s="36">
        <v>67.5</v>
      </c>
      <c r="AN160" s="37">
        <v>7</v>
      </c>
      <c r="AO160" s="37">
        <v>10.37037037037037</v>
      </c>
      <c r="AP160" s="38">
        <v>2234</v>
      </c>
      <c r="AQ160" s="39">
        <v>1723.5</v>
      </c>
      <c r="AR160" s="37">
        <v>510.5</v>
      </c>
      <c r="AS160" s="37">
        <v>29.619959384972439</v>
      </c>
      <c r="AT160" s="36">
        <v>767</v>
      </c>
      <c r="AU160" s="36">
        <v>760.5</v>
      </c>
      <c r="AV160" s="37">
        <v>6.5</v>
      </c>
      <c r="AW160" s="37">
        <v>0.85470085470085477</v>
      </c>
      <c r="AX160" s="5">
        <v>312646</v>
      </c>
      <c r="AY160" t="str">
        <f t="shared" si="58"/>
        <v>White Patch_Dwarka Sector19</v>
      </c>
      <c r="AZ160" t="str">
        <f t="shared" si="59"/>
        <v>Dwarka</v>
      </c>
      <c r="BC160" s="9">
        <v>41019250</v>
      </c>
      <c r="BD160" s="9" t="s">
        <v>380</v>
      </c>
      <c r="BE160" s="47" t="s">
        <v>491</v>
      </c>
      <c r="BF160" s="14" t="s">
        <v>492</v>
      </c>
      <c r="BG160" s="10" t="s">
        <v>111</v>
      </c>
      <c r="BH160" s="10" t="s">
        <v>271</v>
      </c>
      <c r="BI160" s="12" t="s">
        <v>271</v>
      </c>
      <c r="BJ160" s="51" t="s">
        <v>113</v>
      </c>
    </row>
    <row r="161" spans="1:62" ht="48.5" x14ac:dyDescent="0.35">
      <c r="A161">
        <v>106276</v>
      </c>
      <c r="B161" s="84">
        <f t="shared" si="40"/>
        <v>395</v>
      </c>
      <c r="C161" s="84">
        <f t="shared" si="41"/>
        <v>400</v>
      </c>
      <c r="E161" s="5">
        <v>106345</v>
      </c>
      <c r="F161" s="19">
        <v>585</v>
      </c>
      <c r="G161" s="19">
        <v>682</v>
      </c>
      <c r="H161" s="19">
        <v>428</v>
      </c>
      <c r="I161" s="19">
        <v>488</v>
      </c>
      <c r="J161" s="19">
        <v>124</v>
      </c>
      <c r="K161" s="19">
        <v>148</v>
      </c>
      <c r="L161" s="19">
        <v>153</v>
      </c>
      <c r="M161" s="19">
        <v>176</v>
      </c>
      <c r="N161" s="9">
        <v>41019261</v>
      </c>
      <c r="O161">
        <f t="shared" si="42"/>
        <v>318</v>
      </c>
      <c r="P161">
        <f t="shared" si="43"/>
        <v>297.5</v>
      </c>
      <c r="Q161">
        <f t="shared" si="44"/>
        <v>112</v>
      </c>
      <c r="R161">
        <f t="shared" si="45"/>
        <v>92.5</v>
      </c>
      <c r="S161">
        <f t="shared" si="46"/>
        <v>296.5</v>
      </c>
      <c r="T161">
        <f t="shared" si="47"/>
        <v>294</v>
      </c>
      <c r="U161">
        <f t="shared" si="48"/>
        <v>96.5</v>
      </c>
      <c r="V161">
        <f t="shared" si="49"/>
        <v>109</v>
      </c>
      <c r="X161" s="5">
        <v>102106</v>
      </c>
      <c r="Y161">
        <f t="shared" si="50"/>
        <v>396</v>
      </c>
      <c r="Z161">
        <f t="shared" si="51"/>
        <v>436</v>
      </c>
      <c r="AA161">
        <f t="shared" si="52"/>
        <v>244</v>
      </c>
      <c r="AB161">
        <f t="shared" si="53"/>
        <v>210</v>
      </c>
      <c r="AC161">
        <f t="shared" si="54"/>
        <v>5468</v>
      </c>
      <c r="AD161">
        <f t="shared" si="55"/>
        <v>4497.5</v>
      </c>
      <c r="AE161">
        <f t="shared" si="56"/>
        <v>3116</v>
      </c>
      <c r="AF161">
        <f t="shared" si="57"/>
        <v>3067.5</v>
      </c>
      <c r="AG161" s="9">
        <v>41019261</v>
      </c>
      <c r="AH161" s="31">
        <v>318</v>
      </c>
      <c r="AI161" s="31">
        <v>297.5</v>
      </c>
      <c r="AJ161" s="37">
        <v>20.5</v>
      </c>
      <c r="AK161" s="37">
        <v>6.8907563025210088</v>
      </c>
      <c r="AL161" s="36">
        <v>112</v>
      </c>
      <c r="AM161" s="36">
        <v>92.5</v>
      </c>
      <c r="AN161" s="37">
        <v>19.5</v>
      </c>
      <c r="AO161" s="37">
        <v>21.081081081081081</v>
      </c>
      <c r="AP161" s="38">
        <v>3765</v>
      </c>
      <c r="AQ161" s="39">
        <v>2781</v>
      </c>
      <c r="AR161" s="37">
        <v>984</v>
      </c>
      <c r="AS161" s="37">
        <v>35.382955771305284</v>
      </c>
      <c r="AT161" s="36">
        <v>1154</v>
      </c>
      <c r="AU161" s="36">
        <v>1155.5</v>
      </c>
      <c r="AV161" s="37">
        <v>-1.5</v>
      </c>
      <c r="AW161" s="37">
        <v>-0.12981393336218089</v>
      </c>
      <c r="AX161" s="5">
        <v>106345</v>
      </c>
      <c r="AY161" t="str">
        <f t="shared" si="58"/>
        <v>M.L.SETHI</v>
      </c>
      <c r="AZ161" t="str">
        <f t="shared" si="59"/>
        <v>Rohini</v>
      </c>
      <c r="BC161" s="9">
        <v>41019261</v>
      </c>
      <c r="BD161" s="9" t="s">
        <v>380</v>
      </c>
      <c r="BE161" s="47" t="s">
        <v>493</v>
      </c>
      <c r="BF161" s="14" t="s">
        <v>454</v>
      </c>
      <c r="BG161" s="10" t="s">
        <v>81</v>
      </c>
      <c r="BH161" s="10" t="s">
        <v>455</v>
      </c>
      <c r="BI161" s="12" t="s">
        <v>455</v>
      </c>
      <c r="BJ161" s="51" t="s">
        <v>141</v>
      </c>
    </row>
    <row r="162" spans="1:62" ht="60.5" x14ac:dyDescent="0.35">
      <c r="A162">
        <v>112411</v>
      </c>
      <c r="B162" s="84">
        <f t="shared" si="40"/>
        <v>288</v>
      </c>
      <c r="C162" s="84">
        <f t="shared" si="41"/>
        <v>273</v>
      </c>
      <c r="E162" s="5">
        <v>106217</v>
      </c>
      <c r="F162" s="19">
        <v>346</v>
      </c>
      <c r="G162" s="19">
        <v>389</v>
      </c>
      <c r="H162" s="19">
        <v>297</v>
      </c>
      <c r="I162" s="19">
        <v>337.5</v>
      </c>
      <c r="J162" s="19">
        <v>81</v>
      </c>
      <c r="K162" s="19">
        <v>94.5</v>
      </c>
      <c r="L162" s="19">
        <v>116</v>
      </c>
      <c r="M162" s="19">
        <v>157</v>
      </c>
      <c r="N162" s="9">
        <v>41019255</v>
      </c>
      <c r="O162">
        <f t="shared" si="42"/>
        <v>185.5</v>
      </c>
      <c r="P162">
        <f t="shared" si="43"/>
        <v>171</v>
      </c>
      <c r="Q162">
        <f t="shared" si="44"/>
        <v>88.5</v>
      </c>
      <c r="R162">
        <f t="shared" si="45"/>
        <v>82</v>
      </c>
      <c r="S162">
        <f t="shared" si="46"/>
        <v>160.5</v>
      </c>
      <c r="T162">
        <f t="shared" si="47"/>
        <v>156</v>
      </c>
      <c r="U162">
        <f t="shared" si="48"/>
        <v>74.5</v>
      </c>
      <c r="V162">
        <f t="shared" si="49"/>
        <v>72</v>
      </c>
      <c r="X162" s="5">
        <v>102118</v>
      </c>
      <c r="Y162">
        <f t="shared" si="50"/>
        <v>567</v>
      </c>
      <c r="Z162">
        <f t="shared" si="51"/>
        <v>574</v>
      </c>
      <c r="AA162">
        <f t="shared" si="52"/>
        <v>227</v>
      </c>
      <c r="AB162">
        <f t="shared" si="53"/>
        <v>208</v>
      </c>
      <c r="AC162">
        <f t="shared" si="54"/>
        <v>6959</v>
      </c>
      <c r="AD162">
        <f t="shared" si="55"/>
        <v>5825.5</v>
      </c>
      <c r="AE162">
        <f t="shared" si="56"/>
        <v>2461</v>
      </c>
      <c r="AF162">
        <f t="shared" si="57"/>
        <v>2758.5</v>
      </c>
      <c r="AG162" s="9">
        <v>41019255</v>
      </c>
      <c r="AH162" s="31">
        <v>185.5</v>
      </c>
      <c r="AI162" s="31">
        <v>171</v>
      </c>
      <c r="AJ162" s="37">
        <v>14.5</v>
      </c>
      <c r="AK162" s="37">
        <v>8.4795321637426895</v>
      </c>
      <c r="AL162" s="36">
        <v>88.5</v>
      </c>
      <c r="AM162" s="36">
        <v>82</v>
      </c>
      <c r="AN162" s="37">
        <v>6.5</v>
      </c>
      <c r="AO162" s="37">
        <v>7.9268292682926829</v>
      </c>
      <c r="AP162" s="38">
        <v>2059.5</v>
      </c>
      <c r="AQ162" s="39">
        <v>1675</v>
      </c>
      <c r="AR162" s="37">
        <v>384.5</v>
      </c>
      <c r="AS162" s="37">
        <v>22.955223880597014</v>
      </c>
      <c r="AT162" s="36">
        <v>965.5</v>
      </c>
      <c r="AU162" s="36">
        <v>1019</v>
      </c>
      <c r="AV162" s="37">
        <v>-53.5</v>
      </c>
      <c r="AW162" s="37">
        <v>-5.2502453385672228</v>
      </c>
      <c r="AX162" s="5">
        <v>106217</v>
      </c>
      <c r="AY162" t="str">
        <f t="shared" si="58"/>
        <v>GOPINATH</v>
      </c>
      <c r="AZ162" t="str">
        <f t="shared" si="59"/>
        <v>Delhi Cantt</v>
      </c>
      <c r="BC162" s="9">
        <v>41019255</v>
      </c>
      <c r="BD162" s="9" t="s">
        <v>380</v>
      </c>
      <c r="BE162" s="48" t="s">
        <v>494</v>
      </c>
      <c r="BF162" s="14" t="s">
        <v>495</v>
      </c>
      <c r="BG162" s="10" t="s">
        <v>81</v>
      </c>
      <c r="BH162" s="10" t="s">
        <v>184</v>
      </c>
      <c r="BI162" s="12" t="s">
        <v>184</v>
      </c>
      <c r="BJ162" s="51" t="s">
        <v>141</v>
      </c>
    </row>
    <row r="163" spans="1:62" ht="48.5" x14ac:dyDescent="0.35">
      <c r="A163">
        <v>356501</v>
      </c>
      <c r="B163" s="84">
        <f t="shared" si="40"/>
        <v>159.5</v>
      </c>
      <c r="C163" s="84">
        <f t="shared" si="41"/>
        <v>160</v>
      </c>
      <c r="E163" s="5">
        <v>106261</v>
      </c>
      <c r="F163" s="19">
        <v>375</v>
      </c>
      <c r="G163" s="19">
        <v>440</v>
      </c>
      <c r="H163" s="19">
        <v>346.5</v>
      </c>
      <c r="I163" s="19">
        <v>387</v>
      </c>
      <c r="J163" s="19">
        <v>85.5</v>
      </c>
      <c r="K163" s="19">
        <v>111</v>
      </c>
      <c r="L163" s="19">
        <v>105</v>
      </c>
      <c r="M163" s="19">
        <v>100</v>
      </c>
      <c r="N163" s="9">
        <v>41031854</v>
      </c>
      <c r="O163">
        <f t="shared" si="42"/>
        <v>373.5</v>
      </c>
      <c r="P163">
        <f t="shared" si="43"/>
        <v>475</v>
      </c>
      <c r="Q163">
        <f t="shared" si="44"/>
        <v>84.5</v>
      </c>
      <c r="R163">
        <f t="shared" si="45"/>
        <v>128</v>
      </c>
      <c r="S163">
        <f t="shared" si="46"/>
        <v>375</v>
      </c>
      <c r="T163">
        <f t="shared" si="47"/>
        <v>355</v>
      </c>
      <c r="U163">
        <f t="shared" si="48"/>
        <v>85</v>
      </c>
      <c r="V163">
        <f t="shared" si="49"/>
        <v>105</v>
      </c>
      <c r="X163" s="5">
        <v>182561</v>
      </c>
      <c r="Y163">
        <f t="shared" si="50"/>
        <v>313.5</v>
      </c>
      <c r="Z163">
        <f t="shared" si="51"/>
        <v>272</v>
      </c>
      <c r="AA163">
        <f t="shared" si="52"/>
        <v>260.5</v>
      </c>
      <c r="AB163">
        <f t="shared" si="53"/>
        <v>260</v>
      </c>
      <c r="AC163">
        <f t="shared" si="54"/>
        <v>3650.5</v>
      </c>
      <c r="AD163">
        <f t="shared" si="55"/>
        <v>2891.5</v>
      </c>
      <c r="AE163">
        <f t="shared" si="56"/>
        <v>3011.5</v>
      </c>
      <c r="AF163">
        <f t="shared" si="57"/>
        <v>2959.5</v>
      </c>
      <c r="AG163" s="9">
        <v>41031854</v>
      </c>
      <c r="AH163" s="31">
        <v>373.5</v>
      </c>
      <c r="AI163" s="31">
        <v>475</v>
      </c>
      <c r="AJ163" s="37">
        <v>-101.5</v>
      </c>
      <c r="AK163" s="37">
        <v>-21.368421052631579</v>
      </c>
      <c r="AL163" s="36">
        <v>84.5</v>
      </c>
      <c r="AM163" s="36">
        <v>128</v>
      </c>
      <c r="AN163" s="37">
        <v>-43.5</v>
      </c>
      <c r="AO163" s="37">
        <v>-33.984375</v>
      </c>
      <c r="AP163" s="38">
        <v>5352</v>
      </c>
      <c r="AQ163" s="39">
        <v>3769.5</v>
      </c>
      <c r="AR163" s="37">
        <v>1582.5</v>
      </c>
      <c r="AS163" s="37">
        <v>41.981695185037808</v>
      </c>
      <c r="AT163" s="36">
        <v>1258</v>
      </c>
      <c r="AU163" s="36">
        <v>1372.5</v>
      </c>
      <c r="AV163" s="37">
        <v>-114.5</v>
      </c>
      <c r="AW163" s="37">
        <v>-8.3424408014571938</v>
      </c>
      <c r="AX163" s="5">
        <v>106261</v>
      </c>
      <c r="AY163" t="str">
        <f t="shared" si="58"/>
        <v>RN MOTORS</v>
      </c>
      <c r="AZ163" t="str">
        <f t="shared" si="59"/>
        <v>Rohtak Road</v>
      </c>
      <c r="BC163" s="9">
        <v>41031854</v>
      </c>
      <c r="BD163" s="9" t="s">
        <v>380</v>
      </c>
      <c r="BE163" s="47" t="s">
        <v>496</v>
      </c>
      <c r="BF163" s="14" t="s">
        <v>497</v>
      </c>
      <c r="BG163" s="10" t="s">
        <v>81</v>
      </c>
      <c r="BH163" s="10" t="s">
        <v>498</v>
      </c>
      <c r="BI163" s="12" t="s">
        <v>498</v>
      </c>
      <c r="BJ163" s="51" t="s">
        <v>135</v>
      </c>
    </row>
    <row r="164" spans="1:62" ht="36.5" x14ac:dyDescent="0.35">
      <c r="A164">
        <v>106280</v>
      </c>
      <c r="B164" s="84">
        <f t="shared" si="40"/>
        <v>288</v>
      </c>
      <c r="C164" s="84">
        <f t="shared" si="41"/>
        <v>308</v>
      </c>
      <c r="E164" s="5">
        <v>354260</v>
      </c>
      <c r="F164" s="19">
        <v>165</v>
      </c>
      <c r="G164" s="19">
        <v>179.5</v>
      </c>
      <c r="H164" s="19">
        <v>124.5</v>
      </c>
      <c r="I164" s="19">
        <v>124</v>
      </c>
      <c r="J164" s="19">
        <v>45.5</v>
      </c>
      <c r="K164" s="19">
        <v>44</v>
      </c>
      <c r="L164" s="19">
        <v>57</v>
      </c>
      <c r="M164" s="19">
        <v>76.5</v>
      </c>
      <c r="N164" s="9">
        <v>41019306</v>
      </c>
      <c r="O164">
        <f t="shared" si="42"/>
        <v>81.5</v>
      </c>
      <c r="P164">
        <f t="shared" si="43"/>
        <v>71</v>
      </c>
      <c r="Q164">
        <f t="shared" si="44"/>
        <v>22.5</v>
      </c>
      <c r="R164">
        <f t="shared" si="45"/>
        <v>13</v>
      </c>
      <c r="S164">
        <f t="shared" si="46"/>
        <v>68.5</v>
      </c>
      <c r="T164">
        <f t="shared" si="47"/>
        <v>61.5</v>
      </c>
      <c r="U164">
        <f t="shared" si="48"/>
        <v>9.5</v>
      </c>
      <c r="V164">
        <f t="shared" si="49"/>
        <v>16.5</v>
      </c>
      <c r="X164" s="3">
        <v>112387</v>
      </c>
      <c r="Y164">
        <f t="shared" si="50"/>
        <v>553</v>
      </c>
      <c r="Z164">
        <f t="shared" si="51"/>
        <v>504</v>
      </c>
      <c r="AA164">
        <f t="shared" si="52"/>
        <v>89</v>
      </c>
      <c r="AB164">
        <f t="shared" si="53"/>
        <v>102</v>
      </c>
      <c r="AC164">
        <f t="shared" si="54"/>
        <v>6595.5</v>
      </c>
      <c r="AD164">
        <f t="shared" si="55"/>
        <v>5340.0000389999996</v>
      </c>
      <c r="AE164">
        <f t="shared" si="56"/>
        <v>976.5</v>
      </c>
      <c r="AF164">
        <f t="shared" si="57"/>
        <v>1199</v>
      </c>
      <c r="AG164" s="9">
        <v>41019306</v>
      </c>
      <c r="AH164" s="31">
        <v>81.5</v>
      </c>
      <c r="AI164" s="31">
        <v>71</v>
      </c>
      <c r="AJ164" s="37">
        <v>10.5</v>
      </c>
      <c r="AK164" s="37">
        <v>14.788732394366196</v>
      </c>
      <c r="AL164" s="36">
        <v>22.5</v>
      </c>
      <c r="AM164" s="36">
        <v>13</v>
      </c>
      <c r="AN164" s="37">
        <v>9.5</v>
      </c>
      <c r="AO164" s="37">
        <v>73.076923076923066</v>
      </c>
      <c r="AP164" s="38">
        <v>933.5</v>
      </c>
      <c r="AQ164" s="39">
        <v>712</v>
      </c>
      <c r="AR164" s="37">
        <v>221.5</v>
      </c>
      <c r="AS164" s="37">
        <v>31.109550561797754</v>
      </c>
      <c r="AT164" s="36">
        <v>196.5</v>
      </c>
      <c r="AU164" s="36">
        <v>223.5</v>
      </c>
      <c r="AV164" s="37">
        <v>-27</v>
      </c>
      <c r="AW164" s="37">
        <v>-12.080536912751679</v>
      </c>
      <c r="AX164" s="5">
        <v>354260</v>
      </c>
      <c r="AY164" t="str">
        <f t="shared" si="58"/>
        <v>White Patch_Narela</v>
      </c>
      <c r="AZ164" t="str">
        <f t="shared" si="59"/>
        <v>Narela- Bawana</v>
      </c>
      <c r="BC164" s="9">
        <v>41019306</v>
      </c>
      <c r="BD164" s="9" t="s">
        <v>380</v>
      </c>
      <c r="BE164" s="47" t="s">
        <v>499</v>
      </c>
      <c r="BF164" s="14" t="s">
        <v>500</v>
      </c>
      <c r="BG164" s="10" t="s">
        <v>103</v>
      </c>
      <c r="BH164" s="10" t="s">
        <v>104</v>
      </c>
      <c r="BI164" s="12" t="s">
        <v>104</v>
      </c>
      <c r="BJ164" s="51" t="s">
        <v>105</v>
      </c>
    </row>
    <row r="165" spans="1:62" ht="48.5" x14ac:dyDescent="0.35">
      <c r="A165">
        <v>112412</v>
      </c>
      <c r="B165" s="84">
        <f t="shared" si="40"/>
        <v>92</v>
      </c>
      <c r="C165" s="84">
        <f t="shared" si="41"/>
        <v>96</v>
      </c>
      <c r="E165" s="5">
        <v>175977</v>
      </c>
      <c r="F165" s="19">
        <v>108.5</v>
      </c>
      <c r="G165" s="19">
        <v>120</v>
      </c>
      <c r="H165" s="19">
        <v>143</v>
      </c>
      <c r="I165" s="19">
        <v>135</v>
      </c>
      <c r="J165" s="19">
        <v>229</v>
      </c>
      <c r="K165" s="19">
        <v>225</v>
      </c>
      <c r="L165" s="19">
        <v>199.5</v>
      </c>
      <c r="M165" s="19">
        <v>286</v>
      </c>
      <c r="N165" s="9">
        <v>41019258</v>
      </c>
      <c r="O165">
        <f t="shared" si="42"/>
        <v>145.5</v>
      </c>
      <c r="P165">
        <f t="shared" si="43"/>
        <v>123.5</v>
      </c>
      <c r="Q165">
        <f t="shared" si="44"/>
        <v>181.5</v>
      </c>
      <c r="R165">
        <f t="shared" si="45"/>
        <v>219.5</v>
      </c>
      <c r="S165">
        <f t="shared" si="46"/>
        <v>127.5</v>
      </c>
      <c r="T165">
        <f t="shared" si="47"/>
        <v>108.5</v>
      </c>
      <c r="U165">
        <f t="shared" si="48"/>
        <v>166.5</v>
      </c>
      <c r="V165">
        <f t="shared" si="49"/>
        <v>222.5</v>
      </c>
      <c r="X165" s="5">
        <v>190058</v>
      </c>
      <c r="Y165">
        <f t="shared" si="50"/>
        <v>592.5</v>
      </c>
      <c r="Z165">
        <f t="shared" si="51"/>
        <v>543.5</v>
      </c>
      <c r="AA165">
        <f t="shared" si="52"/>
        <v>163.5</v>
      </c>
      <c r="AB165">
        <f t="shared" si="53"/>
        <v>194.5</v>
      </c>
      <c r="AC165">
        <f t="shared" si="54"/>
        <v>6502</v>
      </c>
      <c r="AD165">
        <f t="shared" si="55"/>
        <v>5598.5</v>
      </c>
      <c r="AE165">
        <f t="shared" si="56"/>
        <v>2326</v>
      </c>
      <c r="AF165">
        <f t="shared" si="57"/>
        <v>2534.5</v>
      </c>
      <c r="AG165" s="9">
        <v>41019258</v>
      </c>
      <c r="AH165" s="31">
        <v>145.5</v>
      </c>
      <c r="AI165" s="31">
        <v>123.5</v>
      </c>
      <c r="AJ165" s="37">
        <v>22</v>
      </c>
      <c r="AK165" s="37">
        <v>17.813765182186234</v>
      </c>
      <c r="AL165" s="36">
        <v>181.5</v>
      </c>
      <c r="AM165" s="36">
        <v>219.5</v>
      </c>
      <c r="AN165" s="37">
        <v>-38</v>
      </c>
      <c r="AO165" s="37">
        <v>-17.312072892938495</v>
      </c>
      <c r="AP165" s="38">
        <v>1529</v>
      </c>
      <c r="AQ165" s="39">
        <v>1270</v>
      </c>
      <c r="AR165" s="37">
        <v>259</v>
      </c>
      <c r="AS165" s="37">
        <v>20.393700787401574</v>
      </c>
      <c r="AT165" s="36">
        <v>2216</v>
      </c>
      <c r="AU165" s="36">
        <v>2678</v>
      </c>
      <c r="AV165" s="37">
        <v>-462</v>
      </c>
      <c r="AW165" s="37">
        <v>-17.251680358476477</v>
      </c>
      <c r="AX165" s="5">
        <v>175977</v>
      </c>
      <c r="AY165" t="str">
        <f t="shared" si="58"/>
        <v>GARG-VIJAY-NEW HARYANA</v>
      </c>
      <c r="AZ165" t="str">
        <f t="shared" si="59"/>
        <v>Rohtak Road</v>
      </c>
      <c r="BC165" s="9">
        <v>41019258</v>
      </c>
      <c r="BD165" s="9" t="s">
        <v>380</v>
      </c>
      <c r="BE165" s="47" t="s">
        <v>501</v>
      </c>
      <c r="BF165" s="14" t="s">
        <v>281</v>
      </c>
      <c r="BG165" s="10" t="s">
        <v>200</v>
      </c>
      <c r="BH165" s="10" t="s">
        <v>244</v>
      </c>
      <c r="BI165" s="12" t="s">
        <v>244</v>
      </c>
      <c r="BJ165" s="51" t="s">
        <v>172</v>
      </c>
    </row>
    <row r="166" spans="1:62" ht="60.5" x14ac:dyDescent="0.35">
      <c r="A166">
        <v>244458</v>
      </c>
      <c r="B166" s="84">
        <f t="shared" si="40"/>
        <v>225</v>
      </c>
      <c r="C166" s="84">
        <f t="shared" si="41"/>
        <v>241.5</v>
      </c>
      <c r="E166" s="5">
        <v>106223</v>
      </c>
      <c r="F166" s="19">
        <v>145</v>
      </c>
      <c r="G166" s="19">
        <v>180</v>
      </c>
      <c r="H166" s="19">
        <v>160</v>
      </c>
      <c r="I166" s="19">
        <v>165</v>
      </c>
      <c r="J166" s="19">
        <v>100</v>
      </c>
      <c r="K166" s="19">
        <v>95</v>
      </c>
      <c r="L166" s="19">
        <v>95</v>
      </c>
      <c r="M166" s="19">
        <v>100</v>
      </c>
      <c r="N166" s="9">
        <v>41056400</v>
      </c>
      <c r="O166">
        <f t="shared" si="42"/>
        <v>253</v>
      </c>
      <c r="P166">
        <f t="shared" si="43"/>
        <v>301</v>
      </c>
      <c r="Q166">
        <f t="shared" si="44"/>
        <v>19</v>
      </c>
      <c r="R166">
        <f t="shared" si="45"/>
        <v>23</v>
      </c>
      <c r="S166">
        <f t="shared" si="46"/>
        <v>263</v>
      </c>
      <c r="T166">
        <f t="shared" si="47"/>
        <v>211</v>
      </c>
      <c r="U166">
        <f t="shared" si="48"/>
        <v>35</v>
      </c>
      <c r="V166">
        <f t="shared" si="49"/>
        <v>29</v>
      </c>
      <c r="X166" s="3">
        <v>112429</v>
      </c>
      <c r="Y166">
        <f t="shared" si="50"/>
        <v>486</v>
      </c>
      <c r="Z166">
        <f t="shared" si="51"/>
        <v>468</v>
      </c>
      <c r="AA166">
        <f t="shared" si="52"/>
        <v>108</v>
      </c>
      <c r="AB166">
        <f t="shared" si="53"/>
        <v>126</v>
      </c>
      <c r="AC166">
        <f t="shared" si="54"/>
        <v>5988</v>
      </c>
      <c r="AD166">
        <f t="shared" si="55"/>
        <v>4869.0000190000001</v>
      </c>
      <c r="AE166">
        <f t="shared" si="56"/>
        <v>1422</v>
      </c>
      <c r="AF166">
        <f t="shared" si="57"/>
        <v>1552.5</v>
      </c>
      <c r="AG166" s="9">
        <v>41056400</v>
      </c>
      <c r="AH166" s="31">
        <v>253</v>
      </c>
      <c r="AI166" s="31">
        <v>301</v>
      </c>
      <c r="AJ166" s="37">
        <v>-48</v>
      </c>
      <c r="AK166" s="37">
        <v>-15.946843853820598</v>
      </c>
      <c r="AL166" s="36">
        <v>19</v>
      </c>
      <c r="AM166" s="36">
        <v>23</v>
      </c>
      <c r="AN166" s="37">
        <v>-4</v>
      </c>
      <c r="AO166" s="37">
        <v>-17.391304347826086</v>
      </c>
      <c r="AP166" s="38">
        <v>3257</v>
      </c>
      <c r="AQ166" s="39">
        <v>2493.5</v>
      </c>
      <c r="AR166" s="37">
        <v>763.5</v>
      </c>
      <c r="AS166" s="37">
        <v>30.619610988570283</v>
      </c>
      <c r="AT166" s="36">
        <v>363</v>
      </c>
      <c r="AU166" s="36">
        <v>338.5</v>
      </c>
      <c r="AV166" s="37">
        <v>24.5</v>
      </c>
      <c r="AW166" s="37">
        <v>7.2378138847858198</v>
      </c>
      <c r="AX166" s="5">
        <v>106223</v>
      </c>
      <c r="AY166" t="str">
        <f t="shared" si="58"/>
        <v>White Patch_Merrut Expressway</v>
      </c>
      <c r="AZ166" t="str">
        <f t="shared" si="59"/>
        <v>Mayur Vihar -Anand Vihar -Preet Vihar</v>
      </c>
      <c r="BC166" s="9">
        <v>41056400</v>
      </c>
      <c r="BD166" s="9" t="s">
        <v>380</v>
      </c>
      <c r="BE166" s="47" t="s">
        <v>502</v>
      </c>
      <c r="BF166" s="14" t="s">
        <v>503</v>
      </c>
      <c r="BG166" s="10" t="s">
        <v>75</v>
      </c>
      <c r="BH166" s="10" t="s">
        <v>108</v>
      </c>
      <c r="BI166" s="12" t="s">
        <v>108</v>
      </c>
      <c r="BJ166" s="51" t="s">
        <v>77</v>
      </c>
    </row>
    <row r="167" spans="1:62" ht="48.5" x14ac:dyDescent="0.35">
      <c r="A167">
        <v>41019292</v>
      </c>
      <c r="B167" s="84">
        <f t="shared" si="40"/>
        <v>549</v>
      </c>
      <c r="C167" s="84">
        <f t="shared" si="41"/>
        <v>601.5</v>
      </c>
      <c r="E167" s="5">
        <v>206615</v>
      </c>
      <c r="F167" s="19">
        <v>188</v>
      </c>
      <c r="G167" s="19">
        <v>184</v>
      </c>
      <c r="H167" s="19">
        <v>172</v>
      </c>
      <c r="I167" s="19">
        <v>212</v>
      </c>
      <c r="J167" s="19">
        <v>44</v>
      </c>
      <c r="K167" s="19">
        <v>52</v>
      </c>
      <c r="L167" s="19">
        <v>40</v>
      </c>
      <c r="M167" s="19">
        <v>44</v>
      </c>
      <c r="N167" s="9">
        <v>41057007</v>
      </c>
      <c r="O167">
        <f t="shared" si="42"/>
        <v>342</v>
      </c>
      <c r="P167">
        <f t="shared" si="43"/>
        <v>367</v>
      </c>
      <c r="Q167">
        <f t="shared" si="44"/>
        <v>85</v>
      </c>
      <c r="R167">
        <f t="shared" si="45"/>
        <v>102</v>
      </c>
      <c r="S167">
        <f t="shared" si="46"/>
        <v>343.5</v>
      </c>
      <c r="T167">
        <f t="shared" si="47"/>
        <v>348</v>
      </c>
      <c r="U167">
        <f t="shared" si="48"/>
        <v>86.5</v>
      </c>
      <c r="V167">
        <f t="shared" si="49"/>
        <v>104</v>
      </c>
      <c r="X167" s="3">
        <v>112435</v>
      </c>
      <c r="Y167">
        <f t="shared" si="50"/>
        <v>471.5</v>
      </c>
      <c r="Z167">
        <f t="shared" si="51"/>
        <v>443</v>
      </c>
      <c r="AA167">
        <f t="shared" si="52"/>
        <v>26.5</v>
      </c>
      <c r="AB167">
        <f t="shared" si="53"/>
        <v>27</v>
      </c>
      <c r="AC167">
        <f t="shared" si="54"/>
        <v>5668</v>
      </c>
      <c r="AD167">
        <f t="shared" si="55"/>
        <v>4426</v>
      </c>
      <c r="AE167">
        <f t="shared" si="56"/>
        <v>362</v>
      </c>
      <c r="AF167">
        <f t="shared" si="57"/>
        <v>319</v>
      </c>
      <c r="AG167" s="9">
        <v>41057007</v>
      </c>
      <c r="AH167" s="31">
        <v>342</v>
      </c>
      <c r="AI167" s="31">
        <v>367</v>
      </c>
      <c r="AJ167" s="37">
        <v>-25</v>
      </c>
      <c r="AK167" s="37">
        <v>-6.8119891008174394</v>
      </c>
      <c r="AL167" s="36">
        <v>85</v>
      </c>
      <c r="AM167" s="36">
        <v>102</v>
      </c>
      <c r="AN167" s="37">
        <v>-17</v>
      </c>
      <c r="AO167" s="37">
        <v>-16.666666666666664</v>
      </c>
      <c r="AP167" s="38">
        <v>4483</v>
      </c>
      <c r="AQ167" s="39">
        <v>3563</v>
      </c>
      <c r="AR167" s="37">
        <v>920</v>
      </c>
      <c r="AS167" s="37">
        <v>25.820937412293009</v>
      </c>
      <c r="AT167" s="36">
        <v>1160</v>
      </c>
      <c r="AU167" s="36">
        <v>1267</v>
      </c>
      <c r="AV167" s="37">
        <v>-107</v>
      </c>
      <c r="AW167" s="37">
        <v>-8.445146014206788</v>
      </c>
      <c r="AX167" s="5">
        <v>206615</v>
      </c>
      <c r="AY167" t="str">
        <f t="shared" si="58"/>
        <v>White Patch- Outer Ring Road</v>
      </c>
      <c r="AZ167" t="str">
        <f t="shared" si="59"/>
        <v>Pitampura</v>
      </c>
      <c r="BC167" s="9">
        <v>41057007</v>
      </c>
      <c r="BD167" s="9" t="s">
        <v>380</v>
      </c>
      <c r="BE167" s="47" t="s">
        <v>504</v>
      </c>
      <c r="BF167" s="14" t="s">
        <v>505</v>
      </c>
      <c r="BG167" s="10" t="s">
        <v>111</v>
      </c>
      <c r="BH167" s="10" t="s">
        <v>129</v>
      </c>
      <c r="BI167" s="12" t="s">
        <v>129</v>
      </c>
      <c r="BJ167" s="51" t="s">
        <v>126</v>
      </c>
    </row>
    <row r="168" spans="1:62" ht="48.5" x14ac:dyDescent="0.35">
      <c r="A168">
        <v>106283</v>
      </c>
      <c r="B168" s="84">
        <f t="shared" si="40"/>
        <v>195</v>
      </c>
      <c r="C168" s="84">
        <f t="shared" si="41"/>
        <v>215</v>
      </c>
      <c r="E168" s="5">
        <v>106301</v>
      </c>
      <c r="F168" s="19">
        <v>87</v>
      </c>
      <c r="G168" s="19">
        <v>112</v>
      </c>
      <c r="H168" s="19">
        <v>82</v>
      </c>
      <c r="I168" s="19">
        <v>83.5</v>
      </c>
      <c r="J168" s="19">
        <v>34</v>
      </c>
      <c r="K168" s="19">
        <v>36.5</v>
      </c>
      <c r="L168" s="19">
        <v>27</v>
      </c>
      <c r="M168" s="19">
        <v>40</v>
      </c>
      <c r="N168" s="9">
        <v>41057009</v>
      </c>
      <c r="O168">
        <f t="shared" si="42"/>
        <v>380</v>
      </c>
      <c r="P168">
        <f t="shared" si="43"/>
        <v>340</v>
      </c>
      <c r="Q168">
        <f t="shared" si="44"/>
        <v>59</v>
      </c>
      <c r="R168">
        <f t="shared" si="45"/>
        <v>42</v>
      </c>
      <c r="S168">
        <f t="shared" si="46"/>
        <v>330</v>
      </c>
      <c r="T168">
        <f t="shared" si="47"/>
        <v>333</v>
      </c>
      <c r="U168">
        <f t="shared" si="48"/>
        <v>54</v>
      </c>
      <c r="V168">
        <f t="shared" si="49"/>
        <v>54</v>
      </c>
      <c r="X168" s="9">
        <v>41057008</v>
      </c>
      <c r="Y168">
        <f t="shared" si="50"/>
        <v>403</v>
      </c>
      <c r="Z168">
        <f t="shared" si="51"/>
        <v>335</v>
      </c>
      <c r="AA168">
        <f t="shared" si="52"/>
        <v>85</v>
      </c>
      <c r="AB168">
        <f t="shared" si="53"/>
        <v>205</v>
      </c>
      <c r="AC168">
        <f t="shared" si="54"/>
        <v>4938</v>
      </c>
      <c r="AD168">
        <f t="shared" si="55"/>
        <v>3737</v>
      </c>
      <c r="AE168">
        <f t="shared" si="56"/>
        <v>1523</v>
      </c>
      <c r="AF168">
        <f t="shared" si="57"/>
        <v>2621</v>
      </c>
      <c r="AG168" s="9">
        <v>41057009</v>
      </c>
      <c r="AH168" s="31">
        <v>380</v>
      </c>
      <c r="AI168" s="31">
        <v>340</v>
      </c>
      <c r="AJ168" s="37">
        <v>40</v>
      </c>
      <c r="AK168" s="37">
        <v>11.76470588235294</v>
      </c>
      <c r="AL168" s="36">
        <v>59</v>
      </c>
      <c r="AM168" s="36">
        <v>42</v>
      </c>
      <c r="AN168" s="37">
        <v>17</v>
      </c>
      <c r="AO168" s="37">
        <v>40.476190476190474</v>
      </c>
      <c r="AP168" s="38">
        <v>4240</v>
      </c>
      <c r="AQ168" s="39">
        <v>3785</v>
      </c>
      <c r="AR168" s="37">
        <v>455</v>
      </c>
      <c r="AS168" s="37">
        <v>12.021136063408191</v>
      </c>
      <c r="AT168" s="36">
        <v>676</v>
      </c>
      <c r="AU168" s="36">
        <v>840</v>
      </c>
      <c r="AV168" s="37">
        <v>-164</v>
      </c>
      <c r="AW168" s="37">
        <v>-19.523809523809526</v>
      </c>
      <c r="AX168" s="5">
        <v>106301</v>
      </c>
      <c r="AY168" t="str">
        <f t="shared" si="58"/>
        <v>JAIPURGOLDEN_MANGAL</v>
      </c>
      <c r="AZ168" t="str">
        <f t="shared" si="59"/>
        <v>Nazafgarh-Kapashera</v>
      </c>
      <c r="BC168" s="9">
        <v>41057009</v>
      </c>
      <c r="BD168" s="9" t="s">
        <v>380</v>
      </c>
      <c r="BE168" s="48" t="s">
        <v>506</v>
      </c>
      <c r="BF168" s="14" t="s">
        <v>507</v>
      </c>
      <c r="BG168" s="10" t="s">
        <v>111</v>
      </c>
      <c r="BH168" s="10" t="s">
        <v>112</v>
      </c>
      <c r="BI168" s="12" t="s">
        <v>112</v>
      </c>
      <c r="BJ168" s="51" t="s">
        <v>113</v>
      </c>
    </row>
    <row r="169" spans="1:62" ht="36.5" x14ac:dyDescent="0.35">
      <c r="A169">
        <v>112413</v>
      </c>
      <c r="B169" s="84">
        <f t="shared" si="40"/>
        <v>93</v>
      </c>
      <c r="C169" s="84">
        <f t="shared" si="41"/>
        <v>116</v>
      </c>
      <c r="E169" s="5">
        <v>106224</v>
      </c>
      <c r="F169" s="19">
        <v>322</v>
      </c>
      <c r="G169" s="19">
        <v>381.5</v>
      </c>
      <c r="H169" s="19">
        <v>312</v>
      </c>
      <c r="I169" s="19">
        <v>343</v>
      </c>
      <c r="J169" s="19">
        <v>54</v>
      </c>
      <c r="K169" s="19">
        <v>61</v>
      </c>
      <c r="L169" s="19">
        <v>44</v>
      </c>
      <c r="M169" s="19">
        <v>64.5</v>
      </c>
      <c r="N169" s="9">
        <v>41056993</v>
      </c>
      <c r="O169">
        <f t="shared" si="42"/>
        <v>312</v>
      </c>
      <c r="P169">
        <f t="shared" si="43"/>
        <v>307</v>
      </c>
      <c r="Q169">
        <f t="shared" si="44"/>
        <v>396</v>
      </c>
      <c r="R169">
        <f t="shared" si="45"/>
        <v>339</v>
      </c>
      <c r="S169">
        <f t="shared" si="46"/>
        <v>290</v>
      </c>
      <c r="T169">
        <f t="shared" si="47"/>
        <v>246</v>
      </c>
      <c r="U169">
        <f t="shared" si="48"/>
        <v>396</v>
      </c>
      <c r="V169">
        <f t="shared" si="49"/>
        <v>320</v>
      </c>
      <c r="X169" s="5">
        <v>102084</v>
      </c>
      <c r="Y169">
        <f t="shared" si="50"/>
        <v>210</v>
      </c>
      <c r="Z169">
        <f t="shared" si="51"/>
        <v>225</v>
      </c>
      <c r="AA169">
        <f t="shared" si="52"/>
        <v>204</v>
      </c>
      <c r="AB169">
        <f t="shared" si="53"/>
        <v>233</v>
      </c>
      <c r="AC169">
        <f t="shared" si="54"/>
        <v>2731</v>
      </c>
      <c r="AD169">
        <f t="shared" si="55"/>
        <v>2221.5</v>
      </c>
      <c r="AE169">
        <f t="shared" si="56"/>
        <v>2265</v>
      </c>
      <c r="AF169">
        <f t="shared" si="57"/>
        <v>2436.5</v>
      </c>
      <c r="AG169" s="9">
        <v>41056993</v>
      </c>
      <c r="AH169" s="31">
        <v>312</v>
      </c>
      <c r="AI169" s="31">
        <v>307</v>
      </c>
      <c r="AJ169" s="37">
        <v>5</v>
      </c>
      <c r="AK169" s="37">
        <v>1.6286644951140066</v>
      </c>
      <c r="AL169" s="36">
        <v>396</v>
      </c>
      <c r="AM169" s="36">
        <v>339</v>
      </c>
      <c r="AN169" s="37">
        <v>57</v>
      </c>
      <c r="AO169" s="37">
        <v>16.814159292035399</v>
      </c>
      <c r="AP169" s="38">
        <v>3894</v>
      </c>
      <c r="AQ169" s="39">
        <v>2734</v>
      </c>
      <c r="AR169" s="37">
        <v>1160</v>
      </c>
      <c r="AS169" s="37">
        <v>42.428675932699342</v>
      </c>
      <c r="AT169" s="36">
        <v>4522</v>
      </c>
      <c r="AU169" s="36">
        <v>3927</v>
      </c>
      <c r="AV169" s="37">
        <v>595</v>
      </c>
      <c r="AW169" s="37">
        <v>15.151515151515152</v>
      </c>
      <c r="AX169" s="5">
        <v>106224</v>
      </c>
      <c r="AY169" t="str">
        <f t="shared" si="58"/>
        <v>White Patch_Hauz Khas_to_SouthExt</v>
      </c>
      <c r="AZ169" t="str">
        <f t="shared" si="59"/>
        <v>Hauj Khas-Saket-Vasant Kunj</v>
      </c>
      <c r="BC169" s="9">
        <v>41056993</v>
      </c>
      <c r="BD169" s="9" t="s">
        <v>380</v>
      </c>
      <c r="BE169" s="48" t="s">
        <v>508</v>
      </c>
      <c r="BF169" s="14" t="s">
        <v>434</v>
      </c>
      <c r="BG169" s="10" t="s">
        <v>200</v>
      </c>
      <c r="BH169" s="10" t="s">
        <v>300</v>
      </c>
      <c r="BI169" s="12" t="s">
        <v>300</v>
      </c>
      <c r="BJ169" s="51" t="s">
        <v>261</v>
      </c>
    </row>
    <row r="170" spans="1:62" ht="60.5" x14ac:dyDescent="0.35">
      <c r="A170">
        <v>41056535</v>
      </c>
      <c r="B170" s="84">
        <f t="shared" si="40"/>
        <v>665</v>
      </c>
      <c r="C170" s="84">
        <f t="shared" si="41"/>
        <v>672</v>
      </c>
      <c r="E170" s="5">
        <v>106348</v>
      </c>
      <c r="F170" s="19">
        <v>614.5</v>
      </c>
      <c r="G170" s="19">
        <v>664.5</v>
      </c>
      <c r="H170" s="19">
        <v>573.5</v>
      </c>
      <c r="I170" s="19">
        <v>626.5</v>
      </c>
      <c r="J170" s="19">
        <v>72.5</v>
      </c>
      <c r="K170" s="19">
        <v>81.5</v>
      </c>
      <c r="L170" s="19">
        <v>67.5</v>
      </c>
      <c r="M170" s="19">
        <v>67.5</v>
      </c>
      <c r="N170" s="9">
        <v>41056488</v>
      </c>
      <c r="O170">
        <f t="shared" si="42"/>
        <v>272</v>
      </c>
      <c r="P170">
        <f t="shared" si="43"/>
        <v>317</v>
      </c>
      <c r="Q170">
        <f t="shared" si="44"/>
        <v>47</v>
      </c>
      <c r="R170">
        <f t="shared" si="45"/>
        <v>71</v>
      </c>
      <c r="S170">
        <f t="shared" si="46"/>
        <v>336.5</v>
      </c>
      <c r="T170">
        <f t="shared" si="47"/>
        <v>311</v>
      </c>
      <c r="U170">
        <f t="shared" si="48"/>
        <v>54.5</v>
      </c>
      <c r="V170">
        <f t="shared" si="49"/>
        <v>102</v>
      </c>
      <c r="X170" s="3">
        <v>112454</v>
      </c>
      <c r="Y170">
        <f t="shared" si="50"/>
        <v>465</v>
      </c>
      <c r="Z170">
        <f t="shared" si="51"/>
        <v>420</v>
      </c>
      <c r="AA170">
        <f t="shared" si="52"/>
        <v>95</v>
      </c>
      <c r="AB170">
        <f t="shared" si="53"/>
        <v>100</v>
      </c>
      <c r="AC170">
        <f t="shared" si="54"/>
        <v>5457.5</v>
      </c>
      <c r="AD170">
        <f t="shared" si="55"/>
        <v>4410.5000110000001</v>
      </c>
      <c r="AE170">
        <f t="shared" si="56"/>
        <v>1058.5</v>
      </c>
      <c r="AF170">
        <f t="shared" si="57"/>
        <v>1288</v>
      </c>
      <c r="AG170" s="9">
        <v>41056488</v>
      </c>
      <c r="AH170" s="31">
        <v>272</v>
      </c>
      <c r="AI170" s="31">
        <v>317</v>
      </c>
      <c r="AJ170" s="37">
        <v>-45</v>
      </c>
      <c r="AK170" s="37">
        <v>-14.195583596214512</v>
      </c>
      <c r="AL170" s="36">
        <v>47</v>
      </c>
      <c r="AM170" s="36">
        <v>71</v>
      </c>
      <c r="AN170" s="37">
        <v>-24</v>
      </c>
      <c r="AO170" s="37">
        <v>-33.802816901408448</v>
      </c>
      <c r="AP170" s="38">
        <v>3897.01</v>
      </c>
      <c r="AQ170" s="39">
        <v>3019</v>
      </c>
      <c r="AR170" s="37">
        <v>878.01000000000022</v>
      </c>
      <c r="AS170" s="37">
        <v>29.082808877111631</v>
      </c>
      <c r="AT170" s="36">
        <v>668</v>
      </c>
      <c r="AU170" s="36">
        <v>905</v>
      </c>
      <c r="AV170" s="37">
        <v>-237</v>
      </c>
      <c r="AW170" s="37">
        <v>-26.187845303867402</v>
      </c>
      <c r="AX170" s="5">
        <v>106348</v>
      </c>
      <c r="AY170" t="str">
        <f t="shared" si="58"/>
        <v>White Patch-Janakpuri</v>
      </c>
      <c r="AZ170" t="str">
        <f t="shared" si="59"/>
        <v>Punjabi Bagh</v>
      </c>
      <c r="BC170" s="9">
        <v>41056488</v>
      </c>
      <c r="BD170" s="9" t="s">
        <v>380</v>
      </c>
      <c r="BE170" s="48" t="s">
        <v>509</v>
      </c>
      <c r="BF170" s="14" t="s">
        <v>510</v>
      </c>
      <c r="BG170" s="10" t="s">
        <v>94</v>
      </c>
      <c r="BH170" s="10" t="s">
        <v>511</v>
      </c>
      <c r="BI170" s="12" t="s">
        <v>511</v>
      </c>
      <c r="BJ170" s="51" t="s">
        <v>126</v>
      </c>
    </row>
    <row r="171" spans="1:62" ht="60.5" x14ac:dyDescent="0.35">
      <c r="A171">
        <v>106284</v>
      </c>
      <c r="B171" s="84">
        <f t="shared" si="40"/>
        <v>224</v>
      </c>
      <c r="C171" s="84">
        <f t="shared" si="41"/>
        <v>249.5</v>
      </c>
      <c r="E171" s="5">
        <v>308771</v>
      </c>
      <c r="F171" s="19">
        <v>388.81</v>
      </c>
      <c r="G171" s="19">
        <v>445.92899999999901</v>
      </c>
      <c r="H171" s="19">
        <v>375.774</v>
      </c>
      <c r="I171" s="19">
        <v>432</v>
      </c>
      <c r="J171" s="19">
        <v>59.51</v>
      </c>
      <c r="K171" s="19">
        <v>62</v>
      </c>
      <c r="L171" s="19">
        <v>68.721000000000004</v>
      </c>
      <c r="M171" s="19">
        <v>68.123000000000005</v>
      </c>
      <c r="N171" s="9">
        <v>41019253</v>
      </c>
      <c r="O171">
        <f t="shared" si="42"/>
        <v>70</v>
      </c>
      <c r="P171">
        <f t="shared" si="43"/>
        <v>88</v>
      </c>
      <c r="Q171">
        <f t="shared" si="44"/>
        <v>30</v>
      </c>
      <c r="R171">
        <f t="shared" si="45"/>
        <v>44</v>
      </c>
      <c r="S171">
        <f t="shared" si="46"/>
        <v>67</v>
      </c>
      <c r="T171">
        <f t="shared" si="47"/>
        <v>67</v>
      </c>
      <c r="U171">
        <f t="shared" si="48"/>
        <v>21</v>
      </c>
      <c r="V171">
        <f t="shared" si="49"/>
        <v>21</v>
      </c>
      <c r="X171" s="3">
        <v>112445</v>
      </c>
      <c r="Y171">
        <f t="shared" si="50"/>
        <v>0</v>
      </c>
      <c r="Z171">
        <f t="shared" si="51"/>
        <v>432</v>
      </c>
      <c r="AA171">
        <f t="shared" si="52"/>
        <v>0</v>
      </c>
      <c r="AB171">
        <f t="shared" si="53"/>
        <v>180</v>
      </c>
      <c r="AC171">
        <f t="shared" si="54"/>
        <v>3450.5</v>
      </c>
      <c r="AD171">
        <f t="shared" si="55"/>
        <v>4403</v>
      </c>
      <c r="AE171">
        <f t="shared" si="56"/>
        <v>1133.5</v>
      </c>
      <c r="AF171">
        <f t="shared" si="57"/>
        <v>2024</v>
      </c>
      <c r="AG171" s="9">
        <v>41019253</v>
      </c>
      <c r="AH171" s="31">
        <v>70</v>
      </c>
      <c r="AI171" s="31">
        <v>88</v>
      </c>
      <c r="AJ171" s="37">
        <v>-18</v>
      </c>
      <c r="AK171" s="37">
        <v>-20.454545454545457</v>
      </c>
      <c r="AL171" s="36">
        <v>30</v>
      </c>
      <c r="AM171" s="36">
        <v>44</v>
      </c>
      <c r="AN171" s="37">
        <v>-14</v>
      </c>
      <c r="AO171" s="37">
        <v>-31.818181818181817</v>
      </c>
      <c r="AP171" s="38">
        <v>936.5</v>
      </c>
      <c r="AQ171" s="39">
        <v>764.5</v>
      </c>
      <c r="AR171" s="37">
        <v>172</v>
      </c>
      <c r="AS171" s="37">
        <v>22.49836494440811</v>
      </c>
      <c r="AT171" s="36">
        <v>360.5</v>
      </c>
      <c r="AU171" s="36">
        <v>399.5</v>
      </c>
      <c r="AV171" s="37">
        <v>-39</v>
      </c>
      <c r="AW171" s="37">
        <v>-9.7622027534418017</v>
      </c>
      <c r="AX171" s="5">
        <v>308771</v>
      </c>
      <c r="AY171" t="str">
        <f t="shared" si="58"/>
        <v>LINK ROAD</v>
      </c>
      <c r="AZ171" t="str">
        <f t="shared" si="59"/>
        <v>Rohtak Road</v>
      </c>
      <c r="BC171" s="9">
        <v>41019253</v>
      </c>
      <c r="BD171" s="9" t="s">
        <v>380</v>
      </c>
      <c r="BE171" s="48" t="s">
        <v>512</v>
      </c>
      <c r="BF171" s="14" t="s">
        <v>513</v>
      </c>
      <c r="BG171" s="10" t="s">
        <v>81</v>
      </c>
      <c r="BH171" s="10" t="s">
        <v>184</v>
      </c>
      <c r="BI171" s="12" t="s">
        <v>184</v>
      </c>
      <c r="BJ171" s="51" t="s">
        <v>141</v>
      </c>
    </row>
    <row r="172" spans="1:62" ht="48.5" x14ac:dyDescent="0.35">
      <c r="A172">
        <v>186867</v>
      </c>
      <c r="B172" s="84">
        <f t="shared" si="40"/>
        <v>573.5</v>
      </c>
      <c r="C172" s="84">
        <f t="shared" si="41"/>
        <v>630</v>
      </c>
      <c r="E172" s="5">
        <v>106229</v>
      </c>
      <c r="F172" s="19">
        <v>340</v>
      </c>
      <c r="G172" s="19">
        <v>390</v>
      </c>
      <c r="H172" s="19">
        <v>342.5</v>
      </c>
      <c r="I172" s="19">
        <v>385</v>
      </c>
      <c r="J172" s="19">
        <v>71.5</v>
      </c>
      <c r="K172" s="19">
        <v>75</v>
      </c>
      <c r="L172" s="19">
        <v>60</v>
      </c>
      <c r="M172" s="19">
        <v>70</v>
      </c>
      <c r="N172" s="9">
        <v>41063936</v>
      </c>
      <c r="O172">
        <f t="shared" si="42"/>
        <v>279</v>
      </c>
      <c r="P172">
        <f t="shared" si="43"/>
        <v>256</v>
      </c>
      <c r="Q172">
        <f t="shared" si="44"/>
        <v>249</v>
      </c>
      <c r="R172">
        <f t="shared" si="45"/>
        <v>264</v>
      </c>
      <c r="S172">
        <f t="shared" si="46"/>
        <v>246</v>
      </c>
      <c r="T172">
        <f t="shared" si="47"/>
        <v>229</v>
      </c>
      <c r="U172">
        <f t="shared" si="48"/>
        <v>245</v>
      </c>
      <c r="V172">
        <f t="shared" si="49"/>
        <v>266</v>
      </c>
      <c r="X172" s="5">
        <v>106275</v>
      </c>
      <c r="Y172">
        <f t="shared" si="50"/>
        <v>689</v>
      </c>
      <c r="Z172">
        <f t="shared" si="51"/>
        <v>670</v>
      </c>
      <c r="AA172">
        <f t="shared" si="52"/>
        <v>173</v>
      </c>
      <c r="AB172">
        <f t="shared" si="53"/>
        <v>172</v>
      </c>
      <c r="AC172">
        <f t="shared" si="54"/>
        <v>8337</v>
      </c>
      <c r="AD172">
        <f t="shared" si="55"/>
        <v>6839</v>
      </c>
      <c r="AE172">
        <f t="shared" si="56"/>
        <v>1955</v>
      </c>
      <c r="AF172">
        <f t="shared" si="57"/>
        <v>1947</v>
      </c>
      <c r="AG172" s="9">
        <v>41063936</v>
      </c>
      <c r="AH172" s="31">
        <v>279</v>
      </c>
      <c r="AI172" s="31">
        <v>256</v>
      </c>
      <c r="AJ172" s="37">
        <v>23</v>
      </c>
      <c r="AK172" s="37">
        <v>8.984375</v>
      </c>
      <c r="AL172" s="36">
        <v>249</v>
      </c>
      <c r="AM172" s="36">
        <v>264</v>
      </c>
      <c r="AN172" s="37">
        <v>-15</v>
      </c>
      <c r="AO172" s="37">
        <v>-5.6818181818181817</v>
      </c>
      <c r="AP172" s="38">
        <v>3067</v>
      </c>
      <c r="AQ172" s="39">
        <v>2087.5</v>
      </c>
      <c r="AR172" s="37">
        <v>979.5</v>
      </c>
      <c r="AS172" s="37">
        <v>46.922155688622752</v>
      </c>
      <c r="AT172" s="36">
        <v>2928</v>
      </c>
      <c r="AU172" s="36">
        <v>3235.5</v>
      </c>
      <c r="AV172" s="37">
        <v>-307.5</v>
      </c>
      <c r="AW172" s="37">
        <v>-9.5039406583217421</v>
      </c>
      <c r="AX172" s="5">
        <v>106229</v>
      </c>
      <c r="AY172" t="str">
        <f t="shared" si="58"/>
        <v>White Patch_Model Town</v>
      </c>
      <c r="AZ172" t="str">
        <f t="shared" si="59"/>
        <v>Inner Ring Road</v>
      </c>
      <c r="BC172" s="9">
        <v>41063936</v>
      </c>
      <c r="BD172" s="9" t="s">
        <v>380</v>
      </c>
      <c r="BE172" s="48" t="s">
        <v>514</v>
      </c>
      <c r="BF172" s="14" t="s">
        <v>515</v>
      </c>
      <c r="BG172" s="10" t="s">
        <v>103</v>
      </c>
      <c r="BH172" s="10" t="s">
        <v>216</v>
      </c>
      <c r="BI172" s="12" t="s">
        <v>216</v>
      </c>
      <c r="BJ172" s="51" t="s">
        <v>217</v>
      </c>
    </row>
    <row r="173" spans="1:62" ht="72.5" x14ac:dyDescent="0.35">
      <c r="A173">
        <v>112414</v>
      </c>
      <c r="B173" s="84">
        <f t="shared" si="40"/>
        <v>550.5</v>
      </c>
      <c r="C173" s="84">
        <f t="shared" si="41"/>
        <v>625.5</v>
      </c>
      <c r="E173" s="5">
        <v>231764</v>
      </c>
      <c r="F173" s="19">
        <v>182</v>
      </c>
      <c r="G173" s="19">
        <v>188</v>
      </c>
      <c r="H173" s="19">
        <v>178</v>
      </c>
      <c r="I173" s="19">
        <v>204</v>
      </c>
      <c r="J173" s="19">
        <v>118</v>
      </c>
      <c r="K173" s="19">
        <v>120</v>
      </c>
      <c r="L173" s="19">
        <v>182</v>
      </c>
      <c r="M173" s="19">
        <v>218</v>
      </c>
      <c r="N173" s="9">
        <v>41019268</v>
      </c>
      <c r="O173">
        <f t="shared" si="42"/>
        <v>381</v>
      </c>
      <c r="P173">
        <f t="shared" si="43"/>
        <v>291</v>
      </c>
      <c r="Q173">
        <f t="shared" si="44"/>
        <v>37</v>
      </c>
      <c r="R173">
        <f t="shared" si="45"/>
        <v>29</v>
      </c>
      <c r="S173">
        <f t="shared" si="46"/>
        <v>324</v>
      </c>
      <c r="T173">
        <f t="shared" si="47"/>
        <v>280</v>
      </c>
      <c r="U173">
        <f t="shared" si="48"/>
        <v>28</v>
      </c>
      <c r="V173">
        <f t="shared" si="49"/>
        <v>28</v>
      </c>
      <c r="X173" s="3">
        <v>244099</v>
      </c>
      <c r="Y173">
        <f t="shared" si="50"/>
        <v>425</v>
      </c>
      <c r="Z173">
        <f t="shared" si="51"/>
        <v>413</v>
      </c>
      <c r="AA173">
        <f t="shared" si="52"/>
        <v>54</v>
      </c>
      <c r="AB173">
        <f t="shared" si="53"/>
        <v>55</v>
      </c>
      <c r="AC173">
        <f t="shared" si="54"/>
        <v>5025.5</v>
      </c>
      <c r="AD173">
        <f t="shared" si="55"/>
        <v>4281.5</v>
      </c>
      <c r="AE173">
        <f t="shared" si="56"/>
        <v>591.5</v>
      </c>
      <c r="AF173">
        <f t="shared" si="57"/>
        <v>717.5</v>
      </c>
      <c r="AG173" s="9">
        <v>41019268</v>
      </c>
      <c r="AH173" s="31">
        <v>381</v>
      </c>
      <c r="AI173" s="31">
        <v>291</v>
      </c>
      <c r="AJ173" s="37">
        <v>90</v>
      </c>
      <c r="AK173" s="37">
        <v>30.927835051546392</v>
      </c>
      <c r="AL173" s="36">
        <v>37</v>
      </c>
      <c r="AM173" s="36">
        <v>29</v>
      </c>
      <c r="AN173" s="37">
        <v>8</v>
      </c>
      <c r="AO173" s="37">
        <v>27.586206896551722</v>
      </c>
      <c r="AP173" s="38">
        <v>3985.5</v>
      </c>
      <c r="AQ173" s="39">
        <v>2939.5</v>
      </c>
      <c r="AR173" s="37">
        <v>1046</v>
      </c>
      <c r="AS173" s="37">
        <v>35.584283041333556</v>
      </c>
      <c r="AT173" s="36">
        <v>346.5</v>
      </c>
      <c r="AU173" s="36">
        <v>331.5</v>
      </c>
      <c r="AV173" s="37">
        <v>15</v>
      </c>
      <c r="AW173" s="37">
        <v>4.5248868778280542</v>
      </c>
      <c r="AX173" s="5">
        <v>231764</v>
      </c>
      <c r="AY173" t="str">
        <f t="shared" si="58"/>
        <v>White Patch- Inner Ring Road</v>
      </c>
      <c r="AZ173" t="str">
        <f t="shared" si="59"/>
        <v>Inner Ring Road</v>
      </c>
      <c r="BC173" s="9">
        <v>41019268</v>
      </c>
      <c r="BD173" s="9" t="s">
        <v>380</v>
      </c>
      <c r="BE173" s="47" t="s">
        <v>516</v>
      </c>
      <c r="BF173" s="14" t="s">
        <v>517</v>
      </c>
      <c r="BG173" s="10" t="s">
        <v>169</v>
      </c>
      <c r="BH173" s="10" t="s">
        <v>488</v>
      </c>
      <c r="BI173" s="12" t="s">
        <v>488</v>
      </c>
      <c r="BJ173" s="51" t="s">
        <v>172</v>
      </c>
    </row>
    <row r="174" spans="1:62" ht="36.5" x14ac:dyDescent="0.35">
      <c r="A174">
        <v>106285</v>
      </c>
      <c r="B174" s="84">
        <f t="shared" si="40"/>
        <v>316.5</v>
      </c>
      <c r="C174" s="84">
        <f t="shared" si="41"/>
        <v>364.5</v>
      </c>
      <c r="E174" s="5">
        <v>106231</v>
      </c>
      <c r="F174" s="19">
        <v>240</v>
      </c>
      <c r="G174" s="19">
        <v>260</v>
      </c>
      <c r="H174" s="19">
        <v>234</v>
      </c>
      <c r="I174" s="19">
        <v>247.5</v>
      </c>
      <c r="J174" s="19">
        <v>162</v>
      </c>
      <c r="K174" s="19">
        <v>148.5</v>
      </c>
      <c r="L174" s="19">
        <v>160</v>
      </c>
      <c r="M174" s="19">
        <v>140</v>
      </c>
      <c r="N174" s="9">
        <v>41030786</v>
      </c>
      <c r="O174">
        <f t="shared" si="42"/>
        <v>1091</v>
      </c>
      <c r="P174">
        <f t="shared" si="43"/>
        <v>973</v>
      </c>
      <c r="Q174">
        <f t="shared" si="44"/>
        <v>314</v>
      </c>
      <c r="R174">
        <f t="shared" si="45"/>
        <v>315</v>
      </c>
      <c r="S174">
        <f t="shared" si="46"/>
        <v>969.5</v>
      </c>
      <c r="T174">
        <f t="shared" si="47"/>
        <v>925.5</v>
      </c>
      <c r="U174">
        <f t="shared" si="48"/>
        <v>303.5</v>
      </c>
      <c r="V174">
        <f t="shared" si="49"/>
        <v>329.5</v>
      </c>
      <c r="X174" s="9">
        <v>41019316</v>
      </c>
      <c r="Y174">
        <f t="shared" si="50"/>
        <v>824</v>
      </c>
      <c r="Z174">
        <f t="shared" si="51"/>
        <v>770</v>
      </c>
      <c r="AA174">
        <f t="shared" si="52"/>
        <v>113</v>
      </c>
      <c r="AB174">
        <f t="shared" si="53"/>
        <v>165</v>
      </c>
      <c r="AC174">
        <f t="shared" si="54"/>
        <v>9650</v>
      </c>
      <c r="AD174">
        <f t="shared" si="55"/>
        <v>7963</v>
      </c>
      <c r="AE174">
        <f t="shared" si="56"/>
        <v>1836</v>
      </c>
      <c r="AF174">
        <f t="shared" si="57"/>
        <v>2131.5</v>
      </c>
      <c r="AG174" s="9">
        <v>41030786</v>
      </c>
      <c r="AH174" s="31">
        <v>1091</v>
      </c>
      <c r="AI174" s="31">
        <v>973</v>
      </c>
      <c r="AJ174" s="37">
        <v>118</v>
      </c>
      <c r="AK174" s="37">
        <v>12.127440904419322</v>
      </c>
      <c r="AL174" s="36">
        <v>314</v>
      </c>
      <c r="AM174" s="36">
        <v>315</v>
      </c>
      <c r="AN174" s="37">
        <v>-1</v>
      </c>
      <c r="AO174" s="37">
        <v>-0.31746031746031744</v>
      </c>
      <c r="AP174" s="38">
        <v>12214</v>
      </c>
      <c r="AQ174" s="39">
        <v>9874</v>
      </c>
      <c r="AR174" s="37">
        <v>2340</v>
      </c>
      <c r="AS174" s="37">
        <v>23.698602390115457</v>
      </c>
      <c r="AT174" s="36">
        <v>3626</v>
      </c>
      <c r="AU174" s="36">
        <v>4058.5</v>
      </c>
      <c r="AV174" s="37">
        <v>-432.5</v>
      </c>
      <c r="AW174" s="37">
        <v>-10.656646544289762</v>
      </c>
      <c r="AX174" s="5">
        <v>106231</v>
      </c>
      <c r="AY174" t="str">
        <f t="shared" si="58"/>
        <v>AUTO REST_OKHLA</v>
      </c>
      <c r="AZ174" t="str">
        <f t="shared" si="59"/>
        <v>Mathura Road</v>
      </c>
      <c r="BC174" s="9">
        <v>41030786</v>
      </c>
      <c r="BD174" s="9" t="s">
        <v>380</v>
      </c>
      <c r="BE174" s="48" t="s">
        <v>518</v>
      </c>
      <c r="BF174" s="14" t="s">
        <v>519</v>
      </c>
      <c r="BG174" s="10" t="s">
        <v>111</v>
      </c>
      <c r="BH174" s="10" t="s">
        <v>112</v>
      </c>
      <c r="BI174" s="12" t="s">
        <v>112</v>
      </c>
      <c r="BJ174" s="51" t="s">
        <v>275</v>
      </c>
    </row>
    <row r="175" spans="1:62" ht="36.5" x14ac:dyDescent="0.35">
      <c r="A175">
        <v>41056542</v>
      </c>
      <c r="B175" s="84">
        <f t="shared" si="40"/>
        <v>309</v>
      </c>
      <c r="C175" s="84">
        <f t="shared" si="41"/>
        <v>365.5</v>
      </c>
      <c r="E175" s="5">
        <v>186839</v>
      </c>
      <c r="F175" s="19">
        <v>370</v>
      </c>
      <c r="G175" s="19">
        <v>358</v>
      </c>
      <c r="H175" s="19">
        <v>319.5</v>
      </c>
      <c r="I175" s="19">
        <v>337.5</v>
      </c>
      <c r="J175" s="19">
        <v>256.5</v>
      </c>
      <c r="K175" s="19">
        <v>256.5</v>
      </c>
      <c r="L175" s="19">
        <v>238</v>
      </c>
      <c r="M175" s="19">
        <v>242</v>
      </c>
      <c r="N175" s="9">
        <v>41057012</v>
      </c>
      <c r="O175">
        <f t="shared" si="42"/>
        <v>281</v>
      </c>
      <c r="P175">
        <f t="shared" si="43"/>
        <v>248</v>
      </c>
      <c r="Q175">
        <f t="shared" si="44"/>
        <v>61</v>
      </c>
      <c r="R175">
        <f t="shared" si="45"/>
        <v>50</v>
      </c>
      <c r="S175">
        <f t="shared" si="46"/>
        <v>243</v>
      </c>
      <c r="T175">
        <f t="shared" si="47"/>
        <v>247</v>
      </c>
      <c r="U175">
        <f t="shared" si="48"/>
        <v>55</v>
      </c>
      <c r="V175">
        <f t="shared" si="49"/>
        <v>55</v>
      </c>
      <c r="X175" s="5">
        <v>106270</v>
      </c>
      <c r="Y175">
        <f t="shared" si="50"/>
        <v>770</v>
      </c>
      <c r="Z175">
        <f t="shared" si="51"/>
        <v>745.5</v>
      </c>
      <c r="AA175">
        <f t="shared" si="52"/>
        <v>150</v>
      </c>
      <c r="AB175">
        <f t="shared" si="53"/>
        <v>166.5</v>
      </c>
      <c r="AC175">
        <f t="shared" si="54"/>
        <v>9009.5</v>
      </c>
      <c r="AD175">
        <f t="shared" si="55"/>
        <v>7388.5</v>
      </c>
      <c r="AE175">
        <f t="shared" si="56"/>
        <v>1974.5</v>
      </c>
      <c r="AF175">
        <f t="shared" si="57"/>
        <v>2177</v>
      </c>
      <c r="AG175" s="9">
        <v>41057012</v>
      </c>
      <c r="AH175" s="31">
        <v>281</v>
      </c>
      <c r="AI175" s="31">
        <v>248</v>
      </c>
      <c r="AJ175" s="37">
        <v>33</v>
      </c>
      <c r="AK175" s="37">
        <v>13.306451612903224</v>
      </c>
      <c r="AL175" s="36">
        <v>61</v>
      </c>
      <c r="AM175" s="36">
        <v>50</v>
      </c>
      <c r="AN175" s="37">
        <v>11</v>
      </c>
      <c r="AO175" s="37">
        <v>22</v>
      </c>
      <c r="AP175" s="38">
        <v>3171</v>
      </c>
      <c r="AQ175" s="39">
        <v>2532.5</v>
      </c>
      <c r="AR175" s="37">
        <v>638.5</v>
      </c>
      <c r="AS175" s="37">
        <v>25.212240868706807</v>
      </c>
      <c r="AT175" s="36">
        <v>674</v>
      </c>
      <c r="AU175" s="36">
        <v>734.5</v>
      </c>
      <c r="AV175" s="37">
        <v>-60.5</v>
      </c>
      <c r="AW175" s="37">
        <v>-8.2368958475153153</v>
      </c>
      <c r="AX175" s="5">
        <v>186839</v>
      </c>
      <c r="AY175" t="str">
        <f t="shared" si="58"/>
        <v>White Patch_I.P Estate Road</v>
      </c>
      <c r="AZ175" t="str">
        <f t="shared" si="59"/>
        <v>Inner Ring Road</v>
      </c>
      <c r="BC175" s="9">
        <v>41057012</v>
      </c>
      <c r="BD175" s="9" t="s">
        <v>380</v>
      </c>
      <c r="BE175" s="47" t="s">
        <v>520</v>
      </c>
      <c r="BF175" s="14" t="s">
        <v>521</v>
      </c>
      <c r="BG175" s="10" t="s">
        <v>111</v>
      </c>
      <c r="BH175" s="10" t="s">
        <v>149</v>
      </c>
      <c r="BI175" s="12" t="s">
        <v>149</v>
      </c>
      <c r="BJ175" s="51" t="s">
        <v>105</v>
      </c>
    </row>
    <row r="176" spans="1:62" ht="48.5" x14ac:dyDescent="0.35">
      <c r="A176">
        <v>41056989</v>
      </c>
      <c r="B176" s="84">
        <f t="shared" si="40"/>
        <v>259</v>
      </c>
      <c r="C176" s="84">
        <f t="shared" si="41"/>
        <v>253</v>
      </c>
      <c r="E176" s="5">
        <v>106284</v>
      </c>
      <c r="F176" s="19">
        <v>224</v>
      </c>
      <c r="G176" s="19">
        <v>249.5</v>
      </c>
      <c r="H176" s="19">
        <v>229.5</v>
      </c>
      <c r="I176" s="19">
        <v>229.5</v>
      </c>
      <c r="J176" s="19">
        <v>22.5</v>
      </c>
      <c r="K176" s="19">
        <v>22.5</v>
      </c>
      <c r="L176" s="19">
        <v>22</v>
      </c>
      <c r="M176" s="19">
        <v>22.5</v>
      </c>
      <c r="N176" s="9">
        <v>41056548</v>
      </c>
      <c r="O176">
        <f t="shared" si="42"/>
        <v>222</v>
      </c>
      <c r="P176">
        <f t="shared" si="43"/>
        <v>240</v>
      </c>
      <c r="Q176">
        <f t="shared" si="44"/>
        <v>61</v>
      </c>
      <c r="R176">
        <f t="shared" si="45"/>
        <v>56</v>
      </c>
      <c r="S176">
        <f t="shared" si="46"/>
        <v>241</v>
      </c>
      <c r="T176">
        <f t="shared" si="47"/>
        <v>207.5</v>
      </c>
      <c r="U176">
        <f t="shared" si="48"/>
        <v>49</v>
      </c>
      <c r="V176">
        <f t="shared" si="49"/>
        <v>43.5</v>
      </c>
      <c r="X176" s="3">
        <v>112417</v>
      </c>
      <c r="Y176">
        <f t="shared" si="50"/>
        <v>446.5</v>
      </c>
      <c r="Z176">
        <f t="shared" si="51"/>
        <v>422.5</v>
      </c>
      <c r="AA176">
        <f t="shared" si="52"/>
        <v>36</v>
      </c>
      <c r="AB176">
        <f t="shared" si="53"/>
        <v>35.5</v>
      </c>
      <c r="AC176">
        <f t="shared" si="54"/>
        <v>5415.5</v>
      </c>
      <c r="AD176">
        <f t="shared" si="55"/>
        <v>4326.0000330000003</v>
      </c>
      <c r="AE176">
        <f t="shared" si="56"/>
        <v>439</v>
      </c>
      <c r="AF176">
        <f t="shared" si="57"/>
        <v>493.5</v>
      </c>
      <c r="AG176" s="9">
        <v>41056548</v>
      </c>
      <c r="AH176" s="31">
        <v>222</v>
      </c>
      <c r="AI176" s="31">
        <v>240</v>
      </c>
      <c r="AJ176" s="37">
        <v>-18</v>
      </c>
      <c r="AK176" s="37">
        <v>-7.5</v>
      </c>
      <c r="AL176" s="36">
        <v>61</v>
      </c>
      <c r="AM176" s="36">
        <v>56</v>
      </c>
      <c r="AN176" s="37">
        <v>5</v>
      </c>
      <c r="AO176" s="37">
        <v>8.9285714285714288</v>
      </c>
      <c r="AP176" s="38">
        <v>3103</v>
      </c>
      <c r="AQ176" s="39">
        <v>2419</v>
      </c>
      <c r="AR176" s="37">
        <v>684</v>
      </c>
      <c r="AS176" s="37">
        <v>28.276147168251342</v>
      </c>
      <c r="AT176" s="36">
        <v>675</v>
      </c>
      <c r="AU176" s="36">
        <v>677.5</v>
      </c>
      <c r="AV176" s="37">
        <v>-2.5</v>
      </c>
      <c r="AW176" s="37">
        <v>-0.36900369003690037</v>
      </c>
      <c r="AX176" s="5">
        <v>106284</v>
      </c>
      <c r="AY176" t="str">
        <f t="shared" si="58"/>
        <v>White Patch_Merrut Expressway</v>
      </c>
      <c r="AZ176" t="str">
        <f t="shared" si="59"/>
        <v>Mayur Vihar -Anand Vihar -Preet Vihar</v>
      </c>
      <c r="BC176" s="9">
        <v>41056548</v>
      </c>
      <c r="BD176" s="9" t="s">
        <v>380</v>
      </c>
      <c r="BE176" s="47" t="s">
        <v>522</v>
      </c>
      <c r="BF176" s="14" t="s">
        <v>523</v>
      </c>
      <c r="BG176" s="10" t="s">
        <v>103</v>
      </c>
      <c r="BH176" s="10" t="s">
        <v>104</v>
      </c>
      <c r="BI176" s="12" t="s">
        <v>104</v>
      </c>
      <c r="BJ176" s="51" t="s">
        <v>105</v>
      </c>
    </row>
    <row r="177" spans="1:62" ht="60.5" x14ac:dyDescent="0.35">
      <c r="A177">
        <v>41032594</v>
      </c>
      <c r="B177" s="84">
        <f t="shared" si="40"/>
        <v>282</v>
      </c>
      <c r="C177" s="84">
        <f t="shared" si="41"/>
        <v>322.5</v>
      </c>
      <c r="E177" s="5">
        <v>106325</v>
      </c>
      <c r="F177" s="19">
        <v>90</v>
      </c>
      <c r="G177" s="19">
        <v>115</v>
      </c>
      <c r="H177" s="19">
        <v>95</v>
      </c>
      <c r="I177" s="19">
        <v>105</v>
      </c>
      <c r="J177" s="19">
        <v>305</v>
      </c>
      <c r="K177" s="19">
        <v>255</v>
      </c>
      <c r="L177" s="19">
        <v>228</v>
      </c>
      <c r="M177" s="19">
        <v>445</v>
      </c>
      <c r="N177" s="9">
        <v>41056836</v>
      </c>
      <c r="O177">
        <f t="shared" si="42"/>
        <v>342</v>
      </c>
      <c r="P177">
        <f t="shared" si="43"/>
        <v>342</v>
      </c>
      <c r="Q177">
        <f t="shared" si="44"/>
        <v>76</v>
      </c>
      <c r="R177">
        <f t="shared" si="45"/>
        <v>87</v>
      </c>
      <c r="S177">
        <f t="shared" si="46"/>
        <v>324</v>
      </c>
      <c r="T177">
        <f t="shared" si="47"/>
        <v>285</v>
      </c>
      <c r="U177">
        <f t="shared" si="48"/>
        <v>72</v>
      </c>
      <c r="V177">
        <f t="shared" si="49"/>
        <v>76</v>
      </c>
      <c r="X177" s="9">
        <v>41066793</v>
      </c>
      <c r="Y177">
        <f t="shared" si="50"/>
        <v>562</v>
      </c>
      <c r="Z177">
        <f t="shared" si="51"/>
        <v>580.5</v>
      </c>
      <c r="AA177">
        <f t="shared" si="52"/>
        <v>107</v>
      </c>
      <c r="AB177">
        <f t="shared" si="53"/>
        <v>156.5</v>
      </c>
      <c r="AC177">
        <f t="shared" si="54"/>
        <v>6511.5</v>
      </c>
      <c r="AD177">
        <f t="shared" si="55"/>
        <v>5326.5140000000001</v>
      </c>
      <c r="AE177">
        <f t="shared" si="56"/>
        <v>1518.5</v>
      </c>
      <c r="AF177">
        <f t="shared" si="57"/>
        <v>1917.5</v>
      </c>
      <c r="AG177" s="9">
        <v>41056836</v>
      </c>
      <c r="AH177" s="31">
        <v>342</v>
      </c>
      <c r="AI177" s="31">
        <v>342</v>
      </c>
      <c r="AJ177" s="37">
        <v>0</v>
      </c>
      <c r="AK177" s="37">
        <v>0</v>
      </c>
      <c r="AL177" s="36">
        <v>76</v>
      </c>
      <c r="AM177" s="36">
        <v>87</v>
      </c>
      <c r="AN177" s="37">
        <v>-11</v>
      </c>
      <c r="AO177" s="37">
        <v>-12.643678160919542</v>
      </c>
      <c r="AP177" s="38">
        <v>4143.5</v>
      </c>
      <c r="AQ177" s="39">
        <v>3286.5</v>
      </c>
      <c r="AR177" s="37">
        <v>857</v>
      </c>
      <c r="AS177" s="37">
        <v>26.076373041229274</v>
      </c>
      <c r="AT177" s="36">
        <v>929.5</v>
      </c>
      <c r="AU177" s="36">
        <v>1026.5</v>
      </c>
      <c r="AV177" s="37">
        <v>-97</v>
      </c>
      <c r="AW177" s="37">
        <v>-9.4495859717486592</v>
      </c>
      <c r="AX177" s="5">
        <v>106325</v>
      </c>
      <c r="AY177" t="str">
        <f t="shared" si="58"/>
        <v>JAIPURGOLDEN_MANGAL</v>
      </c>
      <c r="AZ177" t="str">
        <f t="shared" si="59"/>
        <v>Dwarka</v>
      </c>
      <c r="BC177" s="9">
        <v>41056836</v>
      </c>
      <c r="BD177" s="9" t="s">
        <v>380</v>
      </c>
      <c r="BE177" s="47" t="s">
        <v>524</v>
      </c>
      <c r="BF177" s="14" t="s">
        <v>525</v>
      </c>
      <c r="BG177" s="10" t="s">
        <v>103</v>
      </c>
      <c r="BH177" s="10" t="s">
        <v>526</v>
      </c>
      <c r="BI177" s="12" t="s">
        <v>526</v>
      </c>
      <c r="BJ177" s="51" t="s">
        <v>96</v>
      </c>
    </row>
    <row r="178" spans="1:62" ht="36.5" x14ac:dyDescent="0.35">
      <c r="A178">
        <v>172351</v>
      </c>
      <c r="B178" s="84">
        <f t="shared" si="40"/>
        <v>0</v>
      </c>
      <c r="C178" s="84">
        <f t="shared" si="41"/>
        <v>0</v>
      </c>
      <c r="E178" s="5">
        <v>106270</v>
      </c>
      <c r="F178" s="19">
        <v>678</v>
      </c>
      <c r="G178" s="19">
        <v>770</v>
      </c>
      <c r="H178" s="19">
        <v>655</v>
      </c>
      <c r="I178" s="19">
        <v>745.5</v>
      </c>
      <c r="J178" s="19">
        <v>179</v>
      </c>
      <c r="K178" s="19">
        <v>166.5</v>
      </c>
      <c r="L178" s="19">
        <v>138</v>
      </c>
      <c r="M178" s="19">
        <v>150</v>
      </c>
      <c r="N178" s="9">
        <v>41056840</v>
      </c>
      <c r="O178">
        <f t="shared" si="42"/>
        <v>410</v>
      </c>
      <c r="P178">
        <f t="shared" si="43"/>
        <v>398</v>
      </c>
      <c r="Q178">
        <f t="shared" si="44"/>
        <v>165</v>
      </c>
      <c r="R178">
        <f t="shared" si="45"/>
        <v>201</v>
      </c>
      <c r="S178">
        <f t="shared" si="46"/>
        <v>395</v>
      </c>
      <c r="T178">
        <f t="shared" si="47"/>
        <v>375</v>
      </c>
      <c r="U178">
        <f t="shared" si="48"/>
        <v>130</v>
      </c>
      <c r="V178">
        <f t="shared" si="49"/>
        <v>175</v>
      </c>
      <c r="X178" s="5">
        <v>106289</v>
      </c>
      <c r="Y178">
        <f t="shared" si="50"/>
        <v>787</v>
      </c>
      <c r="Z178">
        <f t="shared" si="51"/>
        <v>723.5</v>
      </c>
      <c r="AA178">
        <f t="shared" si="52"/>
        <v>151</v>
      </c>
      <c r="AB178">
        <f t="shared" si="53"/>
        <v>166.5</v>
      </c>
      <c r="AC178">
        <f t="shared" si="54"/>
        <v>8848</v>
      </c>
      <c r="AD178">
        <f t="shared" si="55"/>
        <v>7060</v>
      </c>
      <c r="AE178">
        <f t="shared" si="56"/>
        <v>1774</v>
      </c>
      <c r="AF178">
        <f t="shared" si="57"/>
        <v>2057.5</v>
      </c>
      <c r="AG178" s="9">
        <v>41056840</v>
      </c>
      <c r="AH178" s="31">
        <v>410</v>
      </c>
      <c r="AI178" s="31">
        <v>398</v>
      </c>
      <c r="AJ178" s="37">
        <v>12</v>
      </c>
      <c r="AK178" s="37">
        <v>3.0150753768844218</v>
      </c>
      <c r="AL178" s="36">
        <v>165</v>
      </c>
      <c r="AM178" s="36">
        <v>201</v>
      </c>
      <c r="AN178" s="37">
        <v>-36</v>
      </c>
      <c r="AO178" s="37">
        <v>-17.910447761194028</v>
      </c>
      <c r="AP178" s="38">
        <v>4956</v>
      </c>
      <c r="AQ178" s="39">
        <v>4069</v>
      </c>
      <c r="AR178" s="37">
        <v>887</v>
      </c>
      <c r="AS178" s="37">
        <v>21.798967805357584</v>
      </c>
      <c r="AT178" s="36">
        <v>1853</v>
      </c>
      <c r="AU178" s="36">
        <v>2336</v>
      </c>
      <c r="AV178" s="37">
        <v>-483</v>
      </c>
      <c r="AW178" s="37">
        <v>-20.676369863013701</v>
      </c>
      <c r="AX178" s="5">
        <v>106270</v>
      </c>
      <c r="AY178" t="str">
        <f t="shared" si="58"/>
        <v xml:space="preserve">White Patch_Noida Link road to Greater Noida Expwy </v>
      </c>
      <c r="AZ178" t="str">
        <f t="shared" si="59"/>
        <v>Mayur Vihar -Anand Vihar -Preet Vihar</v>
      </c>
      <c r="BC178" s="9">
        <v>41056840</v>
      </c>
      <c r="BD178" s="9" t="s">
        <v>380</v>
      </c>
      <c r="BE178" s="48" t="s">
        <v>527</v>
      </c>
      <c r="BF178" s="14" t="s">
        <v>528</v>
      </c>
      <c r="BG178" s="10" t="s">
        <v>111</v>
      </c>
      <c r="BH178" s="10" t="s">
        <v>529</v>
      </c>
      <c r="BI178" s="12" t="s">
        <v>529</v>
      </c>
      <c r="BJ178" s="51" t="s">
        <v>113</v>
      </c>
    </row>
    <row r="179" spans="1:62" ht="36.5" x14ac:dyDescent="0.35">
      <c r="A179">
        <v>106287</v>
      </c>
      <c r="B179" s="84">
        <f t="shared" si="40"/>
        <v>684</v>
      </c>
      <c r="C179" s="84">
        <f t="shared" si="41"/>
        <v>700</v>
      </c>
      <c r="E179" s="5">
        <v>106241</v>
      </c>
      <c r="F179" s="19">
        <v>270.5</v>
      </c>
      <c r="G179" s="19">
        <v>293.5</v>
      </c>
      <c r="H179" s="19">
        <v>258.5</v>
      </c>
      <c r="I179" s="19">
        <v>283</v>
      </c>
      <c r="J179" s="19">
        <v>81.5</v>
      </c>
      <c r="K179" s="19">
        <v>81</v>
      </c>
      <c r="L179" s="19">
        <v>73.5</v>
      </c>
      <c r="M179" s="19">
        <v>72.5</v>
      </c>
      <c r="N179" s="9">
        <v>41056494</v>
      </c>
      <c r="O179">
        <f t="shared" si="42"/>
        <v>733</v>
      </c>
      <c r="P179">
        <f t="shared" si="43"/>
        <v>714</v>
      </c>
      <c r="Q179">
        <f t="shared" si="44"/>
        <v>184</v>
      </c>
      <c r="R179">
        <f t="shared" si="45"/>
        <v>230</v>
      </c>
      <c r="S179">
        <f t="shared" si="46"/>
        <v>699.5</v>
      </c>
      <c r="T179">
        <f t="shared" si="47"/>
        <v>649</v>
      </c>
      <c r="U179">
        <f t="shared" si="48"/>
        <v>202.5</v>
      </c>
      <c r="V179">
        <f t="shared" si="49"/>
        <v>200</v>
      </c>
      <c r="X179" s="5">
        <v>186841</v>
      </c>
      <c r="Y179">
        <f t="shared" si="50"/>
        <v>904</v>
      </c>
      <c r="Z179">
        <f t="shared" si="51"/>
        <v>810</v>
      </c>
      <c r="AA179">
        <f t="shared" si="52"/>
        <v>126</v>
      </c>
      <c r="AB179">
        <f t="shared" si="53"/>
        <v>144</v>
      </c>
      <c r="AC179">
        <f t="shared" si="54"/>
        <v>10678.5</v>
      </c>
      <c r="AD179">
        <f t="shared" si="55"/>
        <v>9078</v>
      </c>
      <c r="AE179">
        <f t="shared" si="56"/>
        <v>1709.5</v>
      </c>
      <c r="AF179">
        <f t="shared" si="57"/>
        <v>1964.5</v>
      </c>
      <c r="AG179" s="9">
        <v>41056494</v>
      </c>
      <c r="AH179" s="31">
        <v>733</v>
      </c>
      <c r="AI179" s="31">
        <v>714</v>
      </c>
      <c r="AJ179" s="37">
        <v>19</v>
      </c>
      <c r="AK179" s="37">
        <v>2.661064425770308</v>
      </c>
      <c r="AL179" s="36">
        <v>184</v>
      </c>
      <c r="AM179" s="36">
        <v>230</v>
      </c>
      <c r="AN179" s="37">
        <v>-46</v>
      </c>
      <c r="AO179" s="37">
        <v>-20</v>
      </c>
      <c r="AP179" s="38">
        <v>8695.5</v>
      </c>
      <c r="AQ179" s="39">
        <v>6429.5</v>
      </c>
      <c r="AR179" s="37">
        <v>2266</v>
      </c>
      <c r="AS179" s="37">
        <v>35.243798118049611</v>
      </c>
      <c r="AT179" s="36">
        <v>2460.5</v>
      </c>
      <c r="AU179" s="36">
        <v>2550.5</v>
      </c>
      <c r="AV179" s="37">
        <v>-90</v>
      </c>
      <c r="AW179" s="37">
        <v>-3.5287198588512059</v>
      </c>
      <c r="AX179" s="5">
        <v>106241</v>
      </c>
      <c r="AY179" t="str">
        <f t="shared" si="58"/>
        <v>PUSHPANJALI</v>
      </c>
      <c r="AZ179" t="str">
        <f t="shared" si="59"/>
        <v>Hauj Khas-Saket-Vasant Kunj</v>
      </c>
      <c r="BC179" s="9">
        <v>41056494</v>
      </c>
      <c r="BD179" s="9" t="s">
        <v>380</v>
      </c>
      <c r="BE179" s="47" t="s">
        <v>530</v>
      </c>
      <c r="BF179" s="14" t="s">
        <v>531</v>
      </c>
      <c r="BG179" s="10" t="s">
        <v>111</v>
      </c>
      <c r="BH179" s="10" t="s">
        <v>112</v>
      </c>
      <c r="BI179" s="12" t="s">
        <v>112</v>
      </c>
      <c r="BJ179" s="51" t="s">
        <v>113</v>
      </c>
    </row>
    <row r="180" spans="1:62" ht="84.5" x14ac:dyDescent="0.35">
      <c r="A180">
        <v>102099</v>
      </c>
      <c r="B180" s="84">
        <f t="shared" si="40"/>
        <v>530</v>
      </c>
      <c r="C180" s="84">
        <f t="shared" si="41"/>
        <v>555</v>
      </c>
      <c r="E180" s="7">
        <v>122804</v>
      </c>
      <c r="F180" s="19">
        <v>72</v>
      </c>
      <c r="G180" s="19">
        <v>88</v>
      </c>
      <c r="H180" s="19">
        <v>97.5</v>
      </c>
      <c r="I180" s="19">
        <v>112</v>
      </c>
      <c r="J180" s="19">
        <v>256.5</v>
      </c>
      <c r="K180" s="19">
        <v>264</v>
      </c>
      <c r="L180" s="19">
        <v>156</v>
      </c>
      <c r="M180" s="19">
        <v>152</v>
      </c>
      <c r="N180" s="9">
        <v>41019272</v>
      </c>
      <c r="O180">
        <f t="shared" si="42"/>
        <v>78.5</v>
      </c>
      <c r="P180">
        <f t="shared" si="43"/>
        <v>58.5</v>
      </c>
      <c r="Q180">
        <f t="shared" si="44"/>
        <v>17.5</v>
      </c>
      <c r="R180">
        <f t="shared" si="45"/>
        <v>13.5</v>
      </c>
      <c r="S180">
        <f t="shared" si="46"/>
        <v>65</v>
      </c>
      <c r="T180">
        <f t="shared" si="47"/>
        <v>53</v>
      </c>
      <c r="U180">
        <f t="shared" si="48"/>
        <v>13</v>
      </c>
      <c r="V180">
        <f t="shared" si="49"/>
        <v>13</v>
      </c>
      <c r="X180" s="5">
        <v>107629</v>
      </c>
      <c r="Y180">
        <f t="shared" si="50"/>
        <v>562.5</v>
      </c>
      <c r="Z180">
        <f t="shared" si="51"/>
        <v>485.5</v>
      </c>
      <c r="AA180">
        <f t="shared" si="52"/>
        <v>139.5</v>
      </c>
      <c r="AB180">
        <f t="shared" si="53"/>
        <v>148.5</v>
      </c>
      <c r="AC180">
        <f t="shared" si="54"/>
        <v>6426</v>
      </c>
      <c r="AD180">
        <f t="shared" si="55"/>
        <v>5731</v>
      </c>
      <c r="AE180">
        <f t="shared" si="56"/>
        <v>1800</v>
      </c>
      <c r="AF180">
        <f t="shared" si="57"/>
        <v>2227.5</v>
      </c>
      <c r="AG180" s="9">
        <v>41019272</v>
      </c>
      <c r="AH180" s="31">
        <v>78.5</v>
      </c>
      <c r="AI180" s="31">
        <v>58.5</v>
      </c>
      <c r="AJ180" s="37">
        <v>20</v>
      </c>
      <c r="AK180" s="37">
        <v>34.188034188034187</v>
      </c>
      <c r="AL180" s="36">
        <v>17.5</v>
      </c>
      <c r="AM180" s="36">
        <v>13.5</v>
      </c>
      <c r="AN180" s="37">
        <v>4</v>
      </c>
      <c r="AO180" s="37">
        <v>29.629629629629626</v>
      </c>
      <c r="AP180" s="38">
        <v>806</v>
      </c>
      <c r="AQ180" s="39">
        <v>562</v>
      </c>
      <c r="AR180" s="37">
        <v>244</v>
      </c>
      <c r="AS180" s="37">
        <v>43.416370106761562</v>
      </c>
      <c r="AT180" s="36">
        <v>160</v>
      </c>
      <c r="AU180" s="36">
        <v>154.5</v>
      </c>
      <c r="AV180" s="37">
        <v>5.5</v>
      </c>
      <c r="AW180" s="37">
        <v>3.5598705501618122</v>
      </c>
      <c r="AX180" s="7">
        <v>122804</v>
      </c>
      <c r="AY180" t="str">
        <f t="shared" si="58"/>
        <v>GANPATI</v>
      </c>
      <c r="AZ180" t="str">
        <f t="shared" si="59"/>
        <v>Pitampura</v>
      </c>
      <c r="BC180" s="9">
        <v>41019272</v>
      </c>
      <c r="BD180" s="9" t="s">
        <v>380</v>
      </c>
      <c r="BE180" s="47" t="s">
        <v>532</v>
      </c>
      <c r="BF180" s="14" t="s">
        <v>533</v>
      </c>
      <c r="BG180" s="10" t="s">
        <v>111</v>
      </c>
      <c r="BH180" s="10" t="s">
        <v>125</v>
      </c>
      <c r="BI180" s="12" t="s">
        <v>125</v>
      </c>
      <c r="BJ180" s="51" t="s">
        <v>126</v>
      </c>
    </row>
    <row r="181" spans="1:62" ht="48.5" x14ac:dyDescent="0.35">
      <c r="A181">
        <v>112415</v>
      </c>
      <c r="B181" s="84">
        <f t="shared" si="40"/>
        <v>186</v>
      </c>
      <c r="C181" s="84">
        <f t="shared" si="41"/>
        <v>201</v>
      </c>
      <c r="E181" s="5">
        <v>177589</v>
      </c>
      <c r="F181" s="19">
        <v>290</v>
      </c>
      <c r="G181" s="19">
        <v>315</v>
      </c>
      <c r="H181" s="19">
        <v>250</v>
      </c>
      <c r="I181" s="19">
        <v>295</v>
      </c>
      <c r="J181" s="19">
        <v>50</v>
      </c>
      <c r="K181" s="19">
        <v>65</v>
      </c>
      <c r="L181" s="19">
        <v>90</v>
      </c>
      <c r="M181" s="19">
        <v>85</v>
      </c>
      <c r="N181" s="9">
        <v>41056995</v>
      </c>
      <c r="O181">
        <f t="shared" si="42"/>
        <v>111</v>
      </c>
      <c r="P181">
        <f t="shared" si="43"/>
        <v>111.5</v>
      </c>
      <c r="Q181">
        <f t="shared" si="44"/>
        <v>26</v>
      </c>
      <c r="R181">
        <f t="shared" si="45"/>
        <v>112.5</v>
      </c>
      <c r="S181">
        <f t="shared" si="46"/>
        <v>112</v>
      </c>
      <c r="T181">
        <f t="shared" si="47"/>
        <v>102</v>
      </c>
      <c r="U181">
        <f t="shared" si="48"/>
        <v>83</v>
      </c>
      <c r="V181">
        <f t="shared" si="49"/>
        <v>97</v>
      </c>
      <c r="X181" s="5">
        <v>106345</v>
      </c>
      <c r="Y181">
        <f t="shared" si="50"/>
        <v>682</v>
      </c>
      <c r="Z181">
        <f t="shared" si="51"/>
        <v>488</v>
      </c>
      <c r="AA181">
        <f t="shared" si="52"/>
        <v>176</v>
      </c>
      <c r="AB181">
        <f t="shared" si="53"/>
        <v>148</v>
      </c>
      <c r="AC181">
        <f t="shared" si="54"/>
        <v>6976.5</v>
      </c>
      <c r="AD181">
        <f t="shared" si="55"/>
        <v>4753.5</v>
      </c>
      <c r="AE181">
        <f t="shared" si="56"/>
        <v>1811.5</v>
      </c>
      <c r="AF181">
        <f t="shared" si="57"/>
        <v>1584.5</v>
      </c>
      <c r="AG181" s="9">
        <v>41056995</v>
      </c>
      <c r="AH181" s="31">
        <v>111</v>
      </c>
      <c r="AI181" s="31">
        <v>111.5</v>
      </c>
      <c r="AJ181" s="37">
        <v>-0.5</v>
      </c>
      <c r="AK181" s="37">
        <v>-0.44843049327354262</v>
      </c>
      <c r="AL181" s="36">
        <v>26</v>
      </c>
      <c r="AM181" s="36">
        <v>112.5</v>
      </c>
      <c r="AN181" s="37">
        <v>-86.5</v>
      </c>
      <c r="AO181" s="37">
        <v>-76.888888888888886</v>
      </c>
      <c r="AP181" s="38">
        <v>1376</v>
      </c>
      <c r="AQ181" s="39">
        <v>1097.5</v>
      </c>
      <c r="AR181" s="37">
        <v>278.5</v>
      </c>
      <c r="AS181" s="37">
        <v>25.375854214123006</v>
      </c>
      <c r="AT181" s="36">
        <v>823</v>
      </c>
      <c r="AU181" s="36">
        <v>1578</v>
      </c>
      <c r="AV181" s="37">
        <v>-755</v>
      </c>
      <c r="AW181" s="37">
        <v>-47.845373891001266</v>
      </c>
      <c r="AX181" s="5">
        <v>177589</v>
      </c>
      <c r="AY181" t="str">
        <f t="shared" si="58"/>
        <v>BS DWARKA</v>
      </c>
      <c r="AZ181" t="str">
        <f t="shared" si="59"/>
        <v>Dwarka</v>
      </c>
      <c r="BC181" s="9">
        <v>41056995</v>
      </c>
      <c r="BD181" s="9" t="s">
        <v>380</v>
      </c>
      <c r="BE181" s="47" t="s">
        <v>534</v>
      </c>
      <c r="BF181" s="14" t="s">
        <v>535</v>
      </c>
      <c r="BG181" s="10" t="s">
        <v>169</v>
      </c>
      <c r="BH181" s="10" t="s">
        <v>170</v>
      </c>
      <c r="BI181" s="12" t="s">
        <v>170</v>
      </c>
      <c r="BJ181" s="51" t="s">
        <v>172</v>
      </c>
    </row>
    <row r="182" spans="1:62" ht="36.5" x14ac:dyDescent="0.35">
      <c r="A182">
        <v>106288</v>
      </c>
      <c r="B182" s="84">
        <f t="shared" si="40"/>
        <v>166.5</v>
      </c>
      <c r="C182" s="84">
        <f t="shared" si="41"/>
        <v>196</v>
      </c>
      <c r="E182" s="5">
        <v>106276</v>
      </c>
      <c r="F182" s="19">
        <v>395</v>
      </c>
      <c r="G182" s="19">
        <v>400</v>
      </c>
      <c r="H182" s="19">
        <v>370</v>
      </c>
      <c r="I182" s="19">
        <v>420</v>
      </c>
      <c r="J182" s="19">
        <v>90</v>
      </c>
      <c r="K182" s="19">
        <v>100</v>
      </c>
      <c r="L182" s="19">
        <v>85</v>
      </c>
      <c r="M182" s="19">
        <v>80</v>
      </c>
      <c r="N182" s="9">
        <v>41056839</v>
      </c>
      <c r="O182">
        <f t="shared" si="42"/>
        <v>166</v>
      </c>
      <c r="P182">
        <f t="shared" si="43"/>
        <v>145</v>
      </c>
      <c r="Q182">
        <f t="shared" si="44"/>
        <v>627</v>
      </c>
      <c r="R182">
        <f t="shared" si="45"/>
        <v>900</v>
      </c>
      <c r="S182">
        <f t="shared" si="46"/>
        <v>141</v>
      </c>
      <c r="T182">
        <f t="shared" si="47"/>
        <v>140</v>
      </c>
      <c r="U182">
        <f t="shared" si="48"/>
        <v>629</v>
      </c>
      <c r="V182">
        <f t="shared" si="49"/>
        <v>868</v>
      </c>
      <c r="X182" s="9">
        <v>41056527</v>
      </c>
      <c r="Y182">
        <f t="shared" si="50"/>
        <v>256</v>
      </c>
      <c r="Z182">
        <f t="shared" si="51"/>
        <v>238.5</v>
      </c>
      <c r="AA182">
        <f t="shared" si="52"/>
        <v>92</v>
      </c>
      <c r="AB182">
        <f t="shared" si="53"/>
        <v>123.5</v>
      </c>
      <c r="AC182">
        <f t="shared" si="54"/>
        <v>3346.5</v>
      </c>
      <c r="AD182">
        <f t="shared" si="55"/>
        <v>2575.5</v>
      </c>
      <c r="AE182">
        <f t="shared" si="56"/>
        <v>1372.5</v>
      </c>
      <c r="AF182">
        <f t="shared" si="57"/>
        <v>1336.5</v>
      </c>
      <c r="AG182" s="9">
        <v>41056839</v>
      </c>
      <c r="AH182" s="31">
        <v>166</v>
      </c>
      <c r="AI182" s="31">
        <v>145</v>
      </c>
      <c r="AJ182" s="37">
        <v>21</v>
      </c>
      <c r="AK182" s="37">
        <v>14.482758620689657</v>
      </c>
      <c r="AL182" s="36">
        <v>627</v>
      </c>
      <c r="AM182" s="36">
        <v>900</v>
      </c>
      <c r="AN182" s="37">
        <v>-273</v>
      </c>
      <c r="AO182" s="37">
        <v>-30.333333333333336</v>
      </c>
      <c r="AP182" s="38">
        <v>1927</v>
      </c>
      <c r="AQ182" s="39">
        <v>1549</v>
      </c>
      <c r="AR182" s="37">
        <v>378</v>
      </c>
      <c r="AS182" s="37">
        <v>24.402840542285347</v>
      </c>
      <c r="AT182" s="36">
        <v>8445</v>
      </c>
      <c r="AU182" s="36">
        <v>9521</v>
      </c>
      <c r="AV182" s="37">
        <v>-1076</v>
      </c>
      <c r="AW182" s="37">
        <v>-11.301333893498581</v>
      </c>
      <c r="AX182" s="5">
        <v>106276</v>
      </c>
      <c r="AY182" t="str">
        <f t="shared" si="58"/>
        <v>AUTO REST_OKHLA</v>
      </c>
      <c r="AZ182" t="str">
        <f t="shared" si="59"/>
        <v>Mathura Road</v>
      </c>
      <c r="BC182" s="9">
        <v>41056839</v>
      </c>
      <c r="BD182" s="9" t="s">
        <v>380</v>
      </c>
      <c r="BE182" s="48" t="s">
        <v>536</v>
      </c>
      <c r="BF182" s="14" t="s">
        <v>281</v>
      </c>
      <c r="BG182" s="10" t="s">
        <v>200</v>
      </c>
      <c r="BH182" s="10" t="s">
        <v>244</v>
      </c>
      <c r="BI182" s="12" t="s">
        <v>244</v>
      </c>
      <c r="BJ182" s="51" t="s">
        <v>172</v>
      </c>
    </row>
    <row r="183" spans="1:62" ht="48.5" x14ac:dyDescent="0.35">
      <c r="A183">
        <v>41057008</v>
      </c>
      <c r="B183" s="84">
        <f t="shared" si="40"/>
        <v>405</v>
      </c>
      <c r="C183" s="84">
        <f t="shared" si="41"/>
        <v>403</v>
      </c>
      <c r="E183" s="5">
        <v>106274</v>
      </c>
      <c r="F183" s="19">
        <v>220</v>
      </c>
      <c r="G183" s="19">
        <v>245</v>
      </c>
      <c r="H183" s="19">
        <v>239.5</v>
      </c>
      <c r="I183" s="19">
        <v>241</v>
      </c>
      <c r="J183" s="19">
        <v>86.5</v>
      </c>
      <c r="K183" s="19">
        <v>123</v>
      </c>
      <c r="L183" s="19">
        <v>220</v>
      </c>
      <c r="M183" s="19">
        <v>229</v>
      </c>
      <c r="N183" s="9">
        <v>41056401</v>
      </c>
      <c r="O183">
        <f t="shared" si="42"/>
        <v>342</v>
      </c>
      <c r="P183">
        <f t="shared" si="43"/>
        <v>363.5</v>
      </c>
      <c r="Q183">
        <f t="shared" si="44"/>
        <v>54</v>
      </c>
      <c r="R183">
        <f t="shared" si="45"/>
        <v>62.5</v>
      </c>
      <c r="S183">
        <f t="shared" si="46"/>
        <v>327.5</v>
      </c>
      <c r="T183">
        <f t="shared" si="47"/>
        <v>327.5</v>
      </c>
      <c r="U183">
        <f t="shared" si="48"/>
        <v>59.5</v>
      </c>
      <c r="V183">
        <f t="shared" si="49"/>
        <v>62.5</v>
      </c>
      <c r="X183" s="5">
        <v>186867</v>
      </c>
      <c r="Y183">
        <f t="shared" si="50"/>
        <v>630</v>
      </c>
      <c r="Z183">
        <f t="shared" si="51"/>
        <v>579</v>
      </c>
      <c r="AA183">
        <f t="shared" si="52"/>
        <v>126</v>
      </c>
      <c r="AB183">
        <f t="shared" si="53"/>
        <v>109</v>
      </c>
      <c r="AC183">
        <f t="shared" si="54"/>
        <v>7326</v>
      </c>
      <c r="AD183">
        <f t="shared" si="55"/>
        <v>5951.5</v>
      </c>
      <c r="AE183">
        <f t="shared" si="56"/>
        <v>1434</v>
      </c>
      <c r="AF183">
        <f t="shared" si="57"/>
        <v>1468.5</v>
      </c>
      <c r="AG183" s="9">
        <v>41056401</v>
      </c>
      <c r="AH183" s="31">
        <v>342</v>
      </c>
      <c r="AI183" s="31">
        <v>363.5</v>
      </c>
      <c r="AJ183" s="37">
        <v>-21.5</v>
      </c>
      <c r="AK183" s="37">
        <v>-5.9147180192572213</v>
      </c>
      <c r="AL183" s="36">
        <v>54</v>
      </c>
      <c r="AM183" s="36">
        <v>62.5</v>
      </c>
      <c r="AN183" s="37">
        <v>-8.5</v>
      </c>
      <c r="AO183" s="37">
        <v>-13.600000000000001</v>
      </c>
      <c r="AP183" s="38">
        <v>4321.5</v>
      </c>
      <c r="AQ183" s="39">
        <v>3693.5</v>
      </c>
      <c r="AR183" s="37">
        <v>628</v>
      </c>
      <c r="AS183" s="37">
        <v>17.002842832002166</v>
      </c>
      <c r="AT183" s="36">
        <v>736.5</v>
      </c>
      <c r="AU183" s="36">
        <v>869.5</v>
      </c>
      <c r="AV183" s="37">
        <v>-133</v>
      </c>
      <c r="AW183" s="37">
        <v>-15.296147211040829</v>
      </c>
      <c r="AX183" s="5">
        <v>106274</v>
      </c>
      <c r="AY183" t="str">
        <f t="shared" si="58"/>
        <v>JFJ</v>
      </c>
      <c r="AZ183" t="str">
        <f t="shared" si="59"/>
        <v xml:space="preserve">Okhla </v>
      </c>
      <c r="BC183" s="9">
        <v>41056401</v>
      </c>
      <c r="BD183" s="9" t="s">
        <v>380</v>
      </c>
      <c r="BE183" s="47" t="s">
        <v>537</v>
      </c>
      <c r="BF183" s="14" t="s">
        <v>389</v>
      </c>
      <c r="BG183" s="10" t="s">
        <v>89</v>
      </c>
      <c r="BH183" s="10" t="s">
        <v>538</v>
      </c>
      <c r="BI183" s="12" t="s">
        <v>204</v>
      </c>
      <c r="BJ183" s="51" t="s">
        <v>205</v>
      </c>
    </row>
    <row r="184" spans="1:62" ht="36.5" x14ac:dyDescent="0.35">
      <c r="A184">
        <v>106289</v>
      </c>
      <c r="B184" s="84">
        <f t="shared" si="40"/>
        <v>693</v>
      </c>
      <c r="C184" s="84">
        <f t="shared" si="41"/>
        <v>787</v>
      </c>
      <c r="E184" s="5">
        <v>186867</v>
      </c>
      <c r="F184" s="19">
        <v>573.5</v>
      </c>
      <c r="G184" s="19">
        <v>630</v>
      </c>
      <c r="H184" s="19">
        <v>553</v>
      </c>
      <c r="I184" s="19">
        <v>579</v>
      </c>
      <c r="J184" s="19">
        <v>99</v>
      </c>
      <c r="K184" s="19">
        <v>109</v>
      </c>
      <c r="L184" s="19">
        <v>94.5</v>
      </c>
      <c r="M184" s="19">
        <v>126</v>
      </c>
      <c r="N184" s="9">
        <v>41056491</v>
      </c>
      <c r="O184">
        <f t="shared" si="42"/>
        <v>601</v>
      </c>
      <c r="P184">
        <f t="shared" si="43"/>
        <v>584</v>
      </c>
      <c r="Q184">
        <f t="shared" si="44"/>
        <v>58</v>
      </c>
      <c r="R184">
        <f t="shared" si="45"/>
        <v>67</v>
      </c>
      <c r="S184">
        <f t="shared" si="46"/>
        <v>565.5</v>
      </c>
      <c r="T184">
        <f t="shared" si="47"/>
        <v>575</v>
      </c>
      <c r="U184">
        <f t="shared" si="48"/>
        <v>61.5</v>
      </c>
      <c r="V184">
        <f t="shared" si="49"/>
        <v>73</v>
      </c>
      <c r="X184" s="9">
        <v>41056985</v>
      </c>
      <c r="Y184">
        <f t="shared" si="50"/>
        <v>111</v>
      </c>
      <c r="Z184">
        <f t="shared" si="51"/>
        <v>99</v>
      </c>
      <c r="AA184">
        <f t="shared" si="52"/>
        <v>168</v>
      </c>
      <c r="AB184">
        <f t="shared" si="53"/>
        <v>144</v>
      </c>
      <c r="AC184">
        <f t="shared" si="54"/>
        <v>1307</v>
      </c>
      <c r="AD184">
        <f t="shared" si="55"/>
        <v>943.5</v>
      </c>
      <c r="AE184">
        <f t="shared" si="56"/>
        <v>2049</v>
      </c>
      <c r="AF184">
        <f t="shared" si="57"/>
        <v>1930.5</v>
      </c>
      <c r="AG184" s="9">
        <v>41056491</v>
      </c>
      <c r="AH184" s="31">
        <v>601</v>
      </c>
      <c r="AI184" s="31">
        <v>584</v>
      </c>
      <c r="AJ184" s="37">
        <v>17</v>
      </c>
      <c r="AK184" s="37">
        <v>2.9109589041095889</v>
      </c>
      <c r="AL184" s="36">
        <v>58</v>
      </c>
      <c r="AM184" s="36">
        <v>67</v>
      </c>
      <c r="AN184" s="37">
        <v>-9</v>
      </c>
      <c r="AO184" s="37">
        <v>-13.432835820895523</v>
      </c>
      <c r="AP184" s="38">
        <v>7191</v>
      </c>
      <c r="AQ184" s="39">
        <v>5693</v>
      </c>
      <c r="AR184" s="37">
        <v>1498</v>
      </c>
      <c r="AS184" s="37">
        <v>26.313015984542421</v>
      </c>
      <c r="AT184" s="36">
        <v>807</v>
      </c>
      <c r="AU184" s="36">
        <v>889</v>
      </c>
      <c r="AV184" s="37">
        <v>-82</v>
      </c>
      <c r="AW184" s="37">
        <v>-9.2238470191226085</v>
      </c>
      <c r="AX184" s="5">
        <v>186867</v>
      </c>
      <c r="AY184" t="str">
        <f t="shared" si="58"/>
        <v>VASUNDHARA_VIJ</v>
      </c>
      <c r="AZ184" t="str">
        <f t="shared" si="59"/>
        <v>Mayur Vihar -Anand Vihar -Preet Vihar</v>
      </c>
      <c r="BC184" s="9">
        <v>41056491</v>
      </c>
      <c r="BD184" s="9" t="s">
        <v>380</v>
      </c>
      <c r="BE184" s="48" t="s">
        <v>539</v>
      </c>
      <c r="BF184" s="14" t="s">
        <v>169</v>
      </c>
      <c r="BG184" s="10" t="s">
        <v>169</v>
      </c>
      <c r="BH184" s="10" t="s">
        <v>488</v>
      </c>
      <c r="BI184" s="12" t="s">
        <v>488</v>
      </c>
      <c r="BJ184" s="51" t="s">
        <v>172</v>
      </c>
    </row>
    <row r="185" spans="1:62" ht="36.5" x14ac:dyDescent="0.35">
      <c r="A185">
        <v>167171</v>
      </c>
      <c r="B185" s="84">
        <f t="shared" si="40"/>
        <v>92</v>
      </c>
      <c r="C185" s="84">
        <f t="shared" si="41"/>
        <v>91</v>
      </c>
      <c r="E185" s="5">
        <v>102084</v>
      </c>
      <c r="F185" s="19">
        <v>204</v>
      </c>
      <c r="G185" s="19">
        <v>210</v>
      </c>
      <c r="H185" s="19">
        <v>203</v>
      </c>
      <c r="I185" s="19">
        <v>225</v>
      </c>
      <c r="J185" s="19">
        <v>237</v>
      </c>
      <c r="K185" s="19">
        <v>233</v>
      </c>
      <c r="L185" s="19">
        <v>205</v>
      </c>
      <c r="M185" s="19">
        <v>204</v>
      </c>
      <c r="N185" s="9">
        <v>41032884</v>
      </c>
      <c r="O185">
        <f t="shared" si="42"/>
        <v>682</v>
      </c>
      <c r="P185">
        <f t="shared" si="43"/>
        <v>769</v>
      </c>
      <c r="Q185">
        <f t="shared" si="44"/>
        <v>191</v>
      </c>
      <c r="R185">
        <f t="shared" si="45"/>
        <v>238</v>
      </c>
      <c r="S185">
        <f t="shared" si="46"/>
        <v>646.5</v>
      </c>
      <c r="T185">
        <f t="shared" si="47"/>
        <v>647.5</v>
      </c>
      <c r="U185">
        <f t="shared" si="48"/>
        <v>195.5</v>
      </c>
      <c r="V185">
        <f t="shared" si="49"/>
        <v>208.5</v>
      </c>
      <c r="X185" s="5">
        <v>208231</v>
      </c>
      <c r="Y185">
        <f t="shared" si="50"/>
        <v>432</v>
      </c>
      <c r="Z185">
        <f t="shared" si="51"/>
        <v>412</v>
      </c>
      <c r="AA185">
        <f t="shared" si="52"/>
        <v>96</v>
      </c>
      <c r="AB185">
        <f t="shared" si="53"/>
        <v>116</v>
      </c>
      <c r="AC185">
        <f t="shared" si="54"/>
        <v>5209</v>
      </c>
      <c r="AD185">
        <f t="shared" si="55"/>
        <v>3889.5</v>
      </c>
      <c r="AE185">
        <f t="shared" si="56"/>
        <v>1323</v>
      </c>
      <c r="AF185">
        <f t="shared" si="57"/>
        <v>1408.5</v>
      </c>
      <c r="AG185" s="9">
        <v>41032884</v>
      </c>
      <c r="AH185" s="31">
        <v>682</v>
      </c>
      <c r="AI185" s="31">
        <v>769</v>
      </c>
      <c r="AJ185" s="37">
        <v>-87</v>
      </c>
      <c r="AK185" s="37">
        <v>-11.313394018205461</v>
      </c>
      <c r="AL185" s="36">
        <v>191</v>
      </c>
      <c r="AM185" s="36">
        <v>238</v>
      </c>
      <c r="AN185" s="37">
        <v>-47</v>
      </c>
      <c r="AO185" s="37">
        <v>-19.747899159663866</v>
      </c>
      <c r="AP185" s="38">
        <v>8522.5</v>
      </c>
      <c r="AQ185" s="39">
        <v>7553.5</v>
      </c>
      <c r="AR185" s="37">
        <v>969</v>
      </c>
      <c r="AS185" s="37">
        <v>12.828490103925333</v>
      </c>
      <c r="AT185" s="36">
        <v>2480.5</v>
      </c>
      <c r="AU185" s="36">
        <v>3233</v>
      </c>
      <c r="AV185" s="37">
        <v>-752.5</v>
      </c>
      <c r="AW185" s="37">
        <v>-23.275595422208475</v>
      </c>
      <c r="AX185" s="5">
        <v>102084</v>
      </c>
      <c r="AY185" t="str">
        <f t="shared" si="58"/>
        <v>White Patch_Bhikaji Kama to South Ex RING Road</v>
      </c>
      <c r="AZ185" t="str">
        <f t="shared" si="59"/>
        <v>Inner Ring Road</v>
      </c>
      <c r="BC185" s="9">
        <v>41032884</v>
      </c>
      <c r="BD185" s="9" t="s">
        <v>380</v>
      </c>
      <c r="BE185" s="47" t="s">
        <v>540</v>
      </c>
      <c r="BF185" s="14" t="s">
        <v>541</v>
      </c>
      <c r="BG185" s="10" t="s">
        <v>111</v>
      </c>
      <c r="BH185" s="10" t="s">
        <v>112</v>
      </c>
      <c r="BI185" s="12" t="s">
        <v>112</v>
      </c>
      <c r="BJ185" s="51" t="s">
        <v>113</v>
      </c>
    </row>
    <row r="186" spans="1:62" ht="48.5" x14ac:dyDescent="0.35">
      <c r="A186">
        <v>41056990</v>
      </c>
      <c r="B186" s="84">
        <f t="shared" si="40"/>
        <v>320</v>
      </c>
      <c r="C186" s="84">
        <f t="shared" si="41"/>
        <v>389</v>
      </c>
      <c r="E186" s="5">
        <v>331623</v>
      </c>
      <c r="F186" s="19">
        <v>216.40700000000001</v>
      </c>
      <c r="G186" s="19">
        <v>243.83500000000001</v>
      </c>
      <c r="H186" s="19">
        <v>150.453</v>
      </c>
      <c r="I186" s="19">
        <v>168.89399999999989</v>
      </c>
      <c r="J186" s="19">
        <v>57.348000000000106</v>
      </c>
      <c r="K186" s="19">
        <v>60.136999999999908</v>
      </c>
      <c r="L186" s="19">
        <v>79.543000000000006</v>
      </c>
      <c r="M186" s="19">
        <v>90.965000000000003</v>
      </c>
      <c r="N186" s="9">
        <v>41019270</v>
      </c>
      <c r="O186">
        <f t="shared" si="42"/>
        <v>232</v>
      </c>
      <c r="P186">
        <f t="shared" si="43"/>
        <v>236</v>
      </c>
      <c r="Q186">
        <f t="shared" si="44"/>
        <v>18</v>
      </c>
      <c r="R186">
        <f t="shared" si="45"/>
        <v>27</v>
      </c>
      <c r="S186">
        <f t="shared" si="46"/>
        <v>237</v>
      </c>
      <c r="T186">
        <f t="shared" si="47"/>
        <v>200</v>
      </c>
      <c r="U186">
        <f t="shared" si="48"/>
        <v>19</v>
      </c>
      <c r="V186">
        <f t="shared" si="49"/>
        <v>20</v>
      </c>
      <c r="X186" s="3">
        <v>123784</v>
      </c>
      <c r="Y186">
        <f t="shared" si="50"/>
        <v>428.33300000000003</v>
      </c>
      <c r="Z186">
        <f t="shared" si="51"/>
        <v>382.24200000000002</v>
      </c>
      <c r="AA186">
        <f t="shared" si="52"/>
        <v>108.511</v>
      </c>
      <c r="AB186">
        <f t="shared" si="53"/>
        <v>116.31</v>
      </c>
      <c r="AC186">
        <f t="shared" si="54"/>
        <v>4999.549</v>
      </c>
      <c r="AD186">
        <f t="shared" si="55"/>
        <v>3879.6070000000004</v>
      </c>
      <c r="AE186">
        <f t="shared" si="56"/>
        <v>1278.0179999999998</v>
      </c>
      <c r="AF186">
        <f t="shared" si="57"/>
        <v>1397.1799900000001</v>
      </c>
      <c r="AG186" s="9">
        <v>41019270</v>
      </c>
      <c r="AH186" s="31">
        <v>232</v>
      </c>
      <c r="AI186" s="31">
        <v>236</v>
      </c>
      <c r="AJ186" s="37">
        <v>-4</v>
      </c>
      <c r="AK186" s="37">
        <v>-1.6949152542372881</v>
      </c>
      <c r="AL186" s="36">
        <v>18</v>
      </c>
      <c r="AM186" s="36">
        <v>27</v>
      </c>
      <c r="AN186" s="37">
        <v>-9</v>
      </c>
      <c r="AO186" s="37">
        <v>-33.333333333333329</v>
      </c>
      <c r="AP186" s="38">
        <v>2868.5</v>
      </c>
      <c r="AQ186" s="39">
        <v>2286.5</v>
      </c>
      <c r="AR186" s="37">
        <v>582</v>
      </c>
      <c r="AS186" s="37">
        <v>25.453750273343541</v>
      </c>
      <c r="AT186" s="36">
        <v>265.5</v>
      </c>
      <c r="AU186" s="36">
        <v>281.5</v>
      </c>
      <c r="AV186" s="37">
        <v>-16</v>
      </c>
      <c r="AW186" s="37">
        <v>-5.6838365896980463</v>
      </c>
      <c r="AX186" s="5">
        <v>331623</v>
      </c>
      <c r="AY186" t="str">
        <f t="shared" si="58"/>
        <v>White Patch DSIDC</v>
      </c>
      <c r="AZ186" t="str">
        <f t="shared" si="59"/>
        <v>Narela- Bawana</v>
      </c>
      <c r="BC186" s="9">
        <v>41019270</v>
      </c>
      <c r="BD186" s="9" t="s">
        <v>380</v>
      </c>
      <c r="BE186" s="48" t="s">
        <v>542</v>
      </c>
      <c r="BF186" s="14" t="s">
        <v>543</v>
      </c>
      <c r="BG186" s="10" t="s">
        <v>169</v>
      </c>
      <c r="BH186" s="10" t="s">
        <v>488</v>
      </c>
      <c r="BI186" s="12" t="s">
        <v>488</v>
      </c>
      <c r="BJ186" s="51" t="s">
        <v>172</v>
      </c>
    </row>
    <row r="187" spans="1:62" ht="36.5" x14ac:dyDescent="0.35">
      <c r="A187">
        <v>41056991</v>
      </c>
      <c r="B187" s="84">
        <f t="shared" si="40"/>
        <v>396</v>
      </c>
      <c r="C187" s="84">
        <f t="shared" si="41"/>
        <v>436</v>
      </c>
      <c r="E187" s="5">
        <v>106330</v>
      </c>
      <c r="F187" s="19">
        <v>797.5</v>
      </c>
      <c r="G187" s="19">
        <v>959</v>
      </c>
      <c r="H187" s="19">
        <v>638</v>
      </c>
      <c r="I187" s="19">
        <v>675</v>
      </c>
      <c r="J187" s="19">
        <v>142</v>
      </c>
      <c r="K187" s="19">
        <v>99</v>
      </c>
      <c r="L187" s="19">
        <v>128.5</v>
      </c>
      <c r="M187" s="19">
        <v>157</v>
      </c>
      <c r="N187" s="9">
        <v>41056845</v>
      </c>
      <c r="O187">
        <f t="shared" si="42"/>
        <v>456.5</v>
      </c>
      <c r="P187">
        <f t="shared" si="43"/>
        <v>449.5</v>
      </c>
      <c r="Q187">
        <f t="shared" si="44"/>
        <v>267.5</v>
      </c>
      <c r="R187">
        <f t="shared" si="45"/>
        <v>331.5</v>
      </c>
      <c r="S187">
        <f t="shared" si="46"/>
        <v>425</v>
      </c>
      <c r="T187">
        <f t="shared" si="47"/>
        <v>406.5</v>
      </c>
      <c r="U187">
        <f t="shared" si="48"/>
        <v>278</v>
      </c>
      <c r="V187">
        <f t="shared" si="49"/>
        <v>303.5</v>
      </c>
      <c r="X187" s="3">
        <v>149238</v>
      </c>
      <c r="Y187">
        <f t="shared" si="50"/>
        <v>393.18</v>
      </c>
      <c r="Z187">
        <f t="shared" si="51"/>
        <v>372.839</v>
      </c>
      <c r="AA187">
        <f t="shared" si="52"/>
        <v>93.567999999999998</v>
      </c>
      <c r="AB187">
        <f t="shared" si="53"/>
        <v>139.68799999999999</v>
      </c>
      <c r="AC187">
        <f t="shared" si="54"/>
        <v>4623.8450000000003</v>
      </c>
      <c r="AD187">
        <f t="shared" si="55"/>
        <v>3985.1840000000002</v>
      </c>
      <c r="AE187">
        <f t="shared" si="56"/>
        <v>1212.248</v>
      </c>
      <c r="AF187">
        <f t="shared" si="57"/>
        <v>1604.5340000000001</v>
      </c>
      <c r="AG187" s="9">
        <v>41056845</v>
      </c>
      <c r="AH187" s="31">
        <v>456.5</v>
      </c>
      <c r="AI187" s="31">
        <v>449.5</v>
      </c>
      <c r="AJ187" s="37">
        <v>7</v>
      </c>
      <c r="AK187" s="37">
        <v>1.5572858731924359</v>
      </c>
      <c r="AL187" s="36">
        <v>267.5</v>
      </c>
      <c r="AM187" s="36">
        <v>331.5</v>
      </c>
      <c r="AN187" s="37">
        <v>-64</v>
      </c>
      <c r="AO187" s="37">
        <v>-19.306184012066367</v>
      </c>
      <c r="AP187" s="38">
        <v>5495</v>
      </c>
      <c r="AQ187" s="39">
        <v>4412.5</v>
      </c>
      <c r="AR187" s="37">
        <v>1082.5</v>
      </c>
      <c r="AS187" s="37">
        <v>24.532577903682721</v>
      </c>
      <c r="AT187" s="36">
        <v>3588</v>
      </c>
      <c r="AU187" s="36">
        <v>4141.5</v>
      </c>
      <c r="AV187" s="37">
        <v>-553.5</v>
      </c>
      <c r="AW187" s="37">
        <v>-13.364722926475913</v>
      </c>
      <c r="AX187" s="5">
        <v>106330</v>
      </c>
      <c r="AY187" t="str">
        <f t="shared" si="58"/>
        <v>White Patch_Geeta Colony</v>
      </c>
      <c r="AZ187" t="str">
        <f t="shared" si="59"/>
        <v>Mayur Vihar -Anand Vihar -Preet Vihar</v>
      </c>
      <c r="BC187" s="9">
        <v>41056845</v>
      </c>
      <c r="BD187" s="9" t="s">
        <v>380</v>
      </c>
      <c r="BE187" s="47" t="s">
        <v>544</v>
      </c>
      <c r="BF187" s="14" t="s">
        <v>545</v>
      </c>
      <c r="BG187" s="10" t="s">
        <v>169</v>
      </c>
      <c r="BH187" s="10" t="s">
        <v>170</v>
      </c>
      <c r="BI187" s="12" t="s">
        <v>170</v>
      </c>
      <c r="BJ187" s="51" t="s">
        <v>172</v>
      </c>
    </row>
    <row r="188" spans="1:62" ht="60.5" x14ac:dyDescent="0.35">
      <c r="A188">
        <v>112416</v>
      </c>
      <c r="B188" s="84">
        <f t="shared" si="40"/>
        <v>211</v>
      </c>
      <c r="C188" s="84">
        <f t="shared" si="41"/>
        <v>233</v>
      </c>
      <c r="E188" s="5">
        <v>186849</v>
      </c>
      <c r="F188" s="19">
        <v>156</v>
      </c>
      <c r="G188" s="19">
        <v>170</v>
      </c>
      <c r="H188" s="19">
        <v>132</v>
      </c>
      <c r="I188" s="19">
        <v>148</v>
      </c>
      <c r="J188" s="19">
        <v>12</v>
      </c>
      <c r="K188" s="19">
        <v>8</v>
      </c>
      <c r="L188" s="19">
        <v>12</v>
      </c>
      <c r="M188" s="19">
        <v>16</v>
      </c>
      <c r="N188" s="9">
        <v>41056826</v>
      </c>
      <c r="O188">
        <f t="shared" si="42"/>
        <v>291</v>
      </c>
      <c r="P188">
        <f t="shared" si="43"/>
        <v>325</v>
      </c>
      <c r="Q188">
        <f t="shared" si="44"/>
        <v>126</v>
      </c>
      <c r="R188">
        <f t="shared" si="45"/>
        <v>135</v>
      </c>
      <c r="S188">
        <f t="shared" si="46"/>
        <v>291</v>
      </c>
      <c r="T188">
        <f t="shared" si="47"/>
        <v>317</v>
      </c>
      <c r="U188">
        <f t="shared" si="48"/>
        <v>203</v>
      </c>
      <c r="V188">
        <f t="shared" si="49"/>
        <v>185</v>
      </c>
      <c r="X188" s="3">
        <v>112419</v>
      </c>
      <c r="Y188">
        <f t="shared" si="50"/>
        <v>399</v>
      </c>
      <c r="Z188">
        <f t="shared" si="51"/>
        <v>356.5</v>
      </c>
      <c r="AA188">
        <f t="shared" si="52"/>
        <v>119</v>
      </c>
      <c r="AB188">
        <f t="shared" si="53"/>
        <v>157.5</v>
      </c>
      <c r="AC188">
        <f t="shared" si="54"/>
        <v>4640.5</v>
      </c>
      <c r="AD188">
        <f t="shared" si="55"/>
        <v>3704.5000060000002</v>
      </c>
      <c r="AE188">
        <f t="shared" si="56"/>
        <v>1801.5</v>
      </c>
      <c r="AF188">
        <f t="shared" si="57"/>
        <v>2062</v>
      </c>
      <c r="AG188" s="9">
        <v>41056826</v>
      </c>
      <c r="AH188" s="31">
        <v>291</v>
      </c>
      <c r="AI188" s="31">
        <v>325</v>
      </c>
      <c r="AJ188" s="37">
        <v>-34</v>
      </c>
      <c r="AK188" s="37">
        <v>-10.461538461538462</v>
      </c>
      <c r="AL188" s="36">
        <v>126</v>
      </c>
      <c r="AM188" s="36">
        <v>135</v>
      </c>
      <c r="AN188" s="37">
        <v>-9</v>
      </c>
      <c r="AO188" s="37">
        <v>-6.666666666666667</v>
      </c>
      <c r="AP188" s="38">
        <v>4120</v>
      </c>
      <c r="AQ188" s="39">
        <v>3469</v>
      </c>
      <c r="AR188" s="37">
        <v>651</v>
      </c>
      <c r="AS188" s="37">
        <v>18.766215047564138</v>
      </c>
      <c r="AT188" s="36">
        <v>1813</v>
      </c>
      <c r="AU188" s="36">
        <v>1745</v>
      </c>
      <c r="AV188" s="37">
        <v>68</v>
      </c>
      <c r="AW188" s="37">
        <v>3.8968481375358168</v>
      </c>
      <c r="AX188" s="5">
        <v>186849</v>
      </c>
      <c r="AY188" t="str">
        <f t="shared" si="58"/>
        <v>DEEPAK AUTOMOBILES</v>
      </c>
      <c r="AZ188" t="str">
        <f t="shared" si="59"/>
        <v>Old GT Road (NH1)</v>
      </c>
      <c r="BC188" s="9">
        <v>41056826</v>
      </c>
      <c r="BD188" s="9" t="s">
        <v>380</v>
      </c>
      <c r="BE188" s="47" t="s">
        <v>546</v>
      </c>
      <c r="BF188" s="14" t="s">
        <v>273</v>
      </c>
      <c r="BG188" s="10" t="s">
        <v>111</v>
      </c>
      <c r="BH188" s="10" t="s">
        <v>414</v>
      </c>
      <c r="BI188" s="12" t="s">
        <v>414</v>
      </c>
      <c r="BJ188" s="51" t="s">
        <v>275</v>
      </c>
    </row>
    <row r="189" spans="1:62" ht="60.5" x14ac:dyDescent="0.35">
      <c r="A189">
        <v>205875</v>
      </c>
      <c r="B189" s="84">
        <f t="shared" si="40"/>
        <v>207.5</v>
      </c>
      <c r="C189" s="84">
        <f t="shared" si="41"/>
        <v>248</v>
      </c>
      <c r="E189" s="5">
        <v>186851</v>
      </c>
      <c r="F189" s="19">
        <v>56</v>
      </c>
      <c r="G189" s="19">
        <v>72</v>
      </c>
      <c r="H189" s="19">
        <v>48</v>
      </c>
      <c r="I189" s="19">
        <v>68</v>
      </c>
      <c r="J189" s="19">
        <v>36</v>
      </c>
      <c r="K189" s="19">
        <v>28</v>
      </c>
      <c r="L189" s="19">
        <v>28</v>
      </c>
      <c r="M189" s="19">
        <v>48</v>
      </c>
      <c r="N189" s="9">
        <v>41057006</v>
      </c>
      <c r="O189">
        <f t="shared" si="42"/>
        <v>476</v>
      </c>
      <c r="P189">
        <f t="shared" si="43"/>
        <v>473</v>
      </c>
      <c r="Q189">
        <f t="shared" si="44"/>
        <v>52</v>
      </c>
      <c r="R189">
        <f t="shared" si="45"/>
        <v>77</v>
      </c>
      <c r="S189">
        <f t="shared" si="46"/>
        <v>452</v>
      </c>
      <c r="T189">
        <f t="shared" si="47"/>
        <v>395</v>
      </c>
      <c r="U189">
        <f t="shared" si="48"/>
        <v>72</v>
      </c>
      <c r="V189">
        <f t="shared" si="49"/>
        <v>89</v>
      </c>
      <c r="X189" s="5">
        <v>106354</v>
      </c>
      <c r="Y189">
        <f t="shared" si="50"/>
        <v>653.5</v>
      </c>
      <c r="Z189">
        <f t="shared" si="51"/>
        <v>605.5</v>
      </c>
      <c r="AA189">
        <f t="shared" si="52"/>
        <v>94.5</v>
      </c>
      <c r="AB189">
        <f t="shared" si="53"/>
        <v>118.5</v>
      </c>
      <c r="AC189">
        <f t="shared" si="54"/>
        <v>8053.5</v>
      </c>
      <c r="AD189">
        <f t="shared" si="55"/>
        <v>6585</v>
      </c>
      <c r="AE189">
        <f t="shared" si="56"/>
        <v>1380.5</v>
      </c>
      <c r="AF189">
        <f t="shared" si="57"/>
        <v>1627.5</v>
      </c>
      <c r="AG189" s="9">
        <v>41057006</v>
      </c>
      <c r="AH189" s="31">
        <v>476</v>
      </c>
      <c r="AI189" s="31">
        <v>473</v>
      </c>
      <c r="AJ189" s="37">
        <v>3</v>
      </c>
      <c r="AK189" s="37">
        <v>0.63424947145877375</v>
      </c>
      <c r="AL189" s="36">
        <v>52</v>
      </c>
      <c r="AM189" s="36">
        <v>77</v>
      </c>
      <c r="AN189" s="37">
        <v>-25</v>
      </c>
      <c r="AO189" s="37">
        <v>-32.467532467532465</v>
      </c>
      <c r="AP189" s="38">
        <v>5761.5</v>
      </c>
      <c r="AQ189" s="39">
        <v>4789</v>
      </c>
      <c r="AR189" s="37">
        <v>972.5</v>
      </c>
      <c r="AS189" s="37">
        <v>20.306953434955105</v>
      </c>
      <c r="AT189" s="36">
        <v>878.5</v>
      </c>
      <c r="AU189" s="36">
        <v>1053</v>
      </c>
      <c r="AV189" s="37">
        <v>-174.5</v>
      </c>
      <c r="AW189" s="37">
        <v>-16.571699905033238</v>
      </c>
      <c r="AX189" s="5">
        <v>186851</v>
      </c>
      <c r="AY189" t="str">
        <f t="shared" si="58"/>
        <v>GARG-VIJAY-NEW HARYANA</v>
      </c>
      <c r="AZ189" t="str">
        <f t="shared" si="59"/>
        <v>Rohtak Road</v>
      </c>
      <c r="BC189" s="9">
        <v>41057006</v>
      </c>
      <c r="BD189" s="9" t="s">
        <v>380</v>
      </c>
      <c r="BE189" s="48" t="s">
        <v>547</v>
      </c>
      <c r="BF189" s="14" t="s">
        <v>548</v>
      </c>
      <c r="BG189" s="10" t="s">
        <v>81</v>
      </c>
      <c r="BH189" s="10" t="s">
        <v>184</v>
      </c>
      <c r="BI189" s="12" t="s">
        <v>184</v>
      </c>
      <c r="BJ189" s="51" t="s">
        <v>141</v>
      </c>
    </row>
    <row r="190" spans="1:62" ht="48.5" x14ac:dyDescent="0.35">
      <c r="A190">
        <v>112417</v>
      </c>
      <c r="B190" s="84">
        <f t="shared" si="40"/>
        <v>425.5</v>
      </c>
      <c r="C190" s="84">
        <f t="shared" si="41"/>
        <v>446.5</v>
      </c>
      <c r="E190" s="5">
        <v>106369</v>
      </c>
      <c r="F190" s="19">
        <v>185</v>
      </c>
      <c r="G190" s="19">
        <v>214.5</v>
      </c>
      <c r="H190" s="19">
        <v>168.5</v>
      </c>
      <c r="I190" s="19">
        <v>182.5</v>
      </c>
      <c r="J190" s="19">
        <v>143.5</v>
      </c>
      <c r="K190" s="19">
        <v>165.5</v>
      </c>
      <c r="L190" s="19">
        <v>145</v>
      </c>
      <c r="M190" s="19">
        <v>147.5</v>
      </c>
      <c r="N190" s="9">
        <v>41027003</v>
      </c>
      <c r="O190">
        <f t="shared" si="42"/>
        <v>155</v>
      </c>
      <c r="P190">
        <f t="shared" si="43"/>
        <v>165.5</v>
      </c>
      <c r="Q190">
        <f t="shared" si="44"/>
        <v>65</v>
      </c>
      <c r="R190">
        <f t="shared" si="45"/>
        <v>82.5</v>
      </c>
      <c r="S190">
        <f t="shared" si="46"/>
        <v>162</v>
      </c>
      <c r="T190">
        <f t="shared" si="47"/>
        <v>130</v>
      </c>
      <c r="U190">
        <f t="shared" si="48"/>
        <v>74</v>
      </c>
      <c r="V190">
        <f t="shared" si="49"/>
        <v>60</v>
      </c>
      <c r="X190" s="5">
        <v>102112</v>
      </c>
      <c r="Y190">
        <f t="shared" si="50"/>
        <v>589.5</v>
      </c>
      <c r="Z190">
        <f t="shared" si="51"/>
        <v>522</v>
      </c>
      <c r="AA190">
        <f t="shared" si="52"/>
        <v>112.5</v>
      </c>
      <c r="AB190">
        <f t="shared" si="53"/>
        <v>108</v>
      </c>
      <c r="AC190">
        <f t="shared" si="54"/>
        <v>6826.5</v>
      </c>
      <c r="AD190">
        <f t="shared" si="55"/>
        <v>5112</v>
      </c>
      <c r="AE190">
        <f t="shared" si="56"/>
        <v>1327.5</v>
      </c>
      <c r="AF190">
        <f t="shared" si="57"/>
        <v>1386</v>
      </c>
      <c r="AG190" s="9">
        <v>41027003</v>
      </c>
      <c r="AH190" s="31">
        <v>155</v>
      </c>
      <c r="AI190" s="31">
        <v>165.5</v>
      </c>
      <c r="AJ190" s="37">
        <v>-10.5</v>
      </c>
      <c r="AK190" s="37">
        <v>-6.3444108761329305</v>
      </c>
      <c r="AL190" s="36">
        <v>65</v>
      </c>
      <c r="AM190" s="36">
        <v>82.5</v>
      </c>
      <c r="AN190" s="37">
        <v>-17.5</v>
      </c>
      <c r="AO190" s="37">
        <v>-21.212121212121211</v>
      </c>
      <c r="AP190" s="38">
        <v>2078.5</v>
      </c>
      <c r="AQ190" s="39">
        <v>1640.5</v>
      </c>
      <c r="AR190" s="37">
        <v>438</v>
      </c>
      <c r="AS190" s="37">
        <v>26.699177080158488</v>
      </c>
      <c r="AT190" s="36">
        <v>944.5</v>
      </c>
      <c r="AU190" s="36">
        <v>771</v>
      </c>
      <c r="AV190" s="37">
        <v>173.5</v>
      </c>
      <c r="AW190" s="37">
        <v>22.50324254215305</v>
      </c>
      <c r="AX190" s="5">
        <v>106369</v>
      </c>
      <c r="AY190" t="str">
        <f t="shared" si="58"/>
        <v>White Patch_Nangloi_Najafgarh</v>
      </c>
      <c r="AZ190" t="str">
        <f t="shared" si="59"/>
        <v>Nazafgarh-Kapashera</v>
      </c>
      <c r="BC190" s="9">
        <v>41027003</v>
      </c>
      <c r="BD190" s="9" t="s">
        <v>380</v>
      </c>
      <c r="BE190" s="48" t="s">
        <v>549</v>
      </c>
      <c r="BF190" s="14" t="s">
        <v>550</v>
      </c>
      <c r="BG190" s="10" t="s">
        <v>85</v>
      </c>
      <c r="BH190" s="10" t="s">
        <v>303</v>
      </c>
      <c r="BI190" s="12" t="s">
        <v>303</v>
      </c>
      <c r="BJ190" s="51" t="s">
        <v>304</v>
      </c>
    </row>
    <row r="191" spans="1:62" ht="36.5" x14ac:dyDescent="0.35">
      <c r="A191">
        <v>106291</v>
      </c>
      <c r="B191" s="84">
        <f t="shared" si="40"/>
        <v>240</v>
      </c>
      <c r="C191" s="84">
        <f t="shared" si="41"/>
        <v>248</v>
      </c>
      <c r="E191" s="5">
        <v>305316</v>
      </c>
      <c r="F191" s="19">
        <v>293</v>
      </c>
      <c r="G191" s="19">
        <v>350.5</v>
      </c>
      <c r="H191" s="19">
        <v>256.5</v>
      </c>
      <c r="I191" s="19">
        <v>294.5</v>
      </c>
      <c r="J191" s="19">
        <v>31.5</v>
      </c>
      <c r="K191" s="19">
        <v>35.5</v>
      </c>
      <c r="L191" s="19">
        <v>27</v>
      </c>
      <c r="M191" s="19">
        <v>41.5</v>
      </c>
      <c r="N191" s="9">
        <v>41056992</v>
      </c>
      <c r="O191">
        <f t="shared" si="42"/>
        <v>270</v>
      </c>
      <c r="P191">
        <f t="shared" si="43"/>
        <v>274.5</v>
      </c>
      <c r="Q191">
        <f t="shared" si="44"/>
        <v>54</v>
      </c>
      <c r="R191">
        <f t="shared" si="45"/>
        <v>81</v>
      </c>
      <c r="S191">
        <f t="shared" si="46"/>
        <v>256.5</v>
      </c>
      <c r="T191">
        <f t="shared" si="47"/>
        <v>261</v>
      </c>
      <c r="U191">
        <f t="shared" si="48"/>
        <v>49.5</v>
      </c>
      <c r="V191">
        <f t="shared" si="49"/>
        <v>81</v>
      </c>
      <c r="X191" s="3">
        <v>148413</v>
      </c>
      <c r="Y191">
        <f t="shared" si="50"/>
        <v>380</v>
      </c>
      <c r="Z191">
        <f t="shared" si="51"/>
        <v>350</v>
      </c>
      <c r="AA191">
        <f t="shared" si="52"/>
        <v>40</v>
      </c>
      <c r="AB191">
        <f t="shared" si="53"/>
        <v>50</v>
      </c>
      <c r="AC191">
        <f t="shared" si="54"/>
        <v>4545</v>
      </c>
      <c r="AD191">
        <f t="shared" si="55"/>
        <v>3651</v>
      </c>
      <c r="AE191">
        <f t="shared" si="56"/>
        <v>555</v>
      </c>
      <c r="AF191">
        <f t="shared" si="57"/>
        <v>640</v>
      </c>
      <c r="AG191" s="9">
        <v>41056992</v>
      </c>
      <c r="AH191" s="31">
        <v>270</v>
      </c>
      <c r="AI191" s="31">
        <v>274.5</v>
      </c>
      <c r="AJ191" s="37">
        <v>-4.5</v>
      </c>
      <c r="AK191" s="37">
        <v>-1.639344262295082</v>
      </c>
      <c r="AL191" s="36">
        <v>54</v>
      </c>
      <c r="AM191" s="36">
        <v>81</v>
      </c>
      <c r="AN191" s="37">
        <v>-27</v>
      </c>
      <c r="AO191" s="37">
        <v>-33.333333333333329</v>
      </c>
      <c r="AP191" s="38">
        <v>3384</v>
      </c>
      <c r="AQ191" s="39">
        <v>2853</v>
      </c>
      <c r="AR191" s="37">
        <v>531</v>
      </c>
      <c r="AS191" s="37">
        <v>18.611987381703472</v>
      </c>
      <c r="AT191" s="36">
        <v>810</v>
      </c>
      <c r="AU191" s="36">
        <v>963</v>
      </c>
      <c r="AV191" s="37">
        <v>-153</v>
      </c>
      <c r="AW191" s="37">
        <v>-15.887850467289718</v>
      </c>
      <c r="AX191" s="5">
        <v>305316</v>
      </c>
      <c r="AY191" t="str">
        <f t="shared" si="58"/>
        <v>SHIV SS</v>
      </c>
      <c r="AZ191" t="str">
        <f t="shared" si="59"/>
        <v>Dwarka</v>
      </c>
      <c r="BC191" s="9">
        <v>41056992</v>
      </c>
      <c r="BD191" s="9" t="s">
        <v>380</v>
      </c>
      <c r="BE191" s="47" t="s">
        <v>551</v>
      </c>
      <c r="BF191" s="14" t="s">
        <v>552</v>
      </c>
      <c r="BG191" s="10" t="s">
        <v>187</v>
      </c>
      <c r="BH191" s="10" t="s">
        <v>366</v>
      </c>
      <c r="BI191" s="12" t="s">
        <v>366</v>
      </c>
      <c r="BJ191" s="51" t="s">
        <v>367</v>
      </c>
    </row>
    <row r="192" spans="1:62" ht="36.5" x14ac:dyDescent="0.35">
      <c r="A192">
        <v>102096</v>
      </c>
      <c r="B192" s="84">
        <f t="shared" si="40"/>
        <v>145</v>
      </c>
      <c r="C192" s="84">
        <f t="shared" si="41"/>
        <v>138.5</v>
      </c>
      <c r="E192" s="5">
        <v>186846</v>
      </c>
      <c r="F192" s="19">
        <v>265</v>
      </c>
      <c r="G192" s="19">
        <v>304</v>
      </c>
      <c r="H192" s="19">
        <v>257.5</v>
      </c>
      <c r="I192" s="19">
        <v>291</v>
      </c>
      <c r="J192" s="19">
        <v>80.5</v>
      </c>
      <c r="K192" s="19">
        <v>81</v>
      </c>
      <c r="L192" s="19">
        <v>75</v>
      </c>
      <c r="M192" s="19">
        <v>80</v>
      </c>
      <c r="N192" s="9">
        <v>41057013</v>
      </c>
      <c r="O192">
        <f t="shared" si="42"/>
        <v>262</v>
      </c>
      <c r="P192">
        <f t="shared" si="43"/>
        <v>275</v>
      </c>
      <c r="Q192">
        <f t="shared" si="44"/>
        <v>18</v>
      </c>
      <c r="R192">
        <f t="shared" si="45"/>
        <v>22</v>
      </c>
      <c r="S192">
        <f t="shared" si="46"/>
        <v>265.5</v>
      </c>
      <c r="T192">
        <f t="shared" si="47"/>
        <v>241</v>
      </c>
      <c r="U192">
        <f t="shared" si="48"/>
        <v>22.5</v>
      </c>
      <c r="V192">
        <f t="shared" si="49"/>
        <v>23</v>
      </c>
      <c r="X192" s="5">
        <v>106261</v>
      </c>
      <c r="Y192">
        <f t="shared" si="50"/>
        <v>440</v>
      </c>
      <c r="Z192">
        <f t="shared" si="51"/>
        <v>387</v>
      </c>
      <c r="AA192">
        <f t="shared" si="52"/>
        <v>100</v>
      </c>
      <c r="AB192">
        <f t="shared" si="53"/>
        <v>111</v>
      </c>
      <c r="AC192">
        <f t="shared" si="54"/>
        <v>4890</v>
      </c>
      <c r="AD192">
        <f t="shared" si="55"/>
        <v>3924</v>
      </c>
      <c r="AE192">
        <f t="shared" si="56"/>
        <v>1270</v>
      </c>
      <c r="AF192">
        <f t="shared" si="57"/>
        <v>1366.5</v>
      </c>
      <c r="AG192" s="9">
        <v>41057013</v>
      </c>
      <c r="AH192" s="31">
        <v>262</v>
      </c>
      <c r="AI192" s="31">
        <v>275</v>
      </c>
      <c r="AJ192" s="37">
        <v>-13</v>
      </c>
      <c r="AK192" s="37">
        <v>-4.7272727272727275</v>
      </c>
      <c r="AL192" s="36">
        <v>18</v>
      </c>
      <c r="AM192" s="36">
        <v>22</v>
      </c>
      <c r="AN192" s="37">
        <v>-4</v>
      </c>
      <c r="AO192" s="37">
        <v>-18.181818181818183</v>
      </c>
      <c r="AP192" s="38">
        <v>3365.5</v>
      </c>
      <c r="AQ192" s="39">
        <v>2685.5</v>
      </c>
      <c r="AR192" s="37">
        <v>680</v>
      </c>
      <c r="AS192" s="37">
        <v>25.32116924222677</v>
      </c>
      <c r="AT192" s="36">
        <v>279.5</v>
      </c>
      <c r="AU192" s="36">
        <v>327.5</v>
      </c>
      <c r="AV192" s="37">
        <v>-48</v>
      </c>
      <c r="AW192" s="37">
        <v>-14.656488549618322</v>
      </c>
      <c r="AX192" s="5">
        <v>186846</v>
      </c>
      <c r="AY192" t="str">
        <f t="shared" si="58"/>
        <v>BP VASANT VIHAR</v>
      </c>
      <c r="AZ192" t="str">
        <f t="shared" si="59"/>
        <v>Outer Ring Road</v>
      </c>
      <c r="BC192" s="9">
        <v>41057013</v>
      </c>
      <c r="BD192" s="9" t="s">
        <v>380</v>
      </c>
      <c r="BE192" s="48" t="s">
        <v>553</v>
      </c>
      <c r="BF192" s="14" t="s">
        <v>552</v>
      </c>
      <c r="BG192" s="10" t="s">
        <v>187</v>
      </c>
      <c r="BH192" s="10" t="s">
        <v>366</v>
      </c>
      <c r="BI192" s="12" t="s">
        <v>366</v>
      </c>
      <c r="BJ192" s="51" t="s">
        <v>367</v>
      </c>
    </row>
    <row r="193" spans="1:62" ht="60.5" x14ac:dyDescent="0.35">
      <c r="A193">
        <v>112418</v>
      </c>
      <c r="B193" s="84">
        <f t="shared" si="40"/>
        <v>294.5</v>
      </c>
      <c r="C193" s="84">
        <f t="shared" si="41"/>
        <v>312.5</v>
      </c>
      <c r="E193" s="5">
        <v>186863</v>
      </c>
      <c r="F193" s="19">
        <v>117</v>
      </c>
      <c r="G193" s="19">
        <v>188.5</v>
      </c>
      <c r="H193" s="19">
        <v>181.5</v>
      </c>
      <c r="I193" s="19">
        <v>138</v>
      </c>
      <c r="J193" s="19">
        <v>40.5</v>
      </c>
      <c r="K193" s="19">
        <v>36</v>
      </c>
      <c r="L193" s="19">
        <v>27</v>
      </c>
      <c r="M193" s="19">
        <v>35.5</v>
      </c>
      <c r="N193" s="9">
        <v>41019316</v>
      </c>
      <c r="O193">
        <f t="shared" si="42"/>
        <v>824</v>
      </c>
      <c r="P193">
        <f t="shared" si="43"/>
        <v>770</v>
      </c>
      <c r="Q193">
        <f t="shared" si="44"/>
        <v>113</v>
      </c>
      <c r="R193">
        <f t="shared" si="45"/>
        <v>165</v>
      </c>
      <c r="S193">
        <f t="shared" si="46"/>
        <v>746</v>
      </c>
      <c r="T193">
        <f t="shared" si="47"/>
        <v>667.5</v>
      </c>
      <c r="U193">
        <f t="shared" si="48"/>
        <v>145</v>
      </c>
      <c r="V193">
        <f t="shared" si="49"/>
        <v>142.5</v>
      </c>
      <c r="X193" s="5">
        <v>106336</v>
      </c>
      <c r="Y193">
        <f t="shared" si="50"/>
        <v>823</v>
      </c>
      <c r="Z193">
        <f t="shared" si="51"/>
        <v>775</v>
      </c>
      <c r="AA193">
        <f t="shared" si="52"/>
        <v>109</v>
      </c>
      <c r="AB193">
        <f t="shared" si="53"/>
        <v>105</v>
      </c>
      <c r="AC193">
        <f t="shared" si="54"/>
        <v>9572</v>
      </c>
      <c r="AD193">
        <f t="shared" si="55"/>
        <v>8076</v>
      </c>
      <c r="AE193">
        <f t="shared" si="56"/>
        <v>1202</v>
      </c>
      <c r="AF193">
        <f t="shared" si="57"/>
        <v>1294</v>
      </c>
      <c r="AG193" s="9">
        <v>41019316</v>
      </c>
      <c r="AH193" s="31">
        <v>824</v>
      </c>
      <c r="AI193" s="31">
        <v>770</v>
      </c>
      <c r="AJ193" s="37">
        <v>54</v>
      </c>
      <c r="AK193" s="37">
        <v>7.0129870129870122</v>
      </c>
      <c r="AL193" s="36">
        <v>113</v>
      </c>
      <c r="AM193" s="36">
        <v>165</v>
      </c>
      <c r="AN193" s="37">
        <v>-52</v>
      </c>
      <c r="AO193" s="37">
        <v>-31.515151515151512</v>
      </c>
      <c r="AP193" s="38">
        <v>9650</v>
      </c>
      <c r="AQ193" s="39">
        <v>7963</v>
      </c>
      <c r="AR193" s="37">
        <v>1687</v>
      </c>
      <c r="AS193" s="37">
        <v>21.185482858219267</v>
      </c>
      <c r="AT193" s="36">
        <v>1836</v>
      </c>
      <c r="AU193" s="36">
        <v>2131.5</v>
      </c>
      <c r="AV193" s="37">
        <v>-295.5</v>
      </c>
      <c r="AW193" s="37">
        <v>-13.863476425052779</v>
      </c>
      <c r="AX193" s="5">
        <v>186863</v>
      </c>
      <c r="AY193" t="str">
        <f t="shared" si="58"/>
        <v>White Patch_Merrut Expressway</v>
      </c>
      <c r="AZ193" t="str">
        <f t="shared" si="59"/>
        <v>Mayur Vihar -Anand Vihar -Preet Vihar</v>
      </c>
      <c r="BC193" s="9">
        <v>41019316</v>
      </c>
      <c r="BD193" s="9" t="s">
        <v>380</v>
      </c>
      <c r="BE193" s="47" t="s">
        <v>554</v>
      </c>
      <c r="BF193" s="14" t="s">
        <v>555</v>
      </c>
      <c r="BG193" s="10" t="s">
        <v>85</v>
      </c>
      <c r="BH193" s="10" t="s">
        <v>556</v>
      </c>
      <c r="BI193" s="12" t="s">
        <v>556</v>
      </c>
      <c r="BJ193" s="51" t="s">
        <v>105</v>
      </c>
    </row>
    <row r="194" spans="1:62" ht="36.5" x14ac:dyDescent="0.35">
      <c r="A194">
        <v>112419</v>
      </c>
      <c r="B194" s="84">
        <f t="shared" si="40"/>
        <v>370</v>
      </c>
      <c r="C194" s="84">
        <f t="shared" si="41"/>
        <v>399</v>
      </c>
      <c r="E194" s="5">
        <v>255817</v>
      </c>
      <c r="F194" s="19">
        <v>279.5</v>
      </c>
      <c r="G194" s="19">
        <v>296</v>
      </c>
      <c r="H194" s="19">
        <v>226</v>
      </c>
      <c r="I194" s="19">
        <v>266</v>
      </c>
      <c r="J194" s="19">
        <v>41</v>
      </c>
      <c r="K194" s="19">
        <v>57</v>
      </c>
      <c r="L194" s="19">
        <v>47.5</v>
      </c>
      <c r="M194" s="19">
        <v>55.5</v>
      </c>
      <c r="N194" s="9">
        <v>41032462</v>
      </c>
      <c r="O194">
        <f t="shared" si="42"/>
        <v>402</v>
      </c>
      <c r="P194">
        <f t="shared" si="43"/>
        <v>334</v>
      </c>
      <c r="Q194">
        <f t="shared" si="44"/>
        <v>104</v>
      </c>
      <c r="R194">
        <f t="shared" si="45"/>
        <v>90</v>
      </c>
      <c r="S194">
        <f t="shared" si="46"/>
        <v>347</v>
      </c>
      <c r="T194">
        <f t="shared" si="47"/>
        <v>279.5</v>
      </c>
      <c r="U194">
        <f t="shared" si="48"/>
        <v>93</v>
      </c>
      <c r="V194">
        <f t="shared" si="49"/>
        <v>60.5</v>
      </c>
      <c r="X194" s="11">
        <v>41056842</v>
      </c>
      <c r="Y194">
        <f t="shared" si="50"/>
        <v>378.92469</v>
      </c>
      <c r="Z194">
        <f t="shared" si="51"/>
        <v>359.99400000000009</v>
      </c>
      <c r="AA194">
        <f t="shared" si="52"/>
        <v>118.82</v>
      </c>
      <c r="AB194">
        <f t="shared" si="53"/>
        <v>136.75899999999999</v>
      </c>
      <c r="AC194">
        <f t="shared" si="54"/>
        <v>4498.4003199999997</v>
      </c>
      <c r="AD194">
        <f t="shared" si="55"/>
        <v>3701.6773190000004</v>
      </c>
      <c r="AE194">
        <f t="shared" si="56"/>
        <v>1465.1052799999998</v>
      </c>
      <c r="AF194">
        <f t="shared" si="57"/>
        <v>1600.9568199999994</v>
      </c>
      <c r="AG194" s="9">
        <v>41032462</v>
      </c>
      <c r="AH194" s="31">
        <v>402</v>
      </c>
      <c r="AI194" s="31">
        <v>334</v>
      </c>
      <c r="AJ194" s="37">
        <v>68</v>
      </c>
      <c r="AK194" s="37">
        <v>20.359281437125748</v>
      </c>
      <c r="AL194" s="36">
        <v>104</v>
      </c>
      <c r="AM194" s="36">
        <v>90</v>
      </c>
      <c r="AN194" s="37">
        <v>14</v>
      </c>
      <c r="AO194" s="37">
        <v>15.555555555555555</v>
      </c>
      <c r="AP194" s="38">
        <v>4284</v>
      </c>
      <c r="AQ194" s="39">
        <v>3613.5</v>
      </c>
      <c r="AR194" s="37">
        <v>670.5</v>
      </c>
      <c r="AS194" s="37">
        <v>18.55541718555417</v>
      </c>
      <c r="AT194" s="36">
        <v>1128</v>
      </c>
      <c r="AU194" s="36">
        <v>1216</v>
      </c>
      <c r="AV194" s="37">
        <v>-88</v>
      </c>
      <c r="AW194" s="37">
        <v>-7.2368421052631584</v>
      </c>
      <c r="AX194" s="5">
        <v>255817</v>
      </c>
      <c r="AY194" t="str">
        <f t="shared" si="58"/>
        <v>White Patch_Dhaula Kuan_NH8</v>
      </c>
      <c r="AZ194" t="str">
        <f t="shared" si="59"/>
        <v>Dwarka</v>
      </c>
      <c r="BC194" s="9">
        <v>41032462</v>
      </c>
      <c r="BD194" s="9" t="s">
        <v>380</v>
      </c>
      <c r="BE194" s="47" t="s">
        <v>557</v>
      </c>
      <c r="BF194" s="14" t="s">
        <v>389</v>
      </c>
      <c r="BG194" s="10" t="s">
        <v>89</v>
      </c>
      <c r="BH194" s="10" t="s">
        <v>342</v>
      </c>
      <c r="BI194" s="12" t="s">
        <v>342</v>
      </c>
      <c r="BJ194" s="51" t="s">
        <v>205</v>
      </c>
    </row>
    <row r="195" spans="1:62" ht="36.5" x14ac:dyDescent="0.35">
      <c r="A195">
        <v>186866</v>
      </c>
      <c r="B195" s="84">
        <f t="shared" ref="B195:B258" si="60">VLOOKUP(A195,E$2:G$399,2,FALSE)</f>
        <v>725</v>
      </c>
      <c r="C195" s="84">
        <f t="shared" ref="C195:C258" si="61">VLOOKUP(A195,E$2:G$399,3,FALSE)</f>
        <v>809</v>
      </c>
      <c r="E195" s="5">
        <v>106320</v>
      </c>
      <c r="F195" s="19">
        <v>196</v>
      </c>
      <c r="G195" s="19">
        <v>207</v>
      </c>
      <c r="H195" s="19">
        <v>144</v>
      </c>
      <c r="I195" s="19">
        <v>177.5</v>
      </c>
      <c r="J195" s="19">
        <v>48</v>
      </c>
      <c r="K195" s="19">
        <v>56.5</v>
      </c>
      <c r="L195" s="19">
        <v>92</v>
      </c>
      <c r="M195" s="19">
        <v>109</v>
      </c>
      <c r="N195" s="9">
        <v>41057000</v>
      </c>
      <c r="O195">
        <f t="shared" ref="O195:O258" si="62">VLOOKUP(N195,E$2:M$399,3,FALSE)</f>
        <v>353</v>
      </c>
      <c r="P195">
        <f t="shared" ref="P195:P258" si="63">VLOOKUP(N195,E$2:M$399,5,FALSE)</f>
        <v>337</v>
      </c>
      <c r="Q195">
        <f t="shared" ref="Q195:Q258" si="64">VLOOKUP(N195,E$2:M$399,9,FALSE)</f>
        <v>53</v>
      </c>
      <c r="R195">
        <f t="shared" ref="R195:R258" si="65">VLOOKUP(N195,E$2:M$399,7,FALSE)</f>
        <v>48</v>
      </c>
      <c r="S195">
        <f t="shared" ref="S195:S258" si="66">VLOOKUP(N195,E$2:M$399,2,FALSE)</f>
        <v>309</v>
      </c>
      <c r="T195">
        <f t="shared" ref="T195:T258" si="67">VLOOKUP(N195,E$2:M$399,4,FALSE)</f>
        <v>307</v>
      </c>
      <c r="U195">
        <f t="shared" ref="U195:U258" si="68">VLOOKUP(N195,E$2:M$399,8,FALSE)</f>
        <v>39</v>
      </c>
      <c r="V195">
        <f t="shared" ref="V195:V258" si="69">VLOOKUP(N195,E$2:M$399,6,FALSE)</f>
        <v>44</v>
      </c>
      <c r="X195" s="3">
        <v>147286</v>
      </c>
      <c r="Y195">
        <f t="shared" ref="Y195:Y258" si="70">VLOOKUP(X195,AG$2:AI$398,2,FALSE)</f>
        <v>351</v>
      </c>
      <c r="Z195">
        <f t="shared" ref="Z195:Z258" si="71">VLOOKUP(X195,AG$2:AI$398,3,FALSE)</f>
        <v>355.5</v>
      </c>
      <c r="AA195">
        <f t="shared" ref="AA195:AA258" si="72">VLOOKUP(X195,AG$2:AM$398,6,FALSE)</f>
        <v>27</v>
      </c>
      <c r="AB195">
        <f t="shared" ref="AB195:AB258" si="73">VLOOKUP(X195,AG$2:AM$398,7,FALSE)</f>
        <v>40.5</v>
      </c>
      <c r="AC195">
        <f t="shared" ref="AC195:AC258" si="74">VLOOKUP(X195,AG$2:AU$398,10,FALSE)</f>
        <v>4079.5</v>
      </c>
      <c r="AD195">
        <f t="shared" ref="AD195:AD258" si="75">VLOOKUP(X195,AG$2:AU$398,11,FALSE)</f>
        <v>3655.5000039999995</v>
      </c>
      <c r="AE195">
        <f t="shared" ref="AE195:AE258" si="76">VLOOKUP(X195,AG$2:AU$398,14,FALSE)</f>
        <v>460.5</v>
      </c>
      <c r="AF195">
        <f t="shared" ref="AF195:AF258" si="77">VLOOKUP(X195,AG$2:AU$398,15,FALSE)</f>
        <v>600</v>
      </c>
      <c r="AG195" s="9">
        <v>41057000</v>
      </c>
      <c r="AH195" s="31">
        <v>353</v>
      </c>
      <c r="AI195" s="31">
        <v>337</v>
      </c>
      <c r="AJ195" s="37">
        <v>16</v>
      </c>
      <c r="AK195" s="37">
        <v>4.7477744807121667</v>
      </c>
      <c r="AL195" s="36">
        <v>53</v>
      </c>
      <c r="AM195" s="36">
        <v>48</v>
      </c>
      <c r="AN195" s="37">
        <v>5</v>
      </c>
      <c r="AO195" s="37">
        <v>10.416666666666668</v>
      </c>
      <c r="AP195" s="38">
        <v>4233.5</v>
      </c>
      <c r="AQ195" s="39">
        <v>3473</v>
      </c>
      <c r="AR195" s="37">
        <v>760.5</v>
      </c>
      <c r="AS195" s="37">
        <v>21.897494961128707</v>
      </c>
      <c r="AT195" s="36">
        <v>528.5</v>
      </c>
      <c r="AU195" s="36">
        <v>587</v>
      </c>
      <c r="AV195" s="37">
        <v>-58.5</v>
      </c>
      <c r="AW195" s="37">
        <v>-9.965928449744462</v>
      </c>
      <c r="AX195" s="5">
        <v>106320</v>
      </c>
      <c r="AY195" t="str">
        <f t="shared" ref="AY195:AY258" si="78">VLOOKUP(AX195,BC$2:BJ$398,6,FALSE)</f>
        <v>BP VASANT VIHAR</v>
      </c>
      <c r="AZ195" t="str">
        <f t="shared" ref="AZ195:AZ258" si="79">VLOOKUP(AX195,BC$2:BJ$398,8,FALSE)</f>
        <v>Outer Ring Road</v>
      </c>
      <c r="BC195" s="9">
        <v>41057000</v>
      </c>
      <c r="BD195" s="9" t="s">
        <v>380</v>
      </c>
      <c r="BE195" s="47" t="s">
        <v>558</v>
      </c>
      <c r="BF195" s="14" t="s">
        <v>559</v>
      </c>
      <c r="BG195" s="10" t="s">
        <v>187</v>
      </c>
      <c r="BH195" s="10" t="s">
        <v>560</v>
      </c>
      <c r="BI195" s="12" t="s">
        <v>315</v>
      </c>
      <c r="BJ195" s="51" t="s">
        <v>178</v>
      </c>
    </row>
    <row r="196" spans="1:62" ht="48.5" x14ac:dyDescent="0.35">
      <c r="A196">
        <v>41056828</v>
      </c>
      <c r="B196" s="84">
        <f t="shared" si="60"/>
        <v>282</v>
      </c>
      <c r="C196" s="84">
        <f t="shared" si="61"/>
        <v>278.5</v>
      </c>
      <c r="E196" s="5">
        <v>106299</v>
      </c>
      <c r="F196" s="19">
        <v>72</v>
      </c>
      <c r="G196" s="19">
        <v>78</v>
      </c>
      <c r="H196" s="19">
        <v>78</v>
      </c>
      <c r="I196" s="19">
        <v>80</v>
      </c>
      <c r="J196" s="19">
        <v>17</v>
      </c>
      <c r="K196" s="19">
        <v>16.5</v>
      </c>
      <c r="L196" s="19">
        <v>16</v>
      </c>
      <c r="M196" s="19">
        <v>16</v>
      </c>
      <c r="N196" s="9">
        <v>41019284</v>
      </c>
      <c r="O196">
        <f t="shared" si="62"/>
        <v>255</v>
      </c>
      <c r="P196">
        <f t="shared" si="63"/>
        <v>224</v>
      </c>
      <c r="Q196">
        <f t="shared" si="64"/>
        <v>53</v>
      </c>
      <c r="R196">
        <f t="shared" si="65"/>
        <v>41</v>
      </c>
      <c r="S196">
        <f t="shared" si="66"/>
        <v>206</v>
      </c>
      <c r="T196">
        <f t="shared" si="67"/>
        <v>183</v>
      </c>
      <c r="U196">
        <f t="shared" si="68"/>
        <v>36</v>
      </c>
      <c r="V196">
        <f t="shared" si="69"/>
        <v>33</v>
      </c>
      <c r="X196" s="5">
        <v>356501</v>
      </c>
      <c r="Y196">
        <f t="shared" si="70"/>
        <v>160</v>
      </c>
      <c r="Z196">
        <f t="shared" si="71"/>
        <v>135</v>
      </c>
      <c r="AA196">
        <f t="shared" si="72"/>
        <v>112</v>
      </c>
      <c r="AB196">
        <f t="shared" si="73"/>
        <v>69</v>
      </c>
      <c r="AC196">
        <f t="shared" si="74"/>
        <v>1788</v>
      </c>
      <c r="AD196">
        <f t="shared" si="75"/>
        <v>1375.5</v>
      </c>
      <c r="AE196">
        <f t="shared" si="76"/>
        <v>1164</v>
      </c>
      <c r="AF196">
        <f t="shared" si="77"/>
        <v>1099</v>
      </c>
      <c r="AG196" s="9">
        <v>41019284</v>
      </c>
      <c r="AH196" s="31">
        <v>255</v>
      </c>
      <c r="AI196" s="31">
        <v>224</v>
      </c>
      <c r="AJ196" s="37">
        <v>31</v>
      </c>
      <c r="AK196" s="37">
        <v>13.839285714285715</v>
      </c>
      <c r="AL196" s="36">
        <v>53</v>
      </c>
      <c r="AM196" s="36">
        <v>41</v>
      </c>
      <c r="AN196" s="37">
        <v>12</v>
      </c>
      <c r="AO196" s="37">
        <v>29.268292682926827</v>
      </c>
      <c r="AP196" s="38">
        <v>2822</v>
      </c>
      <c r="AQ196" s="39">
        <v>2265.5</v>
      </c>
      <c r="AR196" s="37">
        <v>556.5</v>
      </c>
      <c r="AS196" s="37">
        <v>24.564113882145222</v>
      </c>
      <c r="AT196" s="36">
        <v>502</v>
      </c>
      <c r="AU196" s="36">
        <v>544.5</v>
      </c>
      <c r="AV196" s="37">
        <v>-42.5</v>
      </c>
      <c r="AW196" s="37">
        <v>-7.8053259871441698</v>
      </c>
      <c r="AX196" s="5">
        <v>106299</v>
      </c>
      <c r="AY196" t="str">
        <f t="shared" si="78"/>
        <v>BCC_KAMLA_NATIONAL_MODERN_SONDHI</v>
      </c>
      <c r="AZ196" t="str">
        <f t="shared" si="79"/>
        <v>Lutyens</v>
      </c>
      <c r="BC196" s="9">
        <v>41019284</v>
      </c>
      <c r="BD196" s="9" t="s">
        <v>380</v>
      </c>
      <c r="BE196" s="47" t="s">
        <v>561</v>
      </c>
      <c r="BF196" s="14" t="s">
        <v>562</v>
      </c>
      <c r="BG196" s="10" t="s">
        <v>89</v>
      </c>
      <c r="BH196" s="10" t="s">
        <v>538</v>
      </c>
      <c r="BI196" s="12" t="s">
        <v>906</v>
      </c>
      <c r="BJ196" s="51" t="s">
        <v>1007</v>
      </c>
    </row>
    <row r="197" spans="1:62" ht="36.5" x14ac:dyDescent="0.35">
      <c r="A197">
        <v>354260</v>
      </c>
      <c r="B197" s="84">
        <f t="shared" si="60"/>
        <v>165</v>
      </c>
      <c r="C197" s="84">
        <f t="shared" si="61"/>
        <v>179.5</v>
      </c>
      <c r="E197" s="7">
        <v>142929</v>
      </c>
      <c r="F197" s="19">
        <v>59</v>
      </c>
      <c r="G197" s="19">
        <v>72.5</v>
      </c>
      <c r="H197" s="19">
        <v>73.5</v>
      </c>
      <c r="I197" s="19">
        <v>65</v>
      </c>
      <c r="J197" s="19">
        <v>64.5</v>
      </c>
      <c r="K197" s="19">
        <v>91</v>
      </c>
      <c r="L197" s="19">
        <v>67</v>
      </c>
      <c r="M197" s="19">
        <v>65.5</v>
      </c>
      <c r="N197" s="9">
        <v>41032599</v>
      </c>
      <c r="O197">
        <f t="shared" si="62"/>
        <v>268</v>
      </c>
      <c r="P197">
        <f t="shared" si="63"/>
        <v>316</v>
      </c>
      <c r="Q197">
        <f t="shared" si="64"/>
        <v>56</v>
      </c>
      <c r="R197">
        <f t="shared" si="65"/>
        <v>68</v>
      </c>
      <c r="S197">
        <f t="shared" si="66"/>
        <v>260</v>
      </c>
      <c r="T197">
        <f t="shared" si="67"/>
        <v>262</v>
      </c>
      <c r="U197">
        <f t="shared" si="68"/>
        <v>64</v>
      </c>
      <c r="V197">
        <f t="shared" si="69"/>
        <v>68</v>
      </c>
      <c r="X197" s="5">
        <v>107657</v>
      </c>
      <c r="Y197">
        <f t="shared" si="70"/>
        <v>622.5</v>
      </c>
      <c r="Z197">
        <f t="shared" si="71"/>
        <v>558.5</v>
      </c>
      <c r="AA197">
        <f t="shared" si="72"/>
        <v>117.5</v>
      </c>
      <c r="AB197">
        <f t="shared" si="73"/>
        <v>111.5</v>
      </c>
      <c r="AC197">
        <f t="shared" si="74"/>
        <v>6966.5</v>
      </c>
      <c r="AD197">
        <f t="shared" si="75"/>
        <v>5689.5</v>
      </c>
      <c r="AE197">
        <f t="shared" si="76"/>
        <v>1219.5</v>
      </c>
      <c r="AF197">
        <f t="shared" si="77"/>
        <v>1411</v>
      </c>
      <c r="AG197" s="9">
        <v>41032599</v>
      </c>
      <c r="AH197" s="31">
        <v>268</v>
      </c>
      <c r="AI197" s="31">
        <v>316</v>
      </c>
      <c r="AJ197" s="37">
        <v>-48</v>
      </c>
      <c r="AK197" s="37">
        <v>-15.18987341772152</v>
      </c>
      <c r="AL197" s="36">
        <v>56</v>
      </c>
      <c r="AM197" s="36">
        <v>68</v>
      </c>
      <c r="AN197" s="37">
        <v>-12</v>
      </c>
      <c r="AO197" s="37">
        <v>-17.647058823529413</v>
      </c>
      <c r="AP197" s="38">
        <v>3542.5</v>
      </c>
      <c r="AQ197" s="39">
        <v>2952.5</v>
      </c>
      <c r="AR197" s="37">
        <v>590</v>
      </c>
      <c r="AS197" s="37">
        <v>19.983065198983912</v>
      </c>
      <c r="AT197" s="36">
        <v>802.5</v>
      </c>
      <c r="AU197" s="36">
        <v>928.5</v>
      </c>
      <c r="AV197" s="37">
        <v>-126</v>
      </c>
      <c r="AW197" s="37">
        <v>-13.570274636510501</v>
      </c>
      <c r="AX197" s="7">
        <v>142929</v>
      </c>
      <c r="AY197" t="str">
        <f t="shared" si="78"/>
        <v>SHOKEEN_JAI SHREEKRISHNA_SHANTI</v>
      </c>
      <c r="AZ197" t="str">
        <f t="shared" si="79"/>
        <v>Nazafgarh-Kapashera</v>
      </c>
      <c r="BC197" s="9">
        <v>41032599</v>
      </c>
      <c r="BD197" s="9" t="s">
        <v>380</v>
      </c>
      <c r="BE197" s="47" t="s">
        <v>563</v>
      </c>
      <c r="BF197" s="14" t="s">
        <v>389</v>
      </c>
      <c r="BG197" s="10" t="s">
        <v>89</v>
      </c>
      <c r="BH197" s="10" t="s">
        <v>342</v>
      </c>
      <c r="BI197" s="12" t="s">
        <v>342</v>
      </c>
      <c r="BJ197" s="51" t="s">
        <v>205</v>
      </c>
    </row>
    <row r="198" spans="1:62" ht="72.5" x14ac:dyDescent="0.35">
      <c r="A198">
        <v>112420</v>
      </c>
      <c r="B198" s="84">
        <f t="shared" si="60"/>
        <v>450.5</v>
      </c>
      <c r="C198" s="84">
        <f t="shared" si="61"/>
        <v>478</v>
      </c>
      <c r="E198" s="5">
        <v>106275</v>
      </c>
      <c r="F198" s="19">
        <v>609</v>
      </c>
      <c r="G198" s="19">
        <v>689</v>
      </c>
      <c r="H198" s="19">
        <v>584</v>
      </c>
      <c r="I198" s="19">
        <v>670</v>
      </c>
      <c r="J198" s="19">
        <v>160</v>
      </c>
      <c r="K198" s="19">
        <v>172</v>
      </c>
      <c r="L198" s="19">
        <v>145</v>
      </c>
      <c r="M198" s="19">
        <v>173</v>
      </c>
      <c r="N198" s="9">
        <v>41066793</v>
      </c>
      <c r="O198">
        <f t="shared" si="62"/>
        <v>562</v>
      </c>
      <c r="P198">
        <f t="shared" si="63"/>
        <v>580.5</v>
      </c>
      <c r="Q198">
        <f t="shared" si="64"/>
        <v>107</v>
      </c>
      <c r="R198">
        <f t="shared" si="65"/>
        <v>156.5</v>
      </c>
      <c r="S198">
        <f t="shared" si="66"/>
        <v>523</v>
      </c>
      <c r="T198">
        <f t="shared" si="67"/>
        <v>478.5</v>
      </c>
      <c r="U198">
        <f t="shared" si="68"/>
        <v>108</v>
      </c>
      <c r="V198">
        <f t="shared" si="69"/>
        <v>134.5</v>
      </c>
      <c r="X198" s="5">
        <v>106272</v>
      </c>
      <c r="Y198">
        <f t="shared" si="70"/>
        <v>655.5</v>
      </c>
      <c r="Z198">
        <f t="shared" si="71"/>
        <v>584</v>
      </c>
      <c r="AA198">
        <f t="shared" si="72"/>
        <v>108.5</v>
      </c>
      <c r="AB198">
        <f t="shared" si="73"/>
        <v>112</v>
      </c>
      <c r="AC198">
        <f t="shared" si="74"/>
        <v>7758.5</v>
      </c>
      <c r="AD198">
        <f t="shared" si="75"/>
        <v>6082.5</v>
      </c>
      <c r="AE198">
        <f t="shared" si="76"/>
        <v>1335.5</v>
      </c>
      <c r="AF198">
        <f t="shared" si="77"/>
        <v>1505.5</v>
      </c>
      <c r="AG198" s="9">
        <v>41066793</v>
      </c>
      <c r="AH198" s="31">
        <v>562</v>
      </c>
      <c r="AI198" s="31">
        <v>580.5</v>
      </c>
      <c r="AJ198" s="37">
        <v>-18.5</v>
      </c>
      <c r="AK198" s="37">
        <v>-3.1869078380706286</v>
      </c>
      <c r="AL198" s="36">
        <v>107</v>
      </c>
      <c r="AM198" s="36">
        <v>156.5</v>
      </c>
      <c r="AN198" s="37">
        <v>-49.5</v>
      </c>
      <c r="AO198" s="37">
        <v>-31.629392971246006</v>
      </c>
      <c r="AP198" s="38">
        <v>6511.5</v>
      </c>
      <c r="AQ198" s="39">
        <v>5326.5140000000001</v>
      </c>
      <c r="AR198" s="37">
        <v>1184.9859999999999</v>
      </c>
      <c r="AS198" s="37">
        <v>22.246932984687543</v>
      </c>
      <c r="AT198" s="36">
        <v>1518.5</v>
      </c>
      <c r="AU198" s="36">
        <v>1917.5</v>
      </c>
      <c r="AV198" s="37">
        <v>-399</v>
      </c>
      <c r="AW198" s="37">
        <v>-20.808344198174705</v>
      </c>
      <c r="AX198" s="5">
        <v>106275</v>
      </c>
      <c r="AY198" t="str">
        <f t="shared" si="78"/>
        <v>White Patch-Janakpuri</v>
      </c>
      <c r="AZ198" t="str">
        <f t="shared" si="79"/>
        <v>Punjabi Bagh</v>
      </c>
      <c r="BC198" s="9">
        <v>41066793</v>
      </c>
      <c r="BD198" s="9" t="s">
        <v>380</v>
      </c>
      <c r="BE198" s="47" t="s">
        <v>564</v>
      </c>
      <c r="BF198" s="15" t="s">
        <v>391</v>
      </c>
      <c r="BG198" s="10" t="s">
        <v>89</v>
      </c>
      <c r="BH198" s="10" t="s">
        <v>392</v>
      </c>
      <c r="BI198" s="12" t="s">
        <v>392</v>
      </c>
      <c r="BJ198" s="51" t="s">
        <v>248</v>
      </c>
    </row>
    <row r="199" spans="1:62" ht="36.5" x14ac:dyDescent="0.35">
      <c r="A199">
        <v>41056842</v>
      </c>
      <c r="B199" s="84">
        <f t="shared" si="60"/>
        <v>333.53694999999999</v>
      </c>
      <c r="C199" s="84">
        <f t="shared" si="61"/>
        <v>378.92469</v>
      </c>
      <c r="E199" s="5">
        <v>106303</v>
      </c>
      <c r="F199" s="19">
        <v>232</v>
      </c>
      <c r="G199" s="19">
        <v>267.5</v>
      </c>
      <c r="H199" s="19">
        <v>240.5</v>
      </c>
      <c r="I199" s="19">
        <v>273</v>
      </c>
      <c r="J199" s="19">
        <v>65.5</v>
      </c>
      <c r="K199" s="19">
        <v>71</v>
      </c>
      <c r="L199" s="19">
        <v>54</v>
      </c>
      <c r="M199" s="19">
        <v>54.5</v>
      </c>
      <c r="N199" s="9">
        <v>41028209</v>
      </c>
      <c r="O199">
        <f t="shared" si="62"/>
        <v>242</v>
      </c>
      <c r="P199">
        <f t="shared" si="63"/>
        <v>272</v>
      </c>
      <c r="Q199">
        <f t="shared" si="64"/>
        <v>45</v>
      </c>
      <c r="R199">
        <f t="shared" si="65"/>
        <v>39</v>
      </c>
      <c r="S199">
        <f t="shared" si="66"/>
        <v>228</v>
      </c>
      <c r="T199">
        <f t="shared" si="67"/>
        <v>222</v>
      </c>
      <c r="U199">
        <f t="shared" si="68"/>
        <v>43</v>
      </c>
      <c r="V199">
        <f t="shared" si="69"/>
        <v>45</v>
      </c>
      <c r="X199" s="3">
        <v>112444</v>
      </c>
      <c r="Y199">
        <f t="shared" si="70"/>
        <v>389</v>
      </c>
      <c r="Z199">
        <f t="shared" si="71"/>
        <v>377</v>
      </c>
      <c r="AA199">
        <f t="shared" si="72"/>
        <v>35</v>
      </c>
      <c r="AB199">
        <f t="shared" si="73"/>
        <v>31</v>
      </c>
      <c r="AC199">
        <f t="shared" si="74"/>
        <v>4684</v>
      </c>
      <c r="AD199">
        <f t="shared" si="75"/>
        <v>3909</v>
      </c>
      <c r="AE199">
        <f t="shared" si="76"/>
        <v>402</v>
      </c>
      <c r="AF199">
        <f t="shared" si="77"/>
        <v>404</v>
      </c>
      <c r="AG199" s="9">
        <v>41028209</v>
      </c>
      <c r="AH199" s="31">
        <v>242</v>
      </c>
      <c r="AI199" s="31">
        <v>272</v>
      </c>
      <c r="AJ199" s="37">
        <v>-30</v>
      </c>
      <c r="AK199" s="37">
        <v>-11.029411764705882</v>
      </c>
      <c r="AL199" s="36">
        <v>45</v>
      </c>
      <c r="AM199" s="36">
        <v>39</v>
      </c>
      <c r="AN199" s="37">
        <v>6</v>
      </c>
      <c r="AO199" s="37">
        <v>15.384615384615385</v>
      </c>
      <c r="AP199" s="38">
        <v>3041</v>
      </c>
      <c r="AQ199" s="39">
        <v>2550</v>
      </c>
      <c r="AR199" s="37">
        <v>491</v>
      </c>
      <c r="AS199" s="37">
        <v>19.254901960784313</v>
      </c>
      <c r="AT199" s="36">
        <v>505</v>
      </c>
      <c r="AU199" s="36">
        <v>531</v>
      </c>
      <c r="AV199" s="37">
        <v>-26</v>
      </c>
      <c r="AW199" s="37">
        <v>-4.8964218455743875</v>
      </c>
      <c r="AX199" s="5">
        <v>106303</v>
      </c>
      <c r="AY199" t="str">
        <f t="shared" si="78"/>
        <v>BP VASANT VIHAR</v>
      </c>
      <c r="AZ199" t="str">
        <f t="shared" si="79"/>
        <v>Hauj Khas-Saket-Vasant Kunj</v>
      </c>
      <c r="BC199" s="9">
        <v>41028209</v>
      </c>
      <c r="BD199" s="9" t="s">
        <v>380</v>
      </c>
      <c r="BE199" s="48" t="s">
        <v>565</v>
      </c>
      <c r="BF199" s="14" t="s">
        <v>566</v>
      </c>
      <c r="BG199" s="10" t="s">
        <v>85</v>
      </c>
      <c r="BH199" s="10" t="s">
        <v>318</v>
      </c>
      <c r="BI199" s="12" t="s">
        <v>318</v>
      </c>
      <c r="BJ199" s="51" t="s">
        <v>304</v>
      </c>
    </row>
    <row r="200" spans="1:62" ht="24.5" x14ac:dyDescent="0.35">
      <c r="A200">
        <v>41056538</v>
      </c>
      <c r="B200" s="84">
        <f t="shared" si="60"/>
        <v>14</v>
      </c>
      <c r="C200" s="84">
        <f t="shared" si="61"/>
        <v>0</v>
      </c>
      <c r="E200" s="5">
        <v>211064</v>
      </c>
      <c r="F200" s="19">
        <v>315</v>
      </c>
      <c r="G200" s="19">
        <v>400</v>
      </c>
      <c r="H200" s="19">
        <v>324</v>
      </c>
      <c r="I200" s="19">
        <v>373.5</v>
      </c>
      <c r="J200" s="19">
        <v>252</v>
      </c>
      <c r="K200" s="19">
        <v>256.5</v>
      </c>
      <c r="L200" s="19">
        <v>285</v>
      </c>
      <c r="M200" s="19">
        <v>300</v>
      </c>
      <c r="N200" s="9">
        <v>41037146</v>
      </c>
      <c r="O200">
        <f t="shared" si="62"/>
        <v>387</v>
      </c>
      <c r="P200">
        <f t="shared" si="63"/>
        <v>426</v>
      </c>
      <c r="Q200">
        <f t="shared" si="64"/>
        <v>81</v>
      </c>
      <c r="R200">
        <f t="shared" si="65"/>
        <v>92</v>
      </c>
      <c r="S200">
        <f t="shared" si="66"/>
        <v>369</v>
      </c>
      <c r="T200">
        <f t="shared" si="67"/>
        <v>360.5</v>
      </c>
      <c r="U200">
        <f t="shared" si="68"/>
        <v>81</v>
      </c>
      <c r="V200">
        <f t="shared" si="69"/>
        <v>76.5</v>
      </c>
      <c r="X200" s="3">
        <v>112459</v>
      </c>
      <c r="Y200">
        <f t="shared" si="70"/>
        <v>416</v>
      </c>
      <c r="Z200">
        <f t="shared" si="71"/>
        <v>379</v>
      </c>
      <c r="AA200">
        <f t="shared" si="72"/>
        <v>84</v>
      </c>
      <c r="AB200">
        <f t="shared" si="73"/>
        <v>79</v>
      </c>
      <c r="AC200">
        <f t="shared" si="74"/>
        <v>4560.5</v>
      </c>
      <c r="AD200">
        <f t="shared" si="75"/>
        <v>3807.500008</v>
      </c>
      <c r="AE200">
        <f t="shared" si="76"/>
        <v>1073.5</v>
      </c>
      <c r="AF200">
        <f t="shared" si="77"/>
        <v>1024.5</v>
      </c>
      <c r="AG200" s="9">
        <v>41037146</v>
      </c>
      <c r="AH200" s="31">
        <v>387</v>
      </c>
      <c r="AI200" s="31">
        <v>426</v>
      </c>
      <c r="AJ200" s="37">
        <v>-39</v>
      </c>
      <c r="AK200" s="37">
        <v>-9.1549295774647899</v>
      </c>
      <c r="AL200" s="36">
        <v>81</v>
      </c>
      <c r="AM200" s="36">
        <v>92</v>
      </c>
      <c r="AN200" s="37">
        <v>-11</v>
      </c>
      <c r="AO200" s="37">
        <v>-11.956521739130435</v>
      </c>
      <c r="AP200" s="38">
        <v>4861.5</v>
      </c>
      <c r="AQ200" s="39">
        <v>3977</v>
      </c>
      <c r="AR200" s="37">
        <v>884.5</v>
      </c>
      <c r="AS200" s="37">
        <v>22.240382197636411</v>
      </c>
      <c r="AT200" s="36">
        <v>885.5</v>
      </c>
      <c r="AU200" s="36">
        <v>1074.5</v>
      </c>
      <c r="AV200" s="37">
        <v>-189</v>
      </c>
      <c r="AW200" s="37">
        <v>-17.589576547231271</v>
      </c>
      <c r="AX200" s="5">
        <v>211064</v>
      </c>
      <c r="AY200" t="str">
        <f t="shared" si="78"/>
        <v>SHAURYABHUSHAN_JAGDISH</v>
      </c>
      <c r="AZ200" t="str">
        <f t="shared" si="79"/>
        <v>Rohini</v>
      </c>
      <c r="BC200" s="9">
        <v>41037146</v>
      </c>
      <c r="BD200" s="9" t="s">
        <v>380</v>
      </c>
      <c r="BE200" s="48" t="s">
        <v>567</v>
      </c>
      <c r="BF200" s="14" t="s">
        <v>568</v>
      </c>
      <c r="BG200" s="10" t="s">
        <v>85</v>
      </c>
      <c r="BH200" s="10" t="s">
        <v>373</v>
      </c>
      <c r="BI200" s="12" t="s">
        <v>373</v>
      </c>
      <c r="BJ200" s="51" t="s">
        <v>120</v>
      </c>
    </row>
    <row r="201" spans="1:62" ht="36.5" x14ac:dyDescent="0.35">
      <c r="A201">
        <v>41056986</v>
      </c>
      <c r="B201" s="84">
        <f t="shared" si="60"/>
        <v>354</v>
      </c>
      <c r="C201" s="84">
        <f t="shared" si="61"/>
        <v>422</v>
      </c>
      <c r="E201" s="5">
        <v>186838</v>
      </c>
      <c r="F201" s="19">
        <v>235</v>
      </c>
      <c r="G201" s="19">
        <v>235</v>
      </c>
      <c r="H201" s="19">
        <v>202.5</v>
      </c>
      <c r="I201" s="19">
        <v>229.5</v>
      </c>
      <c r="J201" s="19">
        <v>247.5</v>
      </c>
      <c r="K201" s="19">
        <v>292.5</v>
      </c>
      <c r="L201" s="19">
        <v>205</v>
      </c>
      <c r="M201" s="19">
        <v>285</v>
      </c>
      <c r="N201" s="9">
        <v>41057004</v>
      </c>
      <c r="O201">
        <f t="shared" si="62"/>
        <v>823</v>
      </c>
      <c r="P201">
        <f t="shared" si="63"/>
        <v>763.5</v>
      </c>
      <c r="Q201">
        <f t="shared" si="64"/>
        <v>90</v>
      </c>
      <c r="R201">
        <f t="shared" si="65"/>
        <v>76.5</v>
      </c>
      <c r="S201">
        <f t="shared" si="66"/>
        <v>749.5</v>
      </c>
      <c r="T201">
        <f t="shared" si="67"/>
        <v>686.5</v>
      </c>
      <c r="U201">
        <f t="shared" si="68"/>
        <v>85.5</v>
      </c>
      <c r="V201">
        <f t="shared" si="69"/>
        <v>76.5</v>
      </c>
      <c r="X201" s="3">
        <v>250828</v>
      </c>
      <c r="Y201">
        <f t="shared" si="70"/>
        <v>341</v>
      </c>
      <c r="Z201">
        <f t="shared" si="71"/>
        <v>324</v>
      </c>
      <c r="AA201">
        <f t="shared" si="72"/>
        <v>302</v>
      </c>
      <c r="AB201">
        <f t="shared" si="73"/>
        <v>240</v>
      </c>
      <c r="AC201">
        <f t="shared" si="74"/>
        <v>4467</v>
      </c>
      <c r="AD201">
        <f t="shared" si="75"/>
        <v>1843.6109999999999</v>
      </c>
      <c r="AE201">
        <f t="shared" si="76"/>
        <v>3265</v>
      </c>
      <c r="AF201">
        <f t="shared" si="77"/>
        <v>2204.1190000000001</v>
      </c>
      <c r="AG201" s="9">
        <v>41057004</v>
      </c>
      <c r="AH201" s="31">
        <v>823</v>
      </c>
      <c r="AI201" s="31">
        <v>763.5</v>
      </c>
      <c r="AJ201" s="37">
        <v>59.5</v>
      </c>
      <c r="AK201" s="37">
        <v>7.7930582842174205</v>
      </c>
      <c r="AL201" s="36">
        <v>90</v>
      </c>
      <c r="AM201" s="36">
        <v>76.5</v>
      </c>
      <c r="AN201" s="37">
        <v>13.5</v>
      </c>
      <c r="AO201" s="37">
        <v>17.647058823529413</v>
      </c>
      <c r="AP201" s="38">
        <v>9791</v>
      </c>
      <c r="AQ201" s="39">
        <v>7754</v>
      </c>
      <c r="AR201" s="37">
        <v>2037</v>
      </c>
      <c r="AS201" s="37">
        <v>26.270312096982202</v>
      </c>
      <c r="AT201" s="36">
        <v>1006</v>
      </c>
      <c r="AU201" s="36">
        <v>1089</v>
      </c>
      <c r="AV201" s="37">
        <v>-83</v>
      </c>
      <c r="AW201" s="37">
        <v>-7.621671258034894</v>
      </c>
      <c r="AX201" s="5">
        <v>186838</v>
      </c>
      <c r="AY201" t="str">
        <f t="shared" si="78"/>
        <v>N.C.T.C</v>
      </c>
      <c r="AZ201" t="str">
        <f t="shared" si="79"/>
        <v>Old GT Road (NH1)</v>
      </c>
      <c r="BC201" s="9">
        <v>41057004</v>
      </c>
      <c r="BD201" s="9" t="s">
        <v>380</v>
      </c>
      <c r="BE201" s="47" t="s">
        <v>569</v>
      </c>
      <c r="BF201" s="14" t="s">
        <v>570</v>
      </c>
      <c r="BG201" s="10" t="s">
        <v>85</v>
      </c>
      <c r="BH201" s="10" t="s">
        <v>337</v>
      </c>
      <c r="BI201" s="12" t="s">
        <v>337</v>
      </c>
      <c r="BJ201" s="51" t="s">
        <v>304</v>
      </c>
    </row>
    <row r="202" spans="1:62" ht="36.5" x14ac:dyDescent="0.35">
      <c r="A202">
        <v>41027027</v>
      </c>
      <c r="B202" s="84">
        <f t="shared" si="60"/>
        <v>228.5</v>
      </c>
      <c r="C202" s="84">
        <f t="shared" si="61"/>
        <v>162</v>
      </c>
      <c r="E202" s="5">
        <v>102096</v>
      </c>
      <c r="F202" s="19">
        <v>145</v>
      </c>
      <c r="G202" s="19">
        <v>138.5</v>
      </c>
      <c r="H202" s="19">
        <v>121.5</v>
      </c>
      <c r="I202" s="19">
        <v>135</v>
      </c>
      <c r="J202" s="19">
        <v>400.5</v>
      </c>
      <c r="K202" s="19">
        <v>423</v>
      </c>
      <c r="L202" s="19">
        <v>361</v>
      </c>
      <c r="M202" s="19">
        <v>443.5</v>
      </c>
      <c r="N202" s="9">
        <v>41056817</v>
      </c>
      <c r="O202">
        <f t="shared" si="62"/>
        <v>309</v>
      </c>
      <c r="P202">
        <f t="shared" si="63"/>
        <v>283</v>
      </c>
      <c r="Q202">
        <f t="shared" si="64"/>
        <v>60</v>
      </c>
      <c r="R202">
        <f t="shared" si="65"/>
        <v>74</v>
      </c>
      <c r="S202">
        <f t="shared" si="66"/>
        <v>275</v>
      </c>
      <c r="T202">
        <f t="shared" si="67"/>
        <v>258</v>
      </c>
      <c r="U202">
        <f t="shared" si="68"/>
        <v>65</v>
      </c>
      <c r="V202">
        <f t="shared" si="69"/>
        <v>74</v>
      </c>
      <c r="X202" s="9">
        <v>41056535</v>
      </c>
      <c r="Y202">
        <f t="shared" si="70"/>
        <v>672</v>
      </c>
      <c r="Z202">
        <f t="shared" si="71"/>
        <v>662</v>
      </c>
      <c r="AA202">
        <f t="shared" si="72"/>
        <v>88</v>
      </c>
      <c r="AB202">
        <f t="shared" si="73"/>
        <v>98</v>
      </c>
      <c r="AC202">
        <f t="shared" si="74"/>
        <v>8183.5</v>
      </c>
      <c r="AD202">
        <f t="shared" si="75"/>
        <v>6161</v>
      </c>
      <c r="AE202">
        <f t="shared" si="76"/>
        <v>1135.5</v>
      </c>
      <c r="AF202">
        <f t="shared" si="77"/>
        <v>1152</v>
      </c>
      <c r="AG202" s="9">
        <v>41056817</v>
      </c>
      <c r="AH202" s="31">
        <v>309</v>
      </c>
      <c r="AI202" s="31">
        <v>283</v>
      </c>
      <c r="AJ202" s="37">
        <v>26</v>
      </c>
      <c r="AK202" s="37">
        <v>9.1872791519434625</v>
      </c>
      <c r="AL202" s="36">
        <v>60</v>
      </c>
      <c r="AM202" s="36">
        <v>74</v>
      </c>
      <c r="AN202" s="37">
        <v>-14</v>
      </c>
      <c r="AO202" s="37">
        <v>-18.918918918918919</v>
      </c>
      <c r="AP202" s="38">
        <v>3593.5</v>
      </c>
      <c r="AQ202" s="39">
        <v>3043</v>
      </c>
      <c r="AR202" s="37">
        <v>550.5</v>
      </c>
      <c r="AS202" s="37">
        <v>18.090699967137695</v>
      </c>
      <c r="AT202" s="36">
        <v>832.5</v>
      </c>
      <c r="AU202" s="36">
        <v>1008</v>
      </c>
      <c r="AV202" s="37">
        <v>-175.5</v>
      </c>
      <c r="AW202" s="37">
        <v>-17.410714285714285</v>
      </c>
      <c r="AX202" s="5">
        <v>102096</v>
      </c>
      <c r="AY202" t="str">
        <f t="shared" si="78"/>
        <v>SIDHU</v>
      </c>
      <c r="AZ202" t="str">
        <f t="shared" si="79"/>
        <v>Old GT Road (NH1)</v>
      </c>
      <c r="BC202" s="9">
        <v>41056817</v>
      </c>
      <c r="BD202" s="9" t="s">
        <v>380</v>
      </c>
      <c r="BE202" s="47" t="s">
        <v>571</v>
      </c>
      <c r="BF202" s="14" t="s">
        <v>572</v>
      </c>
      <c r="BG202" s="10" t="s">
        <v>85</v>
      </c>
      <c r="BH202" s="10" t="s">
        <v>361</v>
      </c>
      <c r="BI202" s="12" t="s">
        <v>361</v>
      </c>
      <c r="BJ202" s="51" t="s">
        <v>304</v>
      </c>
    </row>
    <row r="203" spans="1:62" ht="48.5" x14ac:dyDescent="0.35">
      <c r="A203">
        <v>41019250</v>
      </c>
      <c r="B203" s="84">
        <f t="shared" si="60"/>
        <v>173</v>
      </c>
      <c r="C203" s="84">
        <f t="shared" si="61"/>
        <v>171.5</v>
      </c>
      <c r="E203" s="5">
        <v>106373</v>
      </c>
      <c r="F203" s="19">
        <v>95</v>
      </c>
      <c r="G203" s="19">
        <v>110</v>
      </c>
      <c r="H203" s="19">
        <v>81</v>
      </c>
      <c r="I203" s="19">
        <v>94.5</v>
      </c>
      <c r="J203" s="19">
        <v>495</v>
      </c>
      <c r="K203" s="19">
        <v>463.5</v>
      </c>
      <c r="L203" s="19">
        <v>465</v>
      </c>
      <c r="M203" s="19">
        <v>450</v>
      </c>
      <c r="N203" s="9">
        <v>41056997</v>
      </c>
      <c r="O203">
        <f t="shared" si="62"/>
        <v>20</v>
      </c>
      <c r="P203">
        <f t="shared" si="63"/>
        <v>41</v>
      </c>
      <c r="Q203">
        <f t="shared" si="64"/>
        <v>40</v>
      </c>
      <c r="R203">
        <f t="shared" si="65"/>
        <v>49</v>
      </c>
      <c r="S203">
        <f t="shared" si="66"/>
        <v>32.5</v>
      </c>
      <c r="T203">
        <f t="shared" si="67"/>
        <v>32</v>
      </c>
      <c r="U203">
        <f t="shared" si="68"/>
        <v>69.5</v>
      </c>
      <c r="V203">
        <f t="shared" si="69"/>
        <v>62</v>
      </c>
      <c r="X203" s="9">
        <v>41084274</v>
      </c>
      <c r="Y203">
        <f t="shared" si="70"/>
        <v>606</v>
      </c>
      <c r="Z203">
        <f t="shared" si="71"/>
        <v>533</v>
      </c>
      <c r="AA203">
        <f t="shared" si="72"/>
        <v>97</v>
      </c>
      <c r="AB203">
        <f t="shared" si="73"/>
        <v>91</v>
      </c>
      <c r="AC203">
        <f t="shared" si="74"/>
        <v>6997.2910599999996</v>
      </c>
      <c r="AD203">
        <f t="shared" si="75"/>
        <v>5753</v>
      </c>
      <c r="AE203">
        <f t="shared" si="76"/>
        <v>1090.9478800000002</v>
      </c>
      <c r="AF203">
        <f t="shared" si="77"/>
        <v>1244.9000000000001</v>
      </c>
      <c r="AG203" s="9">
        <v>41056997</v>
      </c>
      <c r="AH203" s="31">
        <v>20</v>
      </c>
      <c r="AI203" s="31">
        <v>41</v>
      </c>
      <c r="AJ203" s="37">
        <v>-21</v>
      </c>
      <c r="AK203" s="37">
        <v>-51.219512195121951</v>
      </c>
      <c r="AL203" s="36">
        <v>40</v>
      </c>
      <c r="AM203" s="36">
        <v>49</v>
      </c>
      <c r="AN203" s="37">
        <v>-9</v>
      </c>
      <c r="AO203" s="37">
        <v>-18.367346938775512</v>
      </c>
      <c r="AP203" s="38">
        <v>431.5</v>
      </c>
      <c r="AQ203" s="39">
        <v>375.5</v>
      </c>
      <c r="AR203" s="37">
        <v>56</v>
      </c>
      <c r="AS203" s="37">
        <v>14.913448735019974</v>
      </c>
      <c r="AT203" s="36">
        <v>802.5</v>
      </c>
      <c r="AU203" s="36">
        <v>1250.5</v>
      </c>
      <c r="AV203" s="37">
        <v>-448</v>
      </c>
      <c r="AW203" s="37">
        <v>-35.825669732107158</v>
      </c>
      <c r="AX203" s="5">
        <v>106373</v>
      </c>
      <c r="AY203" t="str">
        <f t="shared" si="78"/>
        <v>ZAKHIRA</v>
      </c>
      <c r="AZ203" t="str">
        <f t="shared" si="79"/>
        <v>Rohtak Road</v>
      </c>
      <c r="BC203" s="9">
        <v>41056997</v>
      </c>
      <c r="BD203" s="9" t="s">
        <v>380</v>
      </c>
      <c r="BE203" s="47" t="s">
        <v>573</v>
      </c>
      <c r="BF203" s="14" t="s">
        <v>387</v>
      </c>
      <c r="BG203" s="10" t="s">
        <v>85</v>
      </c>
      <c r="BH203" s="10" t="s">
        <v>192</v>
      </c>
      <c r="BI203" s="12" t="s">
        <v>192</v>
      </c>
      <c r="BJ203" s="51" t="s">
        <v>178</v>
      </c>
    </row>
    <row r="204" spans="1:62" ht="36.5" x14ac:dyDescent="0.35">
      <c r="A204">
        <v>41019261</v>
      </c>
      <c r="B204" s="84">
        <f t="shared" si="60"/>
        <v>296.5</v>
      </c>
      <c r="C204" s="84">
        <f t="shared" si="61"/>
        <v>318</v>
      </c>
      <c r="E204" s="5">
        <v>106283</v>
      </c>
      <c r="F204" s="19">
        <v>195</v>
      </c>
      <c r="G204" s="19">
        <v>215</v>
      </c>
      <c r="H204" s="19">
        <v>184.5</v>
      </c>
      <c r="I204" s="19">
        <v>184.5</v>
      </c>
      <c r="J204" s="19">
        <v>121.5</v>
      </c>
      <c r="K204" s="19">
        <v>121.5</v>
      </c>
      <c r="L204" s="19">
        <v>145</v>
      </c>
      <c r="M204" s="19">
        <v>145</v>
      </c>
      <c r="N204" s="9">
        <v>41056833</v>
      </c>
      <c r="O204">
        <f t="shared" si="62"/>
        <v>264</v>
      </c>
      <c r="P204">
        <f t="shared" si="63"/>
        <v>312.5</v>
      </c>
      <c r="Q204">
        <f t="shared" si="64"/>
        <v>36</v>
      </c>
      <c r="R204">
        <f t="shared" si="65"/>
        <v>42.5</v>
      </c>
      <c r="S204">
        <f t="shared" si="66"/>
        <v>267.5</v>
      </c>
      <c r="T204">
        <f t="shared" si="67"/>
        <v>264</v>
      </c>
      <c r="U204">
        <f t="shared" si="68"/>
        <v>36.5</v>
      </c>
      <c r="V204">
        <f t="shared" si="69"/>
        <v>48</v>
      </c>
      <c r="X204" s="9">
        <v>41032462</v>
      </c>
      <c r="Y204">
        <f t="shared" si="70"/>
        <v>402</v>
      </c>
      <c r="Z204">
        <f t="shared" si="71"/>
        <v>334</v>
      </c>
      <c r="AA204">
        <f t="shared" si="72"/>
        <v>104</v>
      </c>
      <c r="AB204">
        <f t="shared" si="73"/>
        <v>90</v>
      </c>
      <c r="AC204">
        <f t="shared" si="74"/>
        <v>4284</v>
      </c>
      <c r="AD204">
        <f t="shared" si="75"/>
        <v>3613.5</v>
      </c>
      <c r="AE204">
        <f t="shared" si="76"/>
        <v>1128</v>
      </c>
      <c r="AF204">
        <f t="shared" si="77"/>
        <v>1216</v>
      </c>
      <c r="AG204" s="9">
        <v>41056833</v>
      </c>
      <c r="AH204" s="31">
        <v>264</v>
      </c>
      <c r="AI204" s="31">
        <v>312.5</v>
      </c>
      <c r="AJ204" s="37">
        <v>-48.5</v>
      </c>
      <c r="AK204" s="37">
        <v>-15.52</v>
      </c>
      <c r="AL204" s="36">
        <v>36</v>
      </c>
      <c r="AM204" s="36">
        <v>42.5</v>
      </c>
      <c r="AN204" s="37">
        <v>-6.5</v>
      </c>
      <c r="AO204" s="37">
        <v>-15.294117647058824</v>
      </c>
      <c r="AP204" s="38">
        <v>3499</v>
      </c>
      <c r="AQ204" s="39">
        <v>2449</v>
      </c>
      <c r="AR204" s="37">
        <v>1050</v>
      </c>
      <c r="AS204" s="37">
        <v>42.874642711310742</v>
      </c>
      <c r="AT204" s="36">
        <v>510</v>
      </c>
      <c r="AU204" s="36">
        <v>350.5</v>
      </c>
      <c r="AV204" s="37">
        <v>159.5</v>
      </c>
      <c r="AW204" s="37">
        <v>45.506419400855918</v>
      </c>
      <c r="AX204" s="5">
        <v>106283</v>
      </c>
      <c r="AY204" t="str">
        <f t="shared" si="78"/>
        <v>MUKUL</v>
      </c>
      <c r="AZ204" t="str">
        <f t="shared" si="79"/>
        <v>Wazirabad-Loni</v>
      </c>
      <c r="BC204" s="9">
        <v>41056833</v>
      </c>
      <c r="BD204" s="9" t="s">
        <v>380</v>
      </c>
      <c r="BE204" s="48" t="s">
        <v>574</v>
      </c>
      <c r="BF204" s="14" t="s">
        <v>575</v>
      </c>
      <c r="BG204" s="10" t="s">
        <v>187</v>
      </c>
      <c r="BH204" s="10" t="s">
        <v>560</v>
      </c>
      <c r="BI204" s="12" t="s">
        <v>560</v>
      </c>
      <c r="BJ204" s="51" t="s">
        <v>178</v>
      </c>
    </row>
    <row r="205" spans="1:62" ht="36.5" x14ac:dyDescent="0.35">
      <c r="A205">
        <v>102108</v>
      </c>
      <c r="B205" s="84">
        <f t="shared" si="60"/>
        <v>243</v>
      </c>
      <c r="C205" s="84">
        <f t="shared" si="61"/>
        <v>265.5</v>
      </c>
      <c r="E205" s="5">
        <v>254645</v>
      </c>
      <c r="F205" s="19">
        <v>61.5</v>
      </c>
      <c r="G205" s="19">
        <v>48.5</v>
      </c>
      <c r="H205" s="19">
        <v>58.5</v>
      </c>
      <c r="I205" s="19">
        <v>62</v>
      </c>
      <c r="J205" s="19">
        <v>193.5</v>
      </c>
      <c r="K205" s="19">
        <v>190</v>
      </c>
      <c r="L205" s="19">
        <v>226.5</v>
      </c>
      <c r="M205" s="19">
        <v>193.5</v>
      </c>
      <c r="N205" s="9">
        <v>41056522</v>
      </c>
      <c r="O205">
        <f t="shared" si="62"/>
        <v>207.5</v>
      </c>
      <c r="P205">
        <f t="shared" si="63"/>
        <v>219.5</v>
      </c>
      <c r="Q205">
        <f t="shared" si="64"/>
        <v>32.5</v>
      </c>
      <c r="R205">
        <f t="shared" si="65"/>
        <v>46.5</v>
      </c>
      <c r="S205">
        <f t="shared" si="66"/>
        <v>182</v>
      </c>
      <c r="T205">
        <f t="shared" si="67"/>
        <v>203.5</v>
      </c>
      <c r="U205">
        <f t="shared" si="68"/>
        <v>37</v>
      </c>
      <c r="V205">
        <f t="shared" si="69"/>
        <v>44.5</v>
      </c>
      <c r="X205" s="3">
        <v>136152</v>
      </c>
      <c r="Y205">
        <f t="shared" si="70"/>
        <v>322</v>
      </c>
      <c r="Z205">
        <f t="shared" si="71"/>
        <v>329</v>
      </c>
      <c r="AA205">
        <f t="shared" si="72"/>
        <v>58</v>
      </c>
      <c r="AB205">
        <f t="shared" si="73"/>
        <v>79</v>
      </c>
      <c r="AC205">
        <f t="shared" si="74"/>
        <v>3878</v>
      </c>
      <c r="AD205">
        <f t="shared" si="75"/>
        <v>3105.500008</v>
      </c>
      <c r="AE205">
        <f t="shared" si="76"/>
        <v>838</v>
      </c>
      <c r="AF205">
        <f t="shared" si="77"/>
        <v>977.5</v>
      </c>
      <c r="AG205" s="9">
        <v>41056522</v>
      </c>
      <c r="AH205" s="31">
        <v>207.5</v>
      </c>
      <c r="AI205" s="31">
        <v>219.5</v>
      </c>
      <c r="AJ205" s="37">
        <v>-12</v>
      </c>
      <c r="AK205" s="37">
        <v>-5.4669703872437356</v>
      </c>
      <c r="AL205" s="36">
        <v>32.5</v>
      </c>
      <c r="AM205" s="36">
        <v>46.5</v>
      </c>
      <c r="AN205" s="37">
        <v>-14</v>
      </c>
      <c r="AO205" s="37">
        <v>-30.107526881720432</v>
      </c>
      <c r="AP205" s="38">
        <v>2574.02</v>
      </c>
      <c r="AQ205" s="39">
        <v>2226</v>
      </c>
      <c r="AR205" s="37">
        <v>348.02</v>
      </c>
      <c r="AS205" s="37">
        <v>15.634321653189575</v>
      </c>
      <c r="AT205" s="36">
        <v>427.02499999999998</v>
      </c>
      <c r="AU205" s="36">
        <v>527</v>
      </c>
      <c r="AV205" s="37">
        <v>-99.975000000000023</v>
      </c>
      <c r="AW205" s="37">
        <v>-18.970588235294123</v>
      </c>
      <c r="AX205" s="5">
        <v>254645</v>
      </c>
      <c r="AY205" t="str">
        <f t="shared" si="78"/>
        <v>ZAKHIRA</v>
      </c>
      <c r="AZ205" t="str">
        <f t="shared" si="79"/>
        <v>Rohtak Road</v>
      </c>
      <c r="BC205" s="9">
        <v>41056522</v>
      </c>
      <c r="BD205" s="9" t="s">
        <v>380</v>
      </c>
      <c r="BE205" s="48" t="s">
        <v>576</v>
      </c>
      <c r="BF205" s="14" t="s">
        <v>577</v>
      </c>
      <c r="BG205" s="10" t="s">
        <v>187</v>
      </c>
      <c r="BH205" s="10" t="s">
        <v>321</v>
      </c>
      <c r="BI205" s="12" t="s">
        <v>321</v>
      </c>
      <c r="BJ205" s="51" t="s">
        <v>189</v>
      </c>
    </row>
    <row r="206" spans="1:62" ht="36.5" x14ac:dyDescent="0.35">
      <c r="A206">
        <v>41019255</v>
      </c>
      <c r="B206" s="84">
        <f t="shared" si="60"/>
        <v>160.5</v>
      </c>
      <c r="C206" s="84">
        <f t="shared" si="61"/>
        <v>185.5</v>
      </c>
      <c r="E206" s="5">
        <v>186864</v>
      </c>
      <c r="F206" s="19">
        <v>312</v>
      </c>
      <c r="G206" s="19">
        <v>352</v>
      </c>
      <c r="H206" s="19">
        <v>280</v>
      </c>
      <c r="I206" s="19">
        <v>322</v>
      </c>
      <c r="J206" s="19">
        <v>68</v>
      </c>
      <c r="K206" s="19">
        <v>52</v>
      </c>
      <c r="L206" s="19">
        <v>60</v>
      </c>
      <c r="M206" s="19">
        <v>92</v>
      </c>
      <c r="N206" s="9">
        <v>41030958</v>
      </c>
      <c r="O206">
        <f t="shared" si="62"/>
        <v>128.5</v>
      </c>
      <c r="P206">
        <f t="shared" si="63"/>
        <v>118.5</v>
      </c>
      <c r="Q206">
        <f t="shared" si="64"/>
        <v>9.5</v>
      </c>
      <c r="R206">
        <f t="shared" si="65"/>
        <v>19.5</v>
      </c>
      <c r="S206">
        <f t="shared" si="66"/>
        <v>98</v>
      </c>
      <c r="T206">
        <f t="shared" si="67"/>
        <v>108</v>
      </c>
      <c r="U206">
        <f t="shared" si="68"/>
        <v>14</v>
      </c>
      <c r="V206">
        <f t="shared" si="69"/>
        <v>24</v>
      </c>
      <c r="X206" s="5">
        <v>102076</v>
      </c>
      <c r="Y206">
        <f t="shared" si="70"/>
        <v>351</v>
      </c>
      <c r="Z206">
        <f t="shared" si="71"/>
        <v>342</v>
      </c>
      <c r="AA206">
        <f t="shared" si="72"/>
        <v>63</v>
      </c>
      <c r="AB206">
        <f t="shared" si="73"/>
        <v>90</v>
      </c>
      <c r="AC206">
        <f t="shared" si="74"/>
        <v>4597.5</v>
      </c>
      <c r="AD206">
        <f t="shared" si="75"/>
        <v>3847</v>
      </c>
      <c r="AE206">
        <f t="shared" si="76"/>
        <v>900.5</v>
      </c>
      <c r="AF206">
        <f t="shared" si="77"/>
        <v>1082</v>
      </c>
      <c r="AG206" s="9">
        <v>41030958</v>
      </c>
      <c r="AH206" s="31">
        <v>128.5</v>
      </c>
      <c r="AI206" s="31">
        <v>118.5</v>
      </c>
      <c r="AJ206" s="37">
        <v>10</v>
      </c>
      <c r="AK206" s="37">
        <v>8.4388185654008439</v>
      </c>
      <c r="AL206" s="36">
        <v>9.5</v>
      </c>
      <c r="AM206" s="36">
        <v>19.5</v>
      </c>
      <c r="AN206" s="37">
        <v>-10</v>
      </c>
      <c r="AO206" s="37">
        <v>-51.282051282051277</v>
      </c>
      <c r="AP206" s="38">
        <v>1388</v>
      </c>
      <c r="AQ206" s="39">
        <v>1246</v>
      </c>
      <c r="AR206" s="37">
        <v>142</v>
      </c>
      <c r="AS206" s="37">
        <v>11.396468699839486</v>
      </c>
      <c r="AT206" s="36">
        <v>199</v>
      </c>
      <c r="AU206" s="36">
        <v>245.5</v>
      </c>
      <c r="AV206" s="37">
        <v>-46.5</v>
      </c>
      <c r="AW206" s="37">
        <v>-18.94093686354379</v>
      </c>
      <c r="AX206" s="5">
        <v>186864</v>
      </c>
      <c r="AY206" t="str">
        <f t="shared" si="78"/>
        <v>GANPATI</v>
      </c>
      <c r="AZ206" t="str">
        <f t="shared" si="79"/>
        <v>Rohini</v>
      </c>
      <c r="BC206" s="9">
        <v>41030958</v>
      </c>
      <c r="BD206" s="9" t="s">
        <v>380</v>
      </c>
      <c r="BE206" s="47" t="s">
        <v>578</v>
      </c>
      <c r="BF206" s="14" t="s">
        <v>579</v>
      </c>
      <c r="BG206" s="10" t="s">
        <v>85</v>
      </c>
      <c r="BH206" s="10" t="s">
        <v>580</v>
      </c>
      <c r="BI206" s="12" t="s">
        <v>580</v>
      </c>
      <c r="BJ206" s="51" t="s">
        <v>304</v>
      </c>
    </row>
    <row r="207" spans="1:62" ht="36.5" x14ac:dyDescent="0.35">
      <c r="A207">
        <v>142929</v>
      </c>
      <c r="B207" s="84">
        <f t="shared" si="60"/>
        <v>59</v>
      </c>
      <c r="C207" s="84">
        <f t="shared" si="61"/>
        <v>72.5</v>
      </c>
      <c r="E207" s="5">
        <v>186861</v>
      </c>
      <c r="F207" s="19">
        <v>144</v>
      </c>
      <c r="G207" s="19">
        <v>152</v>
      </c>
      <c r="H207" s="19">
        <v>136</v>
      </c>
      <c r="I207" s="19">
        <v>156</v>
      </c>
      <c r="J207" s="19">
        <v>116</v>
      </c>
      <c r="K207" s="19">
        <v>108</v>
      </c>
      <c r="L207" s="19">
        <v>108</v>
      </c>
      <c r="M207" s="19">
        <v>140</v>
      </c>
      <c r="N207" s="5">
        <v>106246</v>
      </c>
      <c r="O207">
        <f t="shared" si="62"/>
        <v>0</v>
      </c>
      <c r="P207">
        <f t="shared" si="63"/>
        <v>0</v>
      </c>
      <c r="Q207">
        <f t="shared" si="64"/>
        <v>4.5</v>
      </c>
      <c r="R207">
        <f t="shared" si="65"/>
        <v>9</v>
      </c>
      <c r="S207">
        <f t="shared" si="66"/>
        <v>0</v>
      </c>
      <c r="T207">
        <f t="shared" si="67"/>
        <v>0</v>
      </c>
      <c r="U207">
        <f t="shared" si="68"/>
        <v>9</v>
      </c>
      <c r="V207">
        <f t="shared" si="69"/>
        <v>9</v>
      </c>
      <c r="X207" s="5">
        <v>106217</v>
      </c>
      <c r="Y207">
        <f t="shared" si="70"/>
        <v>389</v>
      </c>
      <c r="Z207">
        <f t="shared" si="71"/>
        <v>337.5</v>
      </c>
      <c r="AA207">
        <f t="shared" si="72"/>
        <v>157</v>
      </c>
      <c r="AB207">
        <f t="shared" si="73"/>
        <v>94.5</v>
      </c>
      <c r="AC207">
        <f t="shared" si="74"/>
        <v>4474.5</v>
      </c>
      <c r="AD207">
        <f t="shared" si="75"/>
        <v>3449</v>
      </c>
      <c r="AE207">
        <f t="shared" si="76"/>
        <v>1321.5</v>
      </c>
      <c r="AF207">
        <f t="shared" si="77"/>
        <v>1226.5</v>
      </c>
      <c r="AG207" s="5">
        <v>106246</v>
      </c>
      <c r="AH207" s="31">
        <v>0</v>
      </c>
      <c r="AI207" s="31">
        <v>0</v>
      </c>
      <c r="AJ207" s="37">
        <v>0</v>
      </c>
      <c r="AK207" s="37" t="e">
        <v>#DIV/0!</v>
      </c>
      <c r="AL207" s="36">
        <v>4.5</v>
      </c>
      <c r="AM207" s="36">
        <v>9</v>
      </c>
      <c r="AN207" s="37">
        <v>-4.5</v>
      </c>
      <c r="AO207" s="37">
        <v>-50</v>
      </c>
      <c r="AP207" s="38">
        <v>0</v>
      </c>
      <c r="AQ207" s="39">
        <v>0</v>
      </c>
      <c r="AR207" s="37">
        <v>0</v>
      </c>
      <c r="AS207" s="37" t="e">
        <v>#DIV/0!</v>
      </c>
      <c r="AT207" s="36">
        <v>101</v>
      </c>
      <c r="AU207" s="36">
        <v>34.5</v>
      </c>
      <c r="AV207" s="37">
        <v>66.5</v>
      </c>
      <c r="AW207" s="37">
        <v>192.75362318840578</v>
      </c>
      <c r="AX207" s="5">
        <v>186861</v>
      </c>
      <c r="AY207" t="str">
        <f t="shared" si="78"/>
        <v>BHAGWATI_GREENHRT_TRIYAMJIT</v>
      </c>
      <c r="AZ207" t="str">
        <f t="shared" si="79"/>
        <v>Narela- Bawana</v>
      </c>
      <c r="BC207" s="5">
        <v>106246</v>
      </c>
      <c r="BD207" s="5" t="s">
        <v>581</v>
      </c>
      <c r="BE207" s="46" t="s">
        <v>582</v>
      </c>
      <c r="BF207" s="13" t="s">
        <v>583</v>
      </c>
      <c r="BG207" s="6" t="s">
        <v>103</v>
      </c>
      <c r="BH207" s="6" t="s">
        <v>211</v>
      </c>
      <c r="BI207" s="12" t="s">
        <v>211</v>
      </c>
      <c r="BJ207" s="51" t="s">
        <v>135</v>
      </c>
    </row>
    <row r="208" spans="1:62" ht="48.5" x14ac:dyDescent="0.35">
      <c r="A208">
        <v>198751</v>
      </c>
      <c r="B208" s="84">
        <f t="shared" si="60"/>
        <v>28.5</v>
      </c>
      <c r="C208" s="84">
        <f t="shared" si="61"/>
        <v>24</v>
      </c>
      <c r="E208" s="5">
        <v>106308</v>
      </c>
      <c r="F208" s="19">
        <v>0</v>
      </c>
      <c r="G208" s="19">
        <v>0</v>
      </c>
      <c r="H208" s="19">
        <v>26</v>
      </c>
      <c r="I208" s="19">
        <v>25.5</v>
      </c>
      <c r="J208" s="19">
        <v>22</v>
      </c>
      <c r="K208" s="19">
        <v>16.5</v>
      </c>
      <c r="L208" s="19">
        <v>0</v>
      </c>
      <c r="M208" s="19">
        <v>0</v>
      </c>
      <c r="N208" s="5">
        <v>172351</v>
      </c>
      <c r="O208">
        <f t="shared" si="62"/>
        <v>0</v>
      </c>
      <c r="P208">
        <f t="shared" si="63"/>
        <v>0</v>
      </c>
      <c r="Q208">
        <f t="shared" si="64"/>
        <v>0</v>
      </c>
      <c r="R208">
        <f t="shared" si="65"/>
        <v>12</v>
      </c>
      <c r="S208">
        <f t="shared" si="66"/>
        <v>0</v>
      </c>
      <c r="T208">
        <f t="shared" si="67"/>
        <v>0</v>
      </c>
      <c r="U208">
        <f t="shared" si="68"/>
        <v>0</v>
      </c>
      <c r="V208">
        <f t="shared" si="69"/>
        <v>14</v>
      </c>
      <c r="X208" s="9">
        <v>41056499</v>
      </c>
      <c r="Y208">
        <f t="shared" si="70"/>
        <v>242</v>
      </c>
      <c r="Z208">
        <f t="shared" si="71"/>
        <v>231</v>
      </c>
      <c r="AA208">
        <f t="shared" si="72"/>
        <v>106</v>
      </c>
      <c r="AB208">
        <f t="shared" si="73"/>
        <v>113</v>
      </c>
      <c r="AC208">
        <f t="shared" si="74"/>
        <v>2993</v>
      </c>
      <c r="AD208">
        <f t="shared" si="75"/>
        <v>2342</v>
      </c>
      <c r="AE208">
        <f t="shared" si="76"/>
        <v>1354</v>
      </c>
      <c r="AF208">
        <f t="shared" si="77"/>
        <v>1421</v>
      </c>
      <c r="AG208" s="5">
        <v>172351</v>
      </c>
      <c r="AH208" s="31">
        <v>0</v>
      </c>
      <c r="AI208" s="31">
        <v>0</v>
      </c>
      <c r="AJ208" s="37">
        <v>0</v>
      </c>
      <c r="AK208" s="37" t="e">
        <v>#DIV/0!</v>
      </c>
      <c r="AL208" s="36">
        <v>0</v>
      </c>
      <c r="AM208" s="36">
        <v>12</v>
      </c>
      <c r="AN208" s="37">
        <v>-12</v>
      </c>
      <c r="AO208" s="37">
        <v>-100</v>
      </c>
      <c r="AP208" s="38">
        <v>0</v>
      </c>
      <c r="AQ208" s="39">
        <v>0</v>
      </c>
      <c r="AR208" s="37">
        <v>0</v>
      </c>
      <c r="AS208" s="37" t="e">
        <v>#DIV/0!</v>
      </c>
      <c r="AT208" s="36">
        <v>74</v>
      </c>
      <c r="AU208" s="36">
        <v>184</v>
      </c>
      <c r="AV208" s="37">
        <v>-110</v>
      </c>
      <c r="AW208" s="37">
        <v>-59.782608695652172</v>
      </c>
      <c r="AX208" s="5">
        <v>106308</v>
      </c>
      <c r="AY208" t="str">
        <f t="shared" si="78"/>
        <v>GARG-VIJAY-NEW HARYANA</v>
      </c>
      <c r="AZ208" t="str">
        <f t="shared" si="79"/>
        <v>Rohtak Road</v>
      </c>
      <c r="BC208" s="5">
        <v>172351</v>
      </c>
      <c r="BD208" s="5" t="s">
        <v>581</v>
      </c>
      <c r="BE208" s="46" t="s">
        <v>584</v>
      </c>
      <c r="BF208" s="13" t="s">
        <v>585</v>
      </c>
      <c r="BG208" s="6" t="s">
        <v>85</v>
      </c>
      <c r="BH208" s="6" t="s">
        <v>177</v>
      </c>
      <c r="BI208" s="12" t="s">
        <v>177</v>
      </c>
      <c r="BJ208" s="51" t="s">
        <v>178</v>
      </c>
    </row>
    <row r="209" spans="1:62" ht="48.5" x14ac:dyDescent="0.35">
      <c r="A209">
        <v>179735</v>
      </c>
      <c r="B209" s="84">
        <f t="shared" si="60"/>
        <v>333</v>
      </c>
      <c r="C209" s="84">
        <f t="shared" si="61"/>
        <v>409.5</v>
      </c>
      <c r="E209" s="5">
        <v>106269</v>
      </c>
      <c r="F209" s="19">
        <v>545</v>
      </c>
      <c r="G209" s="19">
        <v>615</v>
      </c>
      <c r="H209" s="19">
        <v>480</v>
      </c>
      <c r="I209" s="19">
        <v>555</v>
      </c>
      <c r="J209" s="19">
        <v>120</v>
      </c>
      <c r="K209" s="19">
        <v>145</v>
      </c>
      <c r="L209" s="19">
        <v>135</v>
      </c>
      <c r="M209" s="19">
        <v>145</v>
      </c>
      <c r="N209" s="5">
        <v>331623</v>
      </c>
      <c r="O209">
        <f t="shared" si="62"/>
        <v>243.83500000000001</v>
      </c>
      <c r="P209">
        <f t="shared" si="63"/>
        <v>168.89399999999989</v>
      </c>
      <c r="Q209">
        <f t="shared" si="64"/>
        <v>90.965000000000003</v>
      </c>
      <c r="R209">
        <f t="shared" si="65"/>
        <v>60.136999999999908</v>
      </c>
      <c r="S209">
        <f t="shared" si="66"/>
        <v>216.40700000000001</v>
      </c>
      <c r="T209">
        <f t="shared" si="67"/>
        <v>150.453</v>
      </c>
      <c r="U209">
        <f t="shared" si="68"/>
        <v>79.543000000000006</v>
      </c>
      <c r="V209">
        <f t="shared" si="69"/>
        <v>57.348000000000106</v>
      </c>
      <c r="X209" s="5">
        <v>368600</v>
      </c>
      <c r="Y209">
        <f t="shared" si="70"/>
        <v>489.31599999999901</v>
      </c>
      <c r="Z209">
        <f t="shared" si="71"/>
        <v>466.017</v>
      </c>
      <c r="AA209">
        <f t="shared" si="72"/>
        <v>71.302000000000007</v>
      </c>
      <c r="AB209">
        <f t="shared" si="73"/>
        <v>82.877999999999901</v>
      </c>
      <c r="AC209">
        <f t="shared" si="74"/>
        <v>5968.7529999999988</v>
      </c>
      <c r="AD209">
        <f t="shared" si="75"/>
        <v>4611.7139999999999</v>
      </c>
      <c r="AE209">
        <f t="shared" si="76"/>
        <v>970.52599999999973</v>
      </c>
      <c r="AF209">
        <f t="shared" si="77"/>
        <v>1115.3419999999994</v>
      </c>
      <c r="AG209" s="5">
        <v>331623</v>
      </c>
      <c r="AH209" s="31">
        <v>243.83500000000001</v>
      </c>
      <c r="AI209" s="31">
        <v>168.89399999999989</v>
      </c>
      <c r="AJ209" s="37">
        <v>74.941000000000116</v>
      </c>
      <c r="AK209" s="37">
        <v>44.371617701043355</v>
      </c>
      <c r="AL209" s="36">
        <v>90.965000000000003</v>
      </c>
      <c r="AM209" s="36">
        <v>60.136999999999908</v>
      </c>
      <c r="AN209" s="37">
        <v>30.828000000000095</v>
      </c>
      <c r="AO209" s="37">
        <v>51.262949598417187</v>
      </c>
      <c r="AP209" s="38">
        <v>2684.5140000000001</v>
      </c>
      <c r="AQ209" s="39">
        <v>1726.3219999999999</v>
      </c>
      <c r="AR209" s="37">
        <v>958.19200000000023</v>
      </c>
      <c r="AS209" s="37">
        <v>55.504824708252585</v>
      </c>
      <c r="AT209" s="36">
        <v>925.47899999999947</v>
      </c>
      <c r="AU209" s="36">
        <v>740.45699999999988</v>
      </c>
      <c r="AV209" s="37">
        <v>185.02199999999959</v>
      </c>
      <c r="AW209" s="37">
        <v>24.987541477763006</v>
      </c>
      <c r="AX209" s="5">
        <v>106269</v>
      </c>
      <c r="AY209" t="str">
        <f t="shared" si="78"/>
        <v>SHIV SS</v>
      </c>
      <c r="AZ209" t="str">
        <f t="shared" si="79"/>
        <v>Dwarka</v>
      </c>
      <c r="BC209" s="5">
        <v>331623</v>
      </c>
      <c r="BD209" s="5" t="s">
        <v>581</v>
      </c>
      <c r="BE209" s="46" t="s">
        <v>586</v>
      </c>
      <c r="BF209" s="13" t="s">
        <v>267</v>
      </c>
      <c r="BG209" s="6" t="s">
        <v>89</v>
      </c>
      <c r="BH209" s="6" t="s">
        <v>587</v>
      </c>
      <c r="BI209" s="12" t="s">
        <v>587</v>
      </c>
      <c r="BJ209" s="51" t="s">
        <v>91</v>
      </c>
    </row>
    <row r="210" spans="1:62" ht="36.5" x14ac:dyDescent="0.35">
      <c r="A210">
        <v>147087</v>
      </c>
      <c r="B210" s="84">
        <f t="shared" si="60"/>
        <v>110</v>
      </c>
      <c r="C210" s="84">
        <f t="shared" si="61"/>
        <v>156.5</v>
      </c>
      <c r="E210" s="5">
        <v>186837</v>
      </c>
      <c r="F210" s="19">
        <v>376</v>
      </c>
      <c r="G210" s="19">
        <v>414</v>
      </c>
      <c r="H210" s="19">
        <v>350.5</v>
      </c>
      <c r="I210" s="19">
        <v>365</v>
      </c>
      <c r="J210" s="19">
        <v>93.5</v>
      </c>
      <c r="K210" s="19">
        <v>89</v>
      </c>
      <c r="L210" s="19">
        <v>104</v>
      </c>
      <c r="M210" s="19">
        <v>96</v>
      </c>
      <c r="N210" s="5">
        <v>106239</v>
      </c>
      <c r="O210">
        <f t="shared" si="62"/>
        <v>460</v>
      </c>
      <c r="P210">
        <f t="shared" si="63"/>
        <v>401.5</v>
      </c>
      <c r="Q210">
        <f t="shared" si="64"/>
        <v>80</v>
      </c>
      <c r="R210">
        <f t="shared" si="65"/>
        <v>72.5</v>
      </c>
      <c r="S210">
        <f t="shared" si="66"/>
        <v>395</v>
      </c>
      <c r="T210">
        <f t="shared" si="67"/>
        <v>356</v>
      </c>
      <c r="U210">
        <f t="shared" si="68"/>
        <v>65</v>
      </c>
      <c r="V210">
        <f t="shared" si="69"/>
        <v>64</v>
      </c>
      <c r="X210" s="5">
        <v>106285</v>
      </c>
      <c r="Y210">
        <f t="shared" si="70"/>
        <v>364.5</v>
      </c>
      <c r="Z210">
        <f t="shared" si="71"/>
        <v>310.5</v>
      </c>
      <c r="AA210">
        <f t="shared" si="72"/>
        <v>85.5</v>
      </c>
      <c r="AB210">
        <f t="shared" si="73"/>
        <v>85.5</v>
      </c>
      <c r="AC210">
        <f t="shared" si="74"/>
        <v>4217</v>
      </c>
      <c r="AD210">
        <f t="shared" si="75"/>
        <v>3151.5</v>
      </c>
      <c r="AE210">
        <f t="shared" si="76"/>
        <v>945</v>
      </c>
      <c r="AF210">
        <f t="shared" si="77"/>
        <v>1014.5</v>
      </c>
      <c r="AG210" s="5">
        <v>106239</v>
      </c>
      <c r="AH210" s="31">
        <v>460</v>
      </c>
      <c r="AI210" s="31">
        <v>401.5</v>
      </c>
      <c r="AJ210" s="37">
        <v>58.5</v>
      </c>
      <c r="AK210" s="37">
        <v>14.570361145703611</v>
      </c>
      <c r="AL210" s="36">
        <v>80</v>
      </c>
      <c r="AM210" s="36">
        <v>72.5</v>
      </c>
      <c r="AN210" s="37">
        <v>7.5</v>
      </c>
      <c r="AO210" s="37">
        <v>10.344827586206897</v>
      </c>
      <c r="AP210" s="38">
        <v>5322</v>
      </c>
      <c r="AQ210" s="39">
        <v>3001.5</v>
      </c>
      <c r="AR210" s="37">
        <v>2320.5</v>
      </c>
      <c r="AS210" s="37">
        <v>77.311344327836082</v>
      </c>
      <c r="AT210" s="36">
        <v>850</v>
      </c>
      <c r="AU210" s="36">
        <v>753</v>
      </c>
      <c r="AV210" s="37">
        <v>97</v>
      </c>
      <c r="AW210" s="37">
        <v>12.881806108897742</v>
      </c>
      <c r="AX210" s="5">
        <v>186837</v>
      </c>
      <c r="AY210" t="str">
        <f t="shared" si="78"/>
        <v>MANN SS</v>
      </c>
      <c r="AZ210" t="str">
        <f t="shared" si="79"/>
        <v>Old Delhi</v>
      </c>
      <c r="BC210" s="5">
        <v>106239</v>
      </c>
      <c r="BD210" s="5" t="s">
        <v>581</v>
      </c>
      <c r="BE210" s="46" t="s">
        <v>588</v>
      </c>
      <c r="BF210" s="13" t="s">
        <v>589</v>
      </c>
      <c r="BG210" s="6" t="s">
        <v>187</v>
      </c>
      <c r="BH210" s="6" t="s">
        <v>370</v>
      </c>
      <c r="BI210" s="12" t="s">
        <v>370</v>
      </c>
      <c r="BJ210" s="51" t="s">
        <v>189</v>
      </c>
    </row>
    <row r="211" spans="1:62" ht="48.5" x14ac:dyDescent="0.35">
      <c r="A211">
        <v>122804</v>
      </c>
      <c r="B211" s="84">
        <f t="shared" si="60"/>
        <v>72</v>
      </c>
      <c r="C211" s="84">
        <f t="shared" si="61"/>
        <v>88</v>
      </c>
      <c r="E211" s="5">
        <v>102087</v>
      </c>
      <c r="F211" s="19">
        <v>233</v>
      </c>
      <c r="G211" s="19">
        <v>260</v>
      </c>
      <c r="H211" s="19">
        <v>243</v>
      </c>
      <c r="I211" s="19">
        <v>279</v>
      </c>
      <c r="J211" s="19">
        <v>66</v>
      </c>
      <c r="K211" s="19">
        <v>75</v>
      </c>
      <c r="L211" s="19">
        <v>49</v>
      </c>
      <c r="M211" s="19">
        <v>52</v>
      </c>
      <c r="N211" s="7">
        <v>150887</v>
      </c>
      <c r="O211">
        <f t="shared" si="62"/>
        <v>36</v>
      </c>
      <c r="P211">
        <f t="shared" si="63"/>
        <v>41</v>
      </c>
      <c r="Q211">
        <f t="shared" si="64"/>
        <v>48</v>
      </c>
      <c r="R211">
        <f t="shared" si="65"/>
        <v>25</v>
      </c>
      <c r="S211">
        <f t="shared" si="66"/>
        <v>42</v>
      </c>
      <c r="T211">
        <f t="shared" si="67"/>
        <v>30</v>
      </c>
      <c r="U211">
        <f t="shared" si="68"/>
        <v>18</v>
      </c>
      <c r="V211">
        <f t="shared" si="69"/>
        <v>18</v>
      </c>
      <c r="X211" s="5">
        <v>106243</v>
      </c>
      <c r="Y211">
        <f t="shared" si="70"/>
        <v>498</v>
      </c>
      <c r="Z211">
        <f t="shared" si="71"/>
        <v>490</v>
      </c>
      <c r="AA211">
        <f t="shared" si="72"/>
        <v>70</v>
      </c>
      <c r="AB211">
        <f t="shared" si="73"/>
        <v>90</v>
      </c>
      <c r="AC211">
        <f t="shared" si="74"/>
        <v>5990</v>
      </c>
      <c r="AD211">
        <f t="shared" si="75"/>
        <v>4995.5</v>
      </c>
      <c r="AE211">
        <f t="shared" si="76"/>
        <v>968</v>
      </c>
      <c r="AF211">
        <f t="shared" si="77"/>
        <v>1245.5</v>
      </c>
      <c r="AG211" s="7">
        <v>150887</v>
      </c>
      <c r="AH211" s="31">
        <v>36</v>
      </c>
      <c r="AI211" s="31">
        <v>41</v>
      </c>
      <c r="AJ211" s="37">
        <v>-5</v>
      </c>
      <c r="AK211" s="37">
        <v>-12.195121951219512</v>
      </c>
      <c r="AL211" s="36">
        <v>48</v>
      </c>
      <c r="AM211" s="36">
        <v>25</v>
      </c>
      <c r="AN211" s="37">
        <v>23</v>
      </c>
      <c r="AO211" s="37">
        <v>92</v>
      </c>
      <c r="AP211" s="38">
        <v>473</v>
      </c>
      <c r="AQ211" s="39">
        <v>374</v>
      </c>
      <c r="AR211" s="37">
        <v>99</v>
      </c>
      <c r="AS211" s="37">
        <v>26.47058823529412</v>
      </c>
      <c r="AT211" s="36">
        <v>337</v>
      </c>
      <c r="AU211" s="36">
        <v>353</v>
      </c>
      <c r="AV211" s="37">
        <v>-16</v>
      </c>
      <c r="AW211" s="37">
        <v>-4.5325779036827196</v>
      </c>
      <c r="AX211" s="5">
        <v>102087</v>
      </c>
      <c r="AY211" t="str">
        <f t="shared" si="78"/>
        <v>ANAND FS</v>
      </c>
      <c r="AZ211" t="str">
        <f t="shared" si="79"/>
        <v>Lutyens</v>
      </c>
      <c r="BC211" s="7">
        <v>150887</v>
      </c>
      <c r="BD211" s="5" t="s">
        <v>581</v>
      </c>
      <c r="BE211" s="46" t="s">
        <v>590</v>
      </c>
      <c r="BF211" s="13" t="s">
        <v>591</v>
      </c>
      <c r="BG211" s="6" t="s">
        <v>89</v>
      </c>
      <c r="BH211" s="6" t="s">
        <v>294</v>
      </c>
      <c r="BI211" s="12" t="s">
        <v>294</v>
      </c>
      <c r="BJ211" s="51" t="s">
        <v>91</v>
      </c>
    </row>
    <row r="212" spans="1:62" ht="48.5" x14ac:dyDescent="0.35">
      <c r="A212">
        <v>112422</v>
      </c>
      <c r="B212" s="84">
        <f t="shared" si="60"/>
        <v>533</v>
      </c>
      <c r="C212" s="84">
        <f t="shared" si="61"/>
        <v>606.5</v>
      </c>
      <c r="E212" s="5">
        <v>106250</v>
      </c>
      <c r="F212" s="19">
        <v>62.5</v>
      </c>
      <c r="G212" s="19">
        <v>68</v>
      </c>
      <c r="H212" s="19">
        <v>42</v>
      </c>
      <c r="I212" s="19">
        <v>58.5</v>
      </c>
      <c r="J212" s="19">
        <v>32</v>
      </c>
      <c r="K212" s="19">
        <v>49.5</v>
      </c>
      <c r="L212" s="19">
        <v>33.5</v>
      </c>
      <c r="M212" s="19">
        <v>72</v>
      </c>
      <c r="N212" s="5">
        <v>332207</v>
      </c>
      <c r="O212">
        <f t="shared" si="62"/>
        <v>189.497999999999</v>
      </c>
      <c r="P212">
        <f t="shared" si="63"/>
        <v>170.15200000000002</v>
      </c>
      <c r="Q212">
        <f t="shared" si="64"/>
        <v>88.007000000000005</v>
      </c>
      <c r="R212">
        <f t="shared" si="65"/>
        <v>64.468999999999994</v>
      </c>
      <c r="S212">
        <f t="shared" si="66"/>
        <v>170.62200000000001</v>
      </c>
      <c r="T212">
        <f t="shared" si="67"/>
        <v>155.40299999999991</v>
      </c>
      <c r="U212">
        <f t="shared" si="68"/>
        <v>64.257000000000005</v>
      </c>
      <c r="V212">
        <f t="shared" si="69"/>
        <v>60.385000000000005</v>
      </c>
      <c r="X212" s="9">
        <v>41057002</v>
      </c>
      <c r="Y212">
        <f t="shared" si="70"/>
        <v>217.5</v>
      </c>
      <c r="Z212">
        <f t="shared" si="71"/>
        <v>246</v>
      </c>
      <c r="AA212">
        <f t="shared" si="72"/>
        <v>90.5</v>
      </c>
      <c r="AB212">
        <f t="shared" si="73"/>
        <v>99</v>
      </c>
      <c r="AC212">
        <f t="shared" si="74"/>
        <v>3057.5</v>
      </c>
      <c r="AD212">
        <f t="shared" si="75"/>
        <v>2578.5</v>
      </c>
      <c r="AE212">
        <f t="shared" si="76"/>
        <v>1136.5</v>
      </c>
      <c r="AF212">
        <f t="shared" si="77"/>
        <v>1295</v>
      </c>
      <c r="AG212" s="5">
        <v>332207</v>
      </c>
      <c r="AH212" s="31">
        <v>189.497999999999</v>
      </c>
      <c r="AI212" s="31">
        <v>170.15200000000002</v>
      </c>
      <c r="AJ212" s="37">
        <v>19.34599999999898</v>
      </c>
      <c r="AK212" s="37">
        <v>11.369834030748377</v>
      </c>
      <c r="AL212" s="36">
        <v>88.007000000000005</v>
      </c>
      <c r="AM212" s="36">
        <v>64.468999999999994</v>
      </c>
      <c r="AN212" s="37">
        <v>23.538000000000011</v>
      </c>
      <c r="AO212" s="37">
        <v>36.510570972095138</v>
      </c>
      <c r="AP212" s="38">
        <v>2273.7429999999986</v>
      </c>
      <c r="AQ212" s="39">
        <v>1733.4449999999999</v>
      </c>
      <c r="AR212" s="37">
        <v>540.29799999999864</v>
      </c>
      <c r="AS212" s="37">
        <v>31.169030456691655</v>
      </c>
      <c r="AT212" s="36">
        <v>869.22899999999959</v>
      </c>
      <c r="AU212" s="36">
        <v>827.04099999999971</v>
      </c>
      <c r="AV212" s="37">
        <v>42.187999999999874</v>
      </c>
      <c r="AW212" s="37">
        <v>5.1010772138261453</v>
      </c>
      <c r="AX212" s="5">
        <v>106250</v>
      </c>
      <c r="AY212" t="str">
        <f t="shared" si="78"/>
        <v>White Patch_Dhansa</v>
      </c>
      <c r="AZ212" t="str">
        <f t="shared" si="79"/>
        <v>Nazafgarh-Kapashera</v>
      </c>
      <c r="BC212" s="5">
        <v>332207</v>
      </c>
      <c r="BD212" s="5" t="s">
        <v>581</v>
      </c>
      <c r="BE212" s="46" t="s">
        <v>592</v>
      </c>
      <c r="BF212" s="13" t="s">
        <v>267</v>
      </c>
      <c r="BG212" s="6" t="s">
        <v>89</v>
      </c>
      <c r="BH212" s="6" t="s">
        <v>587</v>
      </c>
      <c r="BI212" s="12" t="s">
        <v>587</v>
      </c>
      <c r="BJ212" s="51" t="s">
        <v>91</v>
      </c>
    </row>
    <row r="213" spans="1:62" ht="48.5" x14ac:dyDescent="0.35">
      <c r="A213">
        <v>106296</v>
      </c>
      <c r="B213" s="84">
        <f t="shared" si="60"/>
        <v>267</v>
      </c>
      <c r="C213" s="84">
        <f t="shared" si="61"/>
        <v>229.5</v>
      </c>
      <c r="E213" s="5">
        <v>356501</v>
      </c>
      <c r="F213" s="19">
        <v>159.5</v>
      </c>
      <c r="G213" s="19">
        <v>160</v>
      </c>
      <c r="H213" s="19">
        <v>122.5</v>
      </c>
      <c r="I213" s="19">
        <v>135</v>
      </c>
      <c r="J213" s="19">
        <v>75.5</v>
      </c>
      <c r="K213" s="19">
        <v>69</v>
      </c>
      <c r="L213" s="19">
        <v>86.5</v>
      </c>
      <c r="M213" s="19">
        <v>112</v>
      </c>
      <c r="N213" s="5">
        <v>106226</v>
      </c>
      <c r="O213">
        <f t="shared" si="62"/>
        <v>226.5</v>
      </c>
      <c r="P213">
        <f t="shared" si="63"/>
        <v>204</v>
      </c>
      <c r="Q213">
        <f t="shared" si="64"/>
        <v>45.5</v>
      </c>
      <c r="R213">
        <f t="shared" si="65"/>
        <v>62</v>
      </c>
      <c r="S213">
        <f t="shared" si="66"/>
        <v>192</v>
      </c>
      <c r="T213">
        <f t="shared" si="67"/>
        <v>169.5</v>
      </c>
      <c r="U213">
        <f t="shared" si="68"/>
        <v>28</v>
      </c>
      <c r="V213">
        <f t="shared" si="69"/>
        <v>50.5</v>
      </c>
      <c r="X213" s="9">
        <v>41057006</v>
      </c>
      <c r="Y213">
        <f t="shared" si="70"/>
        <v>476</v>
      </c>
      <c r="Z213">
        <f t="shared" si="71"/>
        <v>473</v>
      </c>
      <c r="AA213">
        <f t="shared" si="72"/>
        <v>52</v>
      </c>
      <c r="AB213">
        <f t="shared" si="73"/>
        <v>77</v>
      </c>
      <c r="AC213">
        <f t="shared" si="74"/>
        <v>5761.5</v>
      </c>
      <c r="AD213">
        <f t="shared" si="75"/>
        <v>4789</v>
      </c>
      <c r="AE213">
        <f t="shared" si="76"/>
        <v>878.5</v>
      </c>
      <c r="AF213">
        <f t="shared" si="77"/>
        <v>1053</v>
      </c>
      <c r="AG213" s="5">
        <v>106226</v>
      </c>
      <c r="AH213" s="31">
        <v>226.5</v>
      </c>
      <c r="AI213" s="31">
        <v>204</v>
      </c>
      <c r="AJ213" s="37">
        <v>22.5</v>
      </c>
      <c r="AK213" s="37">
        <v>11.029411764705882</v>
      </c>
      <c r="AL213" s="36">
        <v>45.5</v>
      </c>
      <c r="AM213" s="36">
        <v>62</v>
      </c>
      <c r="AN213" s="37">
        <v>-16.5</v>
      </c>
      <c r="AO213" s="37">
        <v>-26.612903225806448</v>
      </c>
      <c r="AP213" s="38">
        <v>2579</v>
      </c>
      <c r="AQ213" s="39">
        <v>1774</v>
      </c>
      <c r="AR213" s="37">
        <v>805</v>
      </c>
      <c r="AS213" s="37">
        <v>45.377677564825255</v>
      </c>
      <c r="AT213" s="36">
        <v>749</v>
      </c>
      <c r="AU213" s="36">
        <v>628.5</v>
      </c>
      <c r="AV213" s="37">
        <v>120.5</v>
      </c>
      <c r="AW213" s="37">
        <v>19.172633253778841</v>
      </c>
      <c r="AX213" s="5">
        <v>356501</v>
      </c>
      <c r="AY213" t="str">
        <f t="shared" si="78"/>
        <v>SIDHU</v>
      </c>
      <c r="AZ213" t="str">
        <f t="shared" si="79"/>
        <v>Burari</v>
      </c>
      <c r="BC213" s="5">
        <v>106226</v>
      </c>
      <c r="BD213" s="5" t="s">
        <v>581</v>
      </c>
      <c r="BE213" s="46" t="s">
        <v>593</v>
      </c>
      <c r="BF213" s="13" t="s">
        <v>594</v>
      </c>
      <c r="BG213" s="6" t="s">
        <v>85</v>
      </c>
      <c r="BH213" s="6" t="s">
        <v>370</v>
      </c>
      <c r="BI213" s="12" t="s">
        <v>370</v>
      </c>
      <c r="BJ213" s="51" t="s">
        <v>189</v>
      </c>
    </row>
    <row r="214" spans="1:62" ht="48.5" x14ac:dyDescent="0.35">
      <c r="A214">
        <v>41031854</v>
      </c>
      <c r="B214" s="84">
        <f t="shared" si="60"/>
        <v>375</v>
      </c>
      <c r="C214" s="84">
        <f t="shared" si="61"/>
        <v>373.5</v>
      </c>
      <c r="E214" s="5">
        <v>106334</v>
      </c>
      <c r="F214" s="19">
        <v>191</v>
      </c>
      <c r="G214" s="19">
        <v>216.5</v>
      </c>
      <c r="H214" s="19">
        <v>179</v>
      </c>
      <c r="I214" s="19">
        <v>183</v>
      </c>
      <c r="J214" s="19">
        <v>13</v>
      </c>
      <c r="K214" s="19">
        <v>9</v>
      </c>
      <c r="L214" s="19">
        <v>13</v>
      </c>
      <c r="M214" s="19">
        <v>13.5</v>
      </c>
      <c r="N214" s="5">
        <v>102091</v>
      </c>
      <c r="O214">
        <f t="shared" si="62"/>
        <v>192</v>
      </c>
      <c r="P214">
        <f t="shared" si="63"/>
        <v>202.5</v>
      </c>
      <c r="Q214">
        <f t="shared" si="64"/>
        <v>50</v>
      </c>
      <c r="R214">
        <f t="shared" si="65"/>
        <v>67.5</v>
      </c>
      <c r="S214">
        <f t="shared" si="66"/>
        <v>185</v>
      </c>
      <c r="T214">
        <f t="shared" si="67"/>
        <v>175.5</v>
      </c>
      <c r="U214">
        <f t="shared" si="68"/>
        <v>51</v>
      </c>
      <c r="V214">
        <f t="shared" si="69"/>
        <v>40.5</v>
      </c>
      <c r="X214" s="9">
        <v>41070344</v>
      </c>
      <c r="Y214">
        <f t="shared" si="70"/>
        <v>194</v>
      </c>
      <c r="Z214">
        <f t="shared" si="71"/>
        <v>261.5</v>
      </c>
      <c r="AA214">
        <f t="shared" si="72"/>
        <v>52</v>
      </c>
      <c r="AB214">
        <f t="shared" si="73"/>
        <v>120.5</v>
      </c>
      <c r="AC214">
        <f t="shared" si="74"/>
        <v>2832</v>
      </c>
      <c r="AD214">
        <f t="shared" si="75"/>
        <v>2408</v>
      </c>
      <c r="AE214">
        <f t="shared" si="76"/>
        <v>1016</v>
      </c>
      <c r="AF214">
        <f t="shared" si="77"/>
        <v>1320</v>
      </c>
      <c r="AG214" s="5">
        <v>102091</v>
      </c>
      <c r="AH214" s="31">
        <v>192</v>
      </c>
      <c r="AI214" s="31">
        <v>202.5</v>
      </c>
      <c r="AJ214" s="37">
        <v>-10.5</v>
      </c>
      <c r="AK214" s="37">
        <v>-5.1851851851851851</v>
      </c>
      <c r="AL214" s="36">
        <v>50</v>
      </c>
      <c r="AM214" s="36">
        <v>67.5</v>
      </c>
      <c r="AN214" s="37">
        <v>-17.5</v>
      </c>
      <c r="AO214" s="37">
        <v>-25.925925925925924</v>
      </c>
      <c r="AP214" s="38">
        <v>2525.5</v>
      </c>
      <c r="AQ214" s="39">
        <v>1861</v>
      </c>
      <c r="AR214" s="37">
        <v>664.5</v>
      </c>
      <c r="AS214" s="37">
        <v>35.706609349811927</v>
      </c>
      <c r="AT214" s="36">
        <v>652.5</v>
      </c>
      <c r="AU214" s="36">
        <v>727</v>
      </c>
      <c r="AV214" s="37">
        <v>-74.5</v>
      </c>
      <c r="AW214" s="37">
        <v>-10.247592847317744</v>
      </c>
      <c r="AX214" s="5">
        <v>106334</v>
      </c>
      <c r="AY214" t="str">
        <f t="shared" si="78"/>
        <v xml:space="preserve">White Patch_ Govind Puri to Okhla </v>
      </c>
      <c r="AZ214" t="str">
        <f t="shared" si="79"/>
        <v xml:space="preserve">Okhla </v>
      </c>
      <c r="BC214" s="5">
        <v>102091</v>
      </c>
      <c r="BD214" s="5" t="s">
        <v>581</v>
      </c>
      <c r="BE214" s="46" t="s">
        <v>595</v>
      </c>
      <c r="BF214" s="13" t="s">
        <v>596</v>
      </c>
      <c r="BG214" s="6" t="s">
        <v>89</v>
      </c>
      <c r="BH214" s="6" t="s">
        <v>307</v>
      </c>
      <c r="BI214" s="12" t="s">
        <v>395</v>
      </c>
      <c r="BJ214" s="51" t="s">
        <v>248</v>
      </c>
    </row>
    <row r="215" spans="1:62" ht="60.5" x14ac:dyDescent="0.35">
      <c r="A215">
        <v>142009</v>
      </c>
      <c r="B215" s="84">
        <f t="shared" si="60"/>
        <v>112.5</v>
      </c>
      <c r="C215" s="84">
        <f t="shared" si="61"/>
        <v>127.5</v>
      </c>
      <c r="E215" s="5">
        <v>106336</v>
      </c>
      <c r="F215" s="19">
        <v>740</v>
      </c>
      <c r="G215" s="19">
        <v>823</v>
      </c>
      <c r="H215" s="19">
        <v>699</v>
      </c>
      <c r="I215" s="19">
        <v>775</v>
      </c>
      <c r="J215" s="19">
        <v>95</v>
      </c>
      <c r="K215" s="19">
        <v>105</v>
      </c>
      <c r="L215" s="19">
        <v>94</v>
      </c>
      <c r="M215" s="19">
        <v>109</v>
      </c>
      <c r="N215" s="5">
        <v>106345</v>
      </c>
      <c r="O215">
        <f t="shared" si="62"/>
        <v>682</v>
      </c>
      <c r="P215">
        <f t="shared" si="63"/>
        <v>488</v>
      </c>
      <c r="Q215">
        <f t="shared" si="64"/>
        <v>176</v>
      </c>
      <c r="R215">
        <f t="shared" si="65"/>
        <v>148</v>
      </c>
      <c r="S215">
        <f t="shared" si="66"/>
        <v>585</v>
      </c>
      <c r="T215">
        <f t="shared" si="67"/>
        <v>428</v>
      </c>
      <c r="U215">
        <f t="shared" si="68"/>
        <v>153</v>
      </c>
      <c r="V215">
        <f t="shared" si="69"/>
        <v>124</v>
      </c>
      <c r="X215" s="9">
        <v>41057004</v>
      </c>
      <c r="Y215">
        <f t="shared" si="70"/>
        <v>823</v>
      </c>
      <c r="Z215">
        <f t="shared" si="71"/>
        <v>763.5</v>
      </c>
      <c r="AA215">
        <f t="shared" si="72"/>
        <v>90</v>
      </c>
      <c r="AB215">
        <f t="shared" si="73"/>
        <v>76.5</v>
      </c>
      <c r="AC215">
        <f t="shared" si="74"/>
        <v>9791</v>
      </c>
      <c r="AD215">
        <f t="shared" si="75"/>
        <v>7754</v>
      </c>
      <c r="AE215">
        <f t="shared" si="76"/>
        <v>1006</v>
      </c>
      <c r="AF215">
        <f t="shared" si="77"/>
        <v>1089</v>
      </c>
      <c r="AG215" s="5">
        <v>106345</v>
      </c>
      <c r="AH215" s="31">
        <v>682</v>
      </c>
      <c r="AI215" s="31">
        <v>488</v>
      </c>
      <c r="AJ215" s="37">
        <v>194</v>
      </c>
      <c r="AK215" s="37">
        <v>39.754098360655739</v>
      </c>
      <c r="AL215" s="36">
        <v>176</v>
      </c>
      <c r="AM215" s="36">
        <v>148</v>
      </c>
      <c r="AN215" s="37">
        <v>28</v>
      </c>
      <c r="AO215" s="37">
        <v>18.918918918918919</v>
      </c>
      <c r="AP215" s="38">
        <v>6976.5</v>
      </c>
      <c r="AQ215" s="39">
        <v>4753.5</v>
      </c>
      <c r="AR215" s="37">
        <v>2223</v>
      </c>
      <c r="AS215" s="37">
        <v>46.765541180183021</v>
      </c>
      <c r="AT215" s="36">
        <v>1811.5</v>
      </c>
      <c r="AU215" s="36">
        <v>1584.5</v>
      </c>
      <c r="AV215" s="37">
        <v>227</v>
      </c>
      <c r="AW215" s="37">
        <v>14.326285894603977</v>
      </c>
      <c r="AX215" s="5">
        <v>106336</v>
      </c>
      <c r="AY215" t="str">
        <f t="shared" si="78"/>
        <v>SHIV SS</v>
      </c>
      <c r="AZ215" t="str">
        <f t="shared" si="79"/>
        <v>Dwarka</v>
      </c>
      <c r="BC215" s="5">
        <v>106345</v>
      </c>
      <c r="BD215" s="5" t="s">
        <v>581</v>
      </c>
      <c r="BE215" s="46" t="s">
        <v>597</v>
      </c>
      <c r="BF215" s="13" t="s">
        <v>598</v>
      </c>
      <c r="BG215" s="6" t="s">
        <v>89</v>
      </c>
      <c r="BH215" s="6" t="s">
        <v>204</v>
      </c>
      <c r="BI215" s="12" t="s">
        <v>204</v>
      </c>
      <c r="BJ215" s="51" t="s">
        <v>205</v>
      </c>
    </row>
    <row r="216" spans="1:62" ht="36.5" x14ac:dyDescent="0.35">
      <c r="A216">
        <v>112720</v>
      </c>
      <c r="B216" s="84">
        <f t="shared" si="60"/>
        <v>644</v>
      </c>
      <c r="C216" s="84">
        <f t="shared" si="61"/>
        <v>754</v>
      </c>
      <c r="E216" s="5">
        <v>186830</v>
      </c>
      <c r="F216" s="19">
        <v>82</v>
      </c>
      <c r="G216" s="19">
        <v>99</v>
      </c>
      <c r="H216" s="19">
        <v>91.5</v>
      </c>
      <c r="I216" s="19">
        <v>99</v>
      </c>
      <c r="J216" s="19">
        <v>36.5</v>
      </c>
      <c r="K216" s="19">
        <v>45</v>
      </c>
      <c r="L216" s="19">
        <v>40</v>
      </c>
      <c r="M216" s="19">
        <v>45</v>
      </c>
      <c r="N216" s="5">
        <v>205752</v>
      </c>
      <c r="O216">
        <f t="shared" si="62"/>
        <v>168</v>
      </c>
      <c r="P216">
        <f t="shared" si="63"/>
        <v>166</v>
      </c>
      <c r="Q216">
        <f t="shared" si="64"/>
        <v>36</v>
      </c>
      <c r="R216">
        <f t="shared" si="65"/>
        <v>44</v>
      </c>
      <c r="S216">
        <f t="shared" si="66"/>
        <v>173.5</v>
      </c>
      <c r="T216">
        <f t="shared" si="67"/>
        <v>142</v>
      </c>
      <c r="U216">
        <f t="shared" si="68"/>
        <v>48.5</v>
      </c>
      <c r="V216">
        <f t="shared" si="69"/>
        <v>44</v>
      </c>
      <c r="X216" s="3">
        <v>156837</v>
      </c>
      <c r="Y216">
        <f t="shared" si="70"/>
        <v>576.77300000000002</v>
      </c>
      <c r="Z216">
        <f t="shared" si="71"/>
        <v>498.93900000000002</v>
      </c>
      <c r="AA216">
        <f t="shared" si="72"/>
        <v>107.63800000000001</v>
      </c>
      <c r="AB216">
        <f t="shared" si="73"/>
        <v>118.44199999999999</v>
      </c>
      <c r="AC216">
        <f t="shared" si="74"/>
        <v>5713.7920000000004</v>
      </c>
      <c r="AD216">
        <f t="shared" si="75"/>
        <v>5233.2700000000013</v>
      </c>
      <c r="AE216">
        <f t="shared" si="76"/>
        <v>1135.011</v>
      </c>
      <c r="AF216">
        <f t="shared" si="77"/>
        <v>1512.7919999999997</v>
      </c>
      <c r="AG216" s="5">
        <v>205752</v>
      </c>
      <c r="AH216" s="31">
        <v>168</v>
      </c>
      <c r="AI216" s="31">
        <v>166</v>
      </c>
      <c r="AJ216" s="37">
        <v>2</v>
      </c>
      <c r="AK216" s="37">
        <v>1.2048192771084338</v>
      </c>
      <c r="AL216" s="36">
        <v>36</v>
      </c>
      <c r="AM216" s="36">
        <v>44</v>
      </c>
      <c r="AN216" s="37">
        <v>-8</v>
      </c>
      <c r="AO216" s="37">
        <v>-18.181818181818183</v>
      </c>
      <c r="AP216" s="38">
        <v>2182.5</v>
      </c>
      <c r="AQ216" s="39">
        <v>1681</v>
      </c>
      <c r="AR216" s="37">
        <v>501.5</v>
      </c>
      <c r="AS216" s="37">
        <v>29.833432480666271</v>
      </c>
      <c r="AT216" s="36">
        <v>539.5</v>
      </c>
      <c r="AU216" s="36">
        <v>533</v>
      </c>
      <c r="AV216" s="37">
        <v>6.5</v>
      </c>
      <c r="AW216" s="37">
        <v>1.2195121951219512</v>
      </c>
      <c r="AX216" s="5">
        <v>186830</v>
      </c>
      <c r="AY216" t="str">
        <f t="shared" si="78"/>
        <v>ANAND FS</v>
      </c>
      <c r="AZ216" t="str">
        <f t="shared" si="79"/>
        <v>Lutyens</v>
      </c>
      <c r="BC216" s="5">
        <v>205752</v>
      </c>
      <c r="BD216" s="5" t="s">
        <v>581</v>
      </c>
      <c r="BE216" s="46" t="s">
        <v>599</v>
      </c>
      <c r="BF216" s="13" t="s">
        <v>600</v>
      </c>
      <c r="BG216" s="6" t="s">
        <v>89</v>
      </c>
      <c r="BH216" s="6" t="s">
        <v>204</v>
      </c>
      <c r="BI216" s="12" t="s">
        <v>204</v>
      </c>
      <c r="BJ216" s="51" t="s">
        <v>205</v>
      </c>
    </row>
    <row r="217" spans="1:62" ht="48.5" x14ac:dyDescent="0.35">
      <c r="A217">
        <v>305308</v>
      </c>
      <c r="B217" s="84">
        <f t="shared" si="60"/>
        <v>225</v>
      </c>
      <c r="C217" s="84">
        <f t="shared" si="61"/>
        <v>212</v>
      </c>
      <c r="E217" s="5">
        <v>180790</v>
      </c>
      <c r="F217" s="19">
        <v>350.5</v>
      </c>
      <c r="G217" s="19">
        <v>408</v>
      </c>
      <c r="H217" s="19">
        <v>302.5</v>
      </c>
      <c r="I217" s="19">
        <v>346.5</v>
      </c>
      <c r="J217" s="19">
        <v>87.5</v>
      </c>
      <c r="K217" s="19">
        <v>83.5</v>
      </c>
      <c r="L217" s="19">
        <v>67.5</v>
      </c>
      <c r="M217" s="19">
        <v>76</v>
      </c>
      <c r="N217" s="5">
        <v>102110</v>
      </c>
      <c r="O217">
        <f t="shared" si="62"/>
        <v>272</v>
      </c>
      <c r="P217">
        <f t="shared" si="63"/>
        <v>240.5</v>
      </c>
      <c r="Q217">
        <f t="shared" si="64"/>
        <v>364</v>
      </c>
      <c r="R217">
        <f t="shared" si="65"/>
        <v>365.5</v>
      </c>
      <c r="S217">
        <f t="shared" si="66"/>
        <v>232</v>
      </c>
      <c r="T217">
        <f t="shared" si="67"/>
        <v>200</v>
      </c>
      <c r="U217">
        <f t="shared" si="68"/>
        <v>424</v>
      </c>
      <c r="V217">
        <f t="shared" si="69"/>
        <v>322</v>
      </c>
      <c r="X217" s="9">
        <v>41032431</v>
      </c>
      <c r="Y217">
        <f t="shared" si="70"/>
        <v>374</v>
      </c>
      <c r="Z217">
        <f t="shared" si="71"/>
        <v>348</v>
      </c>
      <c r="AA217">
        <f t="shared" si="72"/>
        <v>77</v>
      </c>
      <c r="AB217">
        <f t="shared" si="73"/>
        <v>70</v>
      </c>
      <c r="AC217">
        <f t="shared" si="74"/>
        <v>4622</v>
      </c>
      <c r="AD217">
        <f t="shared" si="75"/>
        <v>3755</v>
      </c>
      <c r="AE217">
        <f t="shared" si="76"/>
        <v>870</v>
      </c>
      <c r="AF217">
        <f t="shared" si="77"/>
        <v>903</v>
      </c>
      <c r="AG217" s="5">
        <v>102110</v>
      </c>
      <c r="AH217" s="31">
        <v>272</v>
      </c>
      <c r="AI217" s="31">
        <v>240.5</v>
      </c>
      <c r="AJ217" s="37">
        <v>31.5</v>
      </c>
      <c r="AK217" s="37">
        <v>13.097713097713099</v>
      </c>
      <c r="AL217" s="36">
        <v>364</v>
      </c>
      <c r="AM217" s="36">
        <v>365.5</v>
      </c>
      <c r="AN217" s="37">
        <v>-1.5</v>
      </c>
      <c r="AO217" s="37">
        <v>-0.41039671682626538</v>
      </c>
      <c r="AP217" s="38">
        <v>3230</v>
      </c>
      <c r="AQ217" s="39">
        <v>2247</v>
      </c>
      <c r="AR217" s="37">
        <v>983</v>
      </c>
      <c r="AS217" s="37">
        <v>43.747218513573657</v>
      </c>
      <c r="AT217" s="36">
        <v>4418</v>
      </c>
      <c r="AU217" s="36">
        <v>4288.5</v>
      </c>
      <c r="AV217" s="37">
        <v>129.5</v>
      </c>
      <c r="AW217" s="37">
        <v>3.0197038591582142</v>
      </c>
      <c r="AX217" s="5">
        <v>180790</v>
      </c>
      <c r="AY217" t="str">
        <f t="shared" si="78"/>
        <v>SAI</v>
      </c>
      <c r="AZ217" t="str">
        <f t="shared" si="79"/>
        <v>Burari</v>
      </c>
      <c r="BC217" s="5">
        <v>102110</v>
      </c>
      <c r="BD217" s="5" t="s">
        <v>581</v>
      </c>
      <c r="BE217" s="46" t="s">
        <v>601</v>
      </c>
      <c r="BF217" s="13" t="s">
        <v>602</v>
      </c>
      <c r="BG217" s="6" t="s">
        <v>89</v>
      </c>
      <c r="BH217" s="6" t="s">
        <v>603</v>
      </c>
      <c r="BI217" s="12" t="s">
        <v>603</v>
      </c>
      <c r="BJ217" s="51" t="s">
        <v>120</v>
      </c>
    </row>
    <row r="218" spans="1:62" ht="36.5" x14ac:dyDescent="0.35">
      <c r="A218">
        <v>108140</v>
      </c>
      <c r="B218" s="84">
        <f t="shared" si="60"/>
        <v>450</v>
      </c>
      <c r="C218" s="84">
        <f t="shared" si="61"/>
        <v>508.5</v>
      </c>
      <c r="E218" s="5">
        <v>106323</v>
      </c>
      <c r="F218" s="19">
        <v>123</v>
      </c>
      <c r="G218" s="19">
        <v>130</v>
      </c>
      <c r="H218" s="19">
        <v>110.5</v>
      </c>
      <c r="I218" s="19">
        <v>116.5</v>
      </c>
      <c r="J218" s="19">
        <v>153.5</v>
      </c>
      <c r="K218" s="19">
        <v>123.5</v>
      </c>
      <c r="L218" s="19">
        <v>141</v>
      </c>
      <c r="M218" s="19">
        <v>164</v>
      </c>
      <c r="N218" s="5">
        <v>106333</v>
      </c>
      <c r="O218">
        <f t="shared" si="62"/>
        <v>373.5</v>
      </c>
      <c r="P218">
        <f t="shared" si="63"/>
        <v>360.5</v>
      </c>
      <c r="Q218">
        <f t="shared" si="64"/>
        <v>58.5</v>
      </c>
      <c r="R218">
        <f t="shared" si="65"/>
        <v>67.5</v>
      </c>
      <c r="S218">
        <f t="shared" si="66"/>
        <v>373.5</v>
      </c>
      <c r="T218">
        <f t="shared" si="67"/>
        <v>321.5</v>
      </c>
      <c r="U218">
        <f t="shared" si="68"/>
        <v>58.5</v>
      </c>
      <c r="V218">
        <f t="shared" si="69"/>
        <v>62.5</v>
      </c>
      <c r="X218" s="5">
        <v>102099</v>
      </c>
      <c r="Y218">
        <f t="shared" si="70"/>
        <v>555</v>
      </c>
      <c r="Z218">
        <f t="shared" si="71"/>
        <v>545</v>
      </c>
      <c r="AA218">
        <f t="shared" si="72"/>
        <v>85</v>
      </c>
      <c r="AB218">
        <f t="shared" si="73"/>
        <v>95</v>
      </c>
      <c r="AC218">
        <f t="shared" si="74"/>
        <v>6836</v>
      </c>
      <c r="AD218">
        <f t="shared" si="75"/>
        <v>5641</v>
      </c>
      <c r="AE218">
        <f t="shared" si="76"/>
        <v>1068</v>
      </c>
      <c r="AF218">
        <f t="shared" si="77"/>
        <v>1218</v>
      </c>
      <c r="AG218" s="5">
        <v>106333</v>
      </c>
      <c r="AH218" s="31">
        <v>373.5</v>
      </c>
      <c r="AI218" s="31">
        <v>360.5</v>
      </c>
      <c r="AJ218" s="37">
        <v>13</v>
      </c>
      <c r="AK218" s="37">
        <v>3.6061026352288486</v>
      </c>
      <c r="AL218" s="36">
        <v>58.5</v>
      </c>
      <c r="AM218" s="36">
        <v>67.5</v>
      </c>
      <c r="AN218" s="37">
        <v>-9</v>
      </c>
      <c r="AO218" s="37">
        <v>-13.333333333333334</v>
      </c>
      <c r="AP218" s="38">
        <v>4650</v>
      </c>
      <c r="AQ218" s="39">
        <v>3706</v>
      </c>
      <c r="AR218" s="37">
        <v>944</v>
      </c>
      <c r="AS218" s="37">
        <v>25.472207231516457</v>
      </c>
      <c r="AT218" s="36">
        <v>816</v>
      </c>
      <c r="AU218" s="36">
        <v>956</v>
      </c>
      <c r="AV218" s="37">
        <v>-140</v>
      </c>
      <c r="AW218" s="37">
        <v>-14.644351464435147</v>
      </c>
      <c r="AX218" s="5">
        <v>106323</v>
      </c>
      <c r="AY218" t="str">
        <f t="shared" si="78"/>
        <v>M.L.SETHI</v>
      </c>
      <c r="AZ218" t="str">
        <f t="shared" si="79"/>
        <v>Rohini</v>
      </c>
      <c r="BC218" s="5">
        <v>106333</v>
      </c>
      <c r="BD218" s="5" t="s">
        <v>581</v>
      </c>
      <c r="BE218" s="46" t="s">
        <v>604</v>
      </c>
      <c r="BF218" s="13" t="s">
        <v>605</v>
      </c>
      <c r="BG218" s="6" t="s">
        <v>85</v>
      </c>
      <c r="BH218" s="6" t="s">
        <v>337</v>
      </c>
      <c r="BI218" s="12" t="s">
        <v>337</v>
      </c>
      <c r="BJ218" s="51" t="s">
        <v>248</v>
      </c>
    </row>
    <row r="219" spans="1:62" ht="36.5" x14ac:dyDescent="0.35">
      <c r="A219">
        <v>112424</v>
      </c>
      <c r="B219" s="84">
        <f t="shared" si="60"/>
        <v>130</v>
      </c>
      <c r="C219" s="84">
        <f t="shared" si="61"/>
        <v>150</v>
      </c>
      <c r="E219" s="5">
        <v>106249</v>
      </c>
      <c r="F219" s="19">
        <v>234</v>
      </c>
      <c r="G219" s="19">
        <v>238</v>
      </c>
      <c r="H219" s="19">
        <v>198.5</v>
      </c>
      <c r="I219" s="19">
        <v>225.5</v>
      </c>
      <c r="J219" s="19">
        <v>69.5</v>
      </c>
      <c r="K219" s="19">
        <v>76.5</v>
      </c>
      <c r="L219" s="19">
        <v>72</v>
      </c>
      <c r="M219" s="19">
        <v>80</v>
      </c>
      <c r="N219" s="5">
        <v>106285</v>
      </c>
      <c r="O219">
        <f t="shared" si="62"/>
        <v>364.5</v>
      </c>
      <c r="P219">
        <f t="shared" si="63"/>
        <v>310.5</v>
      </c>
      <c r="Q219">
        <f t="shared" si="64"/>
        <v>85.5</v>
      </c>
      <c r="R219">
        <f t="shared" si="65"/>
        <v>85.5</v>
      </c>
      <c r="S219">
        <f t="shared" si="66"/>
        <v>316.5</v>
      </c>
      <c r="T219">
        <f t="shared" si="67"/>
        <v>283.5</v>
      </c>
      <c r="U219">
        <f t="shared" si="68"/>
        <v>81.5</v>
      </c>
      <c r="V219">
        <f t="shared" si="69"/>
        <v>76.5</v>
      </c>
      <c r="X219" s="3">
        <v>112411</v>
      </c>
      <c r="Y219">
        <f t="shared" si="70"/>
        <v>273</v>
      </c>
      <c r="Z219">
        <f t="shared" si="71"/>
        <v>281</v>
      </c>
      <c r="AA219">
        <f t="shared" si="72"/>
        <v>79</v>
      </c>
      <c r="AB219">
        <f t="shared" si="73"/>
        <v>79</v>
      </c>
      <c r="AC219">
        <f t="shared" si="74"/>
        <v>3514</v>
      </c>
      <c r="AD219">
        <f t="shared" si="75"/>
        <v>2754.5000110000001</v>
      </c>
      <c r="AE219">
        <f t="shared" si="76"/>
        <v>938</v>
      </c>
      <c r="AF219">
        <f t="shared" si="77"/>
        <v>939.5</v>
      </c>
      <c r="AG219" s="5">
        <v>106285</v>
      </c>
      <c r="AH219" s="31">
        <v>364.5</v>
      </c>
      <c r="AI219" s="31">
        <v>310.5</v>
      </c>
      <c r="AJ219" s="37">
        <v>54</v>
      </c>
      <c r="AK219" s="37">
        <v>17.391304347826086</v>
      </c>
      <c r="AL219" s="36">
        <v>85.5</v>
      </c>
      <c r="AM219" s="36">
        <v>85.5</v>
      </c>
      <c r="AN219" s="37">
        <v>0</v>
      </c>
      <c r="AO219" s="37">
        <v>0</v>
      </c>
      <c r="AP219" s="38">
        <v>4217</v>
      </c>
      <c r="AQ219" s="39">
        <v>3151.5</v>
      </c>
      <c r="AR219" s="37">
        <v>1065.5</v>
      </c>
      <c r="AS219" s="37">
        <v>33.809297160082501</v>
      </c>
      <c r="AT219" s="36">
        <v>945</v>
      </c>
      <c r="AU219" s="36">
        <v>1014.5</v>
      </c>
      <c r="AV219" s="37">
        <v>-69.5</v>
      </c>
      <c r="AW219" s="37">
        <v>-6.8506653523903411</v>
      </c>
      <c r="AX219" s="5">
        <v>106249</v>
      </c>
      <c r="AY219" t="str">
        <f t="shared" si="78"/>
        <v>White Patch_Aurbindo marg to Ring Rod South Ex</v>
      </c>
      <c r="AZ219" t="str">
        <f t="shared" si="79"/>
        <v>Lutyens</v>
      </c>
      <c r="BC219" s="5">
        <v>106285</v>
      </c>
      <c r="BD219" s="5" t="s">
        <v>581</v>
      </c>
      <c r="BE219" s="46" t="s">
        <v>606</v>
      </c>
      <c r="BF219" s="13" t="s">
        <v>607</v>
      </c>
      <c r="BG219" s="6" t="s">
        <v>89</v>
      </c>
      <c r="BH219" s="6" t="s">
        <v>342</v>
      </c>
      <c r="BI219" s="12" t="s">
        <v>342</v>
      </c>
      <c r="BJ219" s="51" t="s">
        <v>205</v>
      </c>
    </row>
    <row r="220" spans="1:62" ht="48.5" x14ac:dyDescent="0.35">
      <c r="A220">
        <v>106301</v>
      </c>
      <c r="B220" s="84">
        <f t="shared" si="60"/>
        <v>87</v>
      </c>
      <c r="C220" s="84">
        <f t="shared" si="61"/>
        <v>112</v>
      </c>
      <c r="E220" s="5">
        <v>312687</v>
      </c>
      <c r="F220" s="19">
        <v>208.261</v>
      </c>
      <c r="G220" s="19">
        <v>241.197</v>
      </c>
      <c r="H220" s="19">
        <v>210.36600000000001</v>
      </c>
      <c r="I220" s="19">
        <v>233.14800000000002</v>
      </c>
      <c r="J220" s="19">
        <v>121.01100000000008</v>
      </c>
      <c r="K220" s="19">
        <v>124.47800000000001</v>
      </c>
      <c r="L220" s="19">
        <v>82.659000000000006</v>
      </c>
      <c r="M220" s="19">
        <v>90.855999999999895</v>
      </c>
      <c r="N220" s="5">
        <v>186845</v>
      </c>
      <c r="O220">
        <f t="shared" si="62"/>
        <v>69.5</v>
      </c>
      <c r="P220">
        <f t="shared" si="63"/>
        <v>0</v>
      </c>
      <c r="Q220">
        <f t="shared" si="64"/>
        <v>4</v>
      </c>
      <c r="R220">
        <f t="shared" si="65"/>
        <v>0</v>
      </c>
      <c r="S220">
        <f t="shared" si="66"/>
        <v>84</v>
      </c>
      <c r="T220">
        <f t="shared" si="67"/>
        <v>24</v>
      </c>
      <c r="U220">
        <f t="shared" si="68"/>
        <v>0</v>
      </c>
      <c r="V220">
        <f t="shared" si="69"/>
        <v>0</v>
      </c>
      <c r="X220" s="5">
        <v>186852</v>
      </c>
      <c r="Y220">
        <f t="shared" si="70"/>
        <v>220.5</v>
      </c>
      <c r="Z220">
        <f t="shared" si="71"/>
        <v>228</v>
      </c>
      <c r="AA220">
        <f t="shared" si="72"/>
        <v>67.5</v>
      </c>
      <c r="AB220">
        <f t="shared" si="73"/>
        <v>72</v>
      </c>
      <c r="AC220">
        <f t="shared" si="74"/>
        <v>2983</v>
      </c>
      <c r="AD220">
        <f t="shared" si="75"/>
        <v>2293.5</v>
      </c>
      <c r="AE220">
        <f t="shared" si="76"/>
        <v>897</v>
      </c>
      <c r="AF220">
        <f t="shared" si="77"/>
        <v>770</v>
      </c>
      <c r="AG220" s="5">
        <v>186845</v>
      </c>
      <c r="AH220" s="31">
        <v>69.5</v>
      </c>
      <c r="AI220" s="31">
        <v>0</v>
      </c>
      <c r="AJ220" s="37">
        <v>69.5</v>
      </c>
      <c r="AK220" s="37" t="e">
        <v>#DIV/0!</v>
      </c>
      <c r="AL220" s="36">
        <v>4</v>
      </c>
      <c r="AM220" s="36">
        <v>0</v>
      </c>
      <c r="AN220" s="37">
        <v>4</v>
      </c>
      <c r="AO220" s="37" t="e">
        <v>#DIV/0!</v>
      </c>
      <c r="AP220" s="38">
        <v>625</v>
      </c>
      <c r="AQ220" s="39">
        <v>586</v>
      </c>
      <c r="AR220" s="37">
        <v>39</v>
      </c>
      <c r="AS220" s="37">
        <v>6.6552901023890794</v>
      </c>
      <c r="AT220" s="36">
        <v>12</v>
      </c>
      <c r="AU220" s="36">
        <v>8</v>
      </c>
      <c r="AV220" s="37">
        <v>4</v>
      </c>
      <c r="AW220" s="37">
        <v>50</v>
      </c>
      <c r="AX220" s="5">
        <v>312687</v>
      </c>
      <c r="AY220" t="str">
        <f t="shared" si="78"/>
        <v>GYMKHANA</v>
      </c>
      <c r="AZ220" t="str">
        <f t="shared" si="79"/>
        <v>Lutyens</v>
      </c>
      <c r="BC220" s="5">
        <v>186845</v>
      </c>
      <c r="BD220" s="5" t="s">
        <v>581</v>
      </c>
      <c r="BE220" s="46" t="s">
        <v>608</v>
      </c>
      <c r="BF220" s="13" t="s">
        <v>609</v>
      </c>
      <c r="BG220" s="6" t="s">
        <v>187</v>
      </c>
      <c r="BH220" s="6" t="s">
        <v>188</v>
      </c>
      <c r="BI220" s="12" t="s">
        <v>188</v>
      </c>
      <c r="BJ220" s="51" t="s">
        <v>189</v>
      </c>
    </row>
    <row r="221" spans="1:62" ht="48.5" x14ac:dyDescent="0.35">
      <c r="A221">
        <v>112425</v>
      </c>
      <c r="B221" s="84">
        <f t="shared" si="60"/>
        <v>225.5</v>
      </c>
      <c r="C221" s="84">
        <f t="shared" si="61"/>
        <v>280</v>
      </c>
      <c r="E221" s="5">
        <v>106260</v>
      </c>
      <c r="F221" s="19">
        <v>145</v>
      </c>
      <c r="G221" s="19">
        <v>140</v>
      </c>
      <c r="H221" s="19">
        <v>127</v>
      </c>
      <c r="I221" s="19">
        <v>150</v>
      </c>
      <c r="J221" s="19">
        <v>17</v>
      </c>
      <c r="K221" s="19">
        <v>22</v>
      </c>
      <c r="L221" s="19">
        <v>15</v>
      </c>
      <c r="M221" s="19">
        <v>22</v>
      </c>
      <c r="N221" s="7">
        <v>122804</v>
      </c>
      <c r="O221">
        <f t="shared" si="62"/>
        <v>88</v>
      </c>
      <c r="P221">
        <f t="shared" si="63"/>
        <v>112</v>
      </c>
      <c r="Q221">
        <f t="shared" si="64"/>
        <v>152</v>
      </c>
      <c r="R221">
        <f t="shared" si="65"/>
        <v>264</v>
      </c>
      <c r="S221">
        <f t="shared" si="66"/>
        <v>72</v>
      </c>
      <c r="T221">
        <f t="shared" si="67"/>
        <v>97.5</v>
      </c>
      <c r="U221">
        <f t="shared" si="68"/>
        <v>156</v>
      </c>
      <c r="V221">
        <f t="shared" si="69"/>
        <v>256.5</v>
      </c>
      <c r="X221" s="5">
        <v>106251</v>
      </c>
      <c r="Y221">
        <f t="shared" si="70"/>
        <v>572</v>
      </c>
      <c r="Z221">
        <f t="shared" si="71"/>
        <v>504</v>
      </c>
      <c r="AA221">
        <f t="shared" si="72"/>
        <v>76</v>
      </c>
      <c r="AB221">
        <f t="shared" si="73"/>
        <v>84</v>
      </c>
      <c r="AC221">
        <f t="shared" si="74"/>
        <v>6604</v>
      </c>
      <c r="AD221">
        <f t="shared" si="75"/>
        <v>3517</v>
      </c>
      <c r="AE221">
        <f t="shared" si="76"/>
        <v>930</v>
      </c>
      <c r="AF221">
        <f t="shared" si="77"/>
        <v>864.5</v>
      </c>
      <c r="AG221" s="7">
        <v>122804</v>
      </c>
      <c r="AH221" s="31">
        <v>88</v>
      </c>
      <c r="AI221" s="31">
        <v>112</v>
      </c>
      <c r="AJ221" s="37">
        <v>-24</v>
      </c>
      <c r="AK221" s="37">
        <v>-21.428571428571427</v>
      </c>
      <c r="AL221" s="36">
        <v>152</v>
      </c>
      <c r="AM221" s="36">
        <v>264</v>
      </c>
      <c r="AN221" s="37">
        <v>-112</v>
      </c>
      <c r="AO221" s="37">
        <v>-42.424242424242422</v>
      </c>
      <c r="AP221" s="38">
        <v>1106</v>
      </c>
      <c r="AQ221" s="39">
        <v>1116.5</v>
      </c>
      <c r="AR221" s="37">
        <v>-10.5</v>
      </c>
      <c r="AS221" s="37">
        <v>-0.94043887147335425</v>
      </c>
      <c r="AT221" s="36">
        <v>1874</v>
      </c>
      <c r="AU221" s="36">
        <v>3166</v>
      </c>
      <c r="AV221" s="37">
        <v>-1292</v>
      </c>
      <c r="AW221" s="37">
        <v>-40.808591282375239</v>
      </c>
      <c r="AX221" s="5">
        <v>106260</v>
      </c>
      <c r="AY221" t="str">
        <f t="shared" si="78"/>
        <v>M.L.SETHI</v>
      </c>
      <c r="AZ221" t="str">
        <f t="shared" si="79"/>
        <v>Rohini</v>
      </c>
      <c r="BC221" s="7">
        <v>122804</v>
      </c>
      <c r="BD221" s="5" t="s">
        <v>581</v>
      </c>
      <c r="BE221" s="46" t="s">
        <v>610</v>
      </c>
      <c r="BF221" s="13" t="s">
        <v>611</v>
      </c>
      <c r="BG221" s="6" t="s">
        <v>89</v>
      </c>
      <c r="BH221" s="6" t="s">
        <v>237</v>
      </c>
      <c r="BI221" s="12" t="s">
        <v>392</v>
      </c>
      <c r="BJ221" s="51" t="s">
        <v>1007</v>
      </c>
    </row>
    <row r="222" spans="1:62" ht="24.5" x14ac:dyDescent="0.35">
      <c r="A222">
        <v>112426</v>
      </c>
      <c r="B222" s="84">
        <f t="shared" si="60"/>
        <v>12.5</v>
      </c>
      <c r="C222" s="84">
        <f t="shared" si="61"/>
        <v>9</v>
      </c>
      <c r="E222" s="5">
        <v>196392</v>
      </c>
      <c r="F222" s="19">
        <v>125</v>
      </c>
      <c r="G222" s="19">
        <v>138.5</v>
      </c>
      <c r="H222" s="19">
        <v>135.5</v>
      </c>
      <c r="I222" s="19">
        <v>157</v>
      </c>
      <c r="J222" s="19">
        <v>34.5</v>
      </c>
      <c r="K222" s="19">
        <v>45</v>
      </c>
      <c r="L222" s="19">
        <v>25</v>
      </c>
      <c r="M222" s="19">
        <v>27.5</v>
      </c>
      <c r="N222" s="5">
        <v>180790</v>
      </c>
      <c r="O222">
        <f t="shared" si="62"/>
        <v>408</v>
      </c>
      <c r="P222">
        <f t="shared" si="63"/>
        <v>346.5</v>
      </c>
      <c r="Q222">
        <f t="shared" si="64"/>
        <v>76</v>
      </c>
      <c r="R222">
        <f t="shared" si="65"/>
        <v>83.5</v>
      </c>
      <c r="S222">
        <f t="shared" si="66"/>
        <v>350.5</v>
      </c>
      <c r="T222">
        <f t="shared" si="67"/>
        <v>302.5</v>
      </c>
      <c r="U222">
        <f t="shared" si="68"/>
        <v>67.5</v>
      </c>
      <c r="V222">
        <f t="shared" si="69"/>
        <v>87.5</v>
      </c>
      <c r="X222" s="3">
        <v>112393</v>
      </c>
      <c r="Y222">
        <f t="shared" si="70"/>
        <v>340</v>
      </c>
      <c r="Z222">
        <f t="shared" si="71"/>
        <v>261</v>
      </c>
      <c r="AA222">
        <f t="shared" si="72"/>
        <v>60</v>
      </c>
      <c r="AB222">
        <f t="shared" si="73"/>
        <v>27</v>
      </c>
      <c r="AC222">
        <f t="shared" si="74"/>
        <v>3485</v>
      </c>
      <c r="AD222">
        <f t="shared" si="75"/>
        <v>2722.5000190000001</v>
      </c>
      <c r="AE222">
        <f t="shared" si="76"/>
        <v>421</v>
      </c>
      <c r="AF222">
        <f t="shared" si="77"/>
        <v>373.5</v>
      </c>
      <c r="AG222" s="5">
        <v>180790</v>
      </c>
      <c r="AH222" s="31">
        <v>408</v>
      </c>
      <c r="AI222" s="31">
        <v>346.5</v>
      </c>
      <c r="AJ222" s="37">
        <v>61.5</v>
      </c>
      <c r="AK222" s="37">
        <v>17.748917748917751</v>
      </c>
      <c r="AL222" s="36">
        <v>76</v>
      </c>
      <c r="AM222" s="36">
        <v>83.5</v>
      </c>
      <c r="AN222" s="37">
        <v>-7.5</v>
      </c>
      <c r="AO222" s="37">
        <v>-8.9820359281437128</v>
      </c>
      <c r="AP222" s="38">
        <v>4540</v>
      </c>
      <c r="AQ222" s="39">
        <v>3373</v>
      </c>
      <c r="AR222" s="37">
        <v>1167</v>
      </c>
      <c r="AS222" s="37">
        <v>34.598280462496298</v>
      </c>
      <c r="AT222" s="36">
        <v>826</v>
      </c>
      <c r="AU222" s="36">
        <v>940</v>
      </c>
      <c r="AV222" s="37">
        <v>-114</v>
      </c>
      <c r="AW222" s="37">
        <v>-12.127659574468085</v>
      </c>
      <c r="AX222" s="5">
        <v>196392</v>
      </c>
      <c r="AY222" t="str">
        <f t="shared" si="78"/>
        <v>SHAURYABHUSHAN_JAGDISH</v>
      </c>
      <c r="AZ222" t="str">
        <f t="shared" si="79"/>
        <v>Rohini</v>
      </c>
      <c r="BC222" s="5">
        <v>180790</v>
      </c>
      <c r="BD222" s="5" t="s">
        <v>581</v>
      </c>
      <c r="BE222" s="46" t="s">
        <v>612</v>
      </c>
      <c r="BF222" s="13" t="s">
        <v>613</v>
      </c>
      <c r="BG222" s="6" t="s">
        <v>187</v>
      </c>
      <c r="BH222" s="6" t="s">
        <v>216</v>
      </c>
      <c r="BI222" s="12" t="s">
        <v>216</v>
      </c>
      <c r="BJ222" s="51" t="s">
        <v>217</v>
      </c>
    </row>
    <row r="223" spans="1:62" ht="24.5" x14ac:dyDescent="0.35">
      <c r="A223">
        <v>106303</v>
      </c>
      <c r="B223" s="84">
        <f t="shared" si="60"/>
        <v>232</v>
      </c>
      <c r="C223" s="84">
        <f t="shared" si="61"/>
        <v>267.5</v>
      </c>
      <c r="E223" s="5">
        <v>283795</v>
      </c>
      <c r="F223" s="19">
        <v>76</v>
      </c>
      <c r="G223" s="19">
        <v>92</v>
      </c>
      <c r="H223" s="19">
        <v>60</v>
      </c>
      <c r="I223" s="19">
        <v>72</v>
      </c>
      <c r="J223" s="19">
        <v>48</v>
      </c>
      <c r="K223" s="19">
        <v>48</v>
      </c>
      <c r="L223" s="19">
        <v>44</v>
      </c>
      <c r="M223" s="19">
        <v>52</v>
      </c>
      <c r="N223" s="5">
        <v>185484</v>
      </c>
      <c r="O223">
        <f t="shared" si="62"/>
        <v>157</v>
      </c>
      <c r="P223">
        <f t="shared" si="63"/>
        <v>146</v>
      </c>
      <c r="Q223">
        <f t="shared" si="64"/>
        <v>17</v>
      </c>
      <c r="R223">
        <f t="shared" si="65"/>
        <v>18</v>
      </c>
      <c r="S223">
        <f t="shared" si="66"/>
        <v>162</v>
      </c>
      <c r="T223">
        <f t="shared" si="67"/>
        <v>131</v>
      </c>
      <c r="U223">
        <f t="shared" si="68"/>
        <v>8</v>
      </c>
      <c r="V223">
        <f t="shared" si="69"/>
        <v>19</v>
      </c>
      <c r="X223" s="5">
        <v>106348</v>
      </c>
      <c r="Y223">
        <f t="shared" si="70"/>
        <v>664.5</v>
      </c>
      <c r="Z223">
        <f t="shared" si="71"/>
        <v>626.5</v>
      </c>
      <c r="AA223">
        <f t="shared" si="72"/>
        <v>67.5</v>
      </c>
      <c r="AB223">
        <f t="shared" si="73"/>
        <v>81.5</v>
      </c>
      <c r="AC223">
        <f t="shared" si="74"/>
        <v>7873</v>
      </c>
      <c r="AD223">
        <f t="shared" si="75"/>
        <v>6085.5</v>
      </c>
      <c r="AE223">
        <f t="shared" si="76"/>
        <v>869</v>
      </c>
      <c r="AF223">
        <f t="shared" si="77"/>
        <v>980.5</v>
      </c>
      <c r="AG223" s="5">
        <v>185484</v>
      </c>
      <c r="AH223" s="31">
        <v>157</v>
      </c>
      <c r="AI223" s="31">
        <v>146</v>
      </c>
      <c r="AJ223" s="37">
        <v>11</v>
      </c>
      <c r="AK223" s="37">
        <v>7.5342465753424657</v>
      </c>
      <c r="AL223" s="36">
        <v>17</v>
      </c>
      <c r="AM223" s="36">
        <v>18</v>
      </c>
      <c r="AN223" s="37">
        <v>-1</v>
      </c>
      <c r="AO223" s="37">
        <v>-5.5555555555555554</v>
      </c>
      <c r="AP223" s="38">
        <v>1966.5</v>
      </c>
      <c r="AQ223" s="39">
        <v>1541</v>
      </c>
      <c r="AR223" s="37">
        <v>425.5</v>
      </c>
      <c r="AS223" s="37">
        <v>27.611940298507463</v>
      </c>
      <c r="AT223" s="36">
        <v>219.5</v>
      </c>
      <c r="AU223" s="36">
        <v>246</v>
      </c>
      <c r="AV223" s="37">
        <v>-26.5</v>
      </c>
      <c r="AW223" s="37">
        <v>-10.772357723577237</v>
      </c>
      <c r="AX223" s="5">
        <v>283795</v>
      </c>
      <c r="AY223" t="str">
        <f t="shared" si="78"/>
        <v>BPBAWANA_JAIMATA</v>
      </c>
      <c r="AZ223" t="str">
        <f t="shared" si="79"/>
        <v>Narela- Bawana</v>
      </c>
      <c r="BC223" s="5">
        <v>185484</v>
      </c>
      <c r="BD223" s="5" t="s">
        <v>581</v>
      </c>
      <c r="BE223" s="46" t="s">
        <v>614</v>
      </c>
      <c r="BF223" s="13" t="s">
        <v>615</v>
      </c>
      <c r="BG223" s="6" t="s">
        <v>89</v>
      </c>
      <c r="BH223" s="6" t="s">
        <v>345</v>
      </c>
      <c r="BI223" s="12" t="s">
        <v>345</v>
      </c>
      <c r="BJ223" s="51" t="s">
        <v>205</v>
      </c>
    </row>
    <row r="224" spans="1:62" ht="48.5" x14ac:dyDescent="0.35">
      <c r="A224">
        <v>186837</v>
      </c>
      <c r="B224" s="84">
        <f t="shared" si="60"/>
        <v>376</v>
      </c>
      <c r="C224" s="84">
        <f t="shared" si="61"/>
        <v>414</v>
      </c>
      <c r="E224" s="5">
        <v>102110</v>
      </c>
      <c r="F224" s="19">
        <v>232</v>
      </c>
      <c r="G224" s="19">
        <v>272</v>
      </c>
      <c r="H224" s="19">
        <v>200</v>
      </c>
      <c r="I224" s="19">
        <v>240.5</v>
      </c>
      <c r="J224" s="19">
        <v>322</v>
      </c>
      <c r="K224" s="19">
        <v>365.5</v>
      </c>
      <c r="L224" s="19">
        <v>424</v>
      </c>
      <c r="M224" s="19">
        <v>364</v>
      </c>
      <c r="N224" s="5">
        <v>208231</v>
      </c>
      <c r="O224">
        <f t="shared" si="62"/>
        <v>432</v>
      </c>
      <c r="P224">
        <f t="shared" si="63"/>
        <v>412</v>
      </c>
      <c r="Q224">
        <f t="shared" si="64"/>
        <v>96</v>
      </c>
      <c r="R224">
        <f t="shared" si="65"/>
        <v>116</v>
      </c>
      <c r="S224">
        <f t="shared" si="66"/>
        <v>395</v>
      </c>
      <c r="T224">
        <f t="shared" si="67"/>
        <v>344</v>
      </c>
      <c r="U224">
        <f t="shared" si="68"/>
        <v>95</v>
      </c>
      <c r="V224">
        <f t="shared" si="69"/>
        <v>100</v>
      </c>
      <c r="X224" s="5">
        <v>106340</v>
      </c>
      <c r="Y224">
        <f t="shared" si="70"/>
        <v>319</v>
      </c>
      <c r="Z224">
        <f t="shared" si="71"/>
        <v>370</v>
      </c>
      <c r="AA224">
        <f t="shared" si="72"/>
        <v>53</v>
      </c>
      <c r="AB224">
        <f t="shared" si="73"/>
        <v>76</v>
      </c>
      <c r="AC224">
        <f t="shared" si="74"/>
        <v>4326.5</v>
      </c>
      <c r="AD224">
        <f t="shared" si="75"/>
        <v>3593</v>
      </c>
      <c r="AE224">
        <f t="shared" si="76"/>
        <v>757.5</v>
      </c>
      <c r="AF224">
        <f t="shared" si="77"/>
        <v>892.5</v>
      </c>
      <c r="AG224" s="5">
        <v>208231</v>
      </c>
      <c r="AH224" s="31">
        <v>432</v>
      </c>
      <c r="AI224" s="31">
        <v>412</v>
      </c>
      <c r="AJ224" s="37">
        <v>20</v>
      </c>
      <c r="AK224" s="37">
        <v>4.8543689320388346</v>
      </c>
      <c r="AL224" s="36">
        <v>96</v>
      </c>
      <c r="AM224" s="36">
        <v>116</v>
      </c>
      <c r="AN224" s="37">
        <v>-20</v>
      </c>
      <c r="AO224" s="37">
        <v>-17.241379310344829</v>
      </c>
      <c r="AP224" s="38">
        <v>5209</v>
      </c>
      <c r="AQ224" s="39">
        <v>3889.5</v>
      </c>
      <c r="AR224" s="37">
        <v>1319.5</v>
      </c>
      <c r="AS224" s="37">
        <v>33.924668980588763</v>
      </c>
      <c r="AT224" s="36">
        <v>1323</v>
      </c>
      <c r="AU224" s="36">
        <v>1408.5</v>
      </c>
      <c r="AV224" s="37">
        <v>-85.5</v>
      </c>
      <c r="AW224" s="37">
        <v>-6.0702875399361016</v>
      </c>
      <c r="AX224" s="5">
        <v>102110</v>
      </c>
      <c r="AY224" t="str">
        <f t="shared" si="78"/>
        <v>White Patch- Outer Ring Road</v>
      </c>
      <c r="AZ224" t="str">
        <f t="shared" si="79"/>
        <v>Outer Ring Road</v>
      </c>
      <c r="BC224" s="5">
        <v>208231</v>
      </c>
      <c r="BD224" s="5" t="s">
        <v>581</v>
      </c>
      <c r="BE224" s="46" t="s">
        <v>616</v>
      </c>
      <c r="BF224" s="13" t="s">
        <v>617</v>
      </c>
      <c r="BG224" s="6" t="s">
        <v>89</v>
      </c>
      <c r="BH224" s="6" t="s">
        <v>603</v>
      </c>
      <c r="BI224" s="12" t="s">
        <v>603</v>
      </c>
      <c r="BJ224" s="51" t="s">
        <v>120</v>
      </c>
    </row>
    <row r="225" spans="1:62" ht="36.5" x14ac:dyDescent="0.35">
      <c r="A225">
        <v>186840</v>
      </c>
      <c r="B225" s="84">
        <f t="shared" si="60"/>
        <v>360</v>
      </c>
      <c r="C225" s="84">
        <f t="shared" si="61"/>
        <v>445</v>
      </c>
      <c r="E225" s="5">
        <v>305312</v>
      </c>
      <c r="F225" s="19">
        <v>146</v>
      </c>
      <c r="G225" s="19">
        <v>147</v>
      </c>
      <c r="H225" s="19">
        <v>120</v>
      </c>
      <c r="I225" s="19">
        <v>125.5</v>
      </c>
      <c r="J225" s="19">
        <v>60</v>
      </c>
      <c r="K225" s="19">
        <v>60.5</v>
      </c>
      <c r="L225" s="19">
        <v>64</v>
      </c>
      <c r="M225" s="19">
        <v>123</v>
      </c>
      <c r="N225" s="5">
        <v>308771</v>
      </c>
      <c r="O225">
        <f t="shared" si="62"/>
        <v>445.92899999999901</v>
      </c>
      <c r="P225">
        <f t="shared" si="63"/>
        <v>432</v>
      </c>
      <c r="Q225">
        <f t="shared" si="64"/>
        <v>68.123000000000005</v>
      </c>
      <c r="R225">
        <f t="shared" si="65"/>
        <v>62</v>
      </c>
      <c r="S225">
        <f t="shared" si="66"/>
        <v>388.81</v>
      </c>
      <c r="T225">
        <f t="shared" si="67"/>
        <v>375.774</v>
      </c>
      <c r="U225">
        <f t="shared" si="68"/>
        <v>68.721000000000004</v>
      </c>
      <c r="V225">
        <f t="shared" si="69"/>
        <v>59.51</v>
      </c>
      <c r="X225" s="5">
        <v>106249</v>
      </c>
      <c r="Y225">
        <f t="shared" si="70"/>
        <v>238</v>
      </c>
      <c r="Z225">
        <f t="shared" si="71"/>
        <v>225.5</v>
      </c>
      <c r="AA225">
        <f t="shared" si="72"/>
        <v>80</v>
      </c>
      <c r="AB225">
        <f t="shared" si="73"/>
        <v>76.5</v>
      </c>
      <c r="AC225">
        <f t="shared" si="74"/>
        <v>2947.5</v>
      </c>
      <c r="AD225">
        <f t="shared" si="75"/>
        <v>2324</v>
      </c>
      <c r="AE225">
        <f t="shared" si="76"/>
        <v>972.5</v>
      </c>
      <c r="AF225">
        <f t="shared" si="77"/>
        <v>1106</v>
      </c>
      <c r="AG225" s="5">
        <v>308771</v>
      </c>
      <c r="AH225" s="31">
        <v>445.92899999999901</v>
      </c>
      <c r="AI225" s="31">
        <v>432</v>
      </c>
      <c r="AJ225" s="37">
        <v>13.928999999999007</v>
      </c>
      <c r="AK225" s="37">
        <v>3.2243055555553255</v>
      </c>
      <c r="AL225" s="36">
        <v>68.123000000000005</v>
      </c>
      <c r="AM225" s="36">
        <v>62</v>
      </c>
      <c r="AN225" s="37">
        <v>6.1230000000000047</v>
      </c>
      <c r="AO225" s="37">
        <v>9.8758064516129096</v>
      </c>
      <c r="AP225" s="38">
        <v>5308.1929999999993</v>
      </c>
      <c r="AQ225" s="39">
        <v>4232.5819999999994</v>
      </c>
      <c r="AR225" s="37">
        <v>1075.6109999999999</v>
      </c>
      <c r="AS225" s="37">
        <v>25.412644102346981</v>
      </c>
      <c r="AT225" s="36">
        <v>840.82700000000011</v>
      </c>
      <c r="AU225" s="36">
        <v>845.46599999999989</v>
      </c>
      <c r="AV225" s="37">
        <v>-4.6389999999997826</v>
      </c>
      <c r="AW225" s="37">
        <v>-0.54869149084644242</v>
      </c>
      <c r="AX225" s="5">
        <v>305312</v>
      </c>
      <c r="AY225" t="str">
        <f t="shared" si="78"/>
        <v>ROYAL</v>
      </c>
      <c r="AZ225" t="str">
        <f t="shared" si="79"/>
        <v>Narela- Bawana</v>
      </c>
      <c r="BC225" s="5">
        <v>308771</v>
      </c>
      <c r="BD225" s="5" t="s">
        <v>581</v>
      </c>
      <c r="BE225" s="46" t="s">
        <v>618</v>
      </c>
      <c r="BF225" s="13" t="s">
        <v>619</v>
      </c>
      <c r="BG225" s="6" t="s">
        <v>187</v>
      </c>
      <c r="BH225" s="6" t="s">
        <v>315</v>
      </c>
      <c r="BI225" s="12" t="s">
        <v>620</v>
      </c>
      <c r="BJ225" s="51" t="s">
        <v>178</v>
      </c>
    </row>
    <row r="226" spans="1:62" ht="36.5" x14ac:dyDescent="0.35">
      <c r="A226">
        <v>41019284</v>
      </c>
      <c r="B226" s="84">
        <f t="shared" si="60"/>
        <v>206</v>
      </c>
      <c r="C226" s="84">
        <f t="shared" si="61"/>
        <v>255</v>
      </c>
      <c r="E226" s="5">
        <v>106239</v>
      </c>
      <c r="F226" s="19">
        <v>395</v>
      </c>
      <c r="G226" s="19">
        <v>460</v>
      </c>
      <c r="H226" s="19">
        <v>356</v>
      </c>
      <c r="I226" s="19">
        <v>401.5</v>
      </c>
      <c r="J226" s="19">
        <v>64</v>
      </c>
      <c r="K226" s="19">
        <v>72.5</v>
      </c>
      <c r="L226" s="19">
        <v>65</v>
      </c>
      <c r="M226" s="19">
        <v>80</v>
      </c>
      <c r="N226" s="5">
        <v>254645</v>
      </c>
      <c r="O226">
        <f t="shared" si="62"/>
        <v>48.5</v>
      </c>
      <c r="P226">
        <f t="shared" si="63"/>
        <v>62</v>
      </c>
      <c r="Q226">
        <f t="shared" si="64"/>
        <v>193.5</v>
      </c>
      <c r="R226">
        <f t="shared" si="65"/>
        <v>190</v>
      </c>
      <c r="S226">
        <f t="shared" si="66"/>
        <v>61.5</v>
      </c>
      <c r="T226">
        <f t="shared" si="67"/>
        <v>58.5</v>
      </c>
      <c r="U226">
        <f t="shared" si="68"/>
        <v>226.5</v>
      </c>
      <c r="V226">
        <f t="shared" si="69"/>
        <v>193.5</v>
      </c>
      <c r="X226" s="5">
        <v>106241</v>
      </c>
      <c r="Y226">
        <f t="shared" si="70"/>
        <v>293.5</v>
      </c>
      <c r="Z226">
        <f t="shared" si="71"/>
        <v>283</v>
      </c>
      <c r="AA226">
        <f t="shared" si="72"/>
        <v>72.5</v>
      </c>
      <c r="AB226">
        <f t="shared" si="73"/>
        <v>81</v>
      </c>
      <c r="AC226">
        <f t="shared" si="74"/>
        <v>3502.5</v>
      </c>
      <c r="AD226">
        <f t="shared" si="75"/>
        <v>2704.5</v>
      </c>
      <c r="AE226">
        <f t="shared" si="76"/>
        <v>917.5</v>
      </c>
      <c r="AF226">
        <f t="shared" si="77"/>
        <v>998</v>
      </c>
      <c r="AG226" s="5">
        <v>254645</v>
      </c>
      <c r="AH226" s="31">
        <v>48.5</v>
      </c>
      <c r="AI226" s="31">
        <v>62</v>
      </c>
      <c r="AJ226" s="37">
        <v>-13.5</v>
      </c>
      <c r="AK226" s="37">
        <v>-21.774193548387096</v>
      </c>
      <c r="AL226" s="36">
        <v>193.5</v>
      </c>
      <c r="AM226" s="36">
        <v>190</v>
      </c>
      <c r="AN226" s="37">
        <v>3.5</v>
      </c>
      <c r="AO226" s="37">
        <v>1.8421052631578945</v>
      </c>
      <c r="AP226" s="38">
        <v>722</v>
      </c>
      <c r="AQ226" s="39">
        <v>553</v>
      </c>
      <c r="AR226" s="37">
        <v>169</v>
      </c>
      <c r="AS226" s="37">
        <v>30.560578661844485</v>
      </c>
      <c r="AT226" s="36">
        <v>2310</v>
      </c>
      <c r="AU226" s="36">
        <v>2546.5</v>
      </c>
      <c r="AV226" s="37">
        <v>-236.5</v>
      </c>
      <c r="AW226" s="37">
        <v>-9.2872570194384458</v>
      </c>
      <c r="AX226" s="5">
        <v>106239</v>
      </c>
      <c r="AY226" t="str">
        <f t="shared" si="78"/>
        <v>MANN SS</v>
      </c>
      <c r="AZ226" t="str">
        <f t="shared" si="79"/>
        <v>Old Delhi</v>
      </c>
      <c r="BC226" s="5">
        <v>254645</v>
      </c>
      <c r="BD226" s="5" t="s">
        <v>581</v>
      </c>
      <c r="BE226" s="46" t="s">
        <v>621</v>
      </c>
      <c r="BF226" s="13" t="s">
        <v>622</v>
      </c>
      <c r="BG226" s="6" t="s">
        <v>85</v>
      </c>
      <c r="BH226" s="6" t="s">
        <v>177</v>
      </c>
      <c r="BI226" s="12" t="s">
        <v>177</v>
      </c>
      <c r="BJ226" s="51" t="s">
        <v>178</v>
      </c>
    </row>
    <row r="227" spans="1:62" ht="48.5" x14ac:dyDescent="0.35">
      <c r="A227">
        <v>41066793</v>
      </c>
      <c r="B227" s="84">
        <f t="shared" si="60"/>
        <v>523</v>
      </c>
      <c r="C227" s="84">
        <f t="shared" si="61"/>
        <v>562</v>
      </c>
      <c r="E227" s="5">
        <v>106235</v>
      </c>
      <c r="F227" s="19">
        <v>214</v>
      </c>
      <c r="G227" s="19">
        <v>255</v>
      </c>
      <c r="H227" s="19">
        <v>210.5</v>
      </c>
      <c r="I227" s="19">
        <v>227.5</v>
      </c>
      <c r="J227" s="19">
        <v>85.5</v>
      </c>
      <c r="K227" s="19">
        <v>86.5</v>
      </c>
      <c r="L227" s="19">
        <v>41</v>
      </c>
      <c r="M227" s="19">
        <v>45</v>
      </c>
      <c r="N227" s="5">
        <v>289183</v>
      </c>
      <c r="O227">
        <f t="shared" si="62"/>
        <v>112</v>
      </c>
      <c r="P227">
        <f t="shared" si="63"/>
        <v>92</v>
      </c>
      <c r="Q227">
        <f t="shared" si="64"/>
        <v>116</v>
      </c>
      <c r="R227">
        <f t="shared" si="65"/>
        <v>136</v>
      </c>
      <c r="S227">
        <f t="shared" si="66"/>
        <v>89</v>
      </c>
      <c r="T227">
        <f t="shared" si="67"/>
        <v>96</v>
      </c>
      <c r="U227">
        <f t="shared" si="68"/>
        <v>97</v>
      </c>
      <c r="V227">
        <f t="shared" si="69"/>
        <v>144</v>
      </c>
      <c r="X227" s="5">
        <v>102078</v>
      </c>
      <c r="Y227">
        <f t="shared" si="70"/>
        <v>146</v>
      </c>
      <c r="Z227">
        <f t="shared" si="71"/>
        <v>145</v>
      </c>
      <c r="AA227">
        <f t="shared" si="72"/>
        <v>50</v>
      </c>
      <c r="AB227">
        <f t="shared" si="73"/>
        <v>91</v>
      </c>
      <c r="AC227">
        <f t="shared" si="74"/>
        <v>1823.5</v>
      </c>
      <c r="AD227">
        <f t="shared" si="75"/>
        <v>1376</v>
      </c>
      <c r="AE227">
        <f t="shared" si="76"/>
        <v>710.5</v>
      </c>
      <c r="AF227">
        <f t="shared" si="77"/>
        <v>721</v>
      </c>
      <c r="AG227" s="5">
        <v>289183</v>
      </c>
      <c r="AH227" s="31">
        <v>112</v>
      </c>
      <c r="AI227" s="31">
        <v>92</v>
      </c>
      <c r="AJ227" s="37">
        <v>20</v>
      </c>
      <c r="AK227" s="37">
        <v>21.739130434782609</v>
      </c>
      <c r="AL227" s="36">
        <v>116</v>
      </c>
      <c r="AM227" s="36">
        <v>136</v>
      </c>
      <c r="AN227" s="37">
        <v>-20</v>
      </c>
      <c r="AO227" s="37">
        <v>-14.705882352941178</v>
      </c>
      <c r="AP227" s="38">
        <v>1183</v>
      </c>
      <c r="AQ227" s="39">
        <v>892</v>
      </c>
      <c r="AR227" s="37">
        <v>291</v>
      </c>
      <c r="AS227" s="37">
        <v>32.623318385650222</v>
      </c>
      <c r="AT227" s="36">
        <v>1405</v>
      </c>
      <c r="AU227" s="36">
        <v>1500</v>
      </c>
      <c r="AV227" s="37">
        <v>-95</v>
      </c>
      <c r="AW227" s="37">
        <v>-6.3333333333333339</v>
      </c>
      <c r="AX227" s="5">
        <v>106235</v>
      </c>
      <c r="AY227" t="str">
        <f t="shared" si="78"/>
        <v>SAKSHAM</v>
      </c>
      <c r="AZ227" t="str">
        <f t="shared" si="79"/>
        <v>Punjabi Bagh</v>
      </c>
      <c r="BC227" s="5">
        <v>289183</v>
      </c>
      <c r="BD227" s="5" t="s">
        <v>581</v>
      </c>
      <c r="BE227" s="46" t="s">
        <v>623</v>
      </c>
      <c r="BF227" s="13" t="s">
        <v>387</v>
      </c>
      <c r="BG227" s="6" t="s">
        <v>85</v>
      </c>
      <c r="BH227" s="6" t="s">
        <v>192</v>
      </c>
      <c r="BI227" s="12" t="s">
        <v>192</v>
      </c>
      <c r="BJ227" s="51" t="s">
        <v>178</v>
      </c>
    </row>
    <row r="228" spans="1:62" ht="36.5" x14ac:dyDescent="0.35">
      <c r="A228">
        <v>41019306</v>
      </c>
      <c r="B228" s="84">
        <f t="shared" si="60"/>
        <v>68.5</v>
      </c>
      <c r="C228" s="84">
        <f t="shared" si="61"/>
        <v>81.5</v>
      </c>
      <c r="E228" s="5">
        <v>107630</v>
      </c>
      <c r="F228" s="19">
        <v>173</v>
      </c>
      <c r="G228" s="19">
        <v>214.5</v>
      </c>
      <c r="H228" s="19">
        <v>175.5</v>
      </c>
      <c r="I228" s="19">
        <v>200.5</v>
      </c>
      <c r="J228" s="19">
        <v>58.5</v>
      </c>
      <c r="K228" s="19">
        <v>53.5</v>
      </c>
      <c r="L228" s="19">
        <v>31</v>
      </c>
      <c r="M228" s="19">
        <v>49.5</v>
      </c>
      <c r="N228" s="5">
        <v>186864</v>
      </c>
      <c r="O228">
        <f t="shared" si="62"/>
        <v>352</v>
      </c>
      <c r="P228">
        <f t="shared" si="63"/>
        <v>322</v>
      </c>
      <c r="Q228">
        <f t="shared" si="64"/>
        <v>92</v>
      </c>
      <c r="R228">
        <f t="shared" si="65"/>
        <v>52</v>
      </c>
      <c r="S228">
        <f t="shared" si="66"/>
        <v>312</v>
      </c>
      <c r="T228">
        <f t="shared" si="67"/>
        <v>280</v>
      </c>
      <c r="U228">
        <f t="shared" si="68"/>
        <v>60</v>
      </c>
      <c r="V228">
        <f t="shared" si="69"/>
        <v>68</v>
      </c>
      <c r="X228" s="5">
        <v>106291</v>
      </c>
      <c r="Y228">
        <f t="shared" si="70"/>
        <v>248</v>
      </c>
      <c r="Z228">
        <f t="shared" si="71"/>
        <v>256</v>
      </c>
      <c r="AA228">
        <f t="shared" si="72"/>
        <v>64</v>
      </c>
      <c r="AB228">
        <f t="shared" si="73"/>
        <v>80</v>
      </c>
      <c r="AC228">
        <f t="shared" si="74"/>
        <v>3164.5</v>
      </c>
      <c r="AD228">
        <f t="shared" si="75"/>
        <v>2551</v>
      </c>
      <c r="AE228">
        <f t="shared" si="76"/>
        <v>959.5</v>
      </c>
      <c r="AF228">
        <f t="shared" si="77"/>
        <v>896</v>
      </c>
      <c r="AG228" s="5">
        <v>186864</v>
      </c>
      <c r="AH228" s="31">
        <v>352</v>
      </c>
      <c r="AI228" s="31">
        <v>322</v>
      </c>
      <c r="AJ228" s="37">
        <v>30</v>
      </c>
      <c r="AK228" s="37">
        <v>9.316770186335404</v>
      </c>
      <c r="AL228" s="36">
        <v>92</v>
      </c>
      <c r="AM228" s="36">
        <v>52</v>
      </c>
      <c r="AN228" s="37">
        <v>40</v>
      </c>
      <c r="AO228" s="37">
        <v>76.923076923076934</v>
      </c>
      <c r="AP228" s="38">
        <v>3994</v>
      </c>
      <c r="AQ228" s="39">
        <v>2936</v>
      </c>
      <c r="AR228" s="37">
        <v>1058</v>
      </c>
      <c r="AS228" s="37">
        <v>36.03542234332425</v>
      </c>
      <c r="AT228" s="36">
        <v>752</v>
      </c>
      <c r="AU228" s="36">
        <v>808</v>
      </c>
      <c r="AV228" s="37">
        <v>-56</v>
      </c>
      <c r="AW228" s="37">
        <v>-6.9306930693069315</v>
      </c>
      <c r="AX228" s="5">
        <v>107630</v>
      </c>
      <c r="AY228" t="str">
        <f t="shared" si="78"/>
        <v>SAKSHAM</v>
      </c>
      <c r="AZ228" t="str">
        <f t="shared" si="79"/>
        <v>Punjabi Bagh</v>
      </c>
      <c r="BC228" s="5">
        <v>186864</v>
      </c>
      <c r="BD228" s="5" t="s">
        <v>581</v>
      </c>
      <c r="BE228" s="46" t="s">
        <v>624</v>
      </c>
      <c r="BF228" s="13" t="s">
        <v>625</v>
      </c>
      <c r="BG228" s="6" t="s">
        <v>89</v>
      </c>
      <c r="BH228" s="6" t="s">
        <v>237</v>
      </c>
      <c r="BI228" s="12" t="s">
        <v>237</v>
      </c>
      <c r="BJ228" s="51" t="s">
        <v>205</v>
      </c>
    </row>
    <row r="229" spans="1:62" ht="24.5" x14ac:dyDescent="0.35">
      <c r="A229">
        <v>41019258</v>
      </c>
      <c r="B229" s="84">
        <f t="shared" si="60"/>
        <v>127.5</v>
      </c>
      <c r="C229" s="84">
        <f t="shared" si="61"/>
        <v>145.5</v>
      </c>
      <c r="E229" s="5">
        <v>311776</v>
      </c>
      <c r="F229" s="19">
        <v>348.5</v>
      </c>
      <c r="G229" s="19">
        <v>345</v>
      </c>
      <c r="H229" s="19">
        <v>313</v>
      </c>
      <c r="I229" s="19">
        <v>336</v>
      </c>
      <c r="J229" s="19">
        <v>87</v>
      </c>
      <c r="K229" s="19">
        <v>100</v>
      </c>
      <c r="L229" s="19">
        <v>89.5</v>
      </c>
      <c r="M229" s="19">
        <v>75</v>
      </c>
      <c r="N229" s="5">
        <v>356501</v>
      </c>
      <c r="O229">
        <f t="shared" si="62"/>
        <v>160</v>
      </c>
      <c r="P229">
        <f t="shared" si="63"/>
        <v>135</v>
      </c>
      <c r="Q229">
        <f t="shared" si="64"/>
        <v>112</v>
      </c>
      <c r="R229">
        <f t="shared" si="65"/>
        <v>69</v>
      </c>
      <c r="S229">
        <f t="shared" si="66"/>
        <v>159.5</v>
      </c>
      <c r="T229">
        <f t="shared" si="67"/>
        <v>122.5</v>
      </c>
      <c r="U229">
        <f t="shared" si="68"/>
        <v>86.5</v>
      </c>
      <c r="V229">
        <f t="shared" si="69"/>
        <v>75.5</v>
      </c>
      <c r="X229" s="3">
        <v>112428</v>
      </c>
      <c r="Y229">
        <f t="shared" si="70"/>
        <v>252</v>
      </c>
      <c r="Z229">
        <f t="shared" si="71"/>
        <v>252</v>
      </c>
      <c r="AA229">
        <f t="shared" si="72"/>
        <v>56</v>
      </c>
      <c r="AB229">
        <f t="shared" si="73"/>
        <v>56</v>
      </c>
      <c r="AC229">
        <f t="shared" si="74"/>
        <v>3197</v>
      </c>
      <c r="AD229">
        <f t="shared" si="75"/>
        <v>2666.5</v>
      </c>
      <c r="AE229">
        <f t="shared" si="76"/>
        <v>647</v>
      </c>
      <c r="AF229">
        <f t="shared" si="77"/>
        <v>746.5</v>
      </c>
      <c r="AG229" s="5">
        <v>356501</v>
      </c>
      <c r="AH229" s="31">
        <v>160</v>
      </c>
      <c r="AI229" s="31">
        <v>135</v>
      </c>
      <c r="AJ229" s="37">
        <v>25</v>
      </c>
      <c r="AK229" s="37">
        <v>18.518518518518519</v>
      </c>
      <c r="AL229" s="36">
        <v>112</v>
      </c>
      <c r="AM229" s="36">
        <v>69</v>
      </c>
      <c r="AN229" s="37">
        <v>43</v>
      </c>
      <c r="AO229" s="37">
        <v>62.318840579710141</v>
      </c>
      <c r="AP229" s="38">
        <v>1788</v>
      </c>
      <c r="AQ229" s="39">
        <v>1375.5</v>
      </c>
      <c r="AR229" s="37">
        <v>412.5</v>
      </c>
      <c r="AS229" s="37">
        <v>29.989094874591061</v>
      </c>
      <c r="AT229" s="36">
        <v>1164</v>
      </c>
      <c r="AU229" s="36">
        <v>1099</v>
      </c>
      <c r="AV229" s="37">
        <v>65</v>
      </c>
      <c r="AW229" s="37">
        <v>5.9144676979071882</v>
      </c>
      <c r="AX229" s="5">
        <v>311776</v>
      </c>
      <c r="AY229" t="str">
        <f t="shared" si="78"/>
        <v>White Patch- Inner Ring Road</v>
      </c>
      <c r="AZ229" t="str">
        <f t="shared" si="79"/>
        <v>Inner Ring Road</v>
      </c>
      <c r="BC229" s="5">
        <v>356501</v>
      </c>
      <c r="BD229" s="5" t="s">
        <v>581</v>
      </c>
      <c r="BE229" s="46" t="s">
        <v>626</v>
      </c>
      <c r="BF229" s="13" t="s">
        <v>627</v>
      </c>
      <c r="BG229" s="6" t="s">
        <v>187</v>
      </c>
      <c r="BH229" s="6" t="s">
        <v>244</v>
      </c>
      <c r="BI229" s="12" t="s">
        <v>216</v>
      </c>
      <c r="BJ229" s="51" t="s">
        <v>217</v>
      </c>
    </row>
    <row r="230" spans="1:62" ht="36.5" x14ac:dyDescent="0.35">
      <c r="A230">
        <v>41056984</v>
      </c>
      <c r="B230" s="84">
        <f t="shared" si="60"/>
        <v>378</v>
      </c>
      <c r="C230" s="84">
        <f t="shared" si="61"/>
        <v>402</v>
      </c>
      <c r="E230" s="5">
        <v>368600</v>
      </c>
      <c r="F230" s="19">
        <v>467.33100000000002</v>
      </c>
      <c r="G230" s="19">
        <v>489.31599999999901</v>
      </c>
      <c r="H230" s="19">
        <v>421.66499999999991</v>
      </c>
      <c r="I230" s="19">
        <v>466.017</v>
      </c>
      <c r="J230" s="19">
        <v>80.133999999999986</v>
      </c>
      <c r="K230" s="19">
        <v>82.877999999999901</v>
      </c>
      <c r="L230" s="19">
        <v>72.539000000000001</v>
      </c>
      <c r="M230" s="19">
        <v>71.302000000000007</v>
      </c>
      <c r="N230" s="5">
        <v>186842</v>
      </c>
      <c r="O230">
        <f t="shared" si="62"/>
        <v>225</v>
      </c>
      <c r="P230">
        <f t="shared" si="63"/>
        <v>184</v>
      </c>
      <c r="Q230">
        <f t="shared" si="64"/>
        <v>57</v>
      </c>
      <c r="R230">
        <f t="shared" si="65"/>
        <v>48</v>
      </c>
      <c r="S230">
        <f t="shared" si="66"/>
        <v>208</v>
      </c>
      <c r="T230">
        <f t="shared" si="67"/>
        <v>163.5</v>
      </c>
      <c r="U230">
        <f t="shared" si="68"/>
        <v>56</v>
      </c>
      <c r="V230">
        <f t="shared" si="69"/>
        <v>52.5</v>
      </c>
      <c r="X230" s="5">
        <v>308771</v>
      </c>
      <c r="Y230">
        <f t="shared" si="70"/>
        <v>445.92899999999901</v>
      </c>
      <c r="Z230">
        <f t="shared" si="71"/>
        <v>432</v>
      </c>
      <c r="AA230">
        <f t="shared" si="72"/>
        <v>68.123000000000005</v>
      </c>
      <c r="AB230">
        <f t="shared" si="73"/>
        <v>62</v>
      </c>
      <c r="AC230">
        <f t="shared" si="74"/>
        <v>5308.1929999999993</v>
      </c>
      <c r="AD230">
        <f t="shared" si="75"/>
        <v>4232.5819999999994</v>
      </c>
      <c r="AE230">
        <f t="shared" si="76"/>
        <v>840.82700000000011</v>
      </c>
      <c r="AF230">
        <f t="shared" si="77"/>
        <v>845.46599999999989</v>
      </c>
      <c r="AG230" s="5">
        <v>186842</v>
      </c>
      <c r="AH230" s="31">
        <v>225</v>
      </c>
      <c r="AI230" s="31">
        <v>184</v>
      </c>
      <c r="AJ230" s="37">
        <v>41</v>
      </c>
      <c r="AK230" s="37">
        <v>22.282608695652172</v>
      </c>
      <c r="AL230" s="36">
        <v>57</v>
      </c>
      <c r="AM230" s="36">
        <v>48</v>
      </c>
      <c r="AN230" s="37">
        <v>9</v>
      </c>
      <c r="AO230" s="37">
        <v>18.75</v>
      </c>
      <c r="AP230" s="38">
        <v>2659</v>
      </c>
      <c r="AQ230" s="39">
        <v>1964</v>
      </c>
      <c r="AR230" s="37">
        <v>695</v>
      </c>
      <c r="AS230" s="37">
        <v>35.386965376782072</v>
      </c>
      <c r="AT230" s="36">
        <v>693</v>
      </c>
      <c r="AU230" s="36">
        <v>750.5</v>
      </c>
      <c r="AV230" s="37">
        <v>-57.5</v>
      </c>
      <c r="AW230" s="37">
        <v>-7.6615589606928713</v>
      </c>
      <c r="AX230" s="5">
        <v>368600</v>
      </c>
      <c r="AY230" t="str">
        <f t="shared" si="78"/>
        <v>AUTO CENTRE_NAVYUG_PREM</v>
      </c>
      <c r="AZ230" t="str">
        <f t="shared" si="79"/>
        <v>Greater Kailash I &amp;II</v>
      </c>
      <c r="BC230" s="5">
        <v>186842</v>
      </c>
      <c r="BD230" s="5" t="s">
        <v>581</v>
      </c>
      <c r="BE230" s="46" t="s">
        <v>628</v>
      </c>
      <c r="BF230" s="13" t="s">
        <v>629</v>
      </c>
      <c r="BG230" s="6" t="s">
        <v>85</v>
      </c>
      <c r="BH230" s="6" t="s">
        <v>303</v>
      </c>
      <c r="BI230" s="12" t="s">
        <v>630</v>
      </c>
      <c r="BJ230" s="51" t="s">
        <v>304</v>
      </c>
    </row>
    <row r="231" spans="1:62" ht="36.5" x14ac:dyDescent="0.35">
      <c r="A231">
        <v>41056400</v>
      </c>
      <c r="B231" s="84">
        <f t="shared" si="60"/>
        <v>263</v>
      </c>
      <c r="C231" s="84">
        <f t="shared" si="61"/>
        <v>253</v>
      </c>
      <c r="E231" s="5">
        <v>241496</v>
      </c>
      <c r="F231" s="19">
        <v>212</v>
      </c>
      <c r="G231" s="19">
        <v>250</v>
      </c>
      <c r="H231" s="19">
        <v>168</v>
      </c>
      <c r="I231" s="19">
        <v>188</v>
      </c>
      <c r="J231" s="19">
        <v>24</v>
      </c>
      <c r="K231" s="19">
        <v>28</v>
      </c>
      <c r="L231" s="19">
        <v>40</v>
      </c>
      <c r="M231" s="19">
        <v>48</v>
      </c>
      <c r="N231" s="5">
        <v>186834</v>
      </c>
      <c r="O231">
        <f t="shared" si="62"/>
        <v>354</v>
      </c>
      <c r="P231">
        <f t="shared" si="63"/>
        <v>333</v>
      </c>
      <c r="Q231">
        <f t="shared" si="64"/>
        <v>20</v>
      </c>
      <c r="R231">
        <f t="shared" si="65"/>
        <v>45</v>
      </c>
      <c r="S231">
        <f t="shared" si="66"/>
        <v>316</v>
      </c>
      <c r="T231">
        <f t="shared" si="67"/>
        <v>274.5</v>
      </c>
      <c r="U231">
        <f t="shared" si="68"/>
        <v>36</v>
      </c>
      <c r="V231">
        <f t="shared" si="69"/>
        <v>31.5</v>
      </c>
      <c r="X231" s="3">
        <v>112457</v>
      </c>
      <c r="Y231">
        <f t="shared" si="70"/>
        <v>270.5</v>
      </c>
      <c r="Z231">
        <f t="shared" si="71"/>
        <v>254.5</v>
      </c>
      <c r="AA231">
        <f t="shared" si="72"/>
        <v>33.5</v>
      </c>
      <c r="AB231">
        <f t="shared" si="73"/>
        <v>37.5</v>
      </c>
      <c r="AC231">
        <f t="shared" si="74"/>
        <v>3181.5</v>
      </c>
      <c r="AD231">
        <f t="shared" si="75"/>
        <v>2484.500016</v>
      </c>
      <c r="AE231">
        <f t="shared" si="76"/>
        <v>394.5</v>
      </c>
      <c r="AF231">
        <f t="shared" si="77"/>
        <v>391</v>
      </c>
      <c r="AG231" s="5">
        <v>186834</v>
      </c>
      <c r="AH231" s="31">
        <v>354</v>
      </c>
      <c r="AI231" s="31">
        <v>333</v>
      </c>
      <c r="AJ231" s="37">
        <v>21</v>
      </c>
      <c r="AK231" s="37">
        <v>6.3063063063063058</v>
      </c>
      <c r="AL231" s="36">
        <v>20</v>
      </c>
      <c r="AM231" s="36">
        <v>45</v>
      </c>
      <c r="AN231" s="37">
        <v>-25</v>
      </c>
      <c r="AO231" s="37">
        <v>-55.555555555555557</v>
      </c>
      <c r="AP231" s="38">
        <v>4090</v>
      </c>
      <c r="AQ231" s="39">
        <v>3233</v>
      </c>
      <c r="AR231" s="37">
        <v>857</v>
      </c>
      <c r="AS231" s="37">
        <v>26.507887411073305</v>
      </c>
      <c r="AT231" s="36">
        <v>396</v>
      </c>
      <c r="AU231" s="36">
        <v>477.5</v>
      </c>
      <c r="AV231" s="37">
        <v>-81.5</v>
      </c>
      <c r="AW231" s="37">
        <v>-17.06806282722513</v>
      </c>
      <c r="AX231" s="5">
        <v>241496</v>
      </c>
      <c r="AY231" t="str">
        <f t="shared" si="78"/>
        <v>White Patch-Janakpuri</v>
      </c>
      <c r="AZ231" t="str">
        <f t="shared" si="79"/>
        <v>Punjabi Bagh</v>
      </c>
      <c r="BC231" s="5">
        <v>186834</v>
      </c>
      <c r="BD231" s="5" t="s">
        <v>581</v>
      </c>
      <c r="BE231" s="46" t="s">
        <v>631</v>
      </c>
      <c r="BF231" s="13" t="s">
        <v>550</v>
      </c>
      <c r="BG231" s="6" t="s">
        <v>85</v>
      </c>
      <c r="BH231" s="6" t="s">
        <v>303</v>
      </c>
      <c r="BI231" s="12" t="s">
        <v>303</v>
      </c>
      <c r="BJ231" s="51" t="s">
        <v>304</v>
      </c>
    </row>
    <row r="232" spans="1:62" ht="48.5" x14ac:dyDescent="0.35">
      <c r="A232">
        <v>41057007</v>
      </c>
      <c r="B232" s="84">
        <f t="shared" si="60"/>
        <v>343.5</v>
      </c>
      <c r="C232" s="84">
        <f t="shared" si="61"/>
        <v>342</v>
      </c>
      <c r="E232" s="5">
        <v>156756</v>
      </c>
      <c r="F232" s="19">
        <v>80</v>
      </c>
      <c r="G232" s="19">
        <v>126.5</v>
      </c>
      <c r="H232" s="19">
        <v>90.5</v>
      </c>
      <c r="I232" s="19">
        <v>97.5</v>
      </c>
      <c r="J232" s="19">
        <v>25.5</v>
      </c>
      <c r="K232" s="19">
        <v>16.5</v>
      </c>
      <c r="L232" s="19">
        <v>16</v>
      </c>
      <c r="M232" s="19">
        <v>29.5</v>
      </c>
      <c r="N232" s="5">
        <v>106235</v>
      </c>
      <c r="O232">
        <f t="shared" si="62"/>
        <v>255</v>
      </c>
      <c r="P232">
        <f t="shared" si="63"/>
        <v>227.5</v>
      </c>
      <c r="Q232">
        <f t="shared" si="64"/>
        <v>45</v>
      </c>
      <c r="R232">
        <f t="shared" si="65"/>
        <v>86.5</v>
      </c>
      <c r="S232">
        <f t="shared" si="66"/>
        <v>214</v>
      </c>
      <c r="T232">
        <f t="shared" si="67"/>
        <v>210.5</v>
      </c>
      <c r="U232">
        <f t="shared" si="68"/>
        <v>41</v>
      </c>
      <c r="V232">
        <f t="shared" si="69"/>
        <v>85.5</v>
      </c>
      <c r="X232" s="9">
        <v>41056401</v>
      </c>
      <c r="Y232">
        <f t="shared" si="70"/>
        <v>342</v>
      </c>
      <c r="Z232">
        <f t="shared" si="71"/>
        <v>363.5</v>
      </c>
      <c r="AA232">
        <f t="shared" si="72"/>
        <v>54</v>
      </c>
      <c r="AB232">
        <f t="shared" si="73"/>
        <v>62.5</v>
      </c>
      <c r="AC232">
        <f t="shared" si="74"/>
        <v>4321.5</v>
      </c>
      <c r="AD232">
        <f t="shared" si="75"/>
        <v>3693.5</v>
      </c>
      <c r="AE232">
        <f t="shared" si="76"/>
        <v>736.5</v>
      </c>
      <c r="AF232">
        <f t="shared" si="77"/>
        <v>869.5</v>
      </c>
      <c r="AG232" s="5">
        <v>106235</v>
      </c>
      <c r="AH232" s="31">
        <v>255</v>
      </c>
      <c r="AI232" s="31">
        <v>227.5</v>
      </c>
      <c r="AJ232" s="37">
        <v>27.5</v>
      </c>
      <c r="AK232" s="37">
        <v>12.087912087912088</v>
      </c>
      <c r="AL232" s="36">
        <v>45</v>
      </c>
      <c r="AM232" s="36">
        <v>86.5</v>
      </c>
      <c r="AN232" s="37">
        <v>-41.5</v>
      </c>
      <c r="AO232" s="37">
        <v>-47.97687861271676</v>
      </c>
      <c r="AP232" s="38">
        <v>2918</v>
      </c>
      <c r="AQ232" s="39">
        <v>2393</v>
      </c>
      <c r="AR232" s="37">
        <v>525</v>
      </c>
      <c r="AS232" s="37">
        <v>21.938988717091519</v>
      </c>
      <c r="AT232" s="36">
        <v>1031</v>
      </c>
      <c r="AU232" s="36">
        <v>1035</v>
      </c>
      <c r="AV232" s="37">
        <v>-4</v>
      </c>
      <c r="AW232" s="37">
        <v>-0.38647342995169082</v>
      </c>
      <c r="AX232" s="5">
        <v>156756</v>
      </c>
      <c r="AY232" t="str">
        <f t="shared" si="78"/>
        <v>PUSHPANJALI</v>
      </c>
      <c r="AZ232" t="str">
        <f t="shared" si="79"/>
        <v>Hauj Khas-Saket-Vasant Kunj</v>
      </c>
      <c r="BC232" s="5">
        <v>106235</v>
      </c>
      <c r="BD232" s="5" t="s">
        <v>581</v>
      </c>
      <c r="BE232" s="46" t="s">
        <v>632</v>
      </c>
      <c r="BF232" s="13" t="s">
        <v>633</v>
      </c>
      <c r="BG232" s="6" t="s">
        <v>85</v>
      </c>
      <c r="BH232" s="6" t="s">
        <v>303</v>
      </c>
      <c r="BI232" s="12" t="s">
        <v>580</v>
      </c>
      <c r="BJ232" s="51" t="s">
        <v>304</v>
      </c>
    </row>
    <row r="233" spans="1:62" ht="36.5" x14ac:dyDescent="0.35">
      <c r="A233">
        <v>41056343</v>
      </c>
      <c r="B233" s="84">
        <f t="shared" si="60"/>
        <v>28</v>
      </c>
      <c r="C233" s="84">
        <f t="shared" si="61"/>
        <v>28</v>
      </c>
      <c r="E233" s="5">
        <v>102115</v>
      </c>
      <c r="F233" s="19">
        <v>210</v>
      </c>
      <c r="G233" s="19">
        <v>350</v>
      </c>
      <c r="H233" s="19">
        <v>194</v>
      </c>
      <c r="I233" s="19">
        <v>210</v>
      </c>
      <c r="J233" s="19">
        <v>0</v>
      </c>
      <c r="K233" s="19">
        <v>0</v>
      </c>
      <c r="L233" s="19"/>
      <c r="M233" s="19"/>
      <c r="N233" s="5">
        <v>186856</v>
      </c>
      <c r="O233">
        <f t="shared" si="62"/>
        <v>276</v>
      </c>
      <c r="P233">
        <f t="shared" si="63"/>
        <v>317.5</v>
      </c>
      <c r="Q233">
        <f t="shared" si="64"/>
        <v>86</v>
      </c>
      <c r="R233">
        <f t="shared" si="65"/>
        <v>84.5</v>
      </c>
      <c r="S233">
        <f t="shared" si="66"/>
        <v>289</v>
      </c>
      <c r="T233">
        <f t="shared" si="67"/>
        <v>289</v>
      </c>
      <c r="U233">
        <f t="shared" si="68"/>
        <v>91</v>
      </c>
      <c r="V233">
        <f t="shared" si="69"/>
        <v>87</v>
      </c>
      <c r="X233" s="5">
        <v>185374</v>
      </c>
      <c r="Y233">
        <f t="shared" si="70"/>
        <v>56</v>
      </c>
      <c r="Z233">
        <f t="shared" si="71"/>
        <v>66</v>
      </c>
      <c r="AA233">
        <f t="shared" si="72"/>
        <v>42</v>
      </c>
      <c r="AB233">
        <f t="shared" si="73"/>
        <v>30</v>
      </c>
      <c r="AC233">
        <f t="shared" si="74"/>
        <v>853</v>
      </c>
      <c r="AD233">
        <f t="shared" si="75"/>
        <v>531</v>
      </c>
      <c r="AE233">
        <f t="shared" si="76"/>
        <v>503</v>
      </c>
      <c r="AF233">
        <f t="shared" si="77"/>
        <v>367</v>
      </c>
      <c r="AG233" s="5">
        <v>186856</v>
      </c>
      <c r="AH233" s="31">
        <v>276</v>
      </c>
      <c r="AI233" s="31">
        <v>317.5</v>
      </c>
      <c r="AJ233" s="37">
        <v>-41.5</v>
      </c>
      <c r="AK233" s="37">
        <v>-13.070866141732285</v>
      </c>
      <c r="AL233" s="36">
        <v>86</v>
      </c>
      <c r="AM233" s="36">
        <v>84.5</v>
      </c>
      <c r="AN233" s="37">
        <v>1.5</v>
      </c>
      <c r="AO233" s="37">
        <v>1.7751479289940828</v>
      </c>
      <c r="AP233" s="38">
        <v>3736</v>
      </c>
      <c r="AQ233" s="39">
        <v>3053</v>
      </c>
      <c r="AR233" s="37">
        <v>683</v>
      </c>
      <c r="AS233" s="37">
        <v>22.37143792990501</v>
      </c>
      <c r="AT233" s="36">
        <v>1090</v>
      </c>
      <c r="AU233" s="36">
        <v>1112.5</v>
      </c>
      <c r="AV233" s="37">
        <v>-22.5</v>
      </c>
      <c r="AW233" s="37">
        <v>-2.0224719101123596</v>
      </c>
      <c r="AX233" s="5">
        <v>102115</v>
      </c>
      <c r="AY233" t="str">
        <f t="shared" si="78"/>
        <v>GANPATI</v>
      </c>
      <c r="AZ233" t="str">
        <f t="shared" si="79"/>
        <v>Outer Ring Road</v>
      </c>
      <c r="BC233" s="5">
        <v>186856</v>
      </c>
      <c r="BD233" s="5" t="s">
        <v>581</v>
      </c>
      <c r="BE233" s="46" t="s">
        <v>634</v>
      </c>
      <c r="BF233" s="13" t="s">
        <v>391</v>
      </c>
      <c r="BG233" s="6" t="s">
        <v>89</v>
      </c>
      <c r="BH233" s="6" t="s">
        <v>237</v>
      </c>
      <c r="BI233" s="12" t="s">
        <v>392</v>
      </c>
      <c r="BJ233" s="51" t="s">
        <v>1007</v>
      </c>
    </row>
    <row r="234" spans="1:62" ht="36.5" x14ac:dyDescent="0.35">
      <c r="A234">
        <v>112427</v>
      </c>
      <c r="B234" s="84">
        <f t="shared" si="60"/>
        <v>333</v>
      </c>
      <c r="C234" s="84">
        <f t="shared" si="61"/>
        <v>400.5</v>
      </c>
      <c r="E234" s="5">
        <v>179954</v>
      </c>
      <c r="F234" s="19">
        <v>255</v>
      </c>
      <c r="G234" s="19">
        <v>270</v>
      </c>
      <c r="H234" s="19">
        <v>230</v>
      </c>
      <c r="I234" s="19">
        <v>275</v>
      </c>
      <c r="J234" s="19">
        <v>130</v>
      </c>
      <c r="K234" s="19">
        <v>145</v>
      </c>
      <c r="L234" s="19">
        <v>205</v>
      </c>
      <c r="M234" s="19">
        <v>210</v>
      </c>
      <c r="N234" s="5">
        <v>102104</v>
      </c>
      <c r="O234">
        <f t="shared" si="62"/>
        <v>368</v>
      </c>
      <c r="P234">
        <f t="shared" si="63"/>
        <v>57.5</v>
      </c>
      <c r="Q234">
        <f t="shared" si="64"/>
        <v>40</v>
      </c>
      <c r="R234">
        <f t="shared" si="65"/>
        <v>8.5</v>
      </c>
      <c r="S234">
        <f t="shared" si="66"/>
        <v>333.5</v>
      </c>
      <c r="T234">
        <f t="shared" si="67"/>
        <v>264</v>
      </c>
      <c r="U234">
        <f t="shared" si="68"/>
        <v>44.5</v>
      </c>
      <c r="V234">
        <f t="shared" si="69"/>
        <v>24</v>
      </c>
      <c r="X234" s="5">
        <v>106256</v>
      </c>
      <c r="Y234">
        <f t="shared" si="70"/>
        <v>293</v>
      </c>
      <c r="Z234">
        <f t="shared" si="71"/>
        <v>244</v>
      </c>
      <c r="AA234">
        <f t="shared" si="72"/>
        <v>57</v>
      </c>
      <c r="AB234">
        <f t="shared" si="73"/>
        <v>44</v>
      </c>
      <c r="AC234">
        <f t="shared" si="74"/>
        <v>3176.5</v>
      </c>
      <c r="AD234">
        <f t="shared" si="75"/>
        <v>2481.5</v>
      </c>
      <c r="AE234">
        <f t="shared" si="76"/>
        <v>1075.5</v>
      </c>
      <c r="AF234">
        <f t="shared" si="77"/>
        <v>584.5</v>
      </c>
      <c r="AG234" s="5">
        <v>102104</v>
      </c>
      <c r="AH234" s="31">
        <v>368</v>
      </c>
      <c r="AI234" s="31">
        <v>57.5</v>
      </c>
      <c r="AJ234" s="37">
        <v>310.5</v>
      </c>
      <c r="AK234" s="37">
        <v>540</v>
      </c>
      <c r="AL234" s="36">
        <v>40</v>
      </c>
      <c r="AM234" s="36">
        <v>8.5</v>
      </c>
      <c r="AN234" s="37">
        <v>31.5</v>
      </c>
      <c r="AO234" s="37">
        <v>370.58823529411768</v>
      </c>
      <c r="AP234" s="38">
        <v>4261</v>
      </c>
      <c r="AQ234" s="39">
        <v>3299</v>
      </c>
      <c r="AR234" s="37">
        <v>962</v>
      </c>
      <c r="AS234" s="37">
        <v>29.160351621703544</v>
      </c>
      <c r="AT234" s="36">
        <v>449</v>
      </c>
      <c r="AU234" s="36">
        <v>425.5</v>
      </c>
      <c r="AV234" s="37">
        <v>23.5</v>
      </c>
      <c r="AW234" s="37">
        <v>5.5229142185663926</v>
      </c>
      <c r="AX234" s="5">
        <v>179954</v>
      </c>
      <c r="AY234" t="str">
        <f t="shared" si="78"/>
        <v>JAIPURGOLDEN_MANGAL</v>
      </c>
      <c r="AZ234" t="str">
        <f t="shared" si="79"/>
        <v>Nazafgarh-Kapashera</v>
      </c>
      <c r="BC234" s="5">
        <v>102104</v>
      </c>
      <c r="BD234" s="5" t="s">
        <v>581</v>
      </c>
      <c r="BE234" s="46" t="s">
        <v>635</v>
      </c>
      <c r="BF234" s="13" t="s">
        <v>389</v>
      </c>
      <c r="BG234" s="6" t="s">
        <v>89</v>
      </c>
      <c r="BH234" s="6" t="s">
        <v>237</v>
      </c>
      <c r="BI234" s="12" t="s">
        <v>345</v>
      </c>
      <c r="BJ234" s="51" t="s">
        <v>205</v>
      </c>
    </row>
    <row r="235" spans="1:62" ht="48.5" x14ac:dyDescent="0.35">
      <c r="A235">
        <v>283795</v>
      </c>
      <c r="B235" s="84">
        <f t="shared" si="60"/>
        <v>76</v>
      </c>
      <c r="C235" s="84">
        <f t="shared" si="61"/>
        <v>92</v>
      </c>
      <c r="E235" s="5">
        <v>254695</v>
      </c>
      <c r="F235" s="19">
        <v>12</v>
      </c>
      <c r="G235" s="19">
        <v>12</v>
      </c>
      <c r="H235" s="19">
        <v>18.5</v>
      </c>
      <c r="I235" s="19">
        <v>17.5</v>
      </c>
      <c r="J235" s="19">
        <v>51.5</v>
      </c>
      <c r="K235" s="19">
        <v>56.5</v>
      </c>
      <c r="L235" s="19">
        <v>48</v>
      </c>
      <c r="M235" s="19">
        <v>24</v>
      </c>
      <c r="N235" s="5">
        <v>102106</v>
      </c>
      <c r="O235">
        <f t="shared" si="62"/>
        <v>396</v>
      </c>
      <c r="P235">
        <f t="shared" si="63"/>
        <v>436</v>
      </c>
      <c r="Q235">
        <f t="shared" si="64"/>
        <v>244</v>
      </c>
      <c r="R235">
        <f t="shared" si="65"/>
        <v>210</v>
      </c>
      <c r="S235">
        <f t="shared" si="66"/>
        <v>369.5</v>
      </c>
      <c r="T235">
        <f t="shared" si="67"/>
        <v>393</v>
      </c>
      <c r="U235">
        <f t="shared" si="68"/>
        <v>214.5</v>
      </c>
      <c r="V235">
        <f t="shared" si="69"/>
        <v>297</v>
      </c>
      <c r="X235" s="5">
        <v>102090</v>
      </c>
      <c r="Y235">
        <f t="shared" si="70"/>
        <v>234</v>
      </c>
      <c r="Z235">
        <f t="shared" si="71"/>
        <v>197</v>
      </c>
      <c r="AA235">
        <f t="shared" si="72"/>
        <v>90</v>
      </c>
      <c r="AB235">
        <f t="shared" si="73"/>
        <v>59</v>
      </c>
      <c r="AC235">
        <f t="shared" si="74"/>
        <v>2617</v>
      </c>
      <c r="AD235">
        <f t="shared" si="75"/>
        <v>2177.5</v>
      </c>
      <c r="AE235">
        <f t="shared" si="76"/>
        <v>735</v>
      </c>
      <c r="AF235">
        <f t="shared" si="77"/>
        <v>764</v>
      </c>
      <c r="AG235" s="5">
        <v>102106</v>
      </c>
      <c r="AH235" s="31">
        <v>396</v>
      </c>
      <c r="AI235" s="31">
        <v>436</v>
      </c>
      <c r="AJ235" s="37">
        <v>-40</v>
      </c>
      <c r="AK235" s="37">
        <v>-9.1743119266055047</v>
      </c>
      <c r="AL235" s="36">
        <v>244</v>
      </c>
      <c r="AM235" s="36">
        <v>210</v>
      </c>
      <c r="AN235" s="37">
        <v>34</v>
      </c>
      <c r="AO235" s="37">
        <v>16.19047619047619</v>
      </c>
      <c r="AP235" s="38">
        <v>5468</v>
      </c>
      <c r="AQ235" s="39">
        <v>4497.5</v>
      </c>
      <c r="AR235" s="37">
        <v>970.5</v>
      </c>
      <c r="AS235" s="37">
        <v>21.578654808226794</v>
      </c>
      <c r="AT235" s="36">
        <v>3116</v>
      </c>
      <c r="AU235" s="36">
        <v>3067.5</v>
      </c>
      <c r="AV235" s="37">
        <v>48.5</v>
      </c>
      <c r="AW235" s="37">
        <v>1.5810920945395273</v>
      </c>
      <c r="AX235" s="5">
        <v>254695</v>
      </c>
      <c r="AY235" t="str">
        <f t="shared" si="78"/>
        <v>BHAGWATI_GREENHRT_TRIYAMJIT</v>
      </c>
      <c r="AZ235" t="str">
        <f t="shared" si="79"/>
        <v>Narela- Bawana</v>
      </c>
      <c r="BC235" s="5">
        <v>102106</v>
      </c>
      <c r="BD235" s="5" t="s">
        <v>581</v>
      </c>
      <c r="BE235" s="46" t="s">
        <v>636</v>
      </c>
      <c r="BF235" s="13" t="s">
        <v>637</v>
      </c>
      <c r="BG235" s="6" t="s">
        <v>187</v>
      </c>
      <c r="BH235" s="6" t="s">
        <v>356</v>
      </c>
      <c r="BI235" s="12" t="s">
        <v>603</v>
      </c>
      <c r="BJ235" s="51" t="s">
        <v>120</v>
      </c>
    </row>
    <row r="236" spans="1:62" ht="48.5" x14ac:dyDescent="0.35">
      <c r="A236">
        <v>102091</v>
      </c>
      <c r="B236" s="84">
        <f t="shared" si="60"/>
        <v>185</v>
      </c>
      <c r="C236" s="84">
        <f t="shared" si="61"/>
        <v>192</v>
      </c>
      <c r="E236" s="5">
        <v>179735</v>
      </c>
      <c r="F236" s="19">
        <v>333</v>
      </c>
      <c r="G236" s="19">
        <v>409.5</v>
      </c>
      <c r="H236" s="19">
        <v>310.5</v>
      </c>
      <c r="I236" s="19">
        <v>364.5</v>
      </c>
      <c r="J236" s="19">
        <v>103.5</v>
      </c>
      <c r="K236" s="19">
        <v>103.5</v>
      </c>
      <c r="L236" s="19">
        <v>81</v>
      </c>
      <c r="M236" s="19">
        <v>76.5</v>
      </c>
      <c r="N236" s="5">
        <v>102119</v>
      </c>
      <c r="O236">
        <f t="shared" si="62"/>
        <v>641</v>
      </c>
      <c r="P236">
        <f t="shared" si="63"/>
        <v>605</v>
      </c>
      <c r="Q236">
        <f t="shared" si="64"/>
        <v>405</v>
      </c>
      <c r="R236">
        <f t="shared" si="65"/>
        <v>481</v>
      </c>
      <c r="S236">
        <f t="shared" si="66"/>
        <v>601</v>
      </c>
      <c r="T236">
        <f t="shared" si="67"/>
        <v>538.5</v>
      </c>
      <c r="U236">
        <f t="shared" si="68"/>
        <v>441</v>
      </c>
      <c r="V236">
        <f t="shared" si="69"/>
        <v>499.5</v>
      </c>
      <c r="X236" s="3">
        <v>112416</v>
      </c>
      <c r="Y236">
        <f t="shared" si="70"/>
        <v>233</v>
      </c>
      <c r="Z236">
        <f t="shared" si="71"/>
        <v>240</v>
      </c>
      <c r="AA236">
        <f t="shared" si="72"/>
        <v>19</v>
      </c>
      <c r="AB236">
        <f t="shared" si="73"/>
        <v>28</v>
      </c>
      <c r="AC236">
        <f t="shared" si="74"/>
        <v>2980</v>
      </c>
      <c r="AD236">
        <f t="shared" si="75"/>
        <v>2523.5</v>
      </c>
      <c r="AE236">
        <f t="shared" si="76"/>
        <v>274</v>
      </c>
      <c r="AF236">
        <f t="shared" si="77"/>
        <v>293.5</v>
      </c>
      <c r="AG236" s="5">
        <v>102119</v>
      </c>
      <c r="AH236" s="31">
        <v>641</v>
      </c>
      <c r="AI236" s="31">
        <v>605</v>
      </c>
      <c r="AJ236" s="37">
        <v>36</v>
      </c>
      <c r="AK236" s="37">
        <v>5.9504132231404956</v>
      </c>
      <c r="AL236" s="36">
        <v>405</v>
      </c>
      <c r="AM236" s="36">
        <v>481</v>
      </c>
      <c r="AN236" s="37">
        <v>-76</v>
      </c>
      <c r="AO236" s="37">
        <v>-15.800415800415802</v>
      </c>
      <c r="AP236" s="38">
        <v>7495.5</v>
      </c>
      <c r="AQ236" s="39">
        <v>5913.5</v>
      </c>
      <c r="AR236" s="37">
        <v>1582</v>
      </c>
      <c r="AS236" s="37">
        <v>26.752346326202758</v>
      </c>
      <c r="AT236" s="36">
        <v>5736.5</v>
      </c>
      <c r="AU236" s="36">
        <v>5761</v>
      </c>
      <c r="AV236" s="37">
        <v>-24.5</v>
      </c>
      <c r="AW236" s="37">
        <v>-0.42527339003645198</v>
      </c>
      <c r="AX236" s="5">
        <v>179735</v>
      </c>
      <c r="AY236" t="str">
        <f t="shared" si="78"/>
        <v>ALLIED_MASIH</v>
      </c>
      <c r="AZ236" t="str">
        <f t="shared" si="79"/>
        <v>Mayur Vihar -Anand Vihar -Preet Vihar</v>
      </c>
      <c r="BC236" s="5">
        <v>102119</v>
      </c>
      <c r="BD236" s="5" t="s">
        <v>581</v>
      </c>
      <c r="BE236" s="46" t="s">
        <v>638</v>
      </c>
      <c r="BF236" s="13" t="s">
        <v>639</v>
      </c>
      <c r="BG236" s="6" t="s">
        <v>187</v>
      </c>
      <c r="BH236" s="6" t="s">
        <v>395</v>
      </c>
      <c r="BI236" s="12" t="s">
        <v>395</v>
      </c>
      <c r="BJ236" s="51" t="s">
        <v>248</v>
      </c>
    </row>
    <row r="237" spans="1:62" ht="36.5" x14ac:dyDescent="0.35">
      <c r="A237">
        <v>41056544</v>
      </c>
      <c r="B237" s="84">
        <f t="shared" si="60"/>
        <v>395</v>
      </c>
      <c r="C237" s="84">
        <f t="shared" si="61"/>
        <v>387</v>
      </c>
      <c r="E237" s="5">
        <v>186865</v>
      </c>
      <c r="F237" s="19">
        <v>317</v>
      </c>
      <c r="G237" s="19">
        <v>325</v>
      </c>
      <c r="H237" s="19">
        <v>310.5</v>
      </c>
      <c r="I237" s="19">
        <v>330.5</v>
      </c>
      <c r="J237" s="19">
        <v>31.5</v>
      </c>
      <c r="K237" s="19">
        <v>31.5</v>
      </c>
      <c r="L237" s="19">
        <v>35</v>
      </c>
      <c r="M237" s="19">
        <v>35</v>
      </c>
      <c r="N237" s="5">
        <v>305308</v>
      </c>
      <c r="O237">
        <f t="shared" si="62"/>
        <v>212</v>
      </c>
      <c r="P237">
        <f t="shared" si="63"/>
        <v>226</v>
      </c>
      <c r="Q237">
        <f t="shared" si="64"/>
        <v>40</v>
      </c>
      <c r="R237">
        <f t="shared" si="65"/>
        <v>44</v>
      </c>
      <c r="S237">
        <f t="shared" si="66"/>
        <v>225</v>
      </c>
      <c r="T237">
        <f t="shared" si="67"/>
        <v>177.5</v>
      </c>
      <c r="U237">
        <f t="shared" si="68"/>
        <v>39</v>
      </c>
      <c r="V237">
        <f t="shared" si="69"/>
        <v>32.5</v>
      </c>
      <c r="X237" s="3">
        <v>112446</v>
      </c>
      <c r="Y237">
        <f t="shared" si="70"/>
        <v>252</v>
      </c>
      <c r="Z237">
        <f t="shared" si="71"/>
        <v>248</v>
      </c>
      <c r="AA237">
        <f t="shared" si="72"/>
        <v>28</v>
      </c>
      <c r="AB237">
        <f t="shared" si="73"/>
        <v>40</v>
      </c>
      <c r="AC237">
        <f t="shared" si="74"/>
        <v>2964</v>
      </c>
      <c r="AD237">
        <f t="shared" si="75"/>
        <v>2554.5</v>
      </c>
      <c r="AE237">
        <f t="shared" si="76"/>
        <v>396</v>
      </c>
      <c r="AF237">
        <f t="shared" si="77"/>
        <v>500.5</v>
      </c>
      <c r="AG237" s="5">
        <v>305308</v>
      </c>
      <c r="AH237" s="31">
        <v>212</v>
      </c>
      <c r="AI237" s="31">
        <v>226</v>
      </c>
      <c r="AJ237" s="37">
        <v>-14</v>
      </c>
      <c r="AK237" s="37">
        <v>-6.1946902654867255</v>
      </c>
      <c r="AL237" s="36">
        <v>40</v>
      </c>
      <c r="AM237" s="36">
        <v>44</v>
      </c>
      <c r="AN237" s="37">
        <v>-4</v>
      </c>
      <c r="AO237" s="37">
        <v>-9.0909090909090917</v>
      </c>
      <c r="AP237" s="38">
        <v>2633.5</v>
      </c>
      <c r="AQ237" s="39">
        <v>2092</v>
      </c>
      <c r="AR237" s="37">
        <v>541.5</v>
      </c>
      <c r="AS237" s="37">
        <v>25.884321223709367</v>
      </c>
      <c r="AT237" s="36">
        <v>454.5</v>
      </c>
      <c r="AU237" s="36">
        <v>476.5</v>
      </c>
      <c r="AV237" s="37">
        <v>-22</v>
      </c>
      <c r="AW237" s="37">
        <v>-4.6169989506820563</v>
      </c>
      <c r="AX237" s="5">
        <v>186865</v>
      </c>
      <c r="AY237" t="str">
        <f t="shared" si="78"/>
        <v>White Patch_Wazirabad</v>
      </c>
      <c r="AZ237" t="str">
        <f t="shared" si="79"/>
        <v>Wazirabad-Loni</v>
      </c>
      <c r="BC237" s="5">
        <v>305308</v>
      </c>
      <c r="BD237" s="5" t="s">
        <v>581</v>
      </c>
      <c r="BE237" s="46" t="s">
        <v>640</v>
      </c>
      <c r="BF237" s="13" t="s">
        <v>641</v>
      </c>
      <c r="BG237" s="6" t="s">
        <v>89</v>
      </c>
      <c r="BH237" s="6" t="s">
        <v>237</v>
      </c>
      <c r="BI237" s="12" t="s">
        <v>392</v>
      </c>
      <c r="BJ237" s="51" t="s">
        <v>1007</v>
      </c>
    </row>
    <row r="238" spans="1:62" ht="36.5" x14ac:dyDescent="0.35">
      <c r="A238">
        <v>41057009</v>
      </c>
      <c r="B238" s="84">
        <f t="shared" si="60"/>
        <v>330</v>
      </c>
      <c r="C238" s="84">
        <f t="shared" si="61"/>
        <v>380</v>
      </c>
      <c r="E238" s="5">
        <v>102078</v>
      </c>
      <c r="F238" s="19">
        <v>128</v>
      </c>
      <c r="G238" s="19">
        <v>146</v>
      </c>
      <c r="H238" s="19">
        <v>108</v>
      </c>
      <c r="I238" s="19">
        <v>145</v>
      </c>
      <c r="J238" s="19">
        <v>72</v>
      </c>
      <c r="K238" s="19">
        <v>91</v>
      </c>
      <c r="L238" s="19">
        <v>50</v>
      </c>
      <c r="M238" s="19">
        <v>50</v>
      </c>
      <c r="N238" s="5">
        <v>102100</v>
      </c>
      <c r="O238">
        <f t="shared" si="62"/>
        <v>371</v>
      </c>
      <c r="P238">
        <f t="shared" si="63"/>
        <v>281.5</v>
      </c>
      <c r="Q238">
        <f t="shared" si="64"/>
        <v>116.5</v>
      </c>
      <c r="R238">
        <f t="shared" si="65"/>
        <v>58.5</v>
      </c>
      <c r="S238">
        <f t="shared" si="66"/>
        <v>345</v>
      </c>
      <c r="T238">
        <f t="shared" si="67"/>
        <v>322</v>
      </c>
      <c r="U238">
        <f t="shared" si="68"/>
        <v>99</v>
      </c>
      <c r="V238">
        <f t="shared" si="69"/>
        <v>60</v>
      </c>
      <c r="X238" s="9">
        <v>41019250</v>
      </c>
      <c r="Y238">
        <f t="shared" si="70"/>
        <v>171.5</v>
      </c>
      <c r="Z238">
        <f t="shared" si="71"/>
        <v>166.5</v>
      </c>
      <c r="AA238">
        <f t="shared" si="72"/>
        <v>74.5</v>
      </c>
      <c r="AB238">
        <f t="shared" si="73"/>
        <v>67.5</v>
      </c>
      <c r="AC238">
        <f t="shared" si="74"/>
        <v>2234</v>
      </c>
      <c r="AD238">
        <f t="shared" si="75"/>
        <v>1723.5</v>
      </c>
      <c r="AE238">
        <f t="shared" si="76"/>
        <v>767</v>
      </c>
      <c r="AF238">
        <f t="shared" si="77"/>
        <v>760.5</v>
      </c>
      <c r="AG238" s="5">
        <v>102100</v>
      </c>
      <c r="AH238" s="31">
        <v>371</v>
      </c>
      <c r="AI238" s="31">
        <v>281.5</v>
      </c>
      <c r="AJ238" s="37">
        <v>89.5</v>
      </c>
      <c r="AK238" s="37">
        <v>31.793960923623445</v>
      </c>
      <c r="AL238" s="36">
        <v>116.5</v>
      </c>
      <c r="AM238" s="36">
        <v>58.5</v>
      </c>
      <c r="AN238" s="37">
        <v>58</v>
      </c>
      <c r="AO238" s="37">
        <v>99.145299145299148</v>
      </c>
      <c r="AP238" s="38">
        <v>4106.5</v>
      </c>
      <c r="AQ238" s="39">
        <v>3310.5</v>
      </c>
      <c r="AR238" s="37">
        <v>796</v>
      </c>
      <c r="AS238" s="37">
        <v>24.044706237728438</v>
      </c>
      <c r="AT238" s="36">
        <v>1029.5</v>
      </c>
      <c r="AU238" s="36">
        <v>734</v>
      </c>
      <c r="AV238" s="37">
        <v>295.5</v>
      </c>
      <c r="AW238" s="37">
        <v>40.258855585831057</v>
      </c>
      <c r="AX238" s="5">
        <v>102078</v>
      </c>
      <c r="AY238" t="str">
        <f t="shared" si="78"/>
        <v>VASUNDHARA_VIJ</v>
      </c>
      <c r="AZ238" t="str">
        <f t="shared" si="79"/>
        <v>Mayur Vihar -Anand Vihar -Preet Vihar</v>
      </c>
      <c r="BC238" s="5">
        <v>102100</v>
      </c>
      <c r="BD238" s="5" t="s">
        <v>581</v>
      </c>
      <c r="BE238" s="46" t="s">
        <v>343</v>
      </c>
      <c r="BF238" s="13" t="s">
        <v>642</v>
      </c>
      <c r="BG238" s="6" t="s">
        <v>187</v>
      </c>
      <c r="BH238" s="6" t="s">
        <v>356</v>
      </c>
      <c r="BI238" s="12" t="s">
        <v>643</v>
      </c>
      <c r="BJ238" s="51" t="s">
        <v>189</v>
      </c>
    </row>
    <row r="239" spans="1:62" ht="24.5" x14ac:dyDescent="0.35">
      <c r="A239">
        <v>112428</v>
      </c>
      <c r="B239" s="84">
        <f t="shared" si="60"/>
        <v>244</v>
      </c>
      <c r="C239" s="84">
        <f t="shared" si="61"/>
        <v>252</v>
      </c>
      <c r="E239" s="5">
        <v>106256</v>
      </c>
      <c r="F239" s="19">
        <v>230</v>
      </c>
      <c r="G239" s="19">
        <v>293</v>
      </c>
      <c r="H239" s="19">
        <v>224</v>
      </c>
      <c r="I239" s="19">
        <v>244</v>
      </c>
      <c r="J239" s="19">
        <v>40</v>
      </c>
      <c r="K239" s="19">
        <v>44</v>
      </c>
      <c r="L239" s="19">
        <v>64</v>
      </c>
      <c r="M239" s="19">
        <v>57</v>
      </c>
      <c r="N239" s="5">
        <v>186857</v>
      </c>
      <c r="O239">
        <f t="shared" si="62"/>
        <v>184.5</v>
      </c>
      <c r="P239">
        <f t="shared" si="63"/>
        <v>157.5</v>
      </c>
      <c r="Q239">
        <f t="shared" si="64"/>
        <v>67.5</v>
      </c>
      <c r="R239">
        <f t="shared" si="65"/>
        <v>22.5</v>
      </c>
      <c r="S239">
        <f t="shared" si="66"/>
        <v>157.5</v>
      </c>
      <c r="T239">
        <f t="shared" si="67"/>
        <v>139.5</v>
      </c>
      <c r="U239">
        <f t="shared" si="68"/>
        <v>22.5</v>
      </c>
      <c r="V239">
        <f t="shared" si="69"/>
        <v>22.5</v>
      </c>
      <c r="X239" s="3">
        <v>112415</v>
      </c>
      <c r="Y239">
        <f t="shared" si="70"/>
        <v>201</v>
      </c>
      <c r="Z239">
        <f t="shared" si="71"/>
        <v>208.5</v>
      </c>
      <c r="AA239">
        <f t="shared" si="72"/>
        <v>37</v>
      </c>
      <c r="AB239">
        <f t="shared" si="73"/>
        <v>43.5</v>
      </c>
      <c r="AC239">
        <f t="shared" si="74"/>
        <v>2490.5</v>
      </c>
      <c r="AD239">
        <f t="shared" si="75"/>
        <v>1954</v>
      </c>
      <c r="AE239">
        <f t="shared" si="76"/>
        <v>429.5</v>
      </c>
      <c r="AF239">
        <f t="shared" si="77"/>
        <v>487.5</v>
      </c>
      <c r="AG239" s="5">
        <v>186857</v>
      </c>
      <c r="AH239" s="31">
        <v>184.5</v>
      </c>
      <c r="AI239" s="31">
        <v>157.5</v>
      </c>
      <c r="AJ239" s="37">
        <v>27</v>
      </c>
      <c r="AK239" s="37">
        <v>17.142857142857142</v>
      </c>
      <c r="AL239" s="36">
        <v>67.5</v>
      </c>
      <c r="AM239" s="36">
        <v>22.5</v>
      </c>
      <c r="AN239" s="37">
        <v>45</v>
      </c>
      <c r="AO239" s="37">
        <v>200</v>
      </c>
      <c r="AP239" s="38">
        <v>2002.5</v>
      </c>
      <c r="AQ239" s="39">
        <v>1598.5</v>
      </c>
      <c r="AR239" s="37">
        <v>404</v>
      </c>
      <c r="AS239" s="37">
        <v>25.273694088207694</v>
      </c>
      <c r="AT239" s="36">
        <v>301.5</v>
      </c>
      <c r="AU239" s="36">
        <v>272.5</v>
      </c>
      <c r="AV239" s="37">
        <v>29</v>
      </c>
      <c r="AW239" s="37">
        <v>10.642201834862385</v>
      </c>
      <c r="AX239" s="5">
        <v>106256</v>
      </c>
      <c r="AY239" t="str">
        <f t="shared" si="78"/>
        <v>White Patch_Aurbindo marg to Ring Rod South Ex</v>
      </c>
      <c r="AZ239" t="str">
        <f t="shared" si="79"/>
        <v>Lutyens</v>
      </c>
      <c r="BC239" s="5">
        <v>186857</v>
      </c>
      <c r="BD239" s="5" t="s">
        <v>581</v>
      </c>
      <c r="BE239" s="46" t="s">
        <v>644</v>
      </c>
      <c r="BF239" s="13" t="s">
        <v>568</v>
      </c>
      <c r="BG239" s="6" t="s">
        <v>85</v>
      </c>
      <c r="BH239" s="6" t="s">
        <v>373</v>
      </c>
      <c r="BI239" s="12" t="s">
        <v>373</v>
      </c>
      <c r="BJ239" s="51" t="s">
        <v>120</v>
      </c>
    </row>
    <row r="240" spans="1:62" ht="48.5" x14ac:dyDescent="0.35">
      <c r="A240">
        <v>102076</v>
      </c>
      <c r="B240" s="84">
        <f t="shared" si="60"/>
        <v>332.5</v>
      </c>
      <c r="C240" s="84">
        <f t="shared" si="61"/>
        <v>351</v>
      </c>
      <c r="E240" s="5">
        <v>203544</v>
      </c>
      <c r="F240" s="19">
        <v>324</v>
      </c>
      <c r="G240" s="19">
        <v>360</v>
      </c>
      <c r="H240" s="19">
        <v>297</v>
      </c>
      <c r="I240" s="19">
        <v>306</v>
      </c>
      <c r="J240" s="19">
        <v>81</v>
      </c>
      <c r="K240" s="19">
        <v>90</v>
      </c>
      <c r="L240" s="19">
        <v>90</v>
      </c>
      <c r="M240" s="19">
        <v>90</v>
      </c>
      <c r="N240" s="5">
        <v>186861</v>
      </c>
      <c r="O240">
        <f t="shared" si="62"/>
        <v>152</v>
      </c>
      <c r="P240">
        <f t="shared" si="63"/>
        <v>156</v>
      </c>
      <c r="Q240">
        <f t="shared" si="64"/>
        <v>140</v>
      </c>
      <c r="R240">
        <f t="shared" si="65"/>
        <v>108</v>
      </c>
      <c r="S240">
        <f t="shared" si="66"/>
        <v>144</v>
      </c>
      <c r="T240">
        <f t="shared" si="67"/>
        <v>136</v>
      </c>
      <c r="U240">
        <f t="shared" si="68"/>
        <v>108</v>
      </c>
      <c r="V240">
        <f t="shared" si="69"/>
        <v>116</v>
      </c>
      <c r="X240" s="5">
        <v>354260</v>
      </c>
      <c r="Y240">
        <f t="shared" si="70"/>
        <v>179.5</v>
      </c>
      <c r="Z240">
        <f t="shared" si="71"/>
        <v>124</v>
      </c>
      <c r="AA240">
        <f t="shared" si="72"/>
        <v>76.5</v>
      </c>
      <c r="AB240">
        <f t="shared" si="73"/>
        <v>44</v>
      </c>
      <c r="AC240">
        <f t="shared" si="74"/>
        <v>1924</v>
      </c>
      <c r="AD240">
        <f t="shared" si="75"/>
        <v>1352.5</v>
      </c>
      <c r="AE240">
        <f t="shared" si="76"/>
        <v>656</v>
      </c>
      <c r="AF240">
        <f t="shared" si="77"/>
        <v>563</v>
      </c>
      <c r="AG240" s="5">
        <v>186861</v>
      </c>
      <c r="AH240" s="31">
        <v>152</v>
      </c>
      <c r="AI240" s="31">
        <v>156</v>
      </c>
      <c r="AJ240" s="37">
        <v>-4</v>
      </c>
      <c r="AK240" s="37">
        <v>-2.5641025641025639</v>
      </c>
      <c r="AL240" s="36">
        <v>140</v>
      </c>
      <c r="AM240" s="36">
        <v>108</v>
      </c>
      <c r="AN240" s="37">
        <v>32</v>
      </c>
      <c r="AO240" s="37">
        <v>29.629629629629626</v>
      </c>
      <c r="AP240" s="38">
        <v>1820</v>
      </c>
      <c r="AQ240" s="39">
        <v>1507</v>
      </c>
      <c r="AR240" s="37">
        <v>313</v>
      </c>
      <c r="AS240" s="37">
        <v>20.769741207697411</v>
      </c>
      <c r="AT240" s="36">
        <v>1436</v>
      </c>
      <c r="AU240" s="36">
        <v>1501</v>
      </c>
      <c r="AV240" s="37">
        <v>-65</v>
      </c>
      <c r="AW240" s="37">
        <v>-4.3304463690872748</v>
      </c>
      <c r="AX240" s="5">
        <v>203544</v>
      </c>
      <c r="AY240" t="str">
        <f t="shared" si="78"/>
        <v>AIRPORT_SINGH_ANUP</v>
      </c>
      <c r="AZ240" t="str">
        <f t="shared" si="79"/>
        <v>Outer Ring Road</v>
      </c>
      <c r="BC240" s="5">
        <v>186861</v>
      </c>
      <c r="BD240" s="5" t="s">
        <v>581</v>
      </c>
      <c r="BE240" s="46" t="s">
        <v>645</v>
      </c>
      <c r="BF240" s="13" t="s">
        <v>591</v>
      </c>
      <c r="BG240" s="6" t="s">
        <v>89</v>
      </c>
      <c r="BH240" s="6" t="s">
        <v>294</v>
      </c>
      <c r="BI240" s="12" t="s">
        <v>294</v>
      </c>
      <c r="BJ240" s="51" t="s">
        <v>91</v>
      </c>
    </row>
    <row r="241" spans="1:62" ht="60.5" x14ac:dyDescent="0.35">
      <c r="A241">
        <v>112429</v>
      </c>
      <c r="B241" s="84">
        <f t="shared" si="60"/>
        <v>450</v>
      </c>
      <c r="C241" s="84">
        <f t="shared" si="61"/>
        <v>486</v>
      </c>
      <c r="E241" s="5">
        <v>234809</v>
      </c>
      <c r="F241" s="19">
        <v>72</v>
      </c>
      <c r="G241" s="19">
        <v>80</v>
      </c>
      <c r="H241" s="19">
        <v>64</v>
      </c>
      <c r="I241" s="19">
        <v>77</v>
      </c>
      <c r="J241" s="19">
        <v>68</v>
      </c>
      <c r="K241" s="19">
        <v>73</v>
      </c>
      <c r="L241" s="19">
        <v>60</v>
      </c>
      <c r="M241" s="19">
        <v>136</v>
      </c>
      <c r="N241" s="5">
        <v>102115</v>
      </c>
      <c r="O241">
        <f t="shared" si="62"/>
        <v>350</v>
      </c>
      <c r="P241">
        <f t="shared" si="63"/>
        <v>210</v>
      </c>
      <c r="Q241">
        <f t="shared" si="64"/>
        <v>0</v>
      </c>
      <c r="R241">
        <f t="shared" si="65"/>
        <v>0</v>
      </c>
      <c r="S241">
        <f t="shared" si="66"/>
        <v>210</v>
      </c>
      <c r="T241">
        <f t="shared" si="67"/>
        <v>194</v>
      </c>
      <c r="U241">
        <f t="shared" si="68"/>
        <v>0</v>
      </c>
      <c r="V241">
        <f t="shared" si="69"/>
        <v>0</v>
      </c>
      <c r="X241" s="5">
        <v>356946</v>
      </c>
      <c r="Y241">
        <f t="shared" si="70"/>
        <v>356.21699999999902</v>
      </c>
      <c r="Z241">
        <f t="shared" si="71"/>
        <v>321.75399999999991</v>
      </c>
      <c r="AA241">
        <f t="shared" si="72"/>
        <v>63.829000000000001</v>
      </c>
      <c r="AB241">
        <f t="shared" si="73"/>
        <v>59.113999999999905</v>
      </c>
      <c r="AC241">
        <f t="shared" si="74"/>
        <v>3988.6739999999977</v>
      </c>
      <c r="AD241">
        <f t="shared" si="75"/>
        <v>3029.0109999999995</v>
      </c>
      <c r="AE241">
        <f t="shared" si="76"/>
        <v>692.2109999999999</v>
      </c>
      <c r="AF241">
        <f t="shared" si="77"/>
        <v>634.60199999999998</v>
      </c>
      <c r="AG241" s="5">
        <v>102115</v>
      </c>
      <c r="AH241" s="31">
        <v>350</v>
      </c>
      <c r="AI241" s="31">
        <v>210</v>
      </c>
      <c r="AJ241" s="37">
        <v>140</v>
      </c>
      <c r="AK241" s="37">
        <v>66.666666666666657</v>
      </c>
      <c r="AL241" s="36">
        <v>0</v>
      </c>
      <c r="AM241" s="36">
        <v>0</v>
      </c>
      <c r="AN241" s="37">
        <v>0</v>
      </c>
      <c r="AO241" s="37" t="e">
        <v>#DIV/0!</v>
      </c>
      <c r="AP241" s="38">
        <v>2742</v>
      </c>
      <c r="AQ241" s="39">
        <v>2032</v>
      </c>
      <c r="AR241" s="37">
        <v>710</v>
      </c>
      <c r="AS241" s="37">
        <v>34.940944881889763</v>
      </c>
      <c r="AT241" s="36">
        <v>0</v>
      </c>
      <c r="AU241" s="36">
        <v>0</v>
      </c>
      <c r="AV241" s="37">
        <v>0</v>
      </c>
      <c r="AW241" s="37" t="e">
        <v>#DIV/0!</v>
      </c>
      <c r="AX241" s="5">
        <v>234809</v>
      </c>
      <c r="AY241" t="str">
        <f t="shared" si="78"/>
        <v>PUNJABKHOR</v>
      </c>
      <c r="AZ241" t="str">
        <f t="shared" si="79"/>
        <v>Punjabkhor</v>
      </c>
      <c r="BC241" s="5">
        <v>102115</v>
      </c>
      <c r="BD241" s="5" t="s">
        <v>581</v>
      </c>
      <c r="BE241" s="46" t="s">
        <v>646</v>
      </c>
      <c r="BF241" s="13" t="s">
        <v>647</v>
      </c>
      <c r="BG241" s="6" t="s">
        <v>89</v>
      </c>
      <c r="BH241" s="6" t="s">
        <v>237</v>
      </c>
      <c r="BI241" s="12" t="s">
        <v>345</v>
      </c>
      <c r="BJ241" s="51" t="s">
        <v>120</v>
      </c>
    </row>
    <row r="242" spans="1:62" ht="48.5" x14ac:dyDescent="0.35">
      <c r="A242">
        <v>254694</v>
      </c>
      <c r="B242" s="84">
        <f t="shared" si="60"/>
        <v>88</v>
      </c>
      <c r="C242" s="84">
        <f t="shared" si="61"/>
        <v>101</v>
      </c>
      <c r="E242" s="5">
        <v>106222</v>
      </c>
      <c r="F242" s="19">
        <v>85.5</v>
      </c>
      <c r="G242" s="19">
        <v>93</v>
      </c>
      <c r="H242" s="19">
        <v>99</v>
      </c>
      <c r="I242" s="19">
        <v>112.5</v>
      </c>
      <c r="J242" s="19">
        <v>9</v>
      </c>
      <c r="K242" s="19">
        <v>13.5</v>
      </c>
      <c r="L242" s="19">
        <v>4.5</v>
      </c>
      <c r="M242" s="19">
        <v>9</v>
      </c>
      <c r="N242" s="5">
        <v>102076</v>
      </c>
      <c r="O242">
        <f t="shared" si="62"/>
        <v>351</v>
      </c>
      <c r="P242">
        <f t="shared" si="63"/>
        <v>342</v>
      </c>
      <c r="Q242">
        <f t="shared" si="64"/>
        <v>63</v>
      </c>
      <c r="R242">
        <f t="shared" si="65"/>
        <v>90</v>
      </c>
      <c r="S242">
        <f t="shared" si="66"/>
        <v>332.5</v>
      </c>
      <c r="T242">
        <f t="shared" si="67"/>
        <v>351</v>
      </c>
      <c r="U242">
        <f t="shared" si="68"/>
        <v>69.5</v>
      </c>
      <c r="V242">
        <f t="shared" si="69"/>
        <v>63</v>
      </c>
      <c r="X242" s="5">
        <v>106250</v>
      </c>
      <c r="Y242">
        <f t="shared" si="70"/>
        <v>68</v>
      </c>
      <c r="Z242">
        <f t="shared" si="71"/>
        <v>58.5</v>
      </c>
      <c r="AA242">
        <f t="shared" si="72"/>
        <v>72</v>
      </c>
      <c r="AB242">
        <f t="shared" si="73"/>
        <v>49.5</v>
      </c>
      <c r="AC242">
        <f t="shared" si="74"/>
        <v>741.5</v>
      </c>
      <c r="AD242">
        <f t="shared" si="75"/>
        <v>578</v>
      </c>
      <c r="AE242">
        <f t="shared" si="76"/>
        <v>594.5</v>
      </c>
      <c r="AF242">
        <f t="shared" si="77"/>
        <v>567.5</v>
      </c>
      <c r="AG242" s="5">
        <v>102076</v>
      </c>
      <c r="AH242" s="31">
        <v>351</v>
      </c>
      <c r="AI242" s="31">
        <v>342</v>
      </c>
      <c r="AJ242" s="37">
        <v>9</v>
      </c>
      <c r="AK242" s="37">
        <v>2.6315789473684208</v>
      </c>
      <c r="AL242" s="36">
        <v>63</v>
      </c>
      <c r="AM242" s="36">
        <v>90</v>
      </c>
      <c r="AN242" s="37">
        <v>-27</v>
      </c>
      <c r="AO242" s="37">
        <v>-30</v>
      </c>
      <c r="AP242" s="38">
        <v>4597.5</v>
      </c>
      <c r="AQ242" s="39">
        <v>3847</v>
      </c>
      <c r="AR242" s="37">
        <v>750.5</v>
      </c>
      <c r="AS242" s="37">
        <v>19.508708084221471</v>
      </c>
      <c r="AT242" s="36">
        <v>900.5</v>
      </c>
      <c r="AU242" s="36">
        <v>1082</v>
      </c>
      <c r="AV242" s="37">
        <v>-181.5</v>
      </c>
      <c r="AW242" s="37">
        <v>-16.774491682070241</v>
      </c>
      <c r="AX242" s="5">
        <v>106222</v>
      </c>
      <c r="AY242" t="str">
        <f t="shared" si="78"/>
        <v>White Patch- Pitampura</v>
      </c>
      <c r="AZ242" t="str">
        <f t="shared" si="79"/>
        <v>Pitampura</v>
      </c>
      <c r="BC242" s="5">
        <v>102076</v>
      </c>
      <c r="BD242" s="5" t="s">
        <v>581</v>
      </c>
      <c r="BE242" s="46" t="s">
        <v>648</v>
      </c>
      <c r="BF242" s="13" t="s">
        <v>649</v>
      </c>
      <c r="BG242" s="6" t="s">
        <v>89</v>
      </c>
      <c r="BH242" s="6" t="s">
        <v>310</v>
      </c>
      <c r="BI242" s="12" t="s">
        <v>650</v>
      </c>
      <c r="BJ242" s="51" t="s">
        <v>205</v>
      </c>
    </row>
    <row r="243" spans="1:62" ht="36.5" x14ac:dyDescent="0.35">
      <c r="A243">
        <v>112430</v>
      </c>
      <c r="B243" s="84">
        <f t="shared" si="60"/>
        <v>160</v>
      </c>
      <c r="C243" s="84">
        <f t="shared" si="61"/>
        <v>185</v>
      </c>
      <c r="E243" s="5">
        <v>106246</v>
      </c>
      <c r="F243" s="19">
        <v>0</v>
      </c>
      <c r="G243" s="19">
        <v>0</v>
      </c>
      <c r="H243" s="19">
        <v>0</v>
      </c>
      <c r="I243" s="19">
        <v>0</v>
      </c>
      <c r="J243" s="19">
        <v>9</v>
      </c>
      <c r="K243" s="19">
        <v>9</v>
      </c>
      <c r="L243" s="19">
        <v>9</v>
      </c>
      <c r="M243" s="19">
        <v>4.5</v>
      </c>
      <c r="N243" s="5">
        <v>106260</v>
      </c>
      <c r="O243">
        <f t="shared" si="62"/>
        <v>140</v>
      </c>
      <c r="P243">
        <f t="shared" si="63"/>
        <v>150</v>
      </c>
      <c r="Q243">
        <f t="shared" si="64"/>
        <v>22</v>
      </c>
      <c r="R243">
        <f t="shared" si="65"/>
        <v>22</v>
      </c>
      <c r="S243">
        <f t="shared" si="66"/>
        <v>145</v>
      </c>
      <c r="T243">
        <f t="shared" si="67"/>
        <v>127</v>
      </c>
      <c r="U243">
        <f t="shared" si="68"/>
        <v>15</v>
      </c>
      <c r="V243">
        <f t="shared" si="69"/>
        <v>17</v>
      </c>
      <c r="X243" s="3">
        <v>112407</v>
      </c>
      <c r="Y243">
        <f t="shared" si="70"/>
        <v>140</v>
      </c>
      <c r="Z243">
        <f t="shared" si="71"/>
        <v>157.5</v>
      </c>
      <c r="AA243">
        <f t="shared" si="72"/>
        <v>14</v>
      </c>
      <c r="AB243">
        <f t="shared" si="73"/>
        <v>12.5</v>
      </c>
      <c r="AC243">
        <f t="shared" si="74"/>
        <v>1929.5</v>
      </c>
      <c r="AD243">
        <f t="shared" si="75"/>
        <v>1602.5000009999999</v>
      </c>
      <c r="AE243">
        <f t="shared" si="76"/>
        <v>240.5</v>
      </c>
      <c r="AF243">
        <f t="shared" si="77"/>
        <v>198</v>
      </c>
      <c r="AG243" s="5">
        <v>106260</v>
      </c>
      <c r="AH243" s="31">
        <v>140</v>
      </c>
      <c r="AI243" s="31">
        <v>150</v>
      </c>
      <c r="AJ243" s="37">
        <v>-10</v>
      </c>
      <c r="AK243" s="37">
        <v>-6.666666666666667</v>
      </c>
      <c r="AL243" s="36">
        <v>22</v>
      </c>
      <c r="AM243" s="36">
        <v>22</v>
      </c>
      <c r="AN243" s="37">
        <v>0</v>
      </c>
      <c r="AO243" s="37">
        <v>0</v>
      </c>
      <c r="AP243" s="38">
        <v>1722.5</v>
      </c>
      <c r="AQ243" s="39">
        <v>1328.5</v>
      </c>
      <c r="AR243" s="37">
        <v>394</v>
      </c>
      <c r="AS243" s="37">
        <v>29.657508468197214</v>
      </c>
      <c r="AT243" s="36">
        <v>237.5</v>
      </c>
      <c r="AU243" s="36">
        <v>256.5</v>
      </c>
      <c r="AV243" s="37">
        <v>-19</v>
      </c>
      <c r="AW243" s="37">
        <v>-7.4074074074074066</v>
      </c>
      <c r="AX243" s="5">
        <v>106246</v>
      </c>
      <c r="AY243" t="str">
        <f t="shared" si="78"/>
        <v>ARAVALI</v>
      </c>
      <c r="AZ243" t="str">
        <f t="shared" si="79"/>
        <v>Dwarka</v>
      </c>
      <c r="BC243" s="5">
        <v>106260</v>
      </c>
      <c r="BD243" s="5" t="s">
        <v>581</v>
      </c>
      <c r="BE243" s="46" t="s">
        <v>651</v>
      </c>
      <c r="BF243" s="13" t="s">
        <v>652</v>
      </c>
      <c r="BG243" s="6" t="s">
        <v>89</v>
      </c>
      <c r="BH243" s="6" t="s">
        <v>204</v>
      </c>
      <c r="BI243" s="12" t="s">
        <v>204</v>
      </c>
      <c r="BJ243" s="51" t="s">
        <v>205</v>
      </c>
    </row>
    <row r="244" spans="1:62" ht="24.5" x14ac:dyDescent="0.35">
      <c r="A244">
        <v>106308</v>
      </c>
      <c r="B244" s="84">
        <f t="shared" si="60"/>
        <v>0</v>
      </c>
      <c r="C244" s="84">
        <f t="shared" si="61"/>
        <v>0</v>
      </c>
      <c r="E244" s="5">
        <v>172351</v>
      </c>
      <c r="F244" s="19">
        <v>0</v>
      </c>
      <c r="G244" s="19">
        <v>0</v>
      </c>
      <c r="H244" s="19">
        <v>0</v>
      </c>
      <c r="I244" s="19">
        <v>0</v>
      </c>
      <c r="J244" s="19">
        <v>14</v>
      </c>
      <c r="K244" s="19">
        <v>12</v>
      </c>
      <c r="L244" s="19">
        <v>0</v>
      </c>
      <c r="M244" s="19">
        <v>0</v>
      </c>
      <c r="N244" s="5">
        <v>106315</v>
      </c>
      <c r="O244">
        <f t="shared" si="62"/>
        <v>171</v>
      </c>
      <c r="P244">
        <f t="shared" si="63"/>
        <v>169.5</v>
      </c>
      <c r="Q244">
        <f t="shared" si="64"/>
        <v>63</v>
      </c>
      <c r="R244">
        <f t="shared" si="65"/>
        <v>22.5</v>
      </c>
      <c r="S244">
        <f t="shared" si="66"/>
        <v>180</v>
      </c>
      <c r="T244">
        <f t="shared" si="67"/>
        <v>126</v>
      </c>
      <c r="U244">
        <f t="shared" si="68"/>
        <v>36</v>
      </c>
      <c r="V244">
        <f t="shared" si="69"/>
        <v>36</v>
      </c>
      <c r="X244" s="9">
        <v>41056986</v>
      </c>
      <c r="Y244">
        <f t="shared" si="70"/>
        <v>422</v>
      </c>
      <c r="Z244">
        <f t="shared" si="71"/>
        <v>405</v>
      </c>
      <c r="AA244">
        <f t="shared" si="72"/>
        <v>25</v>
      </c>
      <c r="AB244">
        <f t="shared" si="73"/>
        <v>28</v>
      </c>
      <c r="AC244">
        <f t="shared" si="74"/>
        <v>4698</v>
      </c>
      <c r="AD244">
        <f t="shared" si="75"/>
        <v>3863</v>
      </c>
      <c r="AE244">
        <f t="shared" si="76"/>
        <v>443</v>
      </c>
      <c r="AF244">
        <f t="shared" si="77"/>
        <v>461</v>
      </c>
      <c r="AG244" s="5">
        <v>106315</v>
      </c>
      <c r="AH244" s="31">
        <v>171</v>
      </c>
      <c r="AI244" s="31">
        <v>169.5</v>
      </c>
      <c r="AJ244" s="37">
        <v>1.5</v>
      </c>
      <c r="AK244" s="37">
        <v>0.88495575221238942</v>
      </c>
      <c r="AL244" s="36">
        <v>63</v>
      </c>
      <c r="AM244" s="36">
        <v>22.5</v>
      </c>
      <c r="AN244" s="37">
        <v>40.5</v>
      </c>
      <c r="AO244" s="37">
        <v>180</v>
      </c>
      <c r="AP244" s="38">
        <v>2101.5</v>
      </c>
      <c r="AQ244" s="39">
        <v>1590.5</v>
      </c>
      <c r="AR244" s="37">
        <v>511</v>
      </c>
      <c r="AS244" s="37">
        <v>32.128261552970763</v>
      </c>
      <c r="AT244" s="36">
        <v>472.5</v>
      </c>
      <c r="AU244" s="36">
        <v>388</v>
      </c>
      <c r="AV244" s="37">
        <v>84.5</v>
      </c>
      <c r="AW244" s="37">
        <v>21.778350515463917</v>
      </c>
      <c r="AX244" s="5">
        <v>172351</v>
      </c>
      <c r="AY244" t="str">
        <f t="shared" si="78"/>
        <v>ZAKHIRA</v>
      </c>
      <c r="AZ244" t="str">
        <f t="shared" si="79"/>
        <v>Rohtak Road</v>
      </c>
      <c r="BC244" s="5">
        <v>106315</v>
      </c>
      <c r="BD244" s="5" t="s">
        <v>581</v>
      </c>
      <c r="BE244" s="46" t="s">
        <v>653</v>
      </c>
      <c r="BF244" s="13" t="s">
        <v>334</v>
      </c>
      <c r="BG244" s="6" t="s">
        <v>187</v>
      </c>
      <c r="BH244" s="6" t="s">
        <v>321</v>
      </c>
      <c r="BI244" s="12" t="s">
        <v>321</v>
      </c>
      <c r="BJ244" s="51" t="s">
        <v>189</v>
      </c>
    </row>
    <row r="245" spans="1:62" ht="48.5" x14ac:dyDescent="0.35">
      <c r="A245">
        <v>112431</v>
      </c>
      <c r="B245" s="84">
        <f t="shared" si="60"/>
        <v>18</v>
      </c>
      <c r="C245" s="84">
        <f t="shared" si="61"/>
        <v>45</v>
      </c>
      <c r="E245" s="5">
        <v>186841</v>
      </c>
      <c r="F245" s="19">
        <v>783</v>
      </c>
      <c r="G245" s="19">
        <v>904</v>
      </c>
      <c r="H245" s="19">
        <v>743.5</v>
      </c>
      <c r="I245" s="19">
        <v>810</v>
      </c>
      <c r="J245" s="19">
        <v>130.5</v>
      </c>
      <c r="K245" s="19">
        <v>144</v>
      </c>
      <c r="L245" s="19">
        <v>135</v>
      </c>
      <c r="M245" s="19">
        <v>126</v>
      </c>
      <c r="N245" s="5">
        <v>106360</v>
      </c>
      <c r="O245">
        <f t="shared" si="62"/>
        <v>564</v>
      </c>
      <c r="P245">
        <f t="shared" si="63"/>
        <v>527</v>
      </c>
      <c r="Q245">
        <f t="shared" si="64"/>
        <v>96</v>
      </c>
      <c r="R245">
        <f t="shared" si="65"/>
        <v>89</v>
      </c>
      <c r="S245">
        <f t="shared" si="66"/>
        <v>484</v>
      </c>
      <c r="T245">
        <f t="shared" si="67"/>
        <v>457.5</v>
      </c>
      <c r="U245">
        <f t="shared" si="68"/>
        <v>80</v>
      </c>
      <c r="V245">
        <f t="shared" si="69"/>
        <v>84.5</v>
      </c>
      <c r="X245" s="5">
        <v>106364</v>
      </c>
      <c r="Y245">
        <f t="shared" si="70"/>
        <v>403</v>
      </c>
      <c r="Z245">
        <f t="shared" si="71"/>
        <v>410.5</v>
      </c>
      <c r="AA245">
        <f t="shared" si="72"/>
        <v>51</v>
      </c>
      <c r="AB245">
        <f t="shared" si="73"/>
        <v>57.5</v>
      </c>
      <c r="AC245">
        <f t="shared" si="74"/>
        <v>4922.5</v>
      </c>
      <c r="AD245">
        <f t="shared" si="75"/>
        <v>4003.5</v>
      </c>
      <c r="AE245">
        <f t="shared" si="76"/>
        <v>609.5</v>
      </c>
      <c r="AF245">
        <f t="shared" si="77"/>
        <v>684</v>
      </c>
      <c r="AG245" s="5">
        <v>106360</v>
      </c>
      <c r="AH245" s="31">
        <v>564</v>
      </c>
      <c r="AI245" s="31">
        <v>527</v>
      </c>
      <c r="AJ245" s="37">
        <v>37</v>
      </c>
      <c r="AK245" s="37">
        <v>7.020872865275142</v>
      </c>
      <c r="AL245" s="36">
        <v>96</v>
      </c>
      <c r="AM245" s="36">
        <v>89</v>
      </c>
      <c r="AN245" s="37">
        <v>7</v>
      </c>
      <c r="AO245" s="37">
        <v>7.8651685393258424</v>
      </c>
      <c r="AP245" s="38">
        <v>6642.5</v>
      </c>
      <c r="AQ245" s="39">
        <v>5309.5</v>
      </c>
      <c r="AR245" s="37">
        <v>1333</v>
      </c>
      <c r="AS245" s="37">
        <v>25.105942179112912</v>
      </c>
      <c r="AT245" s="36">
        <v>1007.5</v>
      </c>
      <c r="AU245" s="36">
        <v>1172</v>
      </c>
      <c r="AV245" s="37">
        <v>-164.5</v>
      </c>
      <c r="AW245" s="37">
        <v>-14.035836177474403</v>
      </c>
      <c r="AX245" s="5">
        <v>186841</v>
      </c>
      <c r="AY245" t="str">
        <f t="shared" si="78"/>
        <v>White Patch_Saket</v>
      </c>
      <c r="AZ245" t="str">
        <f t="shared" si="79"/>
        <v>Hauj Khas-Saket-Vasant Kunj</v>
      </c>
      <c r="BC245" s="5">
        <v>106360</v>
      </c>
      <c r="BD245" s="5" t="s">
        <v>581</v>
      </c>
      <c r="BE245" s="46" t="s">
        <v>654</v>
      </c>
      <c r="BF245" s="13" t="s">
        <v>655</v>
      </c>
      <c r="BG245" s="6" t="s">
        <v>85</v>
      </c>
      <c r="BH245" s="6" t="s">
        <v>303</v>
      </c>
      <c r="BI245" s="12" t="s">
        <v>303</v>
      </c>
      <c r="BJ245" s="51" t="s">
        <v>304</v>
      </c>
    </row>
    <row r="246" spans="1:62" ht="48.5" x14ac:dyDescent="0.35">
      <c r="A246">
        <v>106310</v>
      </c>
      <c r="B246" s="84">
        <f t="shared" si="60"/>
        <v>177</v>
      </c>
      <c r="C246" s="84">
        <f t="shared" si="61"/>
        <v>209.5</v>
      </c>
      <c r="E246" s="5">
        <v>106291</v>
      </c>
      <c r="F246" s="19">
        <v>240</v>
      </c>
      <c r="G246" s="19">
        <v>248</v>
      </c>
      <c r="H246" s="19">
        <v>223</v>
      </c>
      <c r="I246" s="19">
        <v>256</v>
      </c>
      <c r="J246" s="19">
        <v>65</v>
      </c>
      <c r="K246" s="19">
        <v>80</v>
      </c>
      <c r="L246" s="19">
        <v>72</v>
      </c>
      <c r="M246" s="19">
        <v>64</v>
      </c>
      <c r="N246" s="5">
        <v>102099</v>
      </c>
      <c r="O246">
        <f t="shared" si="62"/>
        <v>555</v>
      </c>
      <c r="P246">
        <f t="shared" si="63"/>
        <v>545</v>
      </c>
      <c r="Q246">
        <f t="shared" si="64"/>
        <v>85</v>
      </c>
      <c r="R246">
        <f t="shared" si="65"/>
        <v>95</v>
      </c>
      <c r="S246">
        <f t="shared" si="66"/>
        <v>530</v>
      </c>
      <c r="T246">
        <f t="shared" si="67"/>
        <v>510</v>
      </c>
      <c r="U246">
        <f t="shared" si="68"/>
        <v>90</v>
      </c>
      <c r="V246">
        <f t="shared" si="69"/>
        <v>90</v>
      </c>
      <c r="X246" s="9">
        <v>41056833</v>
      </c>
      <c r="Y246">
        <f t="shared" si="70"/>
        <v>264</v>
      </c>
      <c r="Z246">
        <f t="shared" si="71"/>
        <v>312.5</v>
      </c>
      <c r="AA246">
        <f t="shared" si="72"/>
        <v>36</v>
      </c>
      <c r="AB246">
        <f t="shared" si="73"/>
        <v>42.5</v>
      </c>
      <c r="AC246">
        <f t="shared" si="74"/>
        <v>3499</v>
      </c>
      <c r="AD246">
        <f t="shared" si="75"/>
        <v>2449</v>
      </c>
      <c r="AE246">
        <f t="shared" si="76"/>
        <v>510</v>
      </c>
      <c r="AF246">
        <f t="shared" si="77"/>
        <v>350.5</v>
      </c>
      <c r="AG246" s="5">
        <v>102099</v>
      </c>
      <c r="AH246" s="31">
        <v>555</v>
      </c>
      <c r="AI246" s="31">
        <v>545</v>
      </c>
      <c r="AJ246" s="37">
        <v>10</v>
      </c>
      <c r="AK246" s="37">
        <v>1.834862385321101</v>
      </c>
      <c r="AL246" s="36">
        <v>85</v>
      </c>
      <c r="AM246" s="36">
        <v>95</v>
      </c>
      <c r="AN246" s="37">
        <v>-10</v>
      </c>
      <c r="AO246" s="37">
        <v>-10.526315789473683</v>
      </c>
      <c r="AP246" s="38">
        <v>6836</v>
      </c>
      <c r="AQ246" s="39">
        <v>5641</v>
      </c>
      <c r="AR246" s="37">
        <v>1195</v>
      </c>
      <c r="AS246" s="37">
        <v>21.184187200850914</v>
      </c>
      <c r="AT246" s="36">
        <v>1068</v>
      </c>
      <c r="AU246" s="36">
        <v>1218</v>
      </c>
      <c r="AV246" s="37">
        <v>-150</v>
      </c>
      <c r="AW246" s="37">
        <v>-12.315270935960591</v>
      </c>
      <c r="AX246" s="5">
        <v>106291</v>
      </c>
      <c r="AY246" t="str">
        <f t="shared" si="78"/>
        <v>SHAURYABHUSHAN_JAGDISH</v>
      </c>
      <c r="AZ246" t="str">
        <f t="shared" si="79"/>
        <v>Rohini</v>
      </c>
      <c r="BC246" s="5">
        <v>102099</v>
      </c>
      <c r="BD246" s="5" t="s">
        <v>581</v>
      </c>
      <c r="BE246" s="46" t="s">
        <v>656</v>
      </c>
      <c r="BF246" s="13" t="s">
        <v>657</v>
      </c>
      <c r="BG246" s="6" t="s">
        <v>187</v>
      </c>
      <c r="BH246" s="6" t="s">
        <v>356</v>
      </c>
      <c r="BI246" s="12" t="s">
        <v>395</v>
      </c>
      <c r="BJ246" s="51" t="s">
        <v>248</v>
      </c>
    </row>
    <row r="247" spans="1:62" ht="60.5" x14ac:dyDescent="0.35">
      <c r="A247">
        <v>41056992</v>
      </c>
      <c r="B247" s="84">
        <f t="shared" si="60"/>
        <v>256.5</v>
      </c>
      <c r="C247" s="84">
        <f t="shared" si="61"/>
        <v>270</v>
      </c>
      <c r="E247" s="5">
        <v>234811</v>
      </c>
      <c r="F247" s="19">
        <v>103.5</v>
      </c>
      <c r="G247" s="19">
        <v>130.5</v>
      </c>
      <c r="H247" s="19">
        <v>106.5</v>
      </c>
      <c r="I247" s="19">
        <v>127</v>
      </c>
      <c r="J247" s="19">
        <v>49.5</v>
      </c>
      <c r="K247" s="19">
        <v>45</v>
      </c>
      <c r="L247" s="19">
        <v>40.5</v>
      </c>
      <c r="M247" s="19">
        <v>67.5</v>
      </c>
      <c r="N247" s="5">
        <v>371684</v>
      </c>
      <c r="O247">
        <f t="shared" si="62"/>
        <v>64</v>
      </c>
      <c r="P247">
        <f t="shared" si="63"/>
        <v>46</v>
      </c>
      <c r="Q247">
        <f t="shared" si="64"/>
        <v>8</v>
      </c>
      <c r="R247">
        <f t="shared" si="65"/>
        <v>4</v>
      </c>
      <c r="S247">
        <f t="shared" si="66"/>
        <v>52</v>
      </c>
      <c r="T247">
        <f t="shared" si="67"/>
        <v>39</v>
      </c>
      <c r="U247">
        <f t="shared" si="68"/>
        <v>8</v>
      </c>
      <c r="V247">
        <f t="shared" si="69"/>
        <v>9</v>
      </c>
      <c r="X247" s="5">
        <v>106347</v>
      </c>
      <c r="Y247">
        <f t="shared" si="70"/>
        <v>289.5</v>
      </c>
      <c r="Z247">
        <f t="shared" si="71"/>
        <v>299.5</v>
      </c>
      <c r="AA247">
        <f t="shared" si="72"/>
        <v>40.5</v>
      </c>
      <c r="AB247">
        <f t="shared" si="73"/>
        <v>52.5</v>
      </c>
      <c r="AC247">
        <f t="shared" si="74"/>
        <v>3731</v>
      </c>
      <c r="AD247">
        <f t="shared" si="75"/>
        <v>3107.5</v>
      </c>
      <c r="AE247">
        <f t="shared" si="76"/>
        <v>549</v>
      </c>
      <c r="AF247">
        <f t="shared" si="77"/>
        <v>673</v>
      </c>
      <c r="AG247" s="5">
        <v>371684</v>
      </c>
      <c r="AH247" s="31">
        <v>64</v>
      </c>
      <c r="AI247" s="31">
        <v>46</v>
      </c>
      <c r="AJ247" s="37">
        <v>18</v>
      </c>
      <c r="AK247" s="37">
        <v>39.130434782608695</v>
      </c>
      <c r="AL247" s="36">
        <v>8</v>
      </c>
      <c r="AM247" s="36">
        <v>4</v>
      </c>
      <c r="AN247" s="37">
        <v>4</v>
      </c>
      <c r="AO247" s="37">
        <v>100</v>
      </c>
      <c r="AP247" s="38">
        <v>635.5</v>
      </c>
      <c r="AQ247" s="39">
        <v>94</v>
      </c>
      <c r="AR247" s="37">
        <v>541.5</v>
      </c>
      <c r="AS247" s="37">
        <v>576.063829787234</v>
      </c>
      <c r="AT247" s="36">
        <v>78.5</v>
      </c>
      <c r="AU247" s="36">
        <v>26</v>
      </c>
      <c r="AV247" s="37">
        <v>52.5</v>
      </c>
      <c r="AW247" s="37">
        <v>201.92307692307691</v>
      </c>
      <c r="AX247" s="5">
        <v>234811</v>
      </c>
      <c r="AY247" t="str">
        <f t="shared" si="78"/>
        <v>BPBAWANA_JAIMATA</v>
      </c>
      <c r="AZ247" t="str">
        <f t="shared" si="79"/>
        <v>Narela- Bawana</v>
      </c>
      <c r="BC247" s="5">
        <v>371684</v>
      </c>
      <c r="BD247" s="5" t="s">
        <v>581</v>
      </c>
      <c r="BE247" s="46" t="s">
        <v>658</v>
      </c>
      <c r="BF247" s="13" t="s">
        <v>659</v>
      </c>
      <c r="BG247" s="6" t="s">
        <v>103</v>
      </c>
      <c r="BH247" s="6" t="s">
        <v>208</v>
      </c>
      <c r="BI247" s="12" t="s">
        <v>208</v>
      </c>
      <c r="BJ247" s="51" t="s">
        <v>105</v>
      </c>
    </row>
    <row r="248" spans="1:62" ht="36.5" x14ac:dyDescent="0.35">
      <c r="A248">
        <v>112434</v>
      </c>
      <c r="B248" s="84">
        <f t="shared" si="60"/>
        <v>310</v>
      </c>
      <c r="C248" s="84">
        <f t="shared" si="61"/>
        <v>340</v>
      </c>
      <c r="E248" s="5">
        <v>106335</v>
      </c>
      <c r="F248" s="19">
        <v>24</v>
      </c>
      <c r="G248" s="19">
        <v>27</v>
      </c>
      <c r="H248" s="19">
        <v>15</v>
      </c>
      <c r="I248" s="19">
        <v>16</v>
      </c>
      <c r="J248" s="19">
        <v>5</v>
      </c>
      <c r="K248" s="19">
        <v>8</v>
      </c>
      <c r="L248" s="19">
        <v>10</v>
      </c>
      <c r="M248" s="19">
        <v>9</v>
      </c>
      <c r="N248" s="5">
        <v>186849</v>
      </c>
      <c r="O248">
        <f t="shared" si="62"/>
        <v>170</v>
      </c>
      <c r="P248">
        <f t="shared" si="63"/>
        <v>148</v>
      </c>
      <c r="Q248">
        <f t="shared" si="64"/>
        <v>16</v>
      </c>
      <c r="R248">
        <f t="shared" si="65"/>
        <v>8</v>
      </c>
      <c r="S248">
        <f t="shared" si="66"/>
        <v>156</v>
      </c>
      <c r="T248">
        <f t="shared" si="67"/>
        <v>132</v>
      </c>
      <c r="U248">
        <f t="shared" si="68"/>
        <v>12</v>
      </c>
      <c r="V248">
        <f t="shared" si="69"/>
        <v>12</v>
      </c>
      <c r="X248" s="9">
        <v>41056548</v>
      </c>
      <c r="Y248">
        <f t="shared" si="70"/>
        <v>222</v>
      </c>
      <c r="Z248">
        <f t="shared" si="71"/>
        <v>240</v>
      </c>
      <c r="AA248">
        <f t="shared" si="72"/>
        <v>61</v>
      </c>
      <c r="AB248">
        <f t="shared" si="73"/>
        <v>56</v>
      </c>
      <c r="AC248">
        <f t="shared" si="74"/>
        <v>3103</v>
      </c>
      <c r="AD248">
        <f t="shared" si="75"/>
        <v>2419</v>
      </c>
      <c r="AE248">
        <f t="shared" si="76"/>
        <v>675</v>
      </c>
      <c r="AF248">
        <f t="shared" si="77"/>
        <v>677.5</v>
      </c>
      <c r="AG248" s="5">
        <v>186849</v>
      </c>
      <c r="AH248" s="31">
        <v>170</v>
      </c>
      <c r="AI248" s="31">
        <v>148</v>
      </c>
      <c r="AJ248" s="37">
        <v>22</v>
      </c>
      <c r="AK248" s="37">
        <v>14.864864864864865</v>
      </c>
      <c r="AL248" s="36">
        <v>16</v>
      </c>
      <c r="AM248" s="36">
        <v>8</v>
      </c>
      <c r="AN248" s="37">
        <v>8</v>
      </c>
      <c r="AO248" s="37">
        <v>100</v>
      </c>
      <c r="AP248" s="38">
        <v>2046</v>
      </c>
      <c r="AQ248" s="39">
        <v>1496</v>
      </c>
      <c r="AR248" s="37">
        <v>550</v>
      </c>
      <c r="AS248" s="37">
        <v>36.764705882352942</v>
      </c>
      <c r="AT248" s="36">
        <v>152</v>
      </c>
      <c r="AU248" s="36">
        <v>132</v>
      </c>
      <c r="AV248" s="37">
        <v>20</v>
      </c>
      <c r="AW248" s="37">
        <v>15.151515151515152</v>
      </c>
      <c r="AX248" s="5">
        <v>106335</v>
      </c>
      <c r="AY248" t="str">
        <f t="shared" si="78"/>
        <v>MOOLCHAND</v>
      </c>
      <c r="AZ248" t="str">
        <f t="shared" si="79"/>
        <v xml:space="preserve"> New GT Road (NH44)</v>
      </c>
      <c r="BC248" s="5">
        <v>186849</v>
      </c>
      <c r="BD248" s="5" t="s">
        <v>581</v>
      </c>
      <c r="BE248" s="46" t="s">
        <v>660</v>
      </c>
      <c r="BF248" s="13" t="s">
        <v>661</v>
      </c>
      <c r="BG248" s="6" t="s">
        <v>169</v>
      </c>
      <c r="BH248" s="6" t="s">
        <v>170</v>
      </c>
      <c r="BI248" s="12" t="s">
        <v>170</v>
      </c>
      <c r="BJ248" s="51" t="s">
        <v>172</v>
      </c>
    </row>
    <row r="249" spans="1:62" ht="36.5" x14ac:dyDescent="0.35">
      <c r="A249">
        <v>41056993</v>
      </c>
      <c r="B249" s="84">
        <f t="shared" si="60"/>
        <v>290</v>
      </c>
      <c r="C249" s="84">
        <f t="shared" si="61"/>
        <v>312</v>
      </c>
      <c r="E249" s="5">
        <v>186834</v>
      </c>
      <c r="F249" s="19">
        <v>316</v>
      </c>
      <c r="G249" s="19">
        <v>354</v>
      </c>
      <c r="H249" s="19">
        <v>274.5</v>
      </c>
      <c r="I249" s="19">
        <v>333</v>
      </c>
      <c r="J249" s="19">
        <v>31.5</v>
      </c>
      <c r="K249" s="19">
        <v>45</v>
      </c>
      <c r="L249" s="19">
        <v>36</v>
      </c>
      <c r="M249" s="19">
        <v>20</v>
      </c>
      <c r="N249" s="5">
        <v>106217</v>
      </c>
      <c r="O249">
        <f t="shared" si="62"/>
        <v>389</v>
      </c>
      <c r="P249">
        <f t="shared" si="63"/>
        <v>337.5</v>
      </c>
      <c r="Q249">
        <f t="shared" si="64"/>
        <v>157</v>
      </c>
      <c r="R249">
        <f t="shared" si="65"/>
        <v>94.5</v>
      </c>
      <c r="S249">
        <f t="shared" si="66"/>
        <v>346</v>
      </c>
      <c r="T249">
        <f t="shared" si="67"/>
        <v>297</v>
      </c>
      <c r="U249">
        <f t="shared" si="68"/>
        <v>116</v>
      </c>
      <c r="V249">
        <f t="shared" si="69"/>
        <v>81</v>
      </c>
      <c r="X249" s="5">
        <v>102085</v>
      </c>
      <c r="Y249">
        <f t="shared" si="70"/>
        <v>259</v>
      </c>
      <c r="Z249">
        <f t="shared" si="71"/>
        <v>234</v>
      </c>
      <c r="AA249">
        <f t="shared" si="72"/>
        <v>39</v>
      </c>
      <c r="AB249">
        <f t="shared" si="73"/>
        <v>54</v>
      </c>
      <c r="AC249">
        <f t="shared" si="74"/>
        <v>3077.5</v>
      </c>
      <c r="AD249">
        <f t="shared" si="75"/>
        <v>2420.5</v>
      </c>
      <c r="AE249">
        <f t="shared" si="76"/>
        <v>554.5</v>
      </c>
      <c r="AF249">
        <f t="shared" si="77"/>
        <v>757.5</v>
      </c>
      <c r="AG249" s="5">
        <v>106217</v>
      </c>
      <c r="AH249" s="31">
        <v>389</v>
      </c>
      <c r="AI249" s="31">
        <v>337.5</v>
      </c>
      <c r="AJ249" s="37">
        <v>51.5</v>
      </c>
      <c r="AK249" s="37">
        <v>15.259259259259258</v>
      </c>
      <c r="AL249" s="36">
        <v>157</v>
      </c>
      <c r="AM249" s="36">
        <v>94.5</v>
      </c>
      <c r="AN249" s="37">
        <v>62.5</v>
      </c>
      <c r="AO249" s="37">
        <v>66.137566137566139</v>
      </c>
      <c r="AP249" s="38">
        <v>4474.5</v>
      </c>
      <c r="AQ249" s="39">
        <v>3449</v>
      </c>
      <c r="AR249" s="37">
        <v>1025.5</v>
      </c>
      <c r="AS249" s="37">
        <v>29.733256016236592</v>
      </c>
      <c r="AT249" s="36">
        <v>1321.5</v>
      </c>
      <c r="AU249" s="36">
        <v>1226.5</v>
      </c>
      <c r="AV249" s="37">
        <v>95</v>
      </c>
      <c r="AW249" s="37">
        <v>7.7456176110884636</v>
      </c>
      <c r="AX249" s="5">
        <v>186834</v>
      </c>
      <c r="AY249" t="str">
        <f t="shared" si="78"/>
        <v>SAKSHAM</v>
      </c>
      <c r="AZ249" t="str">
        <f t="shared" si="79"/>
        <v>Punjabi Bagh</v>
      </c>
      <c r="BC249" s="5">
        <v>106217</v>
      </c>
      <c r="BD249" s="5" t="s">
        <v>581</v>
      </c>
      <c r="BE249" s="46" t="s">
        <v>662</v>
      </c>
      <c r="BF249" s="13" t="s">
        <v>663</v>
      </c>
      <c r="BG249" s="6" t="s">
        <v>103</v>
      </c>
      <c r="BH249" s="6" t="s">
        <v>256</v>
      </c>
      <c r="BI249" s="12" t="s">
        <v>256</v>
      </c>
      <c r="BJ249" s="51" t="s">
        <v>257</v>
      </c>
    </row>
    <row r="250" spans="1:62" ht="96.5" x14ac:dyDescent="0.35">
      <c r="A250">
        <v>112435</v>
      </c>
      <c r="B250" s="84">
        <f t="shared" si="60"/>
        <v>450.5</v>
      </c>
      <c r="C250" s="84">
        <f t="shared" si="61"/>
        <v>471.5</v>
      </c>
      <c r="E250" s="5">
        <v>332207</v>
      </c>
      <c r="F250" s="19">
        <v>170.62200000000001</v>
      </c>
      <c r="G250" s="19">
        <v>189.497999999999</v>
      </c>
      <c r="H250" s="19">
        <v>155.40299999999991</v>
      </c>
      <c r="I250" s="19">
        <v>170.15200000000002</v>
      </c>
      <c r="J250" s="19">
        <v>60.385000000000005</v>
      </c>
      <c r="K250" s="19">
        <v>64.468999999999994</v>
      </c>
      <c r="L250" s="19">
        <v>64.257000000000005</v>
      </c>
      <c r="M250" s="19">
        <v>88.007000000000005</v>
      </c>
      <c r="N250" s="5">
        <v>106218</v>
      </c>
      <c r="O250">
        <f t="shared" si="62"/>
        <v>486</v>
      </c>
      <c r="P250">
        <f t="shared" si="63"/>
        <v>432</v>
      </c>
      <c r="Q250">
        <f t="shared" si="64"/>
        <v>50</v>
      </c>
      <c r="R250">
        <f t="shared" si="65"/>
        <v>36</v>
      </c>
      <c r="S250">
        <f t="shared" si="66"/>
        <v>438.5</v>
      </c>
      <c r="T250">
        <f t="shared" si="67"/>
        <v>378</v>
      </c>
      <c r="U250">
        <f t="shared" si="68"/>
        <v>33.5</v>
      </c>
      <c r="V250">
        <f t="shared" si="69"/>
        <v>36</v>
      </c>
      <c r="X250" s="9">
        <v>41028209</v>
      </c>
      <c r="Y250">
        <f t="shared" si="70"/>
        <v>242</v>
      </c>
      <c r="Z250">
        <f t="shared" si="71"/>
        <v>272</v>
      </c>
      <c r="AA250">
        <f t="shared" si="72"/>
        <v>45</v>
      </c>
      <c r="AB250">
        <f t="shared" si="73"/>
        <v>39</v>
      </c>
      <c r="AC250">
        <f t="shared" si="74"/>
        <v>3041</v>
      </c>
      <c r="AD250">
        <f t="shared" si="75"/>
        <v>2550</v>
      </c>
      <c r="AE250">
        <f t="shared" si="76"/>
        <v>505</v>
      </c>
      <c r="AF250">
        <f t="shared" si="77"/>
        <v>531</v>
      </c>
      <c r="AG250" s="5">
        <v>106218</v>
      </c>
      <c r="AH250" s="31">
        <v>486</v>
      </c>
      <c r="AI250" s="31">
        <v>432</v>
      </c>
      <c r="AJ250" s="37">
        <v>54</v>
      </c>
      <c r="AK250" s="37">
        <v>12.5</v>
      </c>
      <c r="AL250" s="36">
        <v>50</v>
      </c>
      <c r="AM250" s="36">
        <v>36</v>
      </c>
      <c r="AN250" s="37">
        <v>14</v>
      </c>
      <c r="AO250" s="37">
        <v>38.888888888888893</v>
      </c>
      <c r="AP250" s="38">
        <v>5685</v>
      </c>
      <c r="AQ250" s="39">
        <v>4485</v>
      </c>
      <c r="AR250" s="37">
        <v>1200</v>
      </c>
      <c r="AS250" s="37">
        <v>26.755852842809364</v>
      </c>
      <c r="AT250" s="36">
        <v>419</v>
      </c>
      <c r="AU250" s="36">
        <v>469</v>
      </c>
      <c r="AV250" s="37">
        <v>-50</v>
      </c>
      <c r="AW250" s="37">
        <v>-10.660980810234541</v>
      </c>
      <c r="AX250" s="5">
        <v>332207</v>
      </c>
      <c r="AY250" t="str">
        <f t="shared" si="78"/>
        <v>White Patch DSIDC</v>
      </c>
      <c r="AZ250" t="str">
        <f t="shared" si="79"/>
        <v>Narela- Bawana</v>
      </c>
      <c r="BC250" s="5">
        <v>106218</v>
      </c>
      <c r="BD250" s="5" t="s">
        <v>581</v>
      </c>
      <c r="BE250" s="46" t="s">
        <v>664</v>
      </c>
      <c r="BF250" s="13"/>
      <c r="BG250" s="6" t="s">
        <v>75</v>
      </c>
      <c r="BH250" s="6" t="s">
        <v>100</v>
      </c>
      <c r="BI250" s="12" t="s">
        <v>100</v>
      </c>
      <c r="BJ250" s="51" t="s">
        <v>77</v>
      </c>
    </row>
    <row r="251" spans="1:62" ht="60.5" x14ac:dyDescent="0.35">
      <c r="A251">
        <v>41056488</v>
      </c>
      <c r="B251" s="84">
        <f t="shared" si="60"/>
        <v>336.5</v>
      </c>
      <c r="C251" s="84">
        <f t="shared" si="61"/>
        <v>272</v>
      </c>
      <c r="E251" s="5">
        <v>106314</v>
      </c>
      <c r="F251" s="19">
        <v>89</v>
      </c>
      <c r="G251" s="19">
        <v>95</v>
      </c>
      <c r="H251" s="19">
        <v>81</v>
      </c>
      <c r="I251" s="19">
        <v>82</v>
      </c>
      <c r="J251" s="19">
        <v>0</v>
      </c>
      <c r="K251" s="19">
        <v>0</v>
      </c>
      <c r="L251" s="19">
        <v>0</v>
      </c>
      <c r="M251" s="19">
        <v>0</v>
      </c>
      <c r="N251" s="5">
        <v>186863</v>
      </c>
      <c r="O251">
        <f t="shared" si="62"/>
        <v>188.5</v>
      </c>
      <c r="P251">
        <f t="shared" si="63"/>
        <v>138</v>
      </c>
      <c r="Q251">
        <f t="shared" si="64"/>
        <v>35.5</v>
      </c>
      <c r="R251">
        <f t="shared" si="65"/>
        <v>36</v>
      </c>
      <c r="S251">
        <f t="shared" si="66"/>
        <v>117</v>
      </c>
      <c r="T251">
        <f t="shared" si="67"/>
        <v>181.5</v>
      </c>
      <c r="U251">
        <f t="shared" si="68"/>
        <v>27</v>
      </c>
      <c r="V251">
        <f t="shared" si="69"/>
        <v>40.5</v>
      </c>
      <c r="X251" s="5">
        <v>305316</v>
      </c>
      <c r="Y251">
        <f t="shared" si="70"/>
        <v>350.5</v>
      </c>
      <c r="Z251">
        <f t="shared" si="71"/>
        <v>294.5</v>
      </c>
      <c r="AA251">
        <f t="shared" si="72"/>
        <v>41.5</v>
      </c>
      <c r="AB251">
        <f t="shared" si="73"/>
        <v>35.5</v>
      </c>
      <c r="AC251">
        <f t="shared" si="74"/>
        <v>3862.5</v>
      </c>
      <c r="AD251">
        <f t="shared" si="75"/>
        <v>2983.5</v>
      </c>
      <c r="AE251">
        <f t="shared" si="76"/>
        <v>425.5</v>
      </c>
      <c r="AF251">
        <f t="shared" si="77"/>
        <v>465.5</v>
      </c>
      <c r="AG251" s="5">
        <v>186863</v>
      </c>
      <c r="AH251" s="31">
        <v>188.5</v>
      </c>
      <c r="AI251" s="31">
        <v>138</v>
      </c>
      <c r="AJ251" s="37">
        <v>50.5</v>
      </c>
      <c r="AK251" s="37">
        <v>36.594202898550726</v>
      </c>
      <c r="AL251" s="36">
        <v>35.5</v>
      </c>
      <c r="AM251" s="36">
        <v>36</v>
      </c>
      <c r="AN251" s="37">
        <v>-0.5</v>
      </c>
      <c r="AO251" s="37">
        <v>-1.3888888888888888</v>
      </c>
      <c r="AP251" s="38">
        <v>2034</v>
      </c>
      <c r="AQ251" s="39">
        <v>2191.5</v>
      </c>
      <c r="AR251" s="37">
        <v>-157.5</v>
      </c>
      <c r="AS251" s="37">
        <v>-7.1868583162217652</v>
      </c>
      <c r="AT251" s="36">
        <v>416</v>
      </c>
      <c r="AU251" s="36">
        <v>537</v>
      </c>
      <c r="AV251" s="37">
        <v>-121</v>
      </c>
      <c r="AW251" s="37">
        <v>-22.532588454376164</v>
      </c>
      <c r="AX251" s="5">
        <v>106314</v>
      </c>
      <c r="AY251" t="str">
        <f t="shared" si="78"/>
        <v>BCC_KAMLA_NATIONAL_MODERN_SONDHI</v>
      </c>
      <c r="AZ251" t="str">
        <f t="shared" si="79"/>
        <v>Lutyens</v>
      </c>
      <c r="BC251" s="5">
        <v>186863</v>
      </c>
      <c r="BD251" s="5" t="s">
        <v>581</v>
      </c>
      <c r="BE251" s="46" t="s">
        <v>665</v>
      </c>
      <c r="BF251" s="13" t="s">
        <v>666</v>
      </c>
      <c r="BG251" s="6" t="s">
        <v>75</v>
      </c>
      <c r="BH251" s="6" t="s">
        <v>667</v>
      </c>
      <c r="BI251" s="12" t="s">
        <v>667</v>
      </c>
      <c r="BJ251" s="51" t="s">
        <v>77</v>
      </c>
    </row>
    <row r="252" spans="1:62" ht="60.5" x14ac:dyDescent="0.35">
      <c r="A252">
        <v>41019253</v>
      </c>
      <c r="B252" s="84">
        <f t="shared" si="60"/>
        <v>67</v>
      </c>
      <c r="C252" s="84">
        <f t="shared" si="61"/>
        <v>70</v>
      </c>
      <c r="E252" s="5">
        <v>305308</v>
      </c>
      <c r="F252" s="19">
        <v>225</v>
      </c>
      <c r="G252" s="19">
        <v>212</v>
      </c>
      <c r="H252" s="19">
        <v>177.5</v>
      </c>
      <c r="I252" s="19">
        <v>226</v>
      </c>
      <c r="J252" s="19">
        <v>32.5</v>
      </c>
      <c r="K252" s="19">
        <v>44</v>
      </c>
      <c r="L252" s="19">
        <v>39</v>
      </c>
      <c r="M252" s="19">
        <v>40</v>
      </c>
      <c r="N252" s="5">
        <v>305312</v>
      </c>
      <c r="O252">
        <f t="shared" si="62"/>
        <v>147</v>
      </c>
      <c r="P252">
        <f t="shared" si="63"/>
        <v>125.5</v>
      </c>
      <c r="Q252">
        <f t="shared" si="64"/>
        <v>123</v>
      </c>
      <c r="R252">
        <f t="shared" si="65"/>
        <v>60.5</v>
      </c>
      <c r="S252">
        <f t="shared" si="66"/>
        <v>146</v>
      </c>
      <c r="T252">
        <f t="shared" si="67"/>
        <v>120</v>
      </c>
      <c r="U252">
        <f t="shared" si="68"/>
        <v>64</v>
      </c>
      <c r="V252">
        <f t="shared" si="69"/>
        <v>60</v>
      </c>
      <c r="X252" s="5">
        <v>186830</v>
      </c>
      <c r="Y252">
        <f t="shared" si="70"/>
        <v>99</v>
      </c>
      <c r="Z252">
        <f t="shared" si="71"/>
        <v>99</v>
      </c>
      <c r="AA252">
        <f t="shared" si="72"/>
        <v>45</v>
      </c>
      <c r="AB252">
        <f t="shared" si="73"/>
        <v>45</v>
      </c>
      <c r="AC252">
        <f t="shared" si="74"/>
        <v>1189</v>
      </c>
      <c r="AD252">
        <f t="shared" si="75"/>
        <v>910.5</v>
      </c>
      <c r="AE252">
        <f t="shared" si="76"/>
        <v>485</v>
      </c>
      <c r="AF252">
        <f t="shared" si="77"/>
        <v>523</v>
      </c>
      <c r="AG252" s="5">
        <v>305312</v>
      </c>
      <c r="AH252" s="31">
        <v>147</v>
      </c>
      <c r="AI252" s="31">
        <v>125.5</v>
      </c>
      <c r="AJ252" s="37">
        <v>21.5</v>
      </c>
      <c r="AK252" s="37">
        <v>17.131474103585656</v>
      </c>
      <c r="AL252" s="36">
        <v>123</v>
      </c>
      <c r="AM252" s="36">
        <v>60.5</v>
      </c>
      <c r="AN252" s="37">
        <v>62.5</v>
      </c>
      <c r="AO252" s="37">
        <v>103.30578512396693</v>
      </c>
      <c r="AP252" s="38">
        <v>1736</v>
      </c>
      <c r="AQ252" s="39">
        <v>1267.5</v>
      </c>
      <c r="AR252" s="37">
        <v>468.5</v>
      </c>
      <c r="AS252" s="37">
        <v>36.962524654832343</v>
      </c>
      <c r="AT252" s="36">
        <v>912</v>
      </c>
      <c r="AU252" s="36">
        <v>1373</v>
      </c>
      <c r="AV252" s="37">
        <v>-461</v>
      </c>
      <c r="AW252" s="37">
        <v>-33.576110706482154</v>
      </c>
      <c r="AX252" s="5">
        <v>305308</v>
      </c>
      <c r="AY252" t="str">
        <f t="shared" si="78"/>
        <v>GANPATI</v>
      </c>
      <c r="AZ252" t="str">
        <f t="shared" si="79"/>
        <v>Pitampura</v>
      </c>
      <c r="BC252" s="5">
        <v>305312</v>
      </c>
      <c r="BD252" s="5" t="s">
        <v>581</v>
      </c>
      <c r="BE252" s="46" t="s">
        <v>668</v>
      </c>
      <c r="BF252" s="13" t="s">
        <v>669</v>
      </c>
      <c r="BG252" s="6" t="s">
        <v>200</v>
      </c>
      <c r="BH252" s="6" t="s">
        <v>670</v>
      </c>
      <c r="BI252" s="12" t="s">
        <v>670</v>
      </c>
      <c r="BJ252" s="51" t="s">
        <v>91</v>
      </c>
    </row>
    <row r="253" spans="1:62" ht="36.5" x14ac:dyDescent="0.35">
      <c r="A253">
        <v>41056522</v>
      </c>
      <c r="B253" s="84">
        <f t="shared" si="60"/>
        <v>182</v>
      </c>
      <c r="C253" s="84">
        <f t="shared" si="61"/>
        <v>207.5</v>
      </c>
      <c r="E253" s="5">
        <v>102100</v>
      </c>
      <c r="F253" s="19">
        <v>345</v>
      </c>
      <c r="G253" s="19">
        <v>371</v>
      </c>
      <c r="H253" s="19">
        <v>322</v>
      </c>
      <c r="I253" s="19">
        <v>281.5</v>
      </c>
      <c r="J253" s="19">
        <v>60</v>
      </c>
      <c r="K253" s="19">
        <v>58.5</v>
      </c>
      <c r="L253" s="19">
        <v>99</v>
      </c>
      <c r="M253" s="19">
        <v>116.5</v>
      </c>
      <c r="N253" s="5">
        <v>186838</v>
      </c>
      <c r="O253">
        <f t="shared" si="62"/>
        <v>235</v>
      </c>
      <c r="P253">
        <f t="shared" si="63"/>
        <v>229.5</v>
      </c>
      <c r="Q253">
        <f t="shared" si="64"/>
        <v>285</v>
      </c>
      <c r="R253">
        <f t="shared" si="65"/>
        <v>292.5</v>
      </c>
      <c r="S253">
        <f t="shared" si="66"/>
        <v>235</v>
      </c>
      <c r="T253">
        <f t="shared" si="67"/>
        <v>202.5</v>
      </c>
      <c r="U253">
        <f t="shared" si="68"/>
        <v>205</v>
      </c>
      <c r="V253">
        <f t="shared" si="69"/>
        <v>247.5</v>
      </c>
      <c r="X253" s="3">
        <v>112424</v>
      </c>
      <c r="Y253">
        <f t="shared" si="70"/>
        <v>150</v>
      </c>
      <c r="Z253">
        <f t="shared" si="71"/>
        <v>140</v>
      </c>
      <c r="AA253">
        <f t="shared" si="72"/>
        <v>288</v>
      </c>
      <c r="AB253">
        <f t="shared" si="73"/>
        <v>320</v>
      </c>
      <c r="AC253">
        <f t="shared" si="74"/>
        <v>1788</v>
      </c>
      <c r="AD253">
        <f t="shared" si="75"/>
        <v>1358</v>
      </c>
      <c r="AE253">
        <f t="shared" si="76"/>
        <v>3622</v>
      </c>
      <c r="AF253">
        <f t="shared" si="77"/>
        <v>3668</v>
      </c>
      <c r="AG253" s="5">
        <v>186838</v>
      </c>
      <c r="AH253" s="31">
        <v>235</v>
      </c>
      <c r="AI253" s="31">
        <v>229.5</v>
      </c>
      <c r="AJ253" s="37">
        <v>5.5</v>
      </c>
      <c r="AK253" s="37">
        <v>2.3965141612200433</v>
      </c>
      <c r="AL253" s="36">
        <v>285</v>
      </c>
      <c r="AM253" s="36">
        <v>292.5</v>
      </c>
      <c r="AN253" s="37">
        <v>-7.5</v>
      </c>
      <c r="AO253" s="37">
        <v>-2.5641025641025639</v>
      </c>
      <c r="AP253" s="38">
        <v>2804.5</v>
      </c>
      <c r="AQ253" s="39">
        <v>2237</v>
      </c>
      <c r="AR253" s="37">
        <v>567.5</v>
      </c>
      <c r="AS253" s="37">
        <v>25.368797496647293</v>
      </c>
      <c r="AT253" s="36">
        <v>3111.5</v>
      </c>
      <c r="AU253" s="36">
        <v>2871</v>
      </c>
      <c r="AV253" s="37">
        <v>240.5</v>
      </c>
      <c r="AW253" s="37">
        <v>8.3768721699756181</v>
      </c>
      <c r="AX253" s="5">
        <v>102100</v>
      </c>
      <c r="AY253" t="str">
        <f t="shared" si="78"/>
        <v>RAJINDER-RS BHOLA</v>
      </c>
      <c r="AZ253" t="str">
        <f t="shared" si="79"/>
        <v>Old Delhi</v>
      </c>
      <c r="BC253" s="5">
        <v>186838</v>
      </c>
      <c r="BD253" s="5" t="s">
        <v>581</v>
      </c>
      <c r="BE253" s="46" t="s">
        <v>671</v>
      </c>
      <c r="BF253" s="13" t="s">
        <v>672</v>
      </c>
      <c r="BG253" s="6" t="s">
        <v>200</v>
      </c>
      <c r="BH253" s="6" t="s">
        <v>265</v>
      </c>
      <c r="BI253" s="12" t="s">
        <v>265</v>
      </c>
      <c r="BJ253" s="51" t="s">
        <v>172</v>
      </c>
    </row>
    <row r="254" spans="1:62" ht="36.5" x14ac:dyDescent="0.35">
      <c r="A254">
        <v>179954</v>
      </c>
      <c r="B254" s="84">
        <f t="shared" si="60"/>
        <v>255</v>
      </c>
      <c r="C254" s="84">
        <f t="shared" si="61"/>
        <v>270</v>
      </c>
      <c r="E254" s="5">
        <v>252146</v>
      </c>
      <c r="F254" s="19">
        <v>49</v>
      </c>
      <c r="G254" s="19">
        <v>52</v>
      </c>
      <c r="H254" s="19">
        <v>33</v>
      </c>
      <c r="I254" s="19">
        <v>45.5</v>
      </c>
      <c r="J254" s="19">
        <v>12</v>
      </c>
      <c r="K254" s="19">
        <v>16</v>
      </c>
      <c r="L254" s="19">
        <v>16</v>
      </c>
      <c r="M254" s="19">
        <v>13</v>
      </c>
      <c r="N254" s="5">
        <v>106348</v>
      </c>
      <c r="O254">
        <f t="shared" si="62"/>
        <v>664.5</v>
      </c>
      <c r="P254">
        <f t="shared" si="63"/>
        <v>626.5</v>
      </c>
      <c r="Q254">
        <f t="shared" si="64"/>
        <v>67.5</v>
      </c>
      <c r="R254">
        <f t="shared" si="65"/>
        <v>81.5</v>
      </c>
      <c r="S254">
        <f t="shared" si="66"/>
        <v>614.5</v>
      </c>
      <c r="T254">
        <f t="shared" si="67"/>
        <v>573.5</v>
      </c>
      <c r="U254">
        <f t="shared" si="68"/>
        <v>67.5</v>
      </c>
      <c r="V254">
        <f t="shared" si="69"/>
        <v>72.5</v>
      </c>
      <c r="X254" s="3">
        <v>131712</v>
      </c>
      <c r="Y254">
        <f t="shared" si="70"/>
        <v>140.5</v>
      </c>
      <c r="Z254">
        <f t="shared" si="71"/>
        <v>140</v>
      </c>
      <c r="AA254">
        <f t="shared" si="72"/>
        <v>107.5</v>
      </c>
      <c r="AB254">
        <f t="shared" si="73"/>
        <v>108</v>
      </c>
      <c r="AC254">
        <f t="shared" si="74"/>
        <v>1612</v>
      </c>
      <c r="AD254">
        <f t="shared" si="75"/>
        <v>1377</v>
      </c>
      <c r="AE254">
        <f t="shared" si="76"/>
        <v>1274</v>
      </c>
      <c r="AF254">
        <f t="shared" si="77"/>
        <v>1319.5</v>
      </c>
      <c r="AG254" s="5">
        <v>106348</v>
      </c>
      <c r="AH254" s="31">
        <v>664.5</v>
      </c>
      <c r="AI254" s="31">
        <v>626.5</v>
      </c>
      <c r="AJ254" s="37">
        <v>38</v>
      </c>
      <c r="AK254" s="37">
        <v>6.0654429369513165</v>
      </c>
      <c r="AL254" s="36">
        <v>67.5</v>
      </c>
      <c r="AM254" s="36">
        <v>81.5</v>
      </c>
      <c r="AN254" s="37">
        <v>-14</v>
      </c>
      <c r="AO254" s="37">
        <v>-17.177914110429448</v>
      </c>
      <c r="AP254" s="38">
        <v>7873</v>
      </c>
      <c r="AQ254" s="39">
        <v>6085.5</v>
      </c>
      <c r="AR254" s="37">
        <v>1787.5</v>
      </c>
      <c r="AS254" s="37">
        <v>29.373099991783747</v>
      </c>
      <c r="AT254" s="36">
        <v>869</v>
      </c>
      <c r="AU254" s="36">
        <v>980.5</v>
      </c>
      <c r="AV254" s="37">
        <v>-111.5</v>
      </c>
      <c r="AW254" s="37">
        <v>-11.371749107598164</v>
      </c>
      <c r="AX254" s="5">
        <v>252146</v>
      </c>
      <c r="AY254" t="str">
        <f t="shared" si="78"/>
        <v>BCC_KAMLA_NATIONAL_MODERN_SONDHI</v>
      </c>
      <c r="AZ254" t="str">
        <f t="shared" si="79"/>
        <v>Lutyens</v>
      </c>
      <c r="BC254" s="5">
        <v>106348</v>
      </c>
      <c r="BD254" s="5" t="s">
        <v>581</v>
      </c>
      <c r="BE254" s="46" t="s">
        <v>673</v>
      </c>
      <c r="BF254" s="13" t="s">
        <v>674</v>
      </c>
      <c r="BG254" s="6" t="s">
        <v>85</v>
      </c>
      <c r="BH254" s="6" t="s">
        <v>580</v>
      </c>
      <c r="BI254" s="12" t="s">
        <v>580</v>
      </c>
      <c r="BJ254" s="51" t="s">
        <v>304</v>
      </c>
    </row>
    <row r="255" spans="1:62" ht="96.5" x14ac:dyDescent="0.35">
      <c r="A255">
        <v>186842</v>
      </c>
      <c r="B255" s="84">
        <f t="shared" si="60"/>
        <v>208</v>
      </c>
      <c r="C255" s="84">
        <f t="shared" si="61"/>
        <v>225</v>
      </c>
      <c r="E255" s="5">
        <v>106285</v>
      </c>
      <c r="F255" s="19">
        <v>316.5</v>
      </c>
      <c r="G255" s="19">
        <v>364.5</v>
      </c>
      <c r="H255" s="19">
        <v>283.5</v>
      </c>
      <c r="I255" s="19">
        <v>310.5</v>
      </c>
      <c r="J255" s="19">
        <v>76.5</v>
      </c>
      <c r="K255" s="19">
        <v>85.5</v>
      </c>
      <c r="L255" s="19">
        <v>81.5</v>
      </c>
      <c r="M255" s="19">
        <v>85.5</v>
      </c>
      <c r="N255" s="5">
        <v>106223</v>
      </c>
      <c r="O255">
        <f t="shared" si="62"/>
        <v>180</v>
      </c>
      <c r="P255">
        <f t="shared" si="63"/>
        <v>165</v>
      </c>
      <c r="Q255">
        <f t="shared" si="64"/>
        <v>100</v>
      </c>
      <c r="R255">
        <f t="shared" si="65"/>
        <v>95</v>
      </c>
      <c r="S255">
        <f t="shared" si="66"/>
        <v>145</v>
      </c>
      <c r="T255">
        <f t="shared" si="67"/>
        <v>160</v>
      </c>
      <c r="U255">
        <f t="shared" si="68"/>
        <v>95</v>
      </c>
      <c r="V255">
        <f t="shared" si="69"/>
        <v>100</v>
      </c>
      <c r="X255" s="9">
        <v>41056530</v>
      </c>
      <c r="Y255">
        <f t="shared" si="70"/>
        <v>86.5</v>
      </c>
      <c r="Z255">
        <f t="shared" si="71"/>
        <v>84</v>
      </c>
      <c r="AA255">
        <f t="shared" si="72"/>
        <v>35.5</v>
      </c>
      <c r="AB255">
        <f t="shared" si="73"/>
        <v>35</v>
      </c>
      <c r="AC255">
        <f t="shared" si="74"/>
        <v>1094</v>
      </c>
      <c r="AD255">
        <f t="shared" si="75"/>
        <v>895</v>
      </c>
      <c r="AE255">
        <f t="shared" si="76"/>
        <v>366</v>
      </c>
      <c r="AF255">
        <f t="shared" si="77"/>
        <v>521</v>
      </c>
      <c r="AG255" s="5">
        <v>106223</v>
      </c>
      <c r="AH255" s="31">
        <v>180</v>
      </c>
      <c r="AI255" s="31">
        <v>165</v>
      </c>
      <c r="AJ255" s="37">
        <v>15</v>
      </c>
      <c r="AK255" s="37">
        <v>9.0909090909090917</v>
      </c>
      <c r="AL255" s="36">
        <v>100</v>
      </c>
      <c r="AM255" s="36">
        <v>95</v>
      </c>
      <c r="AN255" s="37">
        <v>5</v>
      </c>
      <c r="AO255" s="37">
        <v>5.2631578947368416</v>
      </c>
      <c r="AP255" s="38">
        <v>2030</v>
      </c>
      <c r="AQ255" s="39">
        <v>1585</v>
      </c>
      <c r="AR255" s="37">
        <v>445</v>
      </c>
      <c r="AS255" s="37">
        <v>28.075709779179807</v>
      </c>
      <c r="AT255" s="36">
        <v>1270</v>
      </c>
      <c r="AU255" s="36">
        <v>1240</v>
      </c>
      <c r="AV255" s="37">
        <v>30</v>
      </c>
      <c r="AW255" s="37">
        <v>2.4193548387096775</v>
      </c>
      <c r="AX255" s="5">
        <v>106285</v>
      </c>
      <c r="AY255" t="str">
        <f t="shared" si="78"/>
        <v>SHAURYABHUSHAN_JAGDISH</v>
      </c>
      <c r="AZ255" t="str">
        <f t="shared" si="79"/>
        <v>Rohini</v>
      </c>
      <c r="BC255" s="5">
        <v>106223</v>
      </c>
      <c r="BD255" s="5" t="s">
        <v>581</v>
      </c>
      <c r="BE255" s="46" t="s">
        <v>675</v>
      </c>
      <c r="BF255" s="13" t="s">
        <v>676</v>
      </c>
      <c r="BG255" s="6" t="s">
        <v>75</v>
      </c>
      <c r="BH255" s="6" t="s">
        <v>667</v>
      </c>
      <c r="BI255" s="12" t="s">
        <v>667</v>
      </c>
      <c r="BJ255" s="51" t="s">
        <v>77</v>
      </c>
    </row>
    <row r="256" spans="1:62" ht="60.5" x14ac:dyDescent="0.35">
      <c r="A256">
        <v>142283</v>
      </c>
      <c r="B256" s="84">
        <f t="shared" si="60"/>
        <v>167</v>
      </c>
      <c r="C256" s="84">
        <f t="shared" si="61"/>
        <v>170</v>
      </c>
      <c r="E256" s="5">
        <v>106347</v>
      </c>
      <c r="F256" s="19">
        <v>283</v>
      </c>
      <c r="G256" s="19">
        <v>289.5</v>
      </c>
      <c r="H256" s="19">
        <v>264</v>
      </c>
      <c r="I256" s="19">
        <v>299.5</v>
      </c>
      <c r="J256" s="19">
        <v>46</v>
      </c>
      <c r="K256" s="19">
        <v>52.5</v>
      </c>
      <c r="L256" s="19">
        <v>41</v>
      </c>
      <c r="M256" s="19">
        <v>40.5</v>
      </c>
      <c r="N256" s="5">
        <v>106224</v>
      </c>
      <c r="O256">
        <f t="shared" si="62"/>
        <v>381.5</v>
      </c>
      <c r="P256">
        <f t="shared" si="63"/>
        <v>343</v>
      </c>
      <c r="Q256">
        <f t="shared" si="64"/>
        <v>64.5</v>
      </c>
      <c r="R256">
        <f t="shared" si="65"/>
        <v>61</v>
      </c>
      <c r="S256">
        <f t="shared" si="66"/>
        <v>322</v>
      </c>
      <c r="T256">
        <f t="shared" si="67"/>
        <v>312</v>
      </c>
      <c r="U256">
        <f t="shared" si="68"/>
        <v>44</v>
      </c>
      <c r="V256">
        <f t="shared" si="69"/>
        <v>54</v>
      </c>
      <c r="X256" s="5">
        <v>186834</v>
      </c>
      <c r="Y256">
        <f t="shared" si="70"/>
        <v>354</v>
      </c>
      <c r="Z256">
        <f t="shared" si="71"/>
        <v>333</v>
      </c>
      <c r="AA256">
        <f t="shared" si="72"/>
        <v>20</v>
      </c>
      <c r="AB256">
        <f t="shared" si="73"/>
        <v>45</v>
      </c>
      <c r="AC256">
        <f t="shared" si="74"/>
        <v>4090</v>
      </c>
      <c r="AD256">
        <f t="shared" si="75"/>
        <v>3233</v>
      </c>
      <c r="AE256">
        <f t="shared" si="76"/>
        <v>396</v>
      </c>
      <c r="AF256">
        <f t="shared" si="77"/>
        <v>477.5</v>
      </c>
      <c r="AG256" s="5">
        <v>106224</v>
      </c>
      <c r="AH256" s="31">
        <v>381.5</v>
      </c>
      <c r="AI256" s="31">
        <v>343</v>
      </c>
      <c r="AJ256" s="37">
        <v>38.5</v>
      </c>
      <c r="AK256" s="37">
        <v>11.224489795918368</v>
      </c>
      <c r="AL256" s="36">
        <v>64.5</v>
      </c>
      <c r="AM256" s="36">
        <v>61</v>
      </c>
      <c r="AN256" s="37">
        <v>3.5</v>
      </c>
      <c r="AO256" s="37">
        <v>5.7377049180327866</v>
      </c>
      <c r="AP256" s="38">
        <v>4326.5</v>
      </c>
      <c r="AQ256" s="39">
        <v>3438</v>
      </c>
      <c r="AR256" s="37">
        <v>888.5</v>
      </c>
      <c r="AS256" s="37">
        <v>25.843513670738798</v>
      </c>
      <c r="AT256" s="36">
        <v>721.5</v>
      </c>
      <c r="AU256" s="36">
        <v>783</v>
      </c>
      <c r="AV256" s="37">
        <v>-61.5</v>
      </c>
      <c r="AW256" s="37">
        <v>-7.8544061302681989</v>
      </c>
      <c r="AX256" s="5">
        <v>106347</v>
      </c>
      <c r="AY256" t="str">
        <f t="shared" si="78"/>
        <v>KIRTINANAK</v>
      </c>
      <c r="AZ256" t="str">
        <f t="shared" si="79"/>
        <v>Rohini</v>
      </c>
      <c r="BC256" s="5">
        <v>106224</v>
      </c>
      <c r="BD256" s="5" t="s">
        <v>581</v>
      </c>
      <c r="BE256" s="46" t="s">
        <v>677</v>
      </c>
      <c r="BF256" s="13" t="s">
        <v>678</v>
      </c>
      <c r="BG256" s="6" t="s">
        <v>94</v>
      </c>
      <c r="BH256" s="6" t="s">
        <v>511</v>
      </c>
      <c r="BI256" s="12" t="s">
        <v>511</v>
      </c>
      <c r="BJ256" s="51" t="s">
        <v>96</v>
      </c>
    </row>
    <row r="257" spans="1:62" ht="36.5" x14ac:dyDescent="0.35">
      <c r="A257">
        <v>41019268</v>
      </c>
      <c r="B257" s="84">
        <f t="shared" si="60"/>
        <v>324</v>
      </c>
      <c r="C257" s="84">
        <f t="shared" si="61"/>
        <v>381</v>
      </c>
      <c r="E257" s="5">
        <v>102085</v>
      </c>
      <c r="F257" s="19">
        <v>258</v>
      </c>
      <c r="G257" s="19">
        <v>259</v>
      </c>
      <c r="H257" s="19">
        <v>216</v>
      </c>
      <c r="I257" s="19">
        <v>234</v>
      </c>
      <c r="J257" s="19">
        <v>54</v>
      </c>
      <c r="K257" s="19">
        <v>54</v>
      </c>
      <c r="L257" s="19">
        <v>40</v>
      </c>
      <c r="M257" s="19">
        <v>39</v>
      </c>
      <c r="N257" s="5">
        <v>106291</v>
      </c>
      <c r="O257">
        <f t="shared" si="62"/>
        <v>248</v>
      </c>
      <c r="P257">
        <f t="shared" si="63"/>
        <v>256</v>
      </c>
      <c r="Q257">
        <f t="shared" si="64"/>
        <v>64</v>
      </c>
      <c r="R257">
        <f t="shared" si="65"/>
        <v>80</v>
      </c>
      <c r="S257">
        <f t="shared" si="66"/>
        <v>240</v>
      </c>
      <c r="T257">
        <f t="shared" si="67"/>
        <v>223</v>
      </c>
      <c r="U257">
        <f t="shared" si="68"/>
        <v>72</v>
      </c>
      <c r="V257">
        <f t="shared" si="69"/>
        <v>65</v>
      </c>
      <c r="X257" s="9">
        <v>41056984</v>
      </c>
      <c r="Y257">
        <f t="shared" si="70"/>
        <v>402</v>
      </c>
      <c r="Z257">
        <f t="shared" si="71"/>
        <v>353</v>
      </c>
      <c r="AA257">
        <f t="shared" si="72"/>
        <v>30</v>
      </c>
      <c r="AB257">
        <f t="shared" si="73"/>
        <v>30</v>
      </c>
      <c r="AC257">
        <f t="shared" si="74"/>
        <v>4738</v>
      </c>
      <c r="AD257">
        <f t="shared" si="75"/>
        <v>3483.5</v>
      </c>
      <c r="AE257">
        <f t="shared" si="76"/>
        <v>386</v>
      </c>
      <c r="AF257">
        <f t="shared" si="77"/>
        <v>348.5</v>
      </c>
      <c r="AG257" s="5">
        <v>106291</v>
      </c>
      <c r="AH257" s="31">
        <v>248</v>
      </c>
      <c r="AI257" s="31">
        <v>256</v>
      </c>
      <c r="AJ257" s="37">
        <v>-8</v>
      </c>
      <c r="AK257" s="37">
        <v>-3.125</v>
      </c>
      <c r="AL257" s="36">
        <v>64</v>
      </c>
      <c r="AM257" s="36">
        <v>80</v>
      </c>
      <c r="AN257" s="37">
        <v>-16</v>
      </c>
      <c r="AO257" s="37">
        <v>-20</v>
      </c>
      <c r="AP257" s="38">
        <v>3164.5</v>
      </c>
      <c r="AQ257" s="39">
        <v>2551</v>
      </c>
      <c r="AR257" s="37">
        <v>613.5</v>
      </c>
      <c r="AS257" s="37">
        <v>24.049392395139161</v>
      </c>
      <c r="AT257" s="36">
        <v>959.5</v>
      </c>
      <c r="AU257" s="36">
        <v>896</v>
      </c>
      <c r="AV257" s="37">
        <v>63.5</v>
      </c>
      <c r="AW257" s="37">
        <v>7.0870535714285712</v>
      </c>
      <c r="AX257" s="5">
        <v>102085</v>
      </c>
      <c r="AY257" t="str">
        <f t="shared" si="78"/>
        <v>JALVAYU</v>
      </c>
      <c r="AZ257" t="str">
        <f t="shared" si="79"/>
        <v>Rohini</v>
      </c>
      <c r="BC257" s="5">
        <v>106291</v>
      </c>
      <c r="BD257" s="5" t="s">
        <v>581</v>
      </c>
      <c r="BE257" s="46" t="s">
        <v>679</v>
      </c>
      <c r="BF257" s="13" t="s">
        <v>680</v>
      </c>
      <c r="BG257" s="6" t="s">
        <v>89</v>
      </c>
      <c r="BH257" s="6" t="s">
        <v>342</v>
      </c>
      <c r="BI257" s="12" t="s">
        <v>342</v>
      </c>
      <c r="BJ257" s="51" t="s">
        <v>205</v>
      </c>
    </row>
    <row r="258" spans="1:62" ht="48.5" x14ac:dyDescent="0.35">
      <c r="A258">
        <v>106314</v>
      </c>
      <c r="B258" s="84">
        <f t="shared" si="60"/>
        <v>89</v>
      </c>
      <c r="C258" s="84">
        <f t="shared" si="61"/>
        <v>95</v>
      </c>
      <c r="E258" s="5">
        <v>186871</v>
      </c>
      <c r="F258" s="19">
        <v>108</v>
      </c>
      <c r="G258" s="19">
        <v>122</v>
      </c>
      <c r="H258" s="19">
        <v>108</v>
      </c>
      <c r="I258" s="19">
        <v>124.5</v>
      </c>
      <c r="J258" s="19">
        <v>1136</v>
      </c>
      <c r="K258" s="19">
        <v>1151.5</v>
      </c>
      <c r="L258" s="19">
        <v>962</v>
      </c>
      <c r="M258" s="19">
        <v>1048</v>
      </c>
      <c r="N258" s="5">
        <v>106229</v>
      </c>
      <c r="O258">
        <f t="shared" si="62"/>
        <v>390</v>
      </c>
      <c r="P258">
        <f t="shared" si="63"/>
        <v>385</v>
      </c>
      <c r="Q258">
        <f t="shared" si="64"/>
        <v>70</v>
      </c>
      <c r="R258">
        <f t="shared" si="65"/>
        <v>75</v>
      </c>
      <c r="S258">
        <f t="shared" si="66"/>
        <v>340</v>
      </c>
      <c r="T258">
        <f t="shared" si="67"/>
        <v>342.5</v>
      </c>
      <c r="U258">
        <f t="shared" si="68"/>
        <v>60</v>
      </c>
      <c r="V258">
        <f t="shared" si="69"/>
        <v>71.5</v>
      </c>
      <c r="X258" s="9">
        <v>41056522</v>
      </c>
      <c r="Y258">
        <f t="shared" si="70"/>
        <v>207.5</v>
      </c>
      <c r="Z258">
        <f t="shared" si="71"/>
        <v>219.5</v>
      </c>
      <c r="AA258">
        <f t="shared" si="72"/>
        <v>32.5</v>
      </c>
      <c r="AB258">
        <f t="shared" si="73"/>
        <v>46.5</v>
      </c>
      <c r="AC258">
        <f t="shared" si="74"/>
        <v>2574.02</v>
      </c>
      <c r="AD258">
        <f t="shared" si="75"/>
        <v>2226</v>
      </c>
      <c r="AE258">
        <f t="shared" si="76"/>
        <v>427.02499999999998</v>
      </c>
      <c r="AF258">
        <f t="shared" si="77"/>
        <v>527</v>
      </c>
      <c r="AG258" s="5">
        <v>106229</v>
      </c>
      <c r="AH258" s="31">
        <v>390</v>
      </c>
      <c r="AI258" s="31">
        <v>385</v>
      </c>
      <c r="AJ258" s="37">
        <v>5</v>
      </c>
      <c r="AK258" s="37">
        <v>1.2987012987012987</v>
      </c>
      <c r="AL258" s="36">
        <v>70</v>
      </c>
      <c r="AM258" s="36">
        <v>75</v>
      </c>
      <c r="AN258" s="37">
        <v>-5</v>
      </c>
      <c r="AO258" s="37">
        <v>-6.666666666666667</v>
      </c>
      <c r="AP258" s="38">
        <v>4768</v>
      </c>
      <c r="AQ258" s="39">
        <v>3942</v>
      </c>
      <c r="AR258" s="37">
        <v>826</v>
      </c>
      <c r="AS258" s="37">
        <v>20.953830542871639</v>
      </c>
      <c r="AT258" s="36">
        <v>864</v>
      </c>
      <c r="AU258" s="36">
        <v>974.5</v>
      </c>
      <c r="AV258" s="37">
        <v>-110.5</v>
      </c>
      <c r="AW258" s="37">
        <v>-11.33914828116983</v>
      </c>
      <c r="AX258" s="5">
        <v>186871</v>
      </c>
      <c r="AY258" t="str">
        <f t="shared" si="78"/>
        <v>White Patch_SGTNagar</v>
      </c>
      <c r="AZ258" t="str">
        <f t="shared" si="79"/>
        <v>Rohini</v>
      </c>
      <c r="BC258" s="5">
        <v>106229</v>
      </c>
      <c r="BD258" s="5" t="s">
        <v>581</v>
      </c>
      <c r="BE258" s="46" t="s">
        <v>681</v>
      </c>
      <c r="BF258" s="13" t="s">
        <v>682</v>
      </c>
      <c r="BG258" s="6" t="s">
        <v>200</v>
      </c>
      <c r="BH258" s="6" t="s">
        <v>683</v>
      </c>
      <c r="BI258" s="12" t="s">
        <v>683</v>
      </c>
      <c r="BJ258" s="51" t="s">
        <v>248</v>
      </c>
    </row>
    <row r="259" spans="1:62" ht="36.5" x14ac:dyDescent="0.35">
      <c r="A259">
        <v>41037146</v>
      </c>
      <c r="B259" s="84">
        <f t="shared" ref="B259:B322" si="80">VLOOKUP(A259,E$2:G$399,2,FALSE)</f>
        <v>369</v>
      </c>
      <c r="C259" s="84">
        <f t="shared" ref="C259:C322" si="81">VLOOKUP(A259,E$2:G$399,3,FALSE)</f>
        <v>387</v>
      </c>
      <c r="E259" s="7">
        <v>150887</v>
      </c>
      <c r="F259" s="19">
        <v>42</v>
      </c>
      <c r="G259" s="19">
        <v>36</v>
      </c>
      <c r="H259" s="19">
        <v>30</v>
      </c>
      <c r="I259" s="19">
        <v>41</v>
      </c>
      <c r="J259" s="19">
        <v>18</v>
      </c>
      <c r="K259" s="19">
        <v>25</v>
      </c>
      <c r="L259" s="19">
        <v>18</v>
      </c>
      <c r="M259" s="19">
        <v>48</v>
      </c>
      <c r="N259" s="5">
        <v>106231</v>
      </c>
      <c r="O259">
        <f t="shared" ref="O259:O322" si="82">VLOOKUP(N259,E$2:M$399,3,FALSE)</f>
        <v>260</v>
      </c>
      <c r="P259">
        <f t="shared" ref="P259:P322" si="83">VLOOKUP(N259,E$2:M$399,5,FALSE)</f>
        <v>247.5</v>
      </c>
      <c r="Q259">
        <f t="shared" ref="Q259:Q322" si="84">VLOOKUP(N259,E$2:M$399,9,FALSE)</f>
        <v>140</v>
      </c>
      <c r="R259">
        <f t="shared" ref="R259:R322" si="85">VLOOKUP(N259,E$2:M$399,7,FALSE)</f>
        <v>148.5</v>
      </c>
      <c r="S259">
        <f t="shared" ref="S259:S322" si="86">VLOOKUP(N259,E$2:M$399,2,FALSE)</f>
        <v>240</v>
      </c>
      <c r="T259">
        <f t="shared" ref="T259:T322" si="87">VLOOKUP(N259,E$2:M$399,4,FALSE)</f>
        <v>234</v>
      </c>
      <c r="U259">
        <f t="shared" ref="U259:U322" si="88">VLOOKUP(N259,E$2:M$399,8,FALSE)</f>
        <v>160</v>
      </c>
      <c r="V259">
        <f t="shared" ref="V259:V322" si="89">VLOOKUP(N259,E$2:M$399,6,FALSE)</f>
        <v>162</v>
      </c>
      <c r="X259" s="9">
        <v>41019268</v>
      </c>
      <c r="Y259">
        <f t="shared" ref="Y259:Y322" si="90">VLOOKUP(X259,AG$2:AI$398,2,FALSE)</f>
        <v>381</v>
      </c>
      <c r="Z259">
        <f t="shared" ref="Z259:Z322" si="91">VLOOKUP(X259,AG$2:AI$398,3,FALSE)</f>
        <v>291</v>
      </c>
      <c r="AA259">
        <f t="shared" ref="AA259:AA322" si="92">VLOOKUP(X259,AG$2:AM$398,6,FALSE)</f>
        <v>37</v>
      </c>
      <c r="AB259">
        <f t="shared" ref="AB259:AB322" si="93">VLOOKUP(X259,AG$2:AM$398,7,FALSE)</f>
        <v>29</v>
      </c>
      <c r="AC259">
        <f t="shared" ref="AC259:AC322" si="94">VLOOKUP(X259,AG$2:AU$398,10,FALSE)</f>
        <v>3985.5</v>
      </c>
      <c r="AD259">
        <f t="shared" ref="AD259:AD322" si="95">VLOOKUP(X259,AG$2:AU$398,11,FALSE)</f>
        <v>2939.5</v>
      </c>
      <c r="AE259">
        <f t="shared" ref="AE259:AE322" si="96">VLOOKUP(X259,AG$2:AU$398,14,FALSE)</f>
        <v>346.5</v>
      </c>
      <c r="AF259">
        <f t="shared" ref="AF259:AF322" si="97">VLOOKUP(X259,AG$2:AU$398,15,FALSE)</f>
        <v>331.5</v>
      </c>
      <c r="AG259" s="5">
        <v>106231</v>
      </c>
      <c r="AH259" s="31">
        <v>260</v>
      </c>
      <c r="AI259" s="31">
        <v>247.5</v>
      </c>
      <c r="AJ259" s="37">
        <v>12.5</v>
      </c>
      <c r="AK259" s="37">
        <v>5.0505050505050502</v>
      </c>
      <c r="AL259" s="36">
        <v>140</v>
      </c>
      <c r="AM259" s="36">
        <v>148.5</v>
      </c>
      <c r="AN259" s="37">
        <v>-8.5</v>
      </c>
      <c r="AO259" s="37">
        <v>-5.7239057239057241</v>
      </c>
      <c r="AP259" s="38">
        <v>3130</v>
      </c>
      <c r="AQ259" s="39">
        <v>2601</v>
      </c>
      <c r="AR259" s="37">
        <v>529</v>
      </c>
      <c r="AS259" s="37">
        <v>20.338331410995771</v>
      </c>
      <c r="AT259" s="36">
        <v>1782</v>
      </c>
      <c r="AU259" s="36">
        <v>2011.5</v>
      </c>
      <c r="AV259" s="37">
        <v>-229.5</v>
      </c>
      <c r="AW259" s="37">
        <v>-11.409395973154362</v>
      </c>
      <c r="AX259" s="7">
        <v>150887</v>
      </c>
      <c r="AY259" t="str">
        <f t="shared" ref="AY259:AY322" si="98">VLOOKUP(AX259,BC$2:BJ$398,6,FALSE)</f>
        <v>BHAGWATI_GREENHRT_TRIYAMJIT</v>
      </c>
      <c r="AZ259" t="str">
        <f t="shared" ref="AZ259:AZ322" si="99">VLOOKUP(AX259,BC$2:BJ$398,8,FALSE)</f>
        <v>Narela- Bawana</v>
      </c>
      <c r="BC259" s="5">
        <v>106231</v>
      </c>
      <c r="BD259" s="5" t="s">
        <v>581</v>
      </c>
      <c r="BE259" s="46" t="s">
        <v>684</v>
      </c>
      <c r="BF259" s="13" t="s">
        <v>685</v>
      </c>
      <c r="BG259" s="6" t="s">
        <v>111</v>
      </c>
      <c r="BH259" s="6" t="s">
        <v>112</v>
      </c>
      <c r="BI259" s="12" t="s">
        <v>112</v>
      </c>
      <c r="BJ259" s="51" t="s">
        <v>113</v>
      </c>
    </row>
    <row r="260" spans="1:62" ht="36.5" x14ac:dyDescent="0.35">
      <c r="A260">
        <v>186861</v>
      </c>
      <c r="B260" s="84">
        <f t="shared" si="80"/>
        <v>144</v>
      </c>
      <c r="C260" s="84">
        <f t="shared" si="81"/>
        <v>152</v>
      </c>
      <c r="E260" s="5">
        <v>106364</v>
      </c>
      <c r="F260" s="19">
        <v>364</v>
      </c>
      <c r="G260" s="19">
        <v>403</v>
      </c>
      <c r="H260" s="19">
        <v>328</v>
      </c>
      <c r="I260" s="19">
        <v>410.5</v>
      </c>
      <c r="J260" s="19">
        <v>42</v>
      </c>
      <c r="K260" s="19">
        <v>57.5</v>
      </c>
      <c r="L260" s="19">
        <v>48</v>
      </c>
      <c r="M260" s="19">
        <v>51</v>
      </c>
      <c r="N260" s="5">
        <v>106344</v>
      </c>
      <c r="O260">
        <f t="shared" si="82"/>
        <v>831.5</v>
      </c>
      <c r="P260">
        <f t="shared" si="83"/>
        <v>729.5</v>
      </c>
      <c r="Q260">
        <f t="shared" si="84"/>
        <v>222.5</v>
      </c>
      <c r="R260">
        <f t="shared" si="85"/>
        <v>134.5</v>
      </c>
      <c r="S260">
        <f t="shared" si="86"/>
        <v>725</v>
      </c>
      <c r="T260">
        <f t="shared" si="87"/>
        <v>676.5</v>
      </c>
      <c r="U260">
        <f t="shared" si="88"/>
        <v>163</v>
      </c>
      <c r="V260">
        <f t="shared" si="89"/>
        <v>157.5</v>
      </c>
      <c r="X260" s="3">
        <v>112455</v>
      </c>
      <c r="Y260">
        <f t="shared" si="90"/>
        <v>103</v>
      </c>
      <c r="Z260">
        <f t="shared" si="91"/>
        <v>96</v>
      </c>
      <c r="AA260">
        <f t="shared" si="92"/>
        <v>9</v>
      </c>
      <c r="AB260">
        <f t="shared" si="93"/>
        <v>16</v>
      </c>
      <c r="AC260">
        <f t="shared" si="94"/>
        <v>1201</v>
      </c>
      <c r="AD260">
        <f t="shared" si="95"/>
        <v>989</v>
      </c>
      <c r="AE260">
        <f t="shared" si="96"/>
        <v>185</v>
      </c>
      <c r="AF260">
        <f t="shared" si="97"/>
        <v>209</v>
      </c>
      <c r="AG260" s="5">
        <v>106344</v>
      </c>
      <c r="AH260" s="31">
        <v>831.5</v>
      </c>
      <c r="AI260" s="31">
        <v>729.5</v>
      </c>
      <c r="AJ260" s="37">
        <v>102</v>
      </c>
      <c r="AK260" s="37">
        <v>13.982179575051404</v>
      </c>
      <c r="AL260" s="36">
        <v>222.5</v>
      </c>
      <c r="AM260" s="36">
        <v>134.5</v>
      </c>
      <c r="AN260" s="37">
        <v>88</v>
      </c>
      <c r="AO260" s="37">
        <v>65.427509293680302</v>
      </c>
      <c r="AP260" s="38">
        <v>9021.5</v>
      </c>
      <c r="AQ260" s="39">
        <v>7136.5</v>
      </c>
      <c r="AR260" s="37">
        <v>1885</v>
      </c>
      <c r="AS260" s="37">
        <v>26.413508022139702</v>
      </c>
      <c r="AT260" s="36">
        <v>1872.5</v>
      </c>
      <c r="AU260" s="36">
        <v>1929.5</v>
      </c>
      <c r="AV260" s="37">
        <v>-57</v>
      </c>
      <c r="AW260" s="37">
        <v>-2.9541331951282714</v>
      </c>
      <c r="AX260" s="5">
        <v>106364</v>
      </c>
      <c r="AY260" t="str">
        <f t="shared" si="98"/>
        <v>SHIV SS</v>
      </c>
      <c r="AZ260" t="str">
        <f t="shared" si="99"/>
        <v>Dwarka</v>
      </c>
      <c r="BC260" s="5">
        <v>106344</v>
      </c>
      <c r="BD260" s="5" t="s">
        <v>581</v>
      </c>
      <c r="BE260" s="46" t="s">
        <v>686</v>
      </c>
      <c r="BF260" s="13" t="s">
        <v>687</v>
      </c>
      <c r="BG260" s="6" t="s">
        <v>89</v>
      </c>
      <c r="BH260" s="6" t="s">
        <v>538</v>
      </c>
      <c r="BI260" s="12" t="s">
        <v>345</v>
      </c>
      <c r="BJ260" s="51" t="s">
        <v>205</v>
      </c>
    </row>
    <row r="261" spans="1:62" ht="48.5" x14ac:dyDescent="0.35">
      <c r="A261">
        <v>106315</v>
      </c>
      <c r="B261" s="84">
        <f t="shared" si="80"/>
        <v>180</v>
      </c>
      <c r="C261" s="84">
        <f t="shared" si="81"/>
        <v>171</v>
      </c>
      <c r="E261" s="5">
        <v>102111</v>
      </c>
      <c r="F261" s="19">
        <v>57.5</v>
      </c>
      <c r="G261" s="19">
        <v>50</v>
      </c>
      <c r="H261" s="19">
        <v>35</v>
      </c>
      <c r="I261" s="19">
        <v>60</v>
      </c>
      <c r="J261" s="19">
        <v>85</v>
      </c>
      <c r="K261" s="19">
        <v>80</v>
      </c>
      <c r="L261" s="19">
        <v>104.5</v>
      </c>
      <c r="M261" s="19">
        <v>90</v>
      </c>
      <c r="N261" s="5">
        <v>106259</v>
      </c>
      <c r="O261">
        <f t="shared" si="82"/>
        <v>175</v>
      </c>
      <c r="P261">
        <f t="shared" si="83"/>
        <v>185.5</v>
      </c>
      <c r="Q261">
        <f t="shared" si="84"/>
        <v>17</v>
      </c>
      <c r="R261">
        <f t="shared" si="85"/>
        <v>52.5</v>
      </c>
      <c r="S261">
        <f t="shared" si="86"/>
        <v>174.5</v>
      </c>
      <c r="T261">
        <f t="shared" si="87"/>
        <v>173.5</v>
      </c>
      <c r="U261">
        <f t="shared" si="88"/>
        <v>17.5</v>
      </c>
      <c r="V261">
        <f t="shared" si="89"/>
        <v>38.5</v>
      </c>
      <c r="X261" s="5">
        <v>205875</v>
      </c>
      <c r="Y261">
        <f t="shared" si="90"/>
        <v>248</v>
      </c>
      <c r="Z261">
        <f t="shared" si="91"/>
        <v>191</v>
      </c>
      <c r="AA261">
        <f t="shared" si="92"/>
        <v>36</v>
      </c>
      <c r="AB261">
        <f t="shared" si="93"/>
        <v>29</v>
      </c>
      <c r="AC261">
        <f t="shared" si="94"/>
        <v>2669.5</v>
      </c>
      <c r="AD261">
        <f t="shared" si="95"/>
        <v>1955</v>
      </c>
      <c r="AE261">
        <f t="shared" si="96"/>
        <v>396.5</v>
      </c>
      <c r="AF261">
        <f t="shared" si="97"/>
        <v>398.5</v>
      </c>
      <c r="AG261" s="5">
        <v>106259</v>
      </c>
      <c r="AH261" s="31">
        <v>175</v>
      </c>
      <c r="AI261" s="31">
        <v>185.5</v>
      </c>
      <c r="AJ261" s="37">
        <v>-10.5</v>
      </c>
      <c r="AK261" s="37">
        <v>-5.6603773584905666</v>
      </c>
      <c r="AL261" s="36">
        <v>17</v>
      </c>
      <c r="AM261" s="36">
        <v>52.5</v>
      </c>
      <c r="AN261" s="37">
        <v>-35.5</v>
      </c>
      <c r="AO261" s="37">
        <v>-67.61904761904762</v>
      </c>
      <c r="AP261" s="38">
        <v>2321</v>
      </c>
      <c r="AQ261" s="39">
        <v>2020.5</v>
      </c>
      <c r="AR261" s="37">
        <v>300.5</v>
      </c>
      <c r="AS261" s="37">
        <v>14.872556297946051</v>
      </c>
      <c r="AT261" s="36">
        <v>369</v>
      </c>
      <c r="AU261" s="36">
        <v>510.5</v>
      </c>
      <c r="AV261" s="37">
        <v>-141.5</v>
      </c>
      <c r="AW261" s="37">
        <v>-27.717923604309501</v>
      </c>
      <c r="AX261" s="5">
        <v>102111</v>
      </c>
      <c r="AY261" t="str">
        <f t="shared" si="98"/>
        <v>KANWAR</v>
      </c>
      <c r="AZ261" t="str">
        <f t="shared" si="99"/>
        <v>Old GT Road (NH1)</v>
      </c>
      <c r="BC261" s="5">
        <v>106259</v>
      </c>
      <c r="BD261" s="5" t="s">
        <v>581</v>
      </c>
      <c r="BE261" s="46" t="s">
        <v>688</v>
      </c>
      <c r="BF261" s="13" t="s">
        <v>689</v>
      </c>
      <c r="BG261" s="6" t="s">
        <v>89</v>
      </c>
      <c r="BH261" s="6" t="s">
        <v>342</v>
      </c>
      <c r="BI261" s="12" t="s">
        <v>538</v>
      </c>
      <c r="BJ261" s="51" t="s">
        <v>120</v>
      </c>
    </row>
    <row r="262" spans="1:62" ht="60.5" x14ac:dyDescent="0.35">
      <c r="A262">
        <v>186830</v>
      </c>
      <c r="B262" s="84">
        <f t="shared" si="80"/>
        <v>82</v>
      </c>
      <c r="C262" s="84">
        <f t="shared" si="81"/>
        <v>99</v>
      </c>
      <c r="E262" s="5">
        <v>102116</v>
      </c>
      <c r="F262" s="19">
        <v>216</v>
      </c>
      <c r="G262" s="19">
        <v>252</v>
      </c>
      <c r="H262" s="19">
        <v>196</v>
      </c>
      <c r="I262" s="19">
        <v>232</v>
      </c>
      <c r="J262" s="19">
        <v>92</v>
      </c>
      <c r="K262" s="19">
        <v>104</v>
      </c>
      <c r="L262" s="19">
        <v>84</v>
      </c>
      <c r="M262" s="19">
        <v>108</v>
      </c>
      <c r="N262" s="5">
        <v>252146</v>
      </c>
      <c r="O262">
        <f t="shared" si="82"/>
        <v>52</v>
      </c>
      <c r="P262">
        <f t="shared" si="83"/>
        <v>45.5</v>
      </c>
      <c r="Q262">
        <f t="shared" si="84"/>
        <v>13</v>
      </c>
      <c r="R262">
        <f t="shared" si="85"/>
        <v>16</v>
      </c>
      <c r="S262">
        <f t="shared" si="86"/>
        <v>49</v>
      </c>
      <c r="T262">
        <f t="shared" si="87"/>
        <v>33</v>
      </c>
      <c r="U262">
        <f t="shared" si="88"/>
        <v>16</v>
      </c>
      <c r="V262">
        <f t="shared" si="89"/>
        <v>12</v>
      </c>
      <c r="X262" s="5">
        <v>186863</v>
      </c>
      <c r="Y262">
        <f t="shared" si="90"/>
        <v>188.5</v>
      </c>
      <c r="Z262">
        <f t="shared" si="91"/>
        <v>138</v>
      </c>
      <c r="AA262">
        <f t="shared" si="92"/>
        <v>35.5</v>
      </c>
      <c r="AB262">
        <f t="shared" si="93"/>
        <v>36</v>
      </c>
      <c r="AC262">
        <f t="shared" si="94"/>
        <v>2034</v>
      </c>
      <c r="AD262">
        <f t="shared" si="95"/>
        <v>2191.5</v>
      </c>
      <c r="AE262">
        <f t="shared" si="96"/>
        <v>416</v>
      </c>
      <c r="AF262">
        <f t="shared" si="97"/>
        <v>537</v>
      </c>
      <c r="AG262" s="5">
        <v>252146</v>
      </c>
      <c r="AH262" s="31">
        <v>52</v>
      </c>
      <c r="AI262" s="31">
        <v>45.5</v>
      </c>
      <c r="AJ262" s="37">
        <v>6.5</v>
      </c>
      <c r="AK262" s="37">
        <v>14.285714285714285</v>
      </c>
      <c r="AL262" s="36">
        <v>13</v>
      </c>
      <c r="AM262" s="36">
        <v>16</v>
      </c>
      <c r="AN262" s="37">
        <v>-3</v>
      </c>
      <c r="AO262" s="37">
        <v>-18.75</v>
      </c>
      <c r="AP262" s="38">
        <v>586</v>
      </c>
      <c r="AQ262" s="39">
        <v>445.5</v>
      </c>
      <c r="AR262" s="37">
        <v>140.5</v>
      </c>
      <c r="AS262" s="37">
        <v>31.537598204264871</v>
      </c>
      <c r="AT262" s="36">
        <v>181.5</v>
      </c>
      <c r="AU262" s="36">
        <v>201.5</v>
      </c>
      <c r="AV262" s="37">
        <v>-20</v>
      </c>
      <c r="AW262" s="37">
        <v>-9.9255583126550881</v>
      </c>
      <c r="AX262" s="5">
        <v>102116</v>
      </c>
      <c r="AY262" t="str">
        <f t="shared" si="98"/>
        <v>ROYAL</v>
      </c>
      <c r="AZ262" t="str">
        <f t="shared" si="99"/>
        <v>Narela- Bawana</v>
      </c>
      <c r="BC262" s="5">
        <v>252146</v>
      </c>
      <c r="BD262" s="5" t="s">
        <v>581</v>
      </c>
      <c r="BE262" s="46" t="s">
        <v>690</v>
      </c>
      <c r="BF262" s="13" t="s">
        <v>659</v>
      </c>
      <c r="BG262" s="6" t="s">
        <v>103</v>
      </c>
      <c r="BH262" s="6" t="s">
        <v>208</v>
      </c>
      <c r="BI262" s="12" t="s">
        <v>208</v>
      </c>
      <c r="BJ262" s="51" t="s">
        <v>105</v>
      </c>
    </row>
    <row r="263" spans="1:62" ht="60.5" x14ac:dyDescent="0.35">
      <c r="A263">
        <v>112436</v>
      </c>
      <c r="B263" s="84">
        <f t="shared" si="80"/>
        <v>554</v>
      </c>
      <c r="C263" s="84">
        <f t="shared" si="81"/>
        <v>569</v>
      </c>
      <c r="E263" s="5">
        <v>254694</v>
      </c>
      <c r="F263" s="19">
        <v>88</v>
      </c>
      <c r="G263" s="19">
        <v>101</v>
      </c>
      <c r="H263" s="19">
        <v>84.5</v>
      </c>
      <c r="I263" s="19">
        <v>100</v>
      </c>
      <c r="J263" s="19">
        <v>65.5</v>
      </c>
      <c r="K263" s="19">
        <v>56</v>
      </c>
      <c r="L263" s="19">
        <v>56</v>
      </c>
      <c r="M263" s="19">
        <v>73</v>
      </c>
      <c r="N263" s="5">
        <v>190056</v>
      </c>
      <c r="O263">
        <f t="shared" si="82"/>
        <v>126.5</v>
      </c>
      <c r="P263">
        <f t="shared" si="83"/>
        <v>174</v>
      </c>
      <c r="Q263">
        <f t="shared" si="84"/>
        <v>39.5</v>
      </c>
      <c r="R263">
        <f t="shared" si="85"/>
        <v>68</v>
      </c>
      <c r="S263">
        <f t="shared" si="86"/>
        <v>149.5</v>
      </c>
      <c r="T263">
        <f t="shared" si="87"/>
        <v>158</v>
      </c>
      <c r="U263">
        <f t="shared" si="88"/>
        <v>36.5</v>
      </c>
      <c r="V263">
        <f t="shared" si="89"/>
        <v>54</v>
      </c>
      <c r="X263" s="5">
        <v>274208</v>
      </c>
      <c r="Y263">
        <f t="shared" si="90"/>
        <v>360</v>
      </c>
      <c r="Z263">
        <f t="shared" si="91"/>
        <v>436.5</v>
      </c>
      <c r="AA263">
        <f t="shared" si="92"/>
        <v>36</v>
      </c>
      <c r="AB263">
        <f t="shared" si="93"/>
        <v>31.5</v>
      </c>
      <c r="AC263">
        <f t="shared" si="94"/>
        <v>4958.5</v>
      </c>
      <c r="AD263">
        <f t="shared" si="95"/>
        <v>4369.5</v>
      </c>
      <c r="AE263">
        <f t="shared" si="96"/>
        <v>409.5</v>
      </c>
      <c r="AF263">
        <f t="shared" si="97"/>
        <v>463.5</v>
      </c>
      <c r="AG263" s="5">
        <v>190056</v>
      </c>
      <c r="AH263" s="31">
        <v>126.5</v>
      </c>
      <c r="AI263" s="31">
        <v>174</v>
      </c>
      <c r="AJ263" s="37">
        <v>-47.5</v>
      </c>
      <c r="AK263" s="37">
        <v>-27.298850574712645</v>
      </c>
      <c r="AL263" s="36">
        <v>39.5</v>
      </c>
      <c r="AM263" s="36">
        <v>68</v>
      </c>
      <c r="AN263" s="37">
        <v>-28.5</v>
      </c>
      <c r="AO263" s="37">
        <v>-41.911764705882355</v>
      </c>
      <c r="AP263" s="38">
        <v>1956</v>
      </c>
      <c r="AQ263" s="39">
        <v>1661</v>
      </c>
      <c r="AR263" s="37">
        <v>295</v>
      </c>
      <c r="AS263" s="37">
        <v>17.760385310054183</v>
      </c>
      <c r="AT263" s="36">
        <v>572</v>
      </c>
      <c r="AU263" s="36">
        <v>765</v>
      </c>
      <c r="AV263" s="37">
        <v>-193</v>
      </c>
      <c r="AW263" s="37">
        <v>-25.22875816993464</v>
      </c>
      <c r="AX263" s="5">
        <v>254694</v>
      </c>
      <c r="AY263" t="str">
        <f t="shared" si="98"/>
        <v>BHAGWATI_GREENHRT_TRIYAMJIT</v>
      </c>
      <c r="AZ263" t="str">
        <f t="shared" si="99"/>
        <v>Narela- Bawana</v>
      </c>
      <c r="BC263" s="5">
        <v>190056</v>
      </c>
      <c r="BD263" s="5" t="s">
        <v>581</v>
      </c>
      <c r="BE263" s="46" t="s">
        <v>691</v>
      </c>
      <c r="BF263" s="13" t="s">
        <v>692</v>
      </c>
      <c r="BG263" s="6" t="s">
        <v>81</v>
      </c>
      <c r="BH263" s="6" t="s">
        <v>693</v>
      </c>
      <c r="BI263" s="12" t="s">
        <v>693</v>
      </c>
      <c r="BJ263" s="51" t="s">
        <v>135</v>
      </c>
    </row>
    <row r="264" spans="1:62" ht="48.5" x14ac:dyDescent="0.35">
      <c r="A264">
        <v>196392</v>
      </c>
      <c r="B264" s="84">
        <f t="shared" si="80"/>
        <v>125</v>
      </c>
      <c r="C264" s="84">
        <f t="shared" si="81"/>
        <v>138.5</v>
      </c>
      <c r="E264" s="5">
        <v>106265</v>
      </c>
      <c r="F264" s="19">
        <v>227.5</v>
      </c>
      <c r="G264" s="19">
        <v>261.5</v>
      </c>
      <c r="H264" s="19">
        <v>208</v>
      </c>
      <c r="I264" s="19">
        <v>230</v>
      </c>
      <c r="J264" s="19">
        <v>44</v>
      </c>
      <c r="K264" s="19">
        <v>48</v>
      </c>
      <c r="L264" s="19">
        <v>48.5</v>
      </c>
      <c r="M264" s="19">
        <v>56.5</v>
      </c>
      <c r="N264" s="5">
        <v>231764</v>
      </c>
      <c r="O264">
        <f t="shared" si="82"/>
        <v>188</v>
      </c>
      <c r="P264">
        <f t="shared" si="83"/>
        <v>204</v>
      </c>
      <c r="Q264">
        <f t="shared" si="84"/>
        <v>218</v>
      </c>
      <c r="R264">
        <f t="shared" si="85"/>
        <v>120</v>
      </c>
      <c r="S264">
        <f t="shared" si="86"/>
        <v>182</v>
      </c>
      <c r="T264">
        <f t="shared" si="87"/>
        <v>178</v>
      </c>
      <c r="U264">
        <f t="shared" si="88"/>
        <v>182</v>
      </c>
      <c r="V264">
        <f t="shared" si="89"/>
        <v>118</v>
      </c>
      <c r="X264" s="3">
        <v>198868</v>
      </c>
      <c r="Y264">
        <f t="shared" si="90"/>
        <v>108</v>
      </c>
      <c r="Z264">
        <f t="shared" si="91"/>
        <v>96</v>
      </c>
      <c r="AA264">
        <f t="shared" si="92"/>
        <v>306</v>
      </c>
      <c r="AB264">
        <f t="shared" si="93"/>
        <v>212</v>
      </c>
      <c r="AC264">
        <f t="shared" si="94"/>
        <v>1315</v>
      </c>
      <c r="AD264">
        <f t="shared" si="95"/>
        <v>953</v>
      </c>
      <c r="AE264">
        <f t="shared" si="96"/>
        <v>2337</v>
      </c>
      <c r="AF264">
        <f t="shared" si="97"/>
        <v>3010</v>
      </c>
      <c r="AG264" s="5">
        <v>231764</v>
      </c>
      <c r="AH264" s="31">
        <v>188</v>
      </c>
      <c r="AI264" s="31">
        <v>204</v>
      </c>
      <c r="AJ264" s="37">
        <v>-16</v>
      </c>
      <c r="AK264" s="37">
        <v>-7.8431372549019605</v>
      </c>
      <c r="AL264" s="36">
        <v>218</v>
      </c>
      <c r="AM264" s="36">
        <v>120</v>
      </c>
      <c r="AN264" s="37">
        <v>98</v>
      </c>
      <c r="AO264" s="37">
        <v>81.666666666666671</v>
      </c>
      <c r="AP264" s="38">
        <v>2469.5</v>
      </c>
      <c r="AQ264" s="39">
        <v>1903</v>
      </c>
      <c r="AR264" s="37">
        <v>566.5</v>
      </c>
      <c r="AS264" s="37">
        <v>29.76878612716763</v>
      </c>
      <c r="AT264" s="36">
        <v>2154.5</v>
      </c>
      <c r="AU264" s="36">
        <v>1645</v>
      </c>
      <c r="AV264" s="37">
        <v>509.5</v>
      </c>
      <c r="AW264" s="37">
        <v>30.972644376899694</v>
      </c>
      <c r="AX264" s="5">
        <v>106265</v>
      </c>
      <c r="AY264" t="str">
        <f t="shared" si="98"/>
        <v>ROYAL</v>
      </c>
      <c r="AZ264" t="str">
        <f t="shared" si="99"/>
        <v>Narela- Bawana</v>
      </c>
      <c r="BC264" s="5">
        <v>231764</v>
      </c>
      <c r="BD264" s="5" t="s">
        <v>581</v>
      </c>
      <c r="BE264" s="46" t="s">
        <v>694</v>
      </c>
      <c r="BF264" s="13" t="s">
        <v>391</v>
      </c>
      <c r="BG264" s="6" t="s">
        <v>89</v>
      </c>
      <c r="BH264" s="6" t="s">
        <v>395</v>
      </c>
      <c r="BI264" s="12" t="s">
        <v>395</v>
      </c>
      <c r="BJ264" s="51" t="s">
        <v>248</v>
      </c>
    </row>
    <row r="265" spans="1:62" ht="36.5" x14ac:dyDescent="0.35">
      <c r="A265">
        <v>41056817</v>
      </c>
      <c r="B265" s="84">
        <f t="shared" si="80"/>
        <v>275</v>
      </c>
      <c r="C265" s="84">
        <f t="shared" si="81"/>
        <v>309</v>
      </c>
      <c r="E265" s="5">
        <v>305307</v>
      </c>
      <c r="F265" s="19">
        <v>263</v>
      </c>
      <c r="G265" s="19">
        <v>294</v>
      </c>
      <c r="H265" s="19">
        <v>245.5</v>
      </c>
      <c r="I265" s="19">
        <v>279</v>
      </c>
      <c r="J265" s="19">
        <v>92.5</v>
      </c>
      <c r="K265" s="19">
        <v>103</v>
      </c>
      <c r="L265" s="19">
        <v>59</v>
      </c>
      <c r="M265" s="19">
        <v>88</v>
      </c>
      <c r="N265" s="5">
        <v>102116</v>
      </c>
      <c r="O265">
        <f t="shared" si="82"/>
        <v>252</v>
      </c>
      <c r="P265">
        <f t="shared" si="83"/>
        <v>232</v>
      </c>
      <c r="Q265">
        <f t="shared" si="84"/>
        <v>108</v>
      </c>
      <c r="R265">
        <f t="shared" si="85"/>
        <v>104</v>
      </c>
      <c r="S265">
        <f t="shared" si="86"/>
        <v>216</v>
      </c>
      <c r="T265">
        <f t="shared" si="87"/>
        <v>196</v>
      </c>
      <c r="U265">
        <f t="shared" si="88"/>
        <v>84</v>
      </c>
      <c r="V265">
        <f t="shared" si="89"/>
        <v>92</v>
      </c>
      <c r="X265" s="9">
        <v>41019288</v>
      </c>
      <c r="Y265">
        <f t="shared" si="90"/>
        <v>266</v>
      </c>
      <c r="Z265">
        <f t="shared" si="91"/>
        <v>243</v>
      </c>
      <c r="AA265">
        <f t="shared" si="92"/>
        <v>20</v>
      </c>
      <c r="AB265">
        <f t="shared" si="93"/>
        <v>21</v>
      </c>
      <c r="AC265">
        <f t="shared" si="94"/>
        <v>3089.5</v>
      </c>
      <c r="AD265">
        <f t="shared" si="95"/>
        <v>2426</v>
      </c>
      <c r="AE265">
        <f t="shared" si="96"/>
        <v>278.5</v>
      </c>
      <c r="AF265">
        <f t="shared" si="97"/>
        <v>306</v>
      </c>
      <c r="AG265" s="5">
        <v>102116</v>
      </c>
      <c r="AH265" s="31">
        <v>252</v>
      </c>
      <c r="AI265" s="31">
        <v>232</v>
      </c>
      <c r="AJ265" s="37">
        <v>20</v>
      </c>
      <c r="AK265" s="37">
        <v>8.6206896551724146</v>
      </c>
      <c r="AL265" s="36">
        <v>108</v>
      </c>
      <c r="AM265" s="36">
        <v>104</v>
      </c>
      <c r="AN265" s="37">
        <v>4</v>
      </c>
      <c r="AO265" s="37">
        <v>3.8461538461538463</v>
      </c>
      <c r="AP265" s="38">
        <v>2868</v>
      </c>
      <c r="AQ265" s="39">
        <v>2386</v>
      </c>
      <c r="AR265" s="37">
        <v>482</v>
      </c>
      <c r="AS265" s="37">
        <v>20.201173512154234</v>
      </c>
      <c r="AT265" s="36">
        <v>1164</v>
      </c>
      <c r="AU265" s="36">
        <v>1266</v>
      </c>
      <c r="AV265" s="37">
        <v>-102</v>
      </c>
      <c r="AW265" s="37">
        <v>-8.0568720379146921</v>
      </c>
      <c r="AX265" s="5">
        <v>305307</v>
      </c>
      <c r="AY265" t="str">
        <f t="shared" si="98"/>
        <v>White Patch- Mayapuri</v>
      </c>
      <c r="AZ265" t="str">
        <f t="shared" si="99"/>
        <v>Punjabi Bagh</v>
      </c>
      <c r="BC265" s="5">
        <v>102116</v>
      </c>
      <c r="BD265" s="5" t="s">
        <v>581</v>
      </c>
      <c r="BE265" s="46" t="s">
        <v>695</v>
      </c>
      <c r="BF265" s="13" t="s">
        <v>669</v>
      </c>
      <c r="BG265" s="6" t="s">
        <v>200</v>
      </c>
      <c r="BH265" s="6" t="s">
        <v>670</v>
      </c>
      <c r="BI265" s="12" t="s">
        <v>670</v>
      </c>
      <c r="BJ265" s="51" t="s">
        <v>91</v>
      </c>
    </row>
    <row r="266" spans="1:62" ht="36.5" x14ac:dyDescent="0.35">
      <c r="A266">
        <v>41056499</v>
      </c>
      <c r="B266" s="84">
        <f t="shared" si="80"/>
        <v>220</v>
      </c>
      <c r="C266" s="84">
        <f t="shared" si="81"/>
        <v>242</v>
      </c>
      <c r="E266" s="5">
        <v>106310</v>
      </c>
      <c r="F266" s="19">
        <v>177</v>
      </c>
      <c r="G266" s="19">
        <v>209.5</v>
      </c>
      <c r="H266" s="19">
        <v>169.5</v>
      </c>
      <c r="I266" s="19">
        <v>191</v>
      </c>
      <c r="J266" s="19">
        <v>40.5</v>
      </c>
      <c r="K266" s="19">
        <v>49</v>
      </c>
      <c r="L266" s="19">
        <v>33</v>
      </c>
      <c r="M266" s="19">
        <v>36.5</v>
      </c>
      <c r="N266" s="5">
        <v>186836</v>
      </c>
      <c r="O266">
        <f t="shared" si="82"/>
        <v>151.5</v>
      </c>
      <c r="P266">
        <f t="shared" si="83"/>
        <v>156</v>
      </c>
      <c r="Q266">
        <f t="shared" si="84"/>
        <v>166.5</v>
      </c>
      <c r="R266">
        <f t="shared" si="85"/>
        <v>160</v>
      </c>
      <c r="S266">
        <f t="shared" si="86"/>
        <v>159.5</v>
      </c>
      <c r="T266">
        <f t="shared" si="87"/>
        <v>140.5</v>
      </c>
      <c r="U266">
        <f t="shared" si="88"/>
        <v>176.5</v>
      </c>
      <c r="V266">
        <f t="shared" si="89"/>
        <v>131.5</v>
      </c>
      <c r="X266" s="9">
        <v>41027027</v>
      </c>
      <c r="Y266">
        <f t="shared" si="90"/>
        <v>162</v>
      </c>
      <c r="Z266">
        <f t="shared" si="91"/>
        <v>227.5</v>
      </c>
      <c r="AA266">
        <f t="shared" si="92"/>
        <v>18</v>
      </c>
      <c r="AB266">
        <f t="shared" si="93"/>
        <v>33.5</v>
      </c>
      <c r="AC266">
        <f t="shared" si="94"/>
        <v>2693.5</v>
      </c>
      <c r="AD266">
        <f t="shared" si="95"/>
        <v>2212</v>
      </c>
      <c r="AE266">
        <f t="shared" si="96"/>
        <v>328.5</v>
      </c>
      <c r="AF266">
        <f t="shared" si="97"/>
        <v>341.5</v>
      </c>
      <c r="AG266" s="5">
        <v>186836</v>
      </c>
      <c r="AH266" s="31">
        <v>151.5</v>
      </c>
      <c r="AI266" s="31">
        <v>156</v>
      </c>
      <c r="AJ266" s="37">
        <v>-4.5</v>
      </c>
      <c r="AK266" s="37">
        <v>-2.8846153846153846</v>
      </c>
      <c r="AL266" s="36">
        <v>166.5</v>
      </c>
      <c r="AM266" s="36">
        <v>160</v>
      </c>
      <c r="AN266" s="37">
        <v>6.5</v>
      </c>
      <c r="AO266" s="37">
        <v>4.0625</v>
      </c>
      <c r="AP266" s="38">
        <v>1994</v>
      </c>
      <c r="AQ266" s="39">
        <v>1476.5</v>
      </c>
      <c r="AR266" s="37">
        <v>517.5</v>
      </c>
      <c r="AS266" s="37">
        <v>35.049102607517781</v>
      </c>
      <c r="AT266" s="36">
        <v>2018</v>
      </c>
      <c r="AU266" s="36">
        <v>1965</v>
      </c>
      <c r="AV266" s="37">
        <v>53</v>
      </c>
      <c r="AW266" s="37">
        <v>2.6972010178117052</v>
      </c>
      <c r="AX266" s="5">
        <v>106310</v>
      </c>
      <c r="AY266" t="str">
        <f t="shared" si="98"/>
        <v xml:space="preserve">White Patch_ CP to Mathura Road </v>
      </c>
      <c r="AZ266" t="str">
        <f t="shared" si="99"/>
        <v>Lutyens</v>
      </c>
      <c r="BC266" s="5">
        <v>186836</v>
      </c>
      <c r="BD266" s="5" t="s">
        <v>581</v>
      </c>
      <c r="BE266" s="46" t="s">
        <v>696</v>
      </c>
      <c r="BF266" s="13" t="s">
        <v>697</v>
      </c>
      <c r="BG266" s="6" t="s">
        <v>200</v>
      </c>
      <c r="BH266" s="6" t="s">
        <v>300</v>
      </c>
      <c r="BI266" s="12" t="s">
        <v>300</v>
      </c>
      <c r="BJ266" s="51" t="s">
        <v>261</v>
      </c>
    </row>
    <row r="267" spans="1:62" ht="48.5" x14ac:dyDescent="0.35">
      <c r="A267">
        <v>112437</v>
      </c>
      <c r="B267" s="84">
        <f t="shared" si="80"/>
        <v>565</v>
      </c>
      <c r="C267" s="84">
        <f t="shared" si="81"/>
        <v>665</v>
      </c>
      <c r="E267" s="5">
        <v>186855</v>
      </c>
      <c r="F267" s="19">
        <v>435</v>
      </c>
      <c r="G267" s="19">
        <v>495</v>
      </c>
      <c r="H267" s="19">
        <v>410</v>
      </c>
      <c r="I267" s="19">
        <v>445</v>
      </c>
      <c r="J267" s="19">
        <v>190</v>
      </c>
      <c r="K267" s="19">
        <v>175</v>
      </c>
      <c r="L267" s="19">
        <v>85</v>
      </c>
      <c r="M267" s="19">
        <v>105</v>
      </c>
      <c r="N267" s="5">
        <v>106241</v>
      </c>
      <c r="O267">
        <f t="shared" si="82"/>
        <v>293.5</v>
      </c>
      <c r="P267">
        <f t="shared" si="83"/>
        <v>283</v>
      </c>
      <c r="Q267">
        <f t="shared" si="84"/>
        <v>72.5</v>
      </c>
      <c r="R267">
        <f t="shared" si="85"/>
        <v>81</v>
      </c>
      <c r="S267">
        <f t="shared" si="86"/>
        <v>270.5</v>
      </c>
      <c r="T267">
        <f t="shared" si="87"/>
        <v>258.5</v>
      </c>
      <c r="U267">
        <f t="shared" si="88"/>
        <v>73.5</v>
      </c>
      <c r="V267">
        <f t="shared" si="89"/>
        <v>81.5</v>
      </c>
      <c r="X267" s="3">
        <v>112412</v>
      </c>
      <c r="Y267">
        <f t="shared" si="90"/>
        <v>96</v>
      </c>
      <c r="Z267">
        <f t="shared" si="91"/>
        <v>86</v>
      </c>
      <c r="AA267">
        <f t="shared" si="92"/>
        <v>24</v>
      </c>
      <c r="AB267">
        <f t="shared" si="93"/>
        <v>20</v>
      </c>
      <c r="AC267">
        <f t="shared" si="94"/>
        <v>1168</v>
      </c>
      <c r="AD267">
        <f t="shared" si="95"/>
        <v>857</v>
      </c>
      <c r="AE267">
        <f t="shared" si="96"/>
        <v>256</v>
      </c>
      <c r="AF267">
        <f t="shared" si="97"/>
        <v>265</v>
      </c>
      <c r="AG267" s="5">
        <v>106241</v>
      </c>
      <c r="AH267" s="31">
        <v>293.5</v>
      </c>
      <c r="AI267" s="31">
        <v>283</v>
      </c>
      <c r="AJ267" s="37">
        <v>10.5</v>
      </c>
      <c r="AK267" s="37">
        <v>3.7102473498233217</v>
      </c>
      <c r="AL267" s="36">
        <v>72.5</v>
      </c>
      <c r="AM267" s="36">
        <v>81</v>
      </c>
      <c r="AN267" s="37">
        <v>-8.5</v>
      </c>
      <c r="AO267" s="37">
        <v>-10.493827160493826</v>
      </c>
      <c r="AP267" s="38">
        <v>3502.5</v>
      </c>
      <c r="AQ267" s="39">
        <v>2704.5</v>
      </c>
      <c r="AR267" s="37">
        <v>798</v>
      </c>
      <c r="AS267" s="37">
        <v>29.506378258458128</v>
      </c>
      <c r="AT267" s="36">
        <v>917.5</v>
      </c>
      <c r="AU267" s="36">
        <v>998</v>
      </c>
      <c r="AV267" s="37">
        <v>-80.5</v>
      </c>
      <c r="AW267" s="37">
        <v>-8.0661322645290578</v>
      </c>
      <c r="AX267" s="5">
        <v>186855</v>
      </c>
      <c r="AY267" t="str">
        <f t="shared" si="98"/>
        <v>VASUNDHARA_VIJ</v>
      </c>
      <c r="AZ267" t="str">
        <f t="shared" si="99"/>
        <v>Mayur Vihar -Anand Vihar -Preet Vihar</v>
      </c>
      <c r="BC267" s="5">
        <v>106241</v>
      </c>
      <c r="BD267" s="5" t="s">
        <v>581</v>
      </c>
      <c r="BE267" s="46" t="s">
        <v>698</v>
      </c>
      <c r="BF267" s="13" t="s">
        <v>699</v>
      </c>
      <c r="BG267" s="6" t="s">
        <v>103</v>
      </c>
      <c r="BH267" s="6" t="s">
        <v>145</v>
      </c>
      <c r="BI267" s="12" t="s">
        <v>145</v>
      </c>
      <c r="BJ267" s="51" t="s">
        <v>96</v>
      </c>
    </row>
    <row r="268" spans="1:62" ht="48.5" x14ac:dyDescent="0.35">
      <c r="A268">
        <v>106320</v>
      </c>
      <c r="B268" s="84">
        <f t="shared" si="80"/>
        <v>196</v>
      </c>
      <c r="C268" s="84">
        <f t="shared" si="81"/>
        <v>207</v>
      </c>
      <c r="E268" s="5">
        <v>186842</v>
      </c>
      <c r="F268" s="19">
        <v>208</v>
      </c>
      <c r="G268" s="19">
        <v>225</v>
      </c>
      <c r="H268" s="19">
        <v>163.5</v>
      </c>
      <c r="I268" s="19">
        <v>184</v>
      </c>
      <c r="J268" s="19">
        <v>52.5</v>
      </c>
      <c r="K268" s="19">
        <v>48</v>
      </c>
      <c r="L268" s="19">
        <v>56</v>
      </c>
      <c r="M268" s="19">
        <v>57</v>
      </c>
      <c r="N268" s="5">
        <v>311776</v>
      </c>
      <c r="O268">
        <f t="shared" si="82"/>
        <v>345</v>
      </c>
      <c r="P268">
        <f t="shared" si="83"/>
        <v>336</v>
      </c>
      <c r="Q268">
        <f t="shared" si="84"/>
        <v>75</v>
      </c>
      <c r="R268">
        <f t="shared" si="85"/>
        <v>100</v>
      </c>
      <c r="S268">
        <f t="shared" si="86"/>
        <v>348.5</v>
      </c>
      <c r="T268">
        <f t="shared" si="87"/>
        <v>313</v>
      </c>
      <c r="U268">
        <f t="shared" si="88"/>
        <v>89.5</v>
      </c>
      <c r="V268">
        <f t="shared" si="89"/>
        <v>87</v>
      </c>
      <c r="X268" s="9">
        <v>41019270</v>
      </c>
      <c r="Y268">
        <f t="shared" si="90"/>
        <v>232</v>
      </c>
      <c r="Z268">
        <f t="shared" si="91"/>
        <v>236</v>
      </c>
      <c r="AA268">
        <f t="shared" si="92"/>
        <v>18</v>
      </c>
      <c r="AB268">
        <f t="shared" si="93"/>
        <v>27</v>
      </c>
      <c r="AC268">
        <f t="shared" si="94"/>
        <v>2868.5</v>
      </c>
      <c r="AD268">
        <f t="shared" si="95"/>
        <v>2286.5</v>
      </c>
      <c r="AE268">
        <f t="shared" si="96"/>
        <v>265.5</v>
      </c>
      <c r="AF268">
        <f t="shared" si="97"/>
        <v>281.5</v>
      </c>
      <c r="AG268" s="5">
        <v>311776</v>
      </c>
      <c r="AH268" s="31">
        <v>345</v>
      </c>
      <c r="AI268" s="31">
        <v>336</v>
      </c>
      <c r="AJ268" s="37">
        <v>9</v>
      </c>
      <c r="AK268" s="37">
        <v>2.6785714285714284</v>
      </c>
      <c r="AL268" s="36">
        <v>75</v>
      </c>
      <c r="AM268" s="36">
        <v>100</v>
      </c>
      <c r="AN268" s="37">
        <v>-25</v>
      </c>
      <c r="AO268" s="37">
        <v>-25</v>
      </c>
      <c r="AP268" s="38">
        <v>4214.5</v>
      </c>
      <c r="AQ268" s="39">
        <v>3462</v>
      </c>
      <c r="AR268" s="37">
        <v>752.5</v>
      </c>
      <c r="AS268" s="37">
        <v>21.735990756787984</v>
      </c>
      <c r="AT268" s="36">
        <v>1027.5</v>
      </c>
      <c r="AU268" s="36">
        <v>1207</v>
      </c>
      <c r="AV268" s="37">
        <v>-179.5</v>
      </c>
      <c r="AW268" s="37">
        <v>-14.871582435791217</v>
      </c>
      <c r="AX268" s="5">
        <v>186842</v>
      </c>
      <c r="AY268" t="str">
        <f t="shared" si="98"/>
        <v>SAKSHAM</v>
      </c>
      <c r="AZ268" t="str">
        <f t="shared" si="99"/>
        <v>Punjabi Bagh</v>
      </c>
      <c r="BC268" s="5">
        <v>311776</v>
      </c>
      <c r="BD268" s="5" t="s">
        <v>581</v>
      </c>
      <c r="BE268" s="46" t="s">
        <v>700</v>
      </c>
      <c r="BF268" s="13" t="s">
        <v>701</v>
      </c>
      <c r="BG268" s="6" t="s">
        <v>187</v>
      </c>
      <c r="BH268" s="6" t="s">
        <v>395</v>
      </c>
      <c r="BI268" s="12" t="s">
        <v>395</v>
      </c>
      <c r="BJ268" s="51" t="s">
        <v>248</v>
      </c>
    </row>
    <row r="269" spans="1:62" ht="60.5" x14ac:dyDescent="0.35">
      <c r="A269">
        <v>106321</v>
      </c>
      <c r="B269" s="84">
        <f t="shared" si="80"/>
        <v>512</v>
      </c>
      <c r="C269" s="84">
        <f t="shared" si="81"/>
        <v>538</v>
      </c>
      <c r="E269" s="5">
        <v>106288</v>
      </c>
      <c r="F269" s="19">
        <v>166.5</v>
      </c>
      <c r="G269" s="19">
        <v>196</v>
      </c>
      <c r="H269" s="19">
        <v>153.5</v>
      </c>
      <c r="I269" s="19">
        <v>166.5</v>
      </c>
      <c r="J269" s="19">
        <v>112.5</v>
      </c>
      <c r="K269" s="19">
        <v>121.5</v>
      </c>
      <c r="L269" s="19">
        <v>99.5</v>
      </c>
      <c r="M269" s="19">
        <v>98</v>
      </c>
      <c r="N269" s="5">
        <v>102084</v>
      </c>
      <c r="O269">
        <f t="shared" si="82"/>
        <v>210</v>
      </c>
      <c r="P269">
        <f t="shared" si="83"/>
        <v>225</v>
      </c>
      <c r="Q269">
        <f t="shared" si="84"/>
        <v>204</v>
      </c>
      <c r="R269">
        <f t="shared" si="85"/>
        <v>233</v>
      </c>
      <c r="S269">
        <f t="shared" si="86"/>
        <v>204</v>
      </c>
      <c r="T269">
        <f t="shared" si="87"/>
        <v>203</v>
      </c>
      <c r="U269">
        <f t="shared" si="88"/>
        <v>205</v>
      </c>
      <c r="V269">
        <f t="shared" si="89"/>
        <v>237</v>
      </c>
      <c r="X269" s="5">
        <v>202456</v>
      </c>
      <c r="Y269">
        <f t="shared" si="90"/>
        <v>80</v>
      </c>
      <c r="Z269">
        <f t="shared" si="91"/>
        <v>99</v>
      </c>
      <c r="AA269">
        <f t="shared" si="92"/>
        <v>4</v>
      </c>
      <c r="AB269">
        <f t="shared" si="93"/>
        <v>17</v>
      </c>
      <c r="AC269">
        <f t="shared" si="94"/>
        <v>911.5</v>
      </c>
      <c r="AD269">
        <f t="shared" si="95"/>
        <v>786</v>
      </c>
      <c r="AE269">
        <f t="shared" si="96"/>
        <v>84.5</v>
      </c>
      <c r="AF269">
        <f t="shared" si="97"/>
        <v>263</v>
      </c>
      <c r="AG269" s="5">
        <v>102084</v>
      </c>
      <c r="AH269" s="31">
        <v>210</v>
      </c>
      <c r="AI269" s="31">
        <v>225</v>
      </c>
      <c r="AJ269" s="37">
        <v>-15</v>
      </c>
      <c r="AK269" s="37">
        <v>-6.666666666666667</v>
      </c>
      <c r="AL269" s="36">
        <v>204</v>
      </c>
      <c r="AM269" s="36">
        <v>233</v>
      </c>
      <c r="AN269" s="37">
        <v>-29</v>
      </c>
      <c r="AO269" s="37">
        <v>-12.446351931330472</v>
      </c>
      <c r="AP269" s="38">
        <v>2731</v>
      </c>
      <c r="AQ269" s="39">
        <v>2221.5</v>
      </c>
      <c r="AR269" s="37">
        <v>509.5</v>
      </c>
      <c r="AS269" s="37">
        <v>22.934953860004502</v>
      </c>
      <c r="AT269" s="36">
        <v>2265</v>
      </c>
      <c r="AU269" s="36">
        <v>2436.5</v>
      </c>
      <c r="AV269" s="37">
        <v>-171.5</v>
      </c>
      <c r="AW269" s="37">
        <v>-7.038785142622614</v>
      </c>
      <c r="AX269" s="5">
        <v>106288</v>
      </c>
      <c r="AY269" t="str">
        <f t="shared" si="98"/>
        <v>AUTO GRIT</v>
      </c>
      <c r="AZ269" t="str">
        <f t="shared" si="99"/>
        <v>Mehrauli Badarpur Road</v>
      </c>
      <c r="BC269" s="5">
        <v>102084</v>
      </c>
      <c r="BD269" s="5" t="s">
        <v>581</v>
      </c>
      <c r="BE269" s="46" t="s">
        <v>702</v>
      </c>
      <c r="BF269" s="13" t="s">
        <v>703</v>
      </c>
      <c r="BG269" s="6" t="s">
        <v>103</v>
      </c>
      <c r="BH269" s="6" t="s">
        <v>526</v>
      </c>
      <c r="BI269" s="12" t="s">
        <v>526</v>
      </c>
      <c r="BJ269" s="51" t="s">
        <v>248</v>
      </c>
    </row>
    <row r="270" spans="1:62" ht="48.5" x14ac:dyDescent="0.35">
      <c r="A270">
        <v>41030786</v>
      </c>
      <c r="B270" s="84">
        <f t="shared" si="80"/>
        <v>969.5</v>
      </c>
      <c r="C270" s="84">
        <f t="shared" si="81"/>
        <v>1091</v>
      </c>
      <c r="E270" s="5">
        <v>205752</v>
      </c>
      <c r="F270" s="19">
        <v>173.5</v>
      </c>
      <c r="G270" s="19">
        <v>168</v>
      </c>
      <c r="H270" s="19">
        <v>142</v>
      </c>
      <c r="I270" s="19">
        <v>166</v>
      </c>
      <c r="J270" s="19">
        <v>44</v>
      </c>
      <c r="K270" s="19">
        <v>44</v>
      </c>
      <c r="L270" s="19">
        <v>48.5</v>
      </c>
      <c r="M270" s="19">
        <v>36</v>
      </c>
      <c r="N270" s="5">
        <v>106347</v>
      </c>
      <c r="O270">
        <f t="shared" si="82"/>
        <v>289.5</v>
      </c>
      <c r="P270">
        <f t="shared" si="83"/>
        <v>299.5</v>
      </c>
      <c r="Q270">
        <f t="shared" si="84"/>
        <v>40.5</v>
      </c>
      <c r="R270">
        <f t="shared" si="85"/>
        <v>52.5</v>
      </c>
      <c r="S270">
        <f t="shared" si="86"/>
        <v>283</v>
      </c>
      <c r="T270">
        <f t="shared" si="87"/>
        <v>264</v>
      </c>
      <c r="U270">
        <f t="shared" si="88"/>
        <v>41</v>
      </c>
      <c r="V270">
        <f t="shared" si="89"/>
        <v>46</v>
      </c>
      <c r="X270" s="5">
        <v>185484</v>
      </c>
      <c r="Y270">
        <f t="shared" si="90"/>
        <v>157</v>
      </c>
      <c r="Z270">
        <f t="shared" si="91"/>
        <v>146</v>
      </c>
      <c r="AA270">
        <f t="shared" si="92"/>
        <v>17</v>
      </c>
      <c r="AB270">
        <f t="shared" si="93"/>
        <v>18</v>
      </c>
      <c r="AC270">
        <f t="shared" si="94"/>
        <v>1966.5</v>
      </c>
      <c r="AD270">
        <f t="shared" si="95"/>
        <v>1541</v>
      </c>
      <c r="AE270">
        <f t="shared" si="96"/>
        <v>219.5</v>
      </c>
      <c r="AF270">
        <f t="shared" si="97"/>
        <v>246</v>
      </c>
      <c r="AG270" s="5">
        <v>106347</v>
      </c>
      <c r="AH270" s="31">
        <v>289.5</v>
      </c>
      <c r="AI270" s="31">
        <v>299.5</v>
      </c>
      <c r="AJ270" s="37">
        <v>-10</v>
      </c>
      <c r="AK270" s="37">
        <v>-3.33889816360601</v>
      </c>
      <c r="AL270" s="36">
        <v>40.5</v>
      </c>
      <c r="AM270" s="36">
        <v>52.5</v>
      </c>
      <c r="AN270" s="37">
        <v>-12</v>
      </c>
      <c r="AO270" s="37">
        <v>-22.857142857142858</v>
      </c>
      <c r="AP270" s="38">
        <v>3731</v>
      </c>
      <c r="AQ270" s="39">
        <v>3107.5</v>
      </c>
      <c r="AR270" s="37">
        <v>623.5</v>
      </c>
      <c r="AS270" s="37">
        <v>20.064360418342719</v>
      </c>
      <c r="AT270" s="36">
        <v>549</v>
      </c>
      <c r="AU270" s="36">
        <v>673</v>
      </c>
      <c r="AV270" s="37">
        <v>-124</v>
      </c>
      <c r="AW270" s="37">
        <v>-18.424962852897476</v>
      </c>
      <c r="AX270" s="5">
        <v>205752</v>
      </c>
      <c r="AY270" t="str">
        <f t="shared" si="98"/>
        <v>M.L.SETHI</v>
      </c>
      <c r="AZ270" t="str">
        <f t="shared" si="99"/>
        <v>Rohini</v>
      </c>
      <c r="BC270" s="5">
        <v>106347</v>
      </c>
      <c r="BD270" s="5" t="s">
        <v>581</v>
      </c>
      <c r="BE270" s="46" t="s">
        <v>704</v>
      </c>
      <c r="BF270" s="13" t="s">
        <v>705</v>
      </c>
      <c r="BG270" s="6" t="s">
        <v>89</v>
      </c>
      <c r="BH270" s="6" t="s">
        <v>310</v>
      </c>
      <c r="BI270" s="12" t="s">
        <v>310</v>
      </c>
      <c r="BJ270" s="51" t="s">
        <v>205</v>
      </c>
    </row>
    <row r="271" spans="1:62" ht="36.5" x14ac:dyDescent="0.35">
      <c r="A271">
        <v>106322</v>
      </c>
      <c r="B271" s="84">
        <f t="shared" si="80"/>
        <v>125.5</v>
      </c>
      <c r="C271" s="84">
        <f t="shared" si="81"/>
        <v>139</v>
      </c>
      <c r="E271" s="5">
        <v>212907</v>
      </c>
      <c r="F271" s="19">
        <v>528</v>
      </c>
      <c r="G271" s="19">
        <v>500</v>
      </c>
      <c r="H271" s="19">
        <v>456.5</v>
      </c>
      <c r="I271" s="19">
        <v>481.5</v>
      </c>
      <c r="J271" s="19">
        <v>265.5</v>
      </c>
      <c r="K271" s="19">
        <v>238.5</v>
      </c>
      <c r="L271" s="19">
        <v>294</v>
      </c>
      <c r="M271" s="19">
        <v>267</v>
      </c>
      <c r="N271" s="5">
        <v>186846</v>
      </c>
      <c r="O271">
        <f t="shared" si="82"/>
        <v>304</v>
      </c>
      <c r="P271">
        <f t="shared" si="83"/>
        <v>291</v>
      </c>
      <c r="Q271">
        <f t="shared" si="84"/>
        <v>80</v>
      </c>
      <c r="R271">
        <f t="shared" si="85"/>
        <v>81</v>
      </c>
      <c r="S271">
        <f t="shared" si="86"/>
        <v>265</v>
      </c>
      <c r="T271">
        <f t="shared" si="87"/>
        <v>257.5</v>
      </c>
      <c r="U271">
        <f t="shared" si="88"/>
        <v>75</v>
      </c>
      <c r="V271">
        <f t="shared" si="89"/>
        <v>80.5</v>
      </c>
      <c r="X271" s="3">
        <v>112395</v>
      </c>
      <c r="Y271">
        <f t="shared" si="90"/>
        <v>69</v>
      </c>
      <c r="Z271">
        <f t="shared" si="91"/>
        <v>70</v>
      </c>
      <c r="AA271">
        <f t="shared" si="92"/>
        <v>29</v>
      </c>
      <c r="AB271">
        <f t="shared" si="93"/>
        <v>26</v>
      </c>
      <c r="AC271">
        <f t="shared" si="94"/>
        <v>881</v>
      </c>
      <c r="AD271">
        <f t="shared" si="95"/>
        <v>757.5</v>
      </c>
      <c r="AE271">
        <f t="shared" si="96"/>
        <v>303</v>
      </c>
      <c r="AF271">
        <f t="shared" si="97"/>
        <v>330.5</v>
      </c>
      <c r="AG271" s="5">
        <v>186846</v>
      </c>
      <c r="AH271" s="31">
        <v>304</v>
      </c>
      <c r="AI271" s="31">
        <v>291</v>
      </c>
      <c r="AJ271" s="37">
        <v>13</v>
      </c>
      <c r="AK271" s="37">
        <v>4.4673539518900345</v>
      </c>
      <c r="AL271" s="36">
        <v>80</v>
      </c>
      <c r="AM271" s="36">
        <v>81</v>
      </c>
      <c r="AN271" s="37">
        <v>-1</v>
      </c>
      <c r="AO271" s="37">
        <v>-1.2345679012345678</v>
      </c>
      <c r="AP271" s="38">
        <v>3611</v>
      </c>
      <c r="AQ271" s="39">
        <v>2912</v>
      </c>
      <c r="AR271" s="37">
        <v>699</v>
      </c>
      <c r="AS271" s="37">
        <v>24.00412087912088</v>
      </c>
      <c r="AT271" s="36">
        <v>940</v>
      </c>
      <c r="AU271" s="36">
        <v>1054</v>
      </c>
      <c r="AV271" s="37">
        <v>-114</v>
      </c>
      <c r="AW271" s="37">
        <v>-10.815939278937382</v>
      </c>
      <c r="AX271" s="5">
        <v>212907</v>
      </c>
      <c r="AY271" t="str">
        <f t="shared" si="98"/>
        <v>White Patch_Model Town</v>
      </c>
      <c r="AZ271" t="str">
        <f t="shared" si="99"/>
        <v>Outer Ring Road</v>
      </c>
      <c r="BC271" s="5">
        <v>186846</v>
      </c>
      <c r="BD271" s="5" t="s">
        <v>581</v>
      </c>
      <c r="BE271" s="46" t="s">
        <v>116</v>
      </c>
      <c r="BF271" s="13" t="s">
        <v>706</v>
      </c>
      <c r="BG271" s="6" t="s">
        <v>103</v>
      </c>
      <c r="BH271" s="6" t="s">
        <v>119</v>
      </c>
      <c r="BI271" s="12" t="s">
        <v>119</v>
      </c>
      <c r="BJ271" s="51" t="s">
        <v>120</v>
      </c>
    </row>
    <row r="272" spans="1:62" ht="48.5" x14ac:dyDescent="0.35">
      <c r="A272">
        <v>106323</v>
      </c>
      <c r="B272" s="84">
        <f t="shared" si="80"/>
        <v>123</v>
      </c>
      <c r="C272" s="84">
        <f t="shared" si="81"/>
        <v>130</v>
      </c>
      <c r="E272" s="5">
        <v>106280</v>
      </c>
      <c r="F272" s="19">
        <v>288</v>
      </c>
      <c r="G272" s="19">
        <v>308</v>
      </c>
      <c r="H272" s="19">
        <v>224</v>
      </c>
      <c r="I272" s="19">
        <v>268</v>
      </c>
      <c r="J272" s="19">
        <v>76</v>
      </c>
      <c r="K272" s="19">
        <v>44</v>
      </c>
      <c r="L272" s="19">
        <v>48</v>
      </c>
      <c r="M272" s="19">
        <v>64</v>
      </c>
      <c r="N272" s="5">
        <v>106243</v>
      </c>
      <c r="O272">
        <f t="shared" si="82"/>
        <v>498</v>
      </c>
      <c r="P272">
        <f t="shared" si="83"/>
        <v>490</v>
      </c>
      <c r="Q272">
        <f t="shared" si="84"/>
        <v>70</v>
      </c>
      <c r="R272">
        <f t="shared" si="85"/>
        <v>90</v>
      </c>
      <c r="S272">
        <f t="shared" si="86"/>
        <v>430</v>
      </c>
      <c r="T272">
        <f t="shared" si="87"/>
        <v>405</v>
      </c>
      <c r="U272">
        <f t="shared" si="88"/>
        <v>70</v>
      </c>
      <c r="V272">
        <f t="shared" si="89"/>
        <v>95</v>
      </c>
      <c r="X272" s="9">
        <v>41019272</v>
      </c>
      <c r="Y272">
        <f t="shared" si="90"/>
        <v>78.5</v>
      </c>
      <c r="Z272">
        <f t="shared" si="91"/>
        <v>58.5</v>
      </c>
      <c r="AA272">
        <f t="shared" si="92"/>
        <v>17.5</v>
      </c>
      <c r="AB272">
        <f t="shared" si="93"/>
        <v>13.5</v>
      </c>
      <c r="AC272">
        <f t="shared" si="94"/>
        <v>806</v>
      </c>
      <c r="AD272">
        <f t="shared" si="95"/>
        <v>562</v>
      </c>
      <c r="AE272">
        <f t="shared" si="96"/>
        <v>160</v>
      </c>
      <c r="AF272">
        <f t="shared" si="97"/>
        <v>154.5</v>
      </c>
      <c r="AG272" s="5">
        <v>106243</v>
      </c>
      <c r="AH272" s="31">
        <v>498</v>
      </c>
      <c r="AI272" s="31">
        <v>490</v>
      </c>
      <c r="AJ272" s="37">
        <v>8</v>
      </c>
      <c r="AK272" s="37">
        <v>1.6326530612244898</v>
      </c>
      <c r="AL272" s="36">
        <v>70</v>
      </c>
      <c r="AM272" s="36">
        <v>90</v>
      </c>
      <c r="AN272" s="37">
        <v>-20</v>
      </c>
      <c r="AO272" s="37">
        <v>-22.222222222222221</v>
      </c>
      <c r="AP272" s="38">
        <v>5990</v>
      </c>
      <c r="AQ272" s="39">
        <v>4995.5</v>
      </c>
      <c r="AR272" s="37">
        <v>994.5</v>
      </c>
      <c r="AS272" s="37">
        <v>19.907917125412872</v>
      </c>
      <c r="AT272" s="36">
        <v>968</v>
      </c>
      <c r="AU272" s="36">
        <v>1245.5</v>
      </c>
      <c r="AV272" s="37">
        <v>-277.5</v>
      </c>
      <c r="AW272" s="37">
        <v>-22.28020875150542</v>
      </c>
      <c r="AX272" s="5">
        <v>106280</v>
      </c>
      <c r="AY272" t="str">
        <f t="shared" si="98"/>
        <v>White Patch_GK East</v>
      </c>
      <c r="AZ272" t="str">
        <f t="shared" si="99"/>
        <v>Greater Kailash I &amp;II</v>
      </c>
      <c r="BC272" s="5">
        <v>106243</v>
      </c>
      <c r="BD272" s="5" t="s">
        <v>581</v>
      </c>
      <c r="BE272" s="46" t="s">
        <v>707</v>
      </c>
      <c r="BF272" s="13" t="s">
        <v>708</v>
      </c>
      <c r="BG272" s="6" t="s">
        <v>94</v>
      </c>
      <c r="BH272" s="6" t="s">
        <v>129</v>
      </c>
      <c r="BI272" s="12" t="s">
        <v>129</v>
      </c>
      <c r="BJ272" s="51" t="s">
        <v>126</v>
      </c>
    </row>
    <row r="273" spans="1:62" ht="48.5" x14ac:dyDescent="0.35">
      <c r="A273">
        <v>234811</v>
      </c>
      <c r="B273" s="84">
        <f t="shared" si="80"/>
        <v>103.5</v>
      </c>
      <c r="C273" s="84">
        <f t="shared" si="81"/>
        <v>130.5</v>
      </c>
      <c r="E273" s="5">
        <v>106259</v>
      </c>
      <c r="F273" s="19">
        <v>174.5</v>
      </c>
      <c r="G273" s="19">
        <v>175</v>
      </c>
      <c r="H273" s="19">
        <v>173.5</v>
      </c>
      <c r="I273" s="19">
        <v>185.5</v>
      </c>
      <c r="J273" s="19">
        <v>38.5</v>
      </c>
      <c r="K273" s="19">
        <v>52.5</v>
      </c>
      <c r="L273" s="19">
        <v>17.5</v>
      </c>
      <c r="M273" s="19">
        <v>17</v>
      </c>
      <c r="N273" s="5">
        <v>212907</v>
      </c>
      <c r="O273">
        <f t="shared" si="82"/>
        <v>500</v>
      </c>
      <c r="P273">
        <f t="shared" si="83"/>
        <v>481.5</v>
      </c>
      <c r="Q273">
        <f t="shared" si="84"/>
        <v>267</v>
      </c>
      <c r="R273">
        <f t="shared" si="85"/>
        <v>238.5</v>
      </c>
      <c r="S273">
        <f t="shared" si="86"/>
        <v>528</v>
      </c>
      <c r="T273">
        <f t="shared" si="87"/>
        <v>456.5</v>
      </c>
      <c r="U273">
        <f t="shared" si="88"/>
        <v>294</v>
      </c>
      <c r="V273">
        <f t="shared" si="89"/>
        <v>265.5</v>
      </c>
      <c r="X273" s="5">
        <v>106260</v>
      </c>
      <c r="Y273">
        <f t="shared" si="90"/>
        <v>140</v>
      </c>
      <c r="Z273">
        <f t="shared" si="91"/>
        <v>150</v>
      </c>
      <c r="AA273">
        <f t="shared" si="92"/>
        <v>22</v>
      </c>
      <c r="AB273">
        <f t="shared" si="93"/>
        <v>22</v>
      </c>
      <c r="AC273">
        <f t="shared" si="94"/>
        <v>1722.5</v>
      </c>
      <c r="AD273">
        <f t="shared" si="95"/>
        <v>1328.5</v>
      </c>
      <c r="AE273">
        <f t="shared" si="96"/>
        <v>237.5</v>
      </c>
      <c r="AF273">
        <f t="shared" si="97"/>
        <v>256.5</v>
      </c>
      <c r="AG273" s="5">
        <v>212907</v>
      </c>
      <c r="AH273" s="31">
        <v>500</v>
      </c>
      <c r="AI273" s="31">
        <v>481.5</v>
      </c>
      <c r="AJ273" s="37">
        <v>18.5</v>
      </c>
      <c r="AK273" s="37">
        <v>3.8421599169262723</v>
      </c>
      <c r="AL273" s="36">
        <v>267</v>
      </c>
      <c r="AM273" s="36">
        <v>238.5</v>
      </c>
      <c r="AN273" s="37">
        <v>28.5</v>
      </c>
      <c r="AO273" s="37">
        <v>11.949685534591195</v>
      </c>
      <c r="AP273" s="38">
        <v>6271</v>
      </c>
      <c r="AQ273" s="39">
        <v>5089.5</v>
      </c>
      <c r="AR273" s="37">
        <v>1181.5</v>
      </c>
      <c r="AS273" s="37">
        <v>23.21446114549563</v>
      </c>
      <c r="AT273" s="36">
        <v>3196</v>
      </c>
      <c r="AU273" s="36">
        <v>2806.5</v>
      </c>
      <c r="AV273" s="37">
        <v>389.5</v>
      </c>
      <c r="AW273" s="37">
        <v>13.878496347764118</v>
      </c>
      <c r="AX273" s="5">
        <v>106259</v>
      </c>
      <c r="AY273" t="str">
        <f t="shared" si="98"/>
        <v>SHAURYABHUSHAN_JAGDISH</v>
      </c>
      <c r="AZ273" t="str">
        <f t="shared" si="99"/>
        <v>Outer Ring Road</v>
      </c>
      <c r="BC273" s="5">
        <v>212907</v>
      </c>
      <c r="BD273" s="5" t="s">
        <v>581</v>
      </c>
      <c r="BE273" s="46" t="s">
        <v>709</v>
      </c>
      <c r="BF273" s="13" t="s">
        <v>710</v>
      </c>
      <c r="BG273" s="6" t="s">
        <v>200</v>
      </c>
      <c r="BH273" s="6" t="s">
        <v>683</v>
      </c>
      <c r="BI273" s="12" t="s">
        <v>683</v>
      </c>
      <c r="BJ273" s="51" t="s">
        <v>120</v>
      </c>
    </row>
    <row r="274" spans="1:62" ht="36.5" x14ac:dyDescent="0.35">
      <c r="A274">
        <v>112438</v>
      </c>
      <c r="B274" s="84">
        <f t="shared" si="80"/>
        <v>274</v>
      </c>
      <c r="C274" s="84">
        <f t="shared" si="81"/>
        <v>299</v>
      </c>
      <c r="E274" s="5">
        <v>106333</v>
      </c>
      <c r="F274" s="19">
        <v>373.5</v>
      </c>
      <c r="G274" s="19">
        <v>373.5</v>
      </c>
      <c r="H274" s="19">
        <v>321.5</v>
      </c>
      <c r="I274" s="19">
        <v>360.5</v>
      </c>
      <c r="J274" s="19">
        <v>62.5</v>
      </c>
      <c r="K274" s="19">
        <v>67.5</v>
      </c>
      <c r="L274" s="19">
        <v>58.5</v>
      </c>
      <c r="M274" s="19">
        <v>58.5</v>
      </c>
      <c r="N274" s="5">
        <v>305316</v>
      </c>
      <c r="O274">
        <f t="shared" si="82"/>
        <v>350.5</v>
      </c>
      <c r="P274">
        <f t="shared" si="83"/>
        <v>294.5</v>
      </c>
      <c r="Q274">
        <f t="shared" si="84"/>
        <v>41.5</v>
      </c>
      <c r="R274">
        <f t="shared" si="85"/>
        <v>35.5</v>
      </c>
      <c r="S274">
        <f t="shared" si="86"/>
        <v>293</v>
      </c>
      <c r="T274">
        <f t="shared" si="87"/>
        <v>256.5</v>
      </c>
      <c r="U274">
        <f t="shared" si="88"/>
        <v>27</v>
      </c>
      <c r="V274">
        <f t="shared" si="89"/>
        <v>31.5</v>
      </c>
      <c r="X274" s="5">
        <v>106299</v>
      </c>
      <c r="Y274">
        <f t="shared" si="90"/>
        <v>78</v>
      </c>
      <c r="Z274">
        <f t="shared" si="91"/>
        <v>80</v>
      </c>
      <c r="AA274">
        <f t="shared" si="92"/>
        <v>16</v>
      </c>
      <c r="AB274">
        <f t="shared" si="93"/>
        <v>16.5</v>
      </c>
      <c r="AC274">
        <f t="shared" si="94"/>
        <v>984</v>
      </c>
      <c r="AD274">
        <f t="shared" si="95"/>
        <v>827</v>
      </c>
      <c r="AE274">
        <f t="shared" si="96"/>
        <v>180.5</v>
      </c>
      <c r="AF274">
        <f t="shared" si="97"/>
        <v>205.5</v>
      </c>
      <c r="AG274" s="5">
        <v>305316</v>
      </c>
      <c r="AH274" s="31">
        <v>350.5</v>
      </c>
      <c r="AI274" s="31">
        <v>294.5</v>
      </c>
      <c r="AJ274" s="37">
        <v>56</v>
      </c>
      <c r="AK274" s="37">
        <v>19.015280135823428</v>
      </c>
      <c r="AL274" s="36">
        <v>41.5</v>
      </c>
      <c r="AM274" s="36">
        <v>35.5</v>
      </c>
      <c r="AN274" s="37">
        <v>6</v>
      </c>
      <c r="AO274" s="37">
        <v>16.901408450704224</v>
      </c>
      <c r="AP274" s="38">
        <v>3862.5</v>
      </c>
      <c r="AQ274" s="39">
        <v>2983.5</v>
      </c>
      <c r="AR274" s="37">
        <v>879</v>
      </c>
      <c r="AS274" s="37">
        <v>29.462041226747111</v>
      </c>
      <c r="AT274" s="36">
        <v>425.5</v>
      </c>
      <c r="AU274" s="36">
        <v>465.5</v>
      </c>
      <c r="AV274" s="37">
        <v>-40</v>
      </c>
      <c r="AW274" s="37">
        <v>-8.5929108485499466</v>
      </c>
      <c r="AX274" s="5">
        <v>106333</v>
      </c>
      <c r="AY274" t="str">
        <f t="shared" si="98"/>
        <v>AUTO CARE-WELCOME</v>
      </c>
      <c r="AZ274" t="str">
        <f t="shared" si="99"/>
        <v>Inner Ring Road</v>
      </c>
      <c r="BC274" s="5">
        <v>305316</v>
      </c>
      <c r="BD274" s="5" t="s">
        <v>581</v>
      </c>
      <c r="BE274" s="46" t="s">
        <v>711</v>
      </c>
      <c r="BF274" s="13" t="s">
        <v>712</v>
      </c>
      <c r="BG274" s="6" t="s">
        <v>81</v>
      </c>
      <c r="BH274" s="6" t="s">
        <v>195</v>
      </c>
      <c r="BI274" s="12" t="s">
        <v>195</v>
      </c>
      <c r="BJ274" s="51" t="s">
        <v>135</v>
      </c>
    </row>
    <row r="275" spans="1:62" ht="48.5" x14ac:dyDescent="0.35">
      <c r="A275">
        <v>112439</v>
      </c>
      <c r="B275" s="84">
        <f t="shared" si="80"/>
        <v>269</v>
      </c>
      <c r="C275" s="84">
        <f t="shared" si="81"/>
        <v>293</v>
      </c>
      <c r="E275" s="5">
        <v>106296</v>
      </c>
      <c r="F275" s="19">
        <v>267</v>
      </c>
      <c r="G275" s="19">
        <v>229.5</v>
      </c>
      <c r="H275" s="19">
        <v>230</v>
      </c>
      <c r="I275" s="19">
        <v>245</v>
      </c>
      <c r="J275" s="19">
        <v>30</v>
      </c>
      <c r="K275" s="19">
        <v>29</v>
      </c>
      <c r="L275" s="19">
        <v>27</v>
      </c>
      <c r="M275" s="19">
        <v>22.5</v>
      </c>
      <c r="N275" s="5">
        <v>241496</v>
      </c>
      <c r="O275">
        <f t="shared" si="82"/>
        <v>250</v>
      </c>
      <c r="P275">
        <f t="shared" si="83"/>
        <v>188</v>
      </c>
      <c r="Q275">
        <f t="shared" si="84"/>
        <v>48</v>
      </c>
      <c r="R275">
        <f t="shared" si="85"/>
        <v>28</v>
      </c>
      <c r="S275">
        <f t="shared" si="86"/>
        <v>212</v>
      </c>
      <c r="T275">
        <f t="shared" si="87"/>
        <v>168</v>
      </c>
      <c r="U275">
        <f t="shared" si="88"/>
        <v>40</v>
      </c>
      <c r="V275">
        <f t="shared" si="89"/>
        <v>24</v>
      </c>
      <c r="X275" s="5">
        <v>252146</v>
      </c>
      <c r="Y275">
        <f t="shared" si="90"/>
        <v>52</v>
      </c>
      <c r="Z275">
        <f t="shared" si="91"/>
        <v>45.5</v>
      </c>
      <c r="AA275">
        <f t="shared" si="92"/>
        <v>13</v>
      </c>
      <c r="AB275">
        <f t="shared" si="93"/>
        <v>16</v>
      </c>
      <c r="AC275">
        <f t="shared" si="94"/>
        <v>586</v>
      </c>
      <c r="AD275">
        <f t="shared" si="95"/>
        <v>445.5</v>
      </c>
      <c r="AE275">
        <f t="shared" si="96"/>
        <v>181.5</v>
      </c>
      <c r="AF275">
        <f t="shared" si="97"/>
        <v>201.5</v>
      </c>
      <c r="AG275" s="5">
        <v>241496</v>
      </c>
      <c r="AH275" s="31">
        <v>250</v>
      </c>
      <c r="AI275" s="31">
        <v>188</v>
      </c>
      <c r="AJ275" s="37">
        <v>62</v>
      </c>
      <c r="AK275" s="37">
        <v>32.978723404255319</v>
      </c>
      <c r="AL275" s="36">
        <v>48</v>
      </c>
      <c r="AM275" s="36">
        <v>28</v>
      </c>
      <c r="AN275" s="37">
        <v>20</v>
      </c>
      <c r="AO275" s="37">
        <v>71.428571428571431</v>
      </c>
      <c r="AP275" s="38">
        <v>2550</v>
      </c>
      <c r="AQ275" s="39">
        <v>2021</v>
      </c>
      <c r="AR275" s="37">
        <v>529</v>
      </c>
      <c r="AS275" s="37">
        <v>26.175160811479465</v>
      </c>
      <c r="AT275" s="36">
        <v>356</v>
      </c>
      <c r="AU275" s="36">
        <v>355</v>
      </c>
      <c r="AV275" s="37">
        <v>1</v>
      </c>
      <c r="AW275" s="37">
        <v>0.28169014084507044</v>
      </c>
      <c r="AX275" s="5">
        <v>106296</v>
      </c>
      <c r="AY275" t="str">
        <f t="shared" si="98"/>
        <v>ALLIED_MASIH</v>
      </c>
      <c r="AZ275" t="str">
        <f t="shared" si="99"/>
        <v>Mayur Vihar -Anand Vihar -Preet Vihar</v>
      </c>
      <c r="BC275" s="5">
        <v>241496</v>
      </c>
      <c r="BD275" s="5" t="s">
        <v>581</v>
      </c>
      <c r="BE275" s="46" t="s">
        <v>713</v>
      </c>
      <c r="BF275" s="13" t="s">
        <v>714</v>
      </c>
      <c r="BG275" s="6" t="s">
        <v>85</v>
      </c>
      <c r="BH275" s="6" t="s">
        <v>580</v>
      </c>
      <c r="BI275" s="12" t="s">
        <v>580</v>
      </c>
      <c r="BJ275" s="51" t="s">
        <v>304</v>
      </c>
    </row>
    <row r="276" spans="1:62" ht="48.5" x14ac:dyDescent="0.35">
      <c r="A276">
        <v>112440</v>
      </c>
      <c r="B276" s="84">
        <f t="shared" si="80"/>
        <v>214</v>
      </c>
      <c r="C276" s="84">
        <f t="shared" si="81"/>
        <v>181</v>
      </c>
      <c r="E276" s="5">
        <v>106242</v>
      </c>
      <c r="F276" s="19">
        <v>472.5</v>
      </c>
      <c r="G276" s="19">
        <v>531</v>
      </c>
      <c r="H276" s="19">
        <v>459</v>
      </c>
      <c r="I276" s="19">
        <v>517.5</v>
      </c>
      <c r="J276" s="19">
        <v>63</v>
      </c>
      <c r="K276" s="19">
        <v>76.5</v>
      </c>
      <c r="L276" s="19">
        <v>40.5</v>
      </c>
      <c r="M276" s="19">
        <v>45</v>
      </c>
      <c r="N276" s="5">
        <v>106323</v>
      </c>
      <c r="O276">
        <f t="shared" si="82"/>
        <v>130</v>
      </c>
      <c r="P276">
        <f t="shared" si="83"/>
        <v>116.5</v>
      </c>
      <c r="Q276">
        <f t="shared" si="84"/>
        <v>164</v>
      </c>
      <c r="R276">
        <f t="shared" si="85"/>
        <v>123.5</v>
      </c>
      <c r="S276">
        <f t="shared" si="86"/>
        <v>123</v>
      </c>
      <c r="T276">
        <f t="shared" si="87"/>
        <v>110.5</v>
      </c>
      <c r="U276">
        <f t="shared" si="88"/>
        <v>141</v>
      </c>
      <c r="V276">
        <f t="shared" si="89"/>
        <v>153.5</v>
      </c>
      <c r="X276" s="5">
        <v>106334</v>
      </c>
      <c r="Y276">
        <f t="shared" si="90"/>
        <v>216.5</v>
      </c>
      <c r="Z276">
        <f t="shared" si="91"/>
        <v>183</v>
      </c>
      <c r="AA276">
        <f t="shared" si="92"/>
        <v>13.5</v>
      </c>
      <c r="AB276">
        <f t="shared" si="93"/>
        <v>9</v>
      </c>
      <c r="AC276">
        <f t="shared" si="94"/>
        <v>2367</v>
      </c>
      <c r="AD276">
        <f t="shared" si="95"/>
        <v>1904</v>
      </c>
      <c r="AE276">
        <f t="shared" si="96"/>
        <v>121</v>
      </c>
      <c r="AF276">
        <f t="shared" si="97"/>
        <v>148</v>
      </c>
      <c r="AG276" s="5">
        <v>106323</v>
      </c>
      <c r="AH276" s="31">
        <v>130</v>
      </c>
      <c r="AI276" s="31">
        <v>116.5</v>
      </c>
      <c r="AJ276" s="37">
        <v>13.5</v>
      </c>
      <c r="AK276" s="37">
        <v>11.587982832618025</v>
      </c>
      <c r="AL276" s="36">
        <v>164</v>
      </c>
      <c r="AM276" s="36">
        <v>123.5</v>
      </c>
      <c r="AN276" s="37">
        <v>40.5</v>
      </c>
      <c r="AO276" s="37">
        <v>32.793522267206477</v>
      </c>
      <c r="AP276" s="38">
        <v>1540</v>
      </c>
      <c r="AQ276" s="39">
        <v>1241.5</v>
      </c>
      <c r="AR276" s="37">
        <v>298.5</v>
      </c>
      <c r="AS276" s="37">
        <v>24.043495771244462</v>
      </c>
      <c r="AT276" s="36">
        <v>1602</v>
      </c>
      <c r="AU276" s="36">
        <v>1805.5</v>
      </c>
      <c r="AV276" s="37">
        <v>-203.5</v>
      </c>
      <c r="AW276" s="37">
        <v>-11.271116034339517</v>
      </c>
      <c r="AX276" s="5">
        <v>106242</v>
      </c>
      <c r="AY276" t="str">
        <f t="shared" si="98"/>
        <v>VAIBHAV-KARTIK-LAXMI</v>
      </c>
      <c r="AZ276" t="str">
        <f t="shared" si="99"/>
        <v>Outer Ring Road</v>
      </c>
      <c r="BC276" s="5">
        <v>106323</v>
      </c>
      <c r="BD276" s="5" t="s">
        <v>581</v>
      </c>
      <c r="BE276" s="46" t="s">
        <v>715</v>
      </c>
      <c r="BF276" s="13" t="s">
        <v>716</v>
      </c>
      <c r="BG276" s="6" t="s">
        <v>89</v>
      </c>
      <c r="BH276" s="6" t="s">
        <v>204</v>
      </c>
      <c r="BI276" s="12" t="s">
        <v>204</v>
      </c>
      <c r="BJ276" s="51" t="s">
        <v>205</v>
      </c>
    </row>
    <row r="277" spans="1:62" ht="48.5" x14ac:dyDescent="0.35">
      <c r="A277">
        <v>186871</v>
      </c>
      <c r="B277" s="84">
        <f t="shared" si="80"/>
        <v>108</v>
      </c>
      <c r="C277" s="84">
        <f t="shared" si="81"/>
        <v>122</v>
      </c>
      <c r="E277" s="5">
        <v>186858</v>
      </c>
      <c r="F277" s="19">
        <v>575</v>
      </c>
      <c r="G277" s="19">
        <v>630</v>
      </c>
      <c r="H277" s="19">
        <v>531</v>
      </c>
      <c r="I277" s="19">
        <v>621</v>
      </c>
      <c r="J277" s="19">
        <v>81</v>
      </c>
      <c r="K277" s="19">
        <v>99</v>
      </c>
      <c r="L277" s="19">
        <v>85</v>
      </c>
      <c r="M277" s="19">
        <v>90</v>
      </c>
      <c r="N277" s="5">
        <v>312646</v>
      </c>
      <c r="O277">
        <f t="shared" si="82"/>
        <v>359.49299999999897</v>
      </c>
      <c r="P277">
        <f t="shared" si="83"/>
        <v>355.66500000000002</v>
      </c>
      <c r="Q277">
        <f t="shared" si="84"/>
        <v>83.540999999999897</v>
      </c>
      <c r="R277">
        <f t="shared" si="85"/>
        <v>90.721999999999994</v>
      </c>
      <c r="S277">
        <f t="shared" si="86"/>
        <v>314.649</v>
      </c>
      <c r="T277">
        <f t="shared" si="87"/>
        <v>318.10299999999989</v>
      </c>
      <c r="U277">
        <f t="shared" si="88"/>
        <v>73.988</v>
      </c>
      <c r="V277">
        <f t="shared" si="89"/>
        <v>83.644999999999911</v>
      </c>
      <c r="X277" s="5">
        <v>371684</v>
      </c>
      <c r="Y277">
        <f t="shared" si="90"/>
        <v>64</v>
      </c>
      <c r="Z277">
        <f t="shared" si="91"/>
        <v>46</v>
      </c>
      <c r="AA277">
        <f t="shared" si="92"/>
        <v>8</v>
      </c>
      <c r="AB277">
        <f t="shared" si="93"/>
        <v>4</v>
      </c>
      <c r="AC277">
        <f t="shared" si="94"/>
        <v>635.5</v>
      </c>
      <c r="AD277">
        <f t="shared" si="95"/>
        <v>94</v>
      </c>
      <c r="AE277">
        <f t="shared" si="96"/>
        <v>78.5</v>
      </c>
      <c r="AF277">
        <f t="shared" si="97"/>
        <v>26</v>
      </c>
      <c r="AG277" s="5">
        <v>312646</v>
      </c>
      <c r="AH277" s="31">
        <v>359.49299999999897</v>
      </c>
      <c r="AI277" s="31">
        <v>355.66500000000002</v>
      </c>
      <c r="AJ277" s="37">
        <v>3.8279999999989514</v>
      </c>
      <c r="AK277" s="37">
        <v>1.0762937033441444</v>
      </c>
      <c r="AL277" s="36">
        <v>83.540999999999897</v>
      </c>
      <c r="AM277" s="36">
        <v>90.721999999999994</v>
      </c>
      <c r="AN277" s="37">
        <v>-7.1810000000000969</v>
      </c>
      <c r="AO277" s="37">
        <v>-7.9153898723574185</v>
      </c>
      <c r="AP277" s="38">
        <v>4338.9049999999979</v>
      </c>
      <c r="AQ277" s="39">
        <v>3530.2839999999997</v>
      </c>
      <c r="AR277" s="37">
        <v>808.62099999999828</v>
      </c>
      <c r="AS277" s="37">
        <v>22.905267678181083</v>
      </c>
      <c r="AT277" s="36">
        <v>1035.4749999999997</v>
      </c>
      <c r="AU277" s="36">
        <v>1106.1869999999997</v>
      </c>
      <c r="AV277" s="37">
        <v>-70.711999999999989</v>
      </c>
      <c r="AW277" s="37">
        <v>-6.3924092400290373</v>
      </c>
      <c r="AX277" s="5">
        <v>186858</v>
      </c>
      <c r="AY277" t="str">
        <f t="shared" si="98"/>
        <v>White Patch_Old GT Road</v>
      </c>
      <c r="AZ277" t="str">
        <f t="shared" si="99"/>
        <v>Old GT Road (NH1)</v>
      </c>
      <c r="BC277" s="5">
        <v>312646</v>
      </c>
      <c r="BD277" s="5" t="s">
        <v>581</v>
      </c>
      <c r="BE277" s="46" t="s">
        <v>717</v>
      </c>
      <c r="BF277" s="13" t="s">
        <v>718</v>
      </c>
      <c r="BG277" s="6" t="s">
        <v>81</v>
      </c>
      <c r="BH277" s="6" t="s">
        <v>719</v>
      </c>
      <c r="BI277" s="12" t="s">
        <v>719</v>
      </c>
      <c r="BJ277" s="51" t="s">
        <v>135</v>
      </c>
    </row>
    <row r="278" spans="1:62" ht="24.5" x14ac:dyDescent="0.35">
      <c r="A278">
        <v>106324</v>
      </c>
      <c r="B278" s="84">
        <f t="shared" si="80"/>
        <v>468.5</v>
      </c>
      <c r="C278" s="84">
        <f t="shared" si="81"/>
        <v>502</v>
      </c>
      <c r="E278" s="5">
        <v>106247</v>
      </c>
      <c r="F278" s="19">
        <v>308</v>
      </c>
      <c r="G278" s="19">
        <v>304</v>
      </c>
      <c r="H278" s="19">
        <v>274</v>
      </c>
      <c r="I278" s="19">
        <v>286</v>
      </c>
      <c r="J278" s="19">
        <v>44</v>
      </c>
      <c r="K278" s="19">
        <v>52</v>
      </c>
      <c r="L278" s="19">
        <v>52</v>
      </c>
      <c r="M278" s="19">
        <v>44</v>
      </c>
      <c r="N278" s="5">
        <v>312687</v>
      </c>
      <c r="O278">
        <f t="shared" si="82"/>
        <v>241.197</v>
      </c>
      <c r="P278">
        <f t="shared" si="83"/>
        <v>233.14800000000002</v>
      </c>
      <c r="Q278">
        <f t="shared" si="84"/>
        <v>90.855999999999895</v>
      </c>
      <c r="R278">
        <f t="shared" si="85"/>
        <v>124.47800000000001</v>
      </c>
      <c r="S278">
        <f t="shared" si="86"/>
        <v>208.261</v>
      </c>
      <c r="T278">
        <f t="shared" si="87"/>
        <v>210.36600000000001</v>
      </c>
      <c r="U278">
        <f t="shared" si="88"/>
        <v>82.659000000000006</v>
      </c>
      <c r="V278">
        <f t="shared" si="89"/>
        <v>121.01100000000008</v>
      </c>
      <c r="X278" s="5">
        <v>106246</v>
      </c>
      <c r="Y278">
        <f t="shared" si="90"/>
        <v>0</v>
      </c>
      <c r="Z278">
        <f t="shared" si="91"/>
        <v>0</v>
      </c>
      <c r="AA278">
        <f t="shared" si="92"/>
        <v>4.5</v>
      </c>
      <c r="AB278">
        <f t="shared" si="93"/>
        <v>9</v>
      </c>
      <c r="AC278">
        <f t="shared" si="94"/>
        <v>0</v>
      </c>
      <c r="AD278">
        <f t="shared" si="95"/>
        <v>0</v>
      </c>
      <c r="AE278">
        <f t="shared" si="96"/>
        <v>101</v>
      </c>
      <c r="AF278">
        <f t="shared" si="97"/>
        <v>34.5</v>
      </c>
      <c r="AG278" s="5">
        <v>312687</v>
      </c>
      <c r="AH278" s="31">
        <v>241.197</v>
      </c>
      <c r="AI278" s="31">
        <v>233.14800000000002</v>
      </c>
      <c r="AJ278" s="37">
        <v>8.0489999999999782</v>
      </c>
      <c r="AK278" s="37">
        <v>3.4523135519069332</v>
      </c>
      <c r="AL278" s="36">
        <v>90.855999999999895</v>
      </c>
      <c r="AM278" s="36">
        <v>124.47800000000001</v>
      </c>
      <c r="AN278" s="37">
        <v>-33.622000000000114</v>
      </c>
      <c r="AO278" s="37">
        <v>-27.010395411237415</v>
      </c>
      <c r="AP278" s="38">
        <v>2943.7079999999996</v>
      </c>
      <c r="AQ278" s="39">
        <v>2377.6959999999999</v>
      </c>
      <c r="AR278" s="37">
        <v>566.01199999999972</v>
      </c>
      <c r="AS278" s="37">
        <v>23.80506170679514</v>
      </c>
      <c r="AT278" s="36">
        <v>1185.2109999999998</v>
      </c>
      <c r="AU278" s="36">
        <v>1529.8989999999999</v>
      </c>
      <c r="AV278" s="37">
        <v>-344.6880000000001</v>
      </c>
      <c r="AW278" s="37">
        <v>-22.530114733064085</v>
      </c>
      <c r="AX278" s="5">
        <v>106247</v>
      </c>
      <c r="AY278" t="str">
        <f t="shared" si="98"/>
        <v>MATTA</v>
      </c>
      <c r="AZ278" t="str">
        <f t="shared" si="99"/>
        <v>Mayur Vihar -Anand Vihar -Preet Vihar</v>
      </c>
      <c r="BC278" s="5">
        <v>312687</v>
      </c>
      <c r="BD278" s="5" t="s">
        <v>581</v>
      </c>
      <c r="BE278" s="46" t="s">
        <v>720</v>
      </c>
      <c r="BF278" s="13" t="s">
        <v>485</v>
      </c>
      <c r="BG278" s="6" t="s">
        <v>103</v>
      </c>
      <c r="BH278" s="6" t="s">
        <v>104</v>
      </c>
      <c r="BI278" s="12" t="s">
        <v>104</v>
      </c>
      <c r="BJ278" s="51" t="s">
        <v>105</v>
      </c>
    </row>
    <row r="279" spans="1:62" ht="36.5" x14ac:dyDescent="0.35">
      <c r="A279">
        <v>106325</v>
      </c>
      <c r="B279" s="84">
        <f t="shared" si="80"/>
        <v>90</v>
      </c>
      <c r="C279" s="84">
        <f t="shared" si="81"/>
        <v>115</v>
      </c>
      <c r="E279" s="5">
        <v>185484</v>
      </c>
      <c r="F279" s="19">
        <v>162</v>
      </c>
      <c r="G279" s="19">
        <v>157</v>
      </c>
      <c r="H279" s="19">
        <v>131</v>
      </c>
      <c r="I279" s="19">
        <v>146</v>
      </c>
      <c r="J279" s="19">
        <v>19</v>
      </c>
      <c r="K279" s="19">
        <v>18</v>
      </c>
      <c r="L279" s="19">
        <v>8</v>
      </c>
      <c r="M279" s="19">
        <v>17</v>
      </c>
      <c r="N279" s="5">
        <v>106366</v>
      </c>
      <c r="O279">
        <f t="shared" si="82"/>
        <v>594</v>
      </c>
      <c r="P279">
        <f t="shared" si="83"/>
        <v>539.5</v>
      </c>
      <c r="Q279">
        <f t="shared" si="84"/>
        <v>90</v>
      </c>
      <c r="R279">
        <f t="shared" si="85"/>
        <v>92.5</v>
      </c>
      <c r="S279">
        <f t="shared" si="86"/>
        <v>517.5</v>
      </c>
      <c r="T279">
        <f t="shared" si="87"/>
        <v>472.5</v>
      </c>
      <c r="U279">
        <f t="shared" si="88"/>
        <v>76.5</v>
      </c>
      <c r="V279">
        <f t="shared" si="89"/>
        <v>85.5</v>
      </c>
      <c r="X279" s="3">
        <v>255872</v>
      </c>
      <c r="Y279">
        <f t="shared" si="90"/>
        <v>0</v>
      </c>
      <c r="Z279">
        <f t="shared" si="91"/>
        <v>0</v>
      </c>
      <c r="AA279">
        <f t="shared" si="92"/>
        <v>4</v>
      </c>
      <c r="AB279">
        <f t="shared" si="93"/>
        <v>4</v>
      </c>
      <c r="AC279">
        <f t="shared" si="94"/>
        <v>0</v>
      </c>
      <c r="AD279">
        <f t="shared" si="95"/>
        <v>0</v>
      </c>
      <c r="AE279">
        <f t="shared" si="96"/>
        <v>12</v>
      </c>
      <c r="AF279">
        <f t="shared" si="97"/>
        <v>4</v>
      </c>
      <c r="AG279" s="5">
        <v>106366</v>
      </c>
      <c r="AH279" s="31">
        <v>594</v>
      </c>
      <c r="AI279" s="31">
        <v>539.5</v>
      </c>
      <c r="AJ279" s="37">
        <v>54.5</v>
      </c>
      <c r="AK279" s="37">
        <v>10.101946246524559</v>
      </c>
      <c r="AL279" s="36">
        <v>90</v>
      </c>
      <c r="AM279" s="36">
        <v>92.5</v>
      </c>
      <c r="AN279" s="37">
        <v>-2.5</v>
      </c>
      <c r="AO279" s="37">
        <v>-2.7027027027027026</v>
      </c>
      <c r="AP279" s="38">
        <v>6887</v>
      </c>
      <c r="AQ279" s="39">
        <v>5402</v>
      </c>
      <c r="AR279" s="37">
        <v>1485</v>
      </c>
      <c r="AS279" s="37">
        <v>27.489818585708996</v>
      </c>
      <c r="AT279" s="36">
        <v>1059</v>
      </c>
      <c r="AU279" s="36">
        <v>1270</v>
      </c>
      <c r="AV279" s="37">
        <v>-211</v>
      </c>
      <c r="AW279" s="37">
        <v>-16.614173228346456</v>
      </c>
      <c r="AX279" s="5">
        <v>185484</v>
      </c>
      <c r="AY279" t="str">
        <f t="shared" si="98"/>
        <v>ROHINI_SANJEEV</v>
      </c>
      <c r="AZ279" t="str">
        <f t="shared" si="99"/>
        <v>Rohini</v>
      </c>
      <c r="BC279" s="5">
        <v>106366</v>
      </c>
      <c r="BD279" s="5" t="s">
        <v>581</v>
      </c>
      <c r="BE279" s="46" t="s">
        <v>721</v>
      </c>
      <c r="BF279" s="13" t="s">
        <v>722</v>
      </c>
      <c r="BG279" s="6" t="s">
        <v>85</v>
      </c>
      <c r="BH279" s="6" t="s">
        <v>337</v>
      </c>
      <c r="BI279" s="12" t="s">
        <v>337</v>
      </c>
      <c r="BJ279" s="51" t="s">
        <v>248</v>
      </c>
    </row>
    <row r="280" spans="1:62" ht="48.5" x14ac:dyDescent="0.35">
      <c r="A280">
        <v>106326</v>
      </c>
      <c r="B280" s="84">
        <f t="shared" si="80"/>
        <v>347</v>
      </c>
      <c r="C280" s="84">
        <f t="shared" si="81"/>
        <v>387</v>
      </c>
      <c r="E280" s="5">
        <v>186860</v>
      </c>
      <c r="F280" s="19">
        <v>705</v>
      </c>
      <c r="G280" s="19">
        <v>770</v>
      </c>
      <c r="H280" s="19">
        <v>630</v>
      </c>
      <c r="I280" s="19">
        <v>733</v>
      </c>
      <c r="J280" s="19">
        <v>216</v>
      </c>
      <c r="K280" s="19">
        <v>233</v>
      </c>
      <c r="L280" s="19">
        <v>215</v>
      </c>
      <c r="M280" s="19">
        <v>210</v>
      </c>
      <c r="N280" s="5">
        <v>185374</v>
      </c>
      <c r="O280">
        <f t="shared" si="82"/>
        <v>56</v>
      </c>
      <c r="P280">
        <f t="shared" si="83"/>
        <v>66</v>
      </c>
      <c r="Q280">
        <f t="shared" si="84"/>
        <v>42</v>
      </c>
      <c r="R280">
        <f t="shared" si="85"/>
        <v>30</v>
      </c>
      <c r="S280">
        <f t="shared" si="86"/>
        <v>75.5</v>
      </c>
      <c r="T280">
        <f t="shared" si="87"/>
        <v>52</v>
      </c>
      <c r="U280">
        <f t="shared" si="88"/>
        <v>26.5</v>
      </c>
      <c r="V280">
        <f t="shared" si="89"/>
        <v>26</v>
      </c>
      <c r="X280" s="3">
        <v>236924</v>
      </c>
      <c r="Y280">
        <f t="shared" si="90"/>
        <v>0</v>
      </c>
      <c r="Z280">
        <f t="shared" si="91"/>
        <v>0</v>
      </c>
      <c r="AA280">
        <f t="shared" si="92"/>
        <v>0</v>
      </c>
      <c r="AB280">
        <f t="shared" si="93"/>
        <v>0</v>
      </c>
      <c r="AC280">
        <f t="shared" si="94"/>
        <v>353</v>
      </c>
      <c r="AD280">
        <f t="shared" si="95"/>
        <v>1905.3889999999999</v>
      </c>
      <c r="AE280">
        <f t="shared" si="96"/>
        <v>308</v>
      </c>
      <c r="AF280">
        <f t="shared" si="97"/>
        <v>1693.8810000000001</v>
      </c>
      <c r="AG280" s="5">
        <v>185374</v>
      </c>
      <c r="AH280" s="31">
        <v>56</v>
      </c>
      <c r="AI280" s="31">
        <v>66</v>
      </c>
      <c r="AJ280" s="37">
        <v>-10</v>
      </c>
      <c r="AK280" s="37">
        <v>-15.151515151515152</v>
      </c>
      <c r="AL280" s="36">
        <v>42</v>
      </c>
      <c r="AM280" s="36">
        <v>30</v>
      </c>
      <c r="AN280" s="37">
        <v>12</v>
      </c>
      <c r="AO280" s="37">
        <v>40</v>
      </c>
      <c r="AP280" s="38">
        <v>853</v>
      </c>
      <c r="AQ280" s="39">
        <v>531</v>
      </c>
      <c r="AR280" s="37">
        <v>322</v>
      </c>
      <c r="AS280" s="37">
        <v>60.640301318267419</v>
      </c>
      <c r="AT280" s="36">
        <v>503</v>
      </c>
      <c r="AU280" s="36">
        <v>367</v>
      </c>
      <c r="AV280" s="37">
        <v>136</v>
      </c>
      <c r="AW280" s="37">
        <v>37.057220708446863</v>
      </c>
      <c r="AX280" s="5">
        <v>186860</v>
      </c>
      <c r="AY280" t="str">
        <f t="shared" si="98"/>
        <v>White Patch_IGI_NH8</v>
      </c>
      <c r="AZ280" t="str">
        <f t="shared" si="99"/>
        <v>Dwarka</v>
      </c>
      <c r="BC280" s="5">
        <v>185374</v>
      </c>
      <c r="BD280" s="5" t="s">
        <v>581</v>
      </c>
      <c r="BE280" s="46" t="s">
        <v>723</v>
      </c>
      <c r="BF280" s="13" t="s">
        <v>724</v>
      </c>
      <c r="BG280" s="6" t="s">
        <v>200</v>
      </c>
      <c r="BH280" s="6" t="s">
        <v>268</v>
      </c>
      <c r="BI280" s="12" t="s">
        <v>268</v>
      </c>
      <c r="BJ280" s="51" t="s">
        <v>91</v>
      </c>
    </row>
    <row r="281" spans="1:62" ht="60.5" x14ac:dyDescent="0.35">
      <c r="A281">
        <v>112441</v>
      </c>
      <c r="B281" s="84">
        <f t="shared" si="80"/>
        <v>625.5</v>
      </c>
      <c r="C281" s="84">
        <f t="shared" si="81"/>
        <v>706.5</v>
      </c>
      <c r="E281" s="5">
        <v>102073</v>
      </c>
      <c r="F281" s="19">
        <v>524</v>
      </c>
      <c r="G281" s="19">
        <v>578</v>
      </c>
      <c r="H281" s="19">
        <v>485.5</v>
      </c>
      <c r="I281" s="19">
        <v>554</v>
      </c>
      <c r="J281" s="19">
        <v>148.5</v>
      </c>
      <c r="K281" s="19">
        <v>172</v>
      </c>
      <c r="L281" s="19">
        <v>140</v>
      </c>
      <c r="M281" s="19">
        <v>156</v>
      </c>
      <c r="N281" s="5">
        <v>106247</v>
      </c>
      <c r="O281">
        <f t="shared" si="82"/>
        <v>304</v>
      </c>
      <c r="P281">
        <f t="shared" si="83"/>
        <v>286</v>
      </c>
      <c r="Q281">
        <f t="shared" si="84"/>
        <v>44</v>
      </c>
      <c r="R281">
        <f t="shared" si="85"/>
        <v>52</v>
      </c>
      <c r="S281">
        <f t="shared" si="86"/>
        <v>308</v>
      </c>
      <c r="T281">
        <f t="shared" si="87"/>
        <v>274</v>
      </c>
      <c r="U281">
        <f t="shared" si="88"/>
        <v>52</v>
      </c>
      <c r="V281">
        <f t="shared" si="89"/>
        <v>44</v>
      </c>
      <c r="X281" s="3">
        <v>256507</v>
      </c>
      <c r="Y281">
        <f t="shared" si="90"/>
        <v>0</v>
      </c>
      <c r="Z281">
        <f t="shared" si="91"/>
        <v>0</v>
      </c>
      <c r="AA281">
        <f t="shared" si="92"/>
        <v>0</v>
      </c>
      <c r="AB281">
        <f t="shared" si="93"/>
        <v>6</v>
      </c>
      <c r="AC281">
        <f t="shared" si="94"/>
        <v>0</v>
      </c>
      <c r="AD281">
        <f t="shared" si="95"/>
        <v>0</v>
      </c>
      <c r="AE281">
        <f t="shared" si="96"/>
        <v>114</v>
      </c>
      <c r="AF281">
        <f t="shared" si="97"/>
        <v>6</v>
      </c>
      <c r="AG281" s="5">
        <v>106247</v>
      </c>
      <c r="AH281" s="31">
        <v>304</v>
      </c>
      <c r="AI281" s="31">
        <v>286</v>
      </c>
      <c r="AJ281" s="37">
        <v>18</v>
      </c>
      <c r="AK281" s="37">
        <v>6.2937062937062942</v>
      </c>
      <c r="AL281" s="36">
        <v>44</v>
      </c>
      <c r="AM281" s="36">
        <v>52</v>
      </c>
      <c r="AN281" s="37">
        <v>-8</v>
      </c>
      <c r="AO281" s="37">
        <v>-15.384615384615385</v>
      </c>
      <c r="AP281" s="38">
        <v>3885.5</v>
      </c>
      <c r="AQ281" s="39">
        <v>3177</v>
      </c>
      <c r="AR281" s="37">
        <v>708.5</v>
      </c>
      <c r="AS281" s="37">
        <v>22.300912810827825</v>
      </c>
      <c r="AT281" s="36">
        <v>630.5</v>
      </c>
      <c r="AU281" s="36">
        <v>783</v>
      </c>
      <c r="AV281" s="37">
        <v>-152.5</v>
      </c>
      <c r="AW281" s="37">
        <v>-19.476372924648786</v>
      </c>
      <c r="AX281" s="5">
        <v>102073</v>
      </c>
      <c r="AY281" t="str">
        <f t="shared" si="98"/>
        <v>BP SHANTIPATH</v>
      </c>
      <c r="AZ281" t="str">
        <f t="shared" si="99"/>
        <v>Lutyens</v>
      </c>
      <c r="BC281" s="5">
        <v>106247</v>
      </c>
      <c r="BD281" s="5" t="s">
        <v>581</v>
      </c>
      <c r="BE281" s="46" t="s">
        <v>725</v>
      </c>
      <c r="BF281" s="13" t="s">
        <v>726</v>
      </c>
      <c r="BG281" s="6" t="s">
        <v>169</v>
      </c>
      <c r="BH281" s="6" t="s">
        <v>76</v>
      </c>
      <c r="BI281" s="12" t="s">
        <v>76</v>
      </c>
      <c r="BJ281" s="51" t="s">
        <v>77</v>
      </c>
    </row>
    <row r="282" spans="1:62" ht="36.5" x14ac:dyDescent="0.35">
      <c r="A282">
        <v>41057012</v>
      </c>
      <c r="B282" s="84">
        <f t="shared" si="80"/>
        <v>243</v>
      </c>
      <c r="C282" s="84">
        <f t="shared" si="81"/>
        <v>281</v>
      </c>
      <c r="E282" s="5">
        <v>186857</v>
      </c>
      <c r="F282" s="19">
        <v>157.5</v>
      </c>
      <c r="G282" s="19">
        <v>184.5</v>
      </c>
      <c r="H282" s="19">
        <v>139.5</v>
      </c>
      <c r="I282" s="19">
        <v>157.5</v>
      </c>
      <c r="J282" s="19">
        <v>22.5</v>
      </c>
      <c r="K282" s="19">
        <v>22.5</v>
      </c>
      <c r="L282" s="19">
        <v>22.5</v>
      </c>
      <c r="M282" s="19">
        <v>67.5</v>
      </c>
      <c r="N282" s="5">
        <v>107629</v>
      </c>
      <c r="O282">
        <f t="shared" si="82"/>
        <v>562.5</v>
      </c>
      <c r="P282">
        <f t="shared" si="83"/>
        <v>485.5</v>
      </c>
      <c r="Q282">
        <f t="shared" si="84"/>
        <v>139.5</v>
      </c>
      <c r="R282">
        <f t="shared" si="85"/>
        <v>148.5</v>
      </c>
      <c r="S282">
        <f t="shared" si="86"/>
        <v>513</v>
      </c>
      <c r="T282">
        <f t="shared" si="87"/>
        <v>524</v>
      </c>
      <c r="U282">
        <f t="shared" si="88"/>
        <v>153</v>
      </c>
      <c r="V282">
        <f t="shared" si="89"/>
        <v>162</v>
      </c>
      <c r="X282" s="5">
        <v>106314</v>
      </c>
      <c r="Y282">
        <f t="shared" si="90"/>
        <v>95</v>
      </c>
      <c r="Z282">
        <f t="shared" si="91"/>
        <v>82</v>
      </c>
      <c r="AA282">
        <f t="shared" si="92"/>
        <v>0</v>
      </c>
      <c r="AB282">
        <f t="shared" si="93"/>
        <v>0</v>
      </c>
      <c r="AC282">
        <f t="shared" si="94"/>
        <v>1144</v>
      </c>
      <c r="AD282">
        <f t="shared" si="95"/>
        <v>929</v>
      </c>
      <c r="AE282">
        <f t="shared" si="96"/>
        <v>0</v>
      </c>
      <c r="AF282">
        <f t="shared" si="97"/>
        <v>0</v>
      </c>
      <c r="AG282" s="5">
        <v>107629</v>
      </c>
      <c r="AH282" s="31">
        <v>562.5</v>
      </c>
      <c r="AI282" s="31">
        <v>485.5</v>
      </c>
      <c r="AJ282" s="37">
        <v>77</v>
      </c>
      <c r="AK282" s="37">
        <v>15.859938208032956</v>
      </c>
      <c r="AL282" s="36">
        <v>139.5</v>
      </c>
      <c r="AM282" s="36">
        <v>148.5</v>
      </c>
      <c r="AN282" s="37">
        <v>-9</v>
      </c>
      <c r="AO282" s="37">
        <v>-6.0606060606060606</v>
      </c>
      <c r="AP282" s="38">
        <v>6426</v>
      </c>
      <c r="AQ282" s="39">
        <v>5731</v>
      </c>
      <c r="AR282" s="37">
        <v>695</v>
      </c>
      <c r="AS282" s="37">
        <v>12.127028441807711</v>
      </c>
      <c r="AT282" s="36">
        <v>1800</v>
      </c>
      <c r="AU282" s="36">
        <v>2227.5</v>
      </c>
      <c r="AV282" s="37">
        <v>-427.5</v>
      </c>
      <c r="AW282" s="37">
        <v>-19.19191919191919</v>
      </c>
      <c r="AX282" s="5">
        <v>186857</v>
      </c>
      <c r="AY282" t="str">
        <f t="shared" si="98"/>
        <v>RN MOTORS</v>
      </c>
      <c r="AZ282" t="str">
        <f t="shared" si="99"/>
        <v>Outer Ring Road</v>
      </c>
      <c r="BC282" s="5">
        <v>107629</v>
      </c>
      <c r="BD282" s="5" t="s">
        <v>581</v>
      </c>
      <c r="BE282" s="46" t="s">
        <v>727</v>
      </c>
      <c r="BF282" s="13" t="s">
        <v>728</v>
      </c>
      <c r="BG282" s="6" t="s">
        <v>111</v>
      </c>
      <c r="BH282" s="6" t="s">
        <v>112</v>
      </c>
      <c r="BI282" s="12" t="s">
        <v>112</v>
      </c>
      <c r="BJ282" s="51" t="s">
        <v>275</v>
      </c>
    </row>
    <row r="283" spans="1:62" ht="24.5" x14ac:dyDescent="0.35">
      <c r="A283">
        <v>112442</v>
      </c>
      <c r="B283" s="84">
        <f t="shared" si="80"/>
        <v>244</v>
      </c>
      <c r="C283" s="84">
        <f t="shared" si="81"/>
        <v>234.5</v>
      </c>
      <c r="E283" s="5">
        <v>107653</v>
      </c>
      <c r="F283" s="19">
        <v>180</v>
      </c>
      <c r="G283" s="19">
        <v>199</v>
      </c>
      <c r="H283" s="19">
        <v>170</v>
      </c>
      <c r="I283" s="19">
        <v>218</v>
      </c>
      <c r="J283" s="19">
        <v>52</v>
      </c>
      <c r="K283" s="19">
        <v>64</v>
      </c>
      <c r="L283" s="19">
        <v>36</v>
      </c>
      <c r="M283" s="19">
        <v>49</v>
      </c>
      <c r="N283" s="5">
        <v>186832</v>
      </c>
      <c r="O283">
        <f t="shared" si="82"/>
        <v>644</v>
      </c>
      <c r="P283">
        <f t="shared" si="83"/>
        <v>582</v>
      </c>
      <c r="Q283">
        <f t="shared" si="84"/>
        <v>82</v>
      </c>
      <c r="R283">
        <f t="shared" si="85"/>
        <v>56</v>
      </c>
      <c r="S283">
        <f t="shared" si="86"/>
        <v>586</v>
      </c>
      <c r="T283">
        <f t="shared" si="87"/>
        <v>528</v>
      </c>
      <c r="U283">
        <f t="shared" si="88"/>
        <v>74</v>
      </c>
      <c r="V283">
        <f t="shared" si="89"/>
        <v>66</v>
      </c>
      <c r="X283" s="5">
        <v>186845</v>
      </c>
      <c r="Y283">
        <f t="shared" si="90"/>
        <v>69.5</v>
      </c>
      <c r="Z283">
        <f t="shared" si="91"/>
        <v>0</v>
      </c>
      <c r="AA283">
        <f t="shared" si="92"/>
        <v>4</v>
      </c>
      <c r="AB283">
        <f t="shared" si="93"/>
        <v>0</v>
      </c>
      <c r="AC283">
        <f t="shared" si="94"/>
        <v>625</v>
      </c>
      <c r="AD283">
        <f t="shared" si="95"/>
        <v>586</v>
      </c>
      <c r="AE283">
        <f t="shared" si="96"/>
        <v>12</v>
      </c>
      <c r="AF283">
        <f t="shared" si="97"/>
        <v>8</v>
      </c>
      <c r="AG283" s="5">
        <v>186832</v>
      </c>
      <c r="AH283" s="31">
        <v>644</v>
      </c>
      <c r="AI283" s="31">
        <v>582</v>
      </c>
      <c r="AJ283" s="37">
        <v>62</v>
      </c>
      <c r="AK283" s="37">
        <v>10.652920962199312</v>
      </c>
      <c r="AL283" s="36">
        <v>82</v>
      </c>
      <c r="AM283" s="36">
        <v>56</v>
      </c>
      <c r="AN283" s="37">
        <v>26</v>
      </c>
      <c r="AO283" s="37">
        <v>46.428571428571431</v>
      </c>
      <c r="AP283" s="38">
        <v>7210</v>
      </c>
      <c r="AQ283" s="39">
        <v>5953</v>
      </c>
      <c r="AR283" s="37">
        <v>1257</v>
      </c>
      <c r="AS283" s="37">
        <v>21.11540399798421</v>
      </c>
      <c r="AT283" s="36">
        <v>898</v>
      </c>
      <c r="AU283" s="36">
        <v>879</v>
      </c>
      <c r="AV283" s="37">
        <v>19</v>
      </c>
      <c r="AW283" s="37">
        <v>2.1615472127417523</v>
      </c>
      <c r="AX283" s="5">
        <v>107653</v>
      </c>
      <c r="AY283" t="str">
        <f t="shared" si="98"/>
        <v>White Patch- Pitampura</v>
      </c>
      <c r="AZ283" t="str">
        <f t="shared" si="99"/>
        <v>Pitampura</v>
      </c>
      <c r="BC283" s="5">
        <v>186832</v>
      </c>
      <c r="BD283" s="5" t="s">
        <v>581</v>
      </c>
      <c r="BE283" s="46" t="s">
        <v>729</v>
      </c>
      <c r="BF283" s="13" t="s">
        <v>472</v>
      </c>
      <c r="BG283" s="6" t="s">
        <v>228</v>
      </c>
      <c r="BH283" s="6" t="s">
        <v>241</v>
      </c>
      <c r="BI283" s="12" t="s">
        <v>241</v>
      </c>
      <c r="BJ283" s="51" t="s">
        <v>230</v>
      </c>
    </row>
    <row r="284" spans="1:62" ht="72.5" x14ac:dyDescent="0.35">
      <c r="A284">
        <v>106329</v>
      </c>
      <c r="B284" s="84">
        <f t="shared" si="80"/>
        <v>320.5</v>
      </c>
      <c r="C284" s="84">
        <f t="shared" si="81"/>
        <v>344.5</v>
      </c>
      <c r="E284" s="5">
        <v>106243</v>
      </c>
      <c r="F284" s="19">
        <v>430</v>
      </c>
      <c r="G284" s="19">
        <v>498</v>
      </c>
      <c r="H284" s="19">
        <v>405</v>
      </c>
      <c r="I284" s="19">
        <v>490</v>
      </c>
      <c r="J284" s="19">
        <v>95</v>
      </c>
      <c r="K284" s="19">
        <v>90</v>
      </c>
      <c r="L284" s="19">
        <v>70</v>
      </c>
      <c r="M284" s="19">
        <v>70</v>
      </c>
      <c r="N284" s="5">
        <v>106249</v>
      </c>
      <c r="O284">
        <f t="shared" si="82"/>
        <v>238</v>
      </c>
      <c r="P284">
        <f t="shared" si="83"/>
        <v>225.5</v>
      </c>
      <c r="Q284">
        <f t="shared" si="84"/>
        <v>80</v>
      </c>
      <c r="R284">
        <f t="shared" si="85"/>
        <v>76.5</v>
      </c>
      <c r="S284">
        <f t="shared" si="86"/>
        <v>234</v>
      </c>
      <c r="T284">
        <f t="shared" si="87"/>
        <v>198.5</v>
      </c>
      <c r="U284">
        <f t="shared" si="88"/>
        <v>72</v>
      </c>
      <c r="V284">
        <f t="shared" si="89"/>
        <v>69.5</v>
      </c>
      <c r="X284" s="5">
        <v>102083</v>
      </c>
      <c r="Y284">
        <f t="shared" si="90"/>
        <v>222.5</v>
      </c>
      <c r="Z284">
        <f t="shared" si="91"/>
        <v>264.5</v>
      </c>
      <c r="AA284">
        <f t="shared" si="92"/>
        <v>49.5</v>
      </c>
      <c r="AB284">
        <f t="shared" si="93"/>
        <v>51.5</v>
      </c>
      <c r="AC284">
        <f t="shared" si="94"/>
        <v>3008</v>
      </c>
      <c r="AD284">
        <f t="shared" si="95"/>
        <v>2513.5</v>
      </c>
      <c r="AE284">
        <f t="shared" si="96"/>
        <v>618</v>
      </c>
      <c r="AF284">
        <f t="shared" si="97"/>
        <v>703</v>
      </c>
      <c r="AG284" s="5">
        <v>106249</v>
      </c>
      <c r="AH284" s="31">
        <v>238</v>
      </c>
      <c r="AI284" s="31">
        <v>225.5</v>
      </c>
      <c r="AJ284" s="37">
        <v>12.5</v>
      </c>
      <c r="AK284" s="37">
        <v>5.5432372505543244</v>
      </c>
      <c r="AL284" s="36">
        <v>80</v>
      </c>
      <c r="AM284" s="36">
        <v>76.5</v>
      </c>
      <c r="AN284" s="37">
        <v>3.5</v>
      </c>
      <c r="AO284" s="37">
        <v>4.5751633986928102</v>
      </c>
      <c r="AP284" s="38">
        <v>2947.5</v>
      </c>
      <c r="AQ284" s="39">
        <v>2324</v>
      </c>
      <c r="AR284" s="37">
        <v>623.5</v>
      </c>
      <c r="AS284" s="37">
        <v>26.828743545611015</v>
      </c>
      <c r="AT284" s="36">
        <v>972.5</v>
      </c>
      <c r="AU284" s="36">
        <v>1106</v>
      </c>
      <c r="AV284" s="37">
        <v>-133.5</v>
      </c>
      <c r="AW284" s="37">
        <v>-12.070524412296564</v>
      </c>
      <c r="AX284" s="5">
        <v>106243</v>
      </c>
      <c r="AY284" t="str">
        <f t="shared" si="98"/>
        <v>AUTO CENTRE_NAVYUG_PREM</v>
      </c>
      <c r="AZ284" t="str">
        <f t="shared" si="99"/>
        <v>Greater Kailash I &amp;II</v>
      </c>
      <c r="BC284" s="5">
        <v>106249</v>
      </c>
      <c r="BD284" s="5" t="s">
        <v>581</v>
      </c>
      <c r="BE284" s="46" t="s">
        <v>730</v>
      </c>
      <c r="BF284" s="13" t="s">
        <v>731</v>
      </c>
      <c r="BG284" s="6" t="s">
        <v>103</v>
      </c>
      <c r="BH284" s="6" t="s">
        <v>483</v>
      </c>
      <c r="BI284" s="12" t="s">
        <v>483</v>
      </c>
      <c r="BJ284" s="51" t="s">
        <v>105</v>
      </c>
    </row>
    <row r="285" spans="1:62" ht="36.5" x14ac:dyDescent="0.35">
      <c r="A285">
        <v>106330</v>
      </c>
      <c r="B285" s="84">
        <f t="shared" si="80"/>
        <v>797.5</v>
      </c>
      <c r="C285" s="84">
        <f t="shared" si="81"/>
        <v>959</v>
      </c>
      <c r="E285" s="5">
        <v>274208</v>
      </c>
      <c r="F285" s="19">
        <v>391.5</v>
      </c>
      <c r="G285" s="19">
        <v>360</v>
      </c>
      <c r="H285" s="19">
        <v>382.5</v>
      </c>
      <c r="I285" s="19">
        <v>436.5</v>
      </c>
      <c r="J285" s="19">
        <v>31.5</v>
      </c>
      <c r="K285" s="19">
        <v>31.5</v>
      </c>
      <c r="L285" s="19">
        <v>40.5</v>
      </c>
      <c r="M285" s="19">
        <v>36</v>
      </c>
      <c r="N285" s="5">
        <v>102112</v>
      </c>
      <c r="O285">
        <f t="shared" si="82"/>
        <v>589.5</v>
      </c>
      <c r="P285">
        <f t="shared" si="83"/>
        <v>522</v>
      </c>
      <c r="Q285">
        <f t="shared" si="84"/>
        <v>112.5</v>
      </c>
      <c r="R285">
        <f t="shared" si="85"/>
        <v>108</v>
      </c>
      <c r="S285">
        <f t="shared" si="86"/>
        <v>562.5</v>
      </c>
      <c r="T285">
        <f t="shared" si="87"/>
        <v>468</v>
      </c>
      <c r="U285">
        <f t="shared" si="88"/>
        <v>103.5</v>
      </c>
      <c r="V285">
        <f t="shared" si="89"/>
        <v>108</v>
      </c>
      <c r="X285" s="5">
        <v>106274</v>
      </c>
      <c r="Y285">
        <f t="shared" si="90"/>
        <v>245</v>
      </c>
      <c r="Z285">
        <f t="shared" si="91"/>
        <v>241</v>
      </c>
      <c r="AA285">
        <f t="shared" si="92"/>
        <v>229</v>
      </c>
      <c r="AB285">
        <f t="shared" si="93"/>
        <v>123</v>
      </c>
      <c r="AC285">
        <f t="shared" si="94"/>
        <v>2909.5</v>
      </c>
      <c r="AD285">
        <f t="shared" si="95"/>
        <v>2554</v>
      </c>
      <c r="AE285">
        <f t="shared" si="96"/>
        <v>2584.5</v>
      </c>
      <c r="AF285">
        <f t="shared" si="97"/>
        <v>1073.5</v>
      </c>
      <c r="AG285" s="5">
        <v>102112</v>
      </c>
      <c r="AH285" s="31">
        <v>589.5</v>
      </c>
      <c r="AI285" s="31">
        <v>522</v>
      </c>
      <c r="AJ285" s="37">
        <v>67.5</v>
      </c>
      <c r="AK285" s="37">
        <v>12.931034482758621</v>
      </c>
      <c r="AL285" s="36">
        <v>112.5</v>
      </c>
      <c r="AM285" s="36">
        <v>108</v>
      </c>
      <c r="AN285" s="37">
        <v>4.5</v>
      </c>
      <c r="AO285" s="37">
        <v>4.1666666666666661</v>
      </c>
      <c r="AP285" s="38">
        <v>6826.5</v>
      </c>
      <c r="AQ285" s="39">
        <v>5112</v>
      </c>
      <c r="AR285" s="37">
        <v>1714.5</v>
      </c>
      <c r="AS285" s="37">
        <v>33.5387323943662</v>
      </c>
      <c r="AT285" s="36">
        <v>1327.5</v>
      </c>
      <c r="AU285" s="36">
        <v>1386</v>
      </c>
      <c r="AV285" s="37">
        <v>-58.5</v>
      </c>
      <c r="AW285" s="37">
        <v>-4.220779220779221</v>
      </c>
      <c r="AX285" s="5">
        <v>274208</v>
      </c>
      <c r="AY285" t="str">
        <f t="shared" si="98"/>
        <v>White Patch_Wazirabad</v>
      </c>
      <c r="AZ285" t="str">
        <f t="shared" si="99"/>
        <v>Wazirabad-Loni</v>
      </c>
      <c r="BC285" s="5">
        <v>102112</v>
      </c>
      <c r="BD285" s="5" t="s">
        <v>581</v>
      </c>
      <c r="BE285" s="46" t="s">
        <v>732</v>
      </c>
      <c r="BF285" s="13" t="s">
        <v>733</v>
      </c>
      <c r="BG285" s="6" t="s">
        <v>111</v>
      </c>
      <c r="BH285" s="6" t="s">
        <v>247</v>
      </c>
      <c r="BI285" s="12" t="s">
        <v>247</v>
      </c>
      <c r="BJ285" s="51" t="s">
        <v>248</v>
      </c>
    </row>
    <row r="286" spans="1:62" ht="36.5" x14ac:dyDescent="0.35">
      <c r="A286">
        <v>186852</v>
      </c>
      <c r="B286" s="84">
        <f t="shared" si="80"/>
        <v>207</v>
      </c>
      <c r="C286" s="84">
        <f t="shared" si="81"/>
        <v>220.5</v>
      </c>
      <c r="E286" s="5">
        <v>106315</v>
      </c>
      <c r="F286" s="19">
        <v>180</v>
      </c>
      <c r="G286" s="19">
        <v>171</v>
      </c>
      <c r="H286" s="19">
        <v>126</v>
      </c>
      <c r="I286" s="19">
        <v>169.5</v>
      </c>
      <c r="J286" s="19">
        <v>36</v>
      </c>
      <c r="K286" s="19">
        <v>22.5</v>
      </c>
      <c r="L286" s="19">
        <v>36</v>
      </c>
      <c r="M286" s="19">
        <v>63</v>
      </c>
      <c r="N286" s="5">
        <v>106250</v>
      </c>
      <c r="O286">
        <f t="shared" si="82"/>
        <v>68</v>
      </c>
      <c r="P286">
        <f t="shared" si="83"/>
        <v>58.5</v>
      </c>
      <c r="Q286">
        <f t="shared" si="84"/>
        <v>72</v>
      </c>
      <c r="R286">
        <f t="shared" si="85"/>
        <v>49.5</v>
      </c>
      <c r="S286">
        <f t="shared" si="86"/>
        <v>62.5</v>
      </c>
      <c r="T286">
        <f t="shared" si="87"/>
        <v>42</v>
      </c>
      <c r="U286">
        <f t="shared" si="88"/>
        <v>33.5</v>
      </c>
      <c r="V286">
        <f t="shared" si="89"/>
        <v>32</v>
      </c>
      <c r="X286" s="3">
        <v>112389</v>
      </c>
      <c r="Y286">
        <f t="shared" si="90"/>
        <v>169</v>
      </c>
      <c r="Z286">
        <f t="shared" si="91"/>
        <v>145</v>
      </c>
      <c r="AA286">
        <f t="shared" si="92"/>
        <v>41</v>
      </c>
      <c r="AB286">
        <f t="shared" si="93"/>
        <v>59</v>
      </c>
      <c r="AC286">
        <f t="shared" si="94"/>
        <v>2029</v>
      </c>
      <c r="AD286">
        <f t="shared" si="95"/>
        <v>1430.000002</v>
      </c>
      <c r="AE286">
        <f t="shared" si="96"/>
        <v>735</v>
      </c>
      <c r="AF286">
        <f t="shared" si="97"/>
        <v>718</v>
      </c>
      <c r="AG286" s="5">
        <v>106250</v>
      </c>
      <c r="AH286" s="31">
        <v>68</v>
      </c>
      <c r="AI286" s="31">
        <v>58.5</v>
      </c>
      <c r="AJ286" s="37">
        <v>9.5</v>
      </c>
      <c r="AK286" s="37">
        <v>16.239316239316238</v>
      </c>
      <c r="AL286" s="36">
        <v>72</v>
      </c>
      <c r="AM286" s="36">
        <v>49.5</v>
      </c>
      <c r="AN286" s="37">
        <v>22.5</v>
      </c>
      <c r="AO286" s="37">
        <v>45.454545454545453</v>
      </c>
      <c r="AP286" s="38">
        <v>741.5</v>
      </c>
      <c r="AQ286" s="39">
        <v>578</v>
      </c>
      <c r="AR286" s="37">
        <v>163.5</v>
      </c>
      <c r="AS286" s="37">
        <v>28.287197231833911</v>
      </c>
      <c r="AT286" s="36">
        <v>594.5</v>
      </c>
      <c r="AU286" s="36">
        <v>567.5</v>
      </c>
      <c r="AV286" s="37">
        <v>27</v>
      </c>
      <c r="AW286" s="37">
        <v>4.7577092511013221</v>
      </c>
      <c r="AX286" s="5">
        <v>106315</v>
      </c>
      <c r="AY286" t="str">
        <f t="shared" si="98"/>
        <v>KRISHNA-RAIZADA</v>
      </c>
      <c r="AZ286" t="str">
        <f t="shared" si="99"/>
        <v>Old Delhi</v>
      </c>
      <c r="BC286" s="5">
        <v>106250</v>
      </c>
      <c r="BD286" s="5" t="s">
        <v>581</v>
      </c>
      <c r="BE286" s="46" t="s">
        <v>734</v>
      </c>
      <c r="BF286" s="13" t="s">
        <v>735</v>
      </c>
      <c r="BG286" s="6" t="s">
        <v>81</v>
      </c>
      <c r="BH286" s="6" t="s">
        <v>736</v>
      </c>
      <c r="BI286" s="12" t="s">
        <v>736</v>
      </c>
      <c r="BJ286" s="51" t="s">
        <v>141</v>
      </c>
    </row>
    <row r="287" spans="1:62" ht="48.5" x14ac:dyDescent="0.35">
      <c r="A287">
        <v>41057013</v>
      </c>
      <c r="B287" s="84">
        <f t="shared" si="80"/>
        <v>265.5</v>
      </c>
      <c r="C287" s="84">
        <f t="shared" si="81"/>
        <v>262</v>
      </c>
      <c r="E287" s="5">
        <v>202456</v>
      </c>
      <c r="F287" s="19">
        <v>72</v>
      </c>
      <c r="G287" s="19">
        <v>80</v>
      </c>
      <c r="H287" s="19">
        <v>76</v>
      </c>
      <c r="I287" s="19">
        <v>99</v>
      </c>
      <c r="J287" s="19">
        <v>20</v>
      </c>
      <c r="K287" s="19">
        <v>17</v>
      </c>
      <c r="L287" s="19">
        <v>0</v>
      </c>
      <c r="M287" s="19">
        <v>4</v>
      </c>
      <c r="N287" s="5">
        <v>106251</v>
      </c>
      <c r="O287">
        <f t="shared" si="82"/>
        <v>572</v>
      </c>
      <c r="P287">
        <f t="shared" si="83"/>
        <v>504</v>
      </c>
      <c r="Q287">
        <f t="shared" si="84"/>
        <v>76</v>
      </c>
      <c r="R287">
        <f t="shared" si="85"/>
        <v>84</v>
      </c>
      <c r="S287">
        <f t="shared" si="86"/>
        <v>536</v>
      </c>
      <c r="T287">
        <f t="shared" si="87"/>
        <v>454.5</v>
      </c>
      <c r="U287">
        <f t="shared" si="88"/>
        <v>68</v>
      </c>
      <c r="V287">
        <f t="shared" si="89"/>
        <v>73.5</v>
      </c>
      <c r="X287" s="5">
        <v>106369</v>
      </c>
      <c r="Y287">
        <f t="shared" si="90"/>
        <v>214.5</v>
      </c>
      <c r="Z287">
        <f t="shared" si="91"/>
        <v>182.5</v>
      </c>
      <c r="AA287">
        <f t="shared" si="92"/>
        <v>147.5</v>
      </c>
      <c r="AB287">
        <f t="shared" si="93"/>
        <v>165.5</v>
      </c>
      <c r="AC287">
        <f t="shared" si="94"/>
        <v>2333</v>
      </c>
      <c r="AD287">
        <f t="shared" si="95"/>
        <v>1937.5</v>
      </c>
      <c r="AE287">
        <f t="shared" si="96"/>
        <v>1603</v>
      </c>
      <c r="AF287">
        <f t="shared" si="97"/>
        <v>1415.5</v>
      </c>
      <c r="AG287" s="5">
        <v>106251</v>
      </c>
      <c r="AH287" s="31">
        <v>572</v>
      </c>
      <c r="AI287" s="31">
        <v>504</v>
      </c>
      <c r="AJ287" s="37">
        <v>68</v>
      </c>
      <c r="AK287" s="37">
        <v>13.492063492063492</v>
      </c>
      <c r="AL287" s="36">
        <v>76</v>
      </c>
      <c r="AM287" s="36">
        <v>84</v>
      </c>
      <c r="AN287" s="37">
        <v>-8</v>
      </c>
      <c r="AO287" s="37">
        <v>-9.5238095238095237</v>
      </c>
      <c r="AP287" s="38">
        <v>6604</v>
      </c>
      <c r="AQ287" s="39">
        <v>3517</v>
      </c>
      <c r="AR287" s="37">
        <v>3087</v>
      </c>
      <c r="AS287" s="37">
        <v>87.773670742109758</v>
      </c>
      <c r="AT287" s="36">
        <v>930</v>
      </c>
      <c r="AU287" s="36">
        <v>864.5</v>
      </c>
      <c r="AV287" s="37">
        <v>65.5</v>
      </c>
      <c r="AW287" s="37">
        <v>7.5766338924233665</v>
      </c>
      <c r="AX287" s="5">
        <v>202456</v>
      </c>
      <c r="AY287" t="str">
        <f t="shared" si="98"/>
        <v>White Patch_Narela</v>
      </c>
      <c r="AZ287" t="str">
        <f t="shared" si="99"/>
        <v>Narela- Bawana</v>
      </c>
      <c r="BC287" s="5">
        <v>106251</v>
      </c>
      <c r="BD287" s="5" t="s">
        <v>581</v>
      </c>
      <c r="BE287" s="46" t="s">
        <v>737</v>
      </c>
      <c r="BF287" s="13" t="s">
        <v>738</v>
      </c>
      <c r="BG287" s="6" t="s">
        <v>94</v>
      </c>
      <c r="BH287" s="6" t="s">
        <v>251</v>
      </c>
      <c r="BI287" s="12" t="s">
        <v>251</v>
      </c>
      <c r="BJ287" s="51" t="s">
        <v>96</v>
      </c>
    </row>
    <row r="288" spans="1:62" ht="36.5" x14ac:dyDescent="0.35">
      <c r="A288">
        <v>156756</v>
      </c>
      <c r="B288" s="84">
        <f t="shared" si="80"/>
        <v>80</v>
      </c>
      <c r="C288" s="84">
        <f t="shared" si="81"/>
        <v>126.5</v>
      </c>
      <c r="E288" s="5">
        <v>102090</v>
      </c>
      <c r="F288" s="19">
        <v>184.5</v>
      </c>
      <c r="G288" s="19">
        <v>234</v>
      </c>
      <c r="H288" s="19">
        <v>169.5</v>
      </c>
      <c r="I288" s="19">
        <v>197</v>
      </c>
      <c r="J288" s="19">
        <v>50.5</v>
      </c>
      <c r="K288" s="19">
        <v>59</v>
      </c>
      <c r="L288" s="19">
        <v>49.5</v>
      </c>
      <c r="M288" s="19">
        <v>90</v>
      </c>
      <c r="N288" s="5">
        <v>102075</v>
      </c>
      <c r="O288">
        <f t="shared" si="82"/>
        <v>270</v>
      </c>
      <c r="P288">
        <f t="shared" si="83"/>
        <v>293</v>
      </c>
      <c r="Q288">
        <f t="shared" si="84"/>
        <v>70</v>
      </c>
      <c r="R288">
        <f t="shared" si="85"/>
        <v>79</v>
      </c>
      <c r="S288">
        <f t="shared" si="86"/>
        <v>270</v>
      </c>
      <c r="T288">
        <f t="shared" si="87"/>
        <v>265.5</v>
      </c>
      <c r="U288">
        <f t="shared" si="88"/>
        <v>70</v>
      </c>
      <c r="V288">
        <f t="shared" si="89"/>
        <v>76.5</v>
      </c>
      <c r="X288" s="9">
        <v>41030958</v>
      </c>
      <c r="Y288">
        <f t="shared" si="90"/>
        <v>128.5</v>
      </c>
      <c r="Z288">
        <f t="shared" si="91"/>
        <v>118.5</v>
      </c>
      <c r="AA288">
        <f t="shared" si="92"/>
        <v>9.5</v>
      </c>
      <c r="AB288">
        <f t="shared" si="93"/>
        <v>19.5</v>
      </c>
      <c r="AC288">
        <f t="shared" si="94"/>
        <v>1388</v>
      </c>
      <c r="AD288">
        <f t="shared" si="95"/>
        <v>1246</v>
      </c>
      <c r="AE288">
        <f t="shared" si="96"/>
        <v>199</v>
      </c>
      <c r="AF288">
        <f t="shared" si="97"/>
        <v>245.5</v>
      </c>
      <c r="AG288" s="5">
        <v>102075</v>
      </c>
      <c r="AH288" s="31">
        <v>270</v>
      </c>
      <c r="AI288" s="31">
        <v>293</v>
      </c>
      <c r="AJ288" s="37">
        <v>-23</v>
      </c>
      <c r="AK288" s="37">
        <v>-7.8498293515358366</v>
      </c>
      <c r="AL288" s="36">
        <v>70</v>
      </c>
      <c r="AM288" s="36">
        <v>79</v>
      </c>
      <c r="AN288" s="37">
        <v>-9</v>
      </c>
      <c r="AO288" s="37">
        <v>-11.39240506329114</v>
      </c>
      <c r="AP288" s="38">
        <v>3484</v>
      </c>
      <c r="AQ288" s="39">
        <v>3015.5</v>
      </c>
      <c r="AR288" s="37">
        <v>468.5</v>
      </c>
      <c r="AS288" s="37">
        <v>15.536395290996518</v>
      </c>
      <c r="AT288" s="36">
        <v>894</v>
      </c>
      <c r="AU288" s="36">
        <v>1930</v>
      </c>
      <c r="AV288" s="37">
        <v>-1036</v>
      </c>
      <c r="AW288" s="37">
        <v>-53.678756476683944</v>
      </c>
      <c r="AX288" s="5">
        <v>102090</v>
      </c>
      <c r="AY288" t="str">
        <f t="shared" si="98"/>
        <v>ANAND FS</v>
      </c>
      <c r="AZ288" t="str">
        <f t="shared" si="99"/>
        <v>Lutyens</v>
      </c>
      <c r="BC288" s="5">
        <v>102075</v>
      </c>
      <c r="BD288" s="5" t="s">
        <v>581</v>
      </c>
      <c r="BE288" s="46" t="s">
        <v>739</v>
      </c>
      <c r="BF288" s="13" t="s">
        <v>740</v>
      </c>
      <c r="BG288" s="6" t="s">
        <v>169</v>
      </c>
      <c r="BH288" s="6" t="s">
        <v>170</v>
      </c>
      <c r="BI288" s="12" t="s">
        <v>170</v>
      </c>
      <c r="BJ288" s="51" t="s">
        <v>172</v>
      </c>
    </row>
    <row r="289" spans="1:62" ht="72.5" x14ac:dyDescent="0.35">
      <c r="A289">
        <v>112443</v>
      </c>
      <c r="B289" s="84">
        <f t="shared" si="80"/>
        <v>320</v>
      </c>
      <c r="C289" s="84">
        <f t="shared" si="81"/>
        <v>328</v>
      </c>
      <c r="E289" s="5">
        <v>106322</v>
      </c>
      <c r="F289" s="19">
        <v>125.5</v>
      </c>
      <c r="G289" s="19">
        <v>139</v>
      </c>
      <c r="H289" s="19">
        <v>120.5</v>
      </c>
      <c r="I289" s="19">
        <v>138</v>
      </c>
      <c r="J289" s="19">
        <v>71.5</v>
      </c>
      <c r="K289" s="19">
        <v>86</v>
      </c>
      <c r="L289" s="19">
        <v>80.5</v>
      </c>
      <c r="M289" s="19">
        <v>73</v>
      </c>
      <c r="N289" s="5">
        <v>106256</v>
      </c>
      <c r="O289">
        <f t="shared" si="82"/>
        <v>293</v>
      </c>
      <c r="P289">
        <f t="shared" si="83"/>
        <v>244</v>
      </c>
      <c r="Q289">
        <f t="shared" si="84"/>
        <v>57</v>
      </c>
      <c r="R289">
        <f t="shared" si="85"/>
        <v>44</v>
      </c>
      <c r="S289">
        <f t="shared" si="86"/>
        <v>230</v>
      </c>
      <c r="T289">
        <f t="shared" si="87"/>
        <v>224</v>
      </c>
      <c r="U289">
        <f t="shared" si="88"/>
        <v>64</v>
      </c>
      <c r="V289">
        <f t="shared" si="89"/>
        <v>40</v>
      </c>
      <c r="X289" s="5">
        <v>254694</v>
      </c>
      <c r="Y289">
        <f t="shared" si="90"/>
        <v>101</v>
      </c>
      <c r="Z289">
        <f t="shared" si="91"/>
        <v>100</v>
      </c>
      <c r="AA289">
        <f t="shared" si="92"/>
        <v>73</v>
      </c>
      <c r="AB289">
        <f t="shared" si="93"/>
        <v>56</v>
      </c>
      <c r="AC289">
        <f t="shared" si="94"/>
        <v>1049</v>
      </c>
      <c r="AD289">
        <f t="shared" si="95"/>
        <v>1016.5</v>
      </c>
      <c r="AE289">
        <f t="shared" si="96"/>
        <v>799</v>
      </c>
      <c r="AF289">
        <f t="shared" si="97"/>
        <v>889</v>
      </c>
      <c r="AG289" s="5">
        <v>106256</v>
      </c>
      <c r="AH289" s="31">
        <v>293</v>
      </c>
      <c r="AI289" s="31">
        <v>244</v>
      </c>
      <c r="AJ289" s="37">
        <v>49</v>
      </c>
      <c r="AK289" s="37">
        <v>20.081967213114755</v>
      </c>
      <c r="AL289" s="36">
        <v>57</v>
      </c>
      <c r="AM289" s="36">
        <v>44</v>
      </c>
      <c r="AN289" s="37">
        <v>13</v>
      </c>
      <c r="AO289" s="37">
        <v>29.545454545454547</v>
      </c>
      <c r="AP289" s="38">
        <v>3176.5</v>
      </c>
      <c r="AQ289" s="39">
        <v>2481.5</v>
      </c>
      <c r="AR289" s="37">
        <v>695</v>
      </c>
      <c r="AS289" s="37">
        <v>28.007253677211363</v>
      </c>
      <c r="AT289" s="36">
        <v>1075.5</v>
      </c>
      <c r="AU289" s="36">
        <v>584.5</v>
      </c>
      <c r="AV289" s="37">
        <v>491</v>
      </c>
      <c r="AW289" s="37">
        <v>84.003421727972622</v>
      </c>
      <c r="AX289" s="5">
        <v>106322</v>
      </c>
      <c r="AY289" t="str">
        <f t="shared" si="98"/>
        <v>YASHWANT</v>
      </c>
      <c r="AZ289" t="str">
        <f t="shared" si="99"/>
        <v>Lutyens</v>
      </c>
      <c r="BC289" s="5">
        <v>106256</v>
      </c>
      <c r="BD289" s="5" t="s">
        <v>581</v>
      </c>
      <c r="BE289" s="46" t="s">
        <v>741</v>
      </c>
      <c r="BF289" s="13" t="s">
        <v>742</v>
      </c>
      <c r="BG289" s="6" t="s">
        <v>111</v>
      </c>
      <c r="BH289" s="6" t="s">
        <v>483</v>
      </c>
      <c r="BI289" s="12" t="s">
        <v>483</v>
      </c>
      <c r="BJ289" s="51" t="s">
        <v>105</v>
      </c>
    </row>
    <row r="290" spans="1:62" ht="48.5" x14ac:dyDescent="0.35">
      <c r="A290">
        <v>102102</v>
      </c>
      <c r="B290" s="84">
        <f t="shared" si="80"/>
        <v>325</v>
      </c>
      <c r="C290" s="84">
        <f t="shared" si="81"/>
        <v>370</v>
      </c>
      <c r="E290" s="5">
        <v>106353</v>
      </c>
      <c r="F290" s="19">
        <v>450</v>
      </c>
      <c r="G290" s="19">
        <v>526.5</v>
      </c>
      <c r="H290" s="19">
        <v>406.5</v>
      </c>
      <c r="I290" s="19">
        <v>468</v>
      </c>
      <c r="J290" s="19">
        <v>63.5</v>
      </c>
      <c r="K290" s="19">
        <v>72</v>
      </c>
      <c r="L290" s="19">
        <v>54</v>
      </c>
      <c r="M290" s="19">
        <v>67.5</v>
      </c>
      <c r="N290" s="5">
        <v>194183</v>
      </c>
      <c r="O290">
        <f t="shared" si="82"/>
        <v>408</v>
      </c>
      <c r="P290">
        <f t="shared" si="83"/>
        <v>341</v>
      </c>
      <c r="Q290">
        <f t="shared" si="84"/>
        <v>84</v>
      </c>
      <c r="R290">
        <f t="shared" si="85"/>
        <v>69</v>
      </c>
      <c r="S290">
        <f t="shared" si="86"/>
        <v>361</v>
      </c>
      <c r="T290">
        <f t="shared" si="87"/>
        <v>300</v>
      </c>
      <c r="U290">
        <f t="shared" si="88"/>
        <v>73</v>
      </c>
      <c r="V290">
        <f t="shared" si="89"/>
        <v>68</v>
      </c>
      <c r="X290" s="5">
        <v>356678</v>
      </c>
      <c r="Y290">
        <f t="shared" si="90"/>
        <v>501.79899999999901</v>
      </c>
      <c r="Z290">
        <f t="shared" si="91"/>
        <v>488</v>
      </c>
      <c r="AA290">
        <f t="shared" si="92"/>
        <v>61.103000000000002</v>
      </c>
      <c r="AB290">
        <f t="shared" si="93"/>
        <v>54</v>
      </c>
      <c r="AC290">
        <f t="shared" si="94"/>
        <v>6107.8259999999991</v>
      </c>
      <c r="AD290">
        <f t="shared" si="95"/>
        <v>4695.2299999999996</v>
      </c>
      <c r="AE290">
        <f t="shared" si="96"/>
        <v>599.80499999999984</v>
      </c>
      <c r="AF290">
        <f t="shared" si="97"/>
        <v>582.10499999999968</v>
      </c>
      <c r="AG290" s="5">
        <v>194183</v>
      </c>
      <c r="AH290" s="31">
        <v>408</v>
      </c>
      <c r="AI290" s="31">
        <v>341</v>
      </c>
      <c r="AJ290" s="37">
        <v>67</v>
      </c>
      <c r="AK290" s="37">
        <v>19.648093841642229</v>
      </c>
      <c r="AL290" s="36">
        <v>84</v>
      </c>
      <c r="AM290" s="36">
        <v>69</v>
      </c>
      <c r="AN290" s="37">
        <v>15</v>
      </c>
      <c r="AO290" s="37">
        <v>21.739130434782609</v>
      </c>
      <c r="AP290" s="38">
        <v>4573</v>
      </c>
      <c r="AQ290" s="39">
        <v>3232</v>
      </c>
      <c r="AR290" s="37">
        <v>1341</v>
      </c>
      <c r="AS290" s="37">
        <v>41.491336633663366</v>
      </c>
      <c r="AT290" s="36">
        <v>873</v>
      </c>
      <c r="AU290" s="36">
        <v>897</v>
      </c>
      <c r="AV290" s="37">
        <v>-24</v>
      </c>
      <c r="AW290" s="37">
        <v>-2.6755852842809364</v>
      </c>
      <c r="AX290" s="5">
        <v>106353</v>
      </c>
      <c r="AY290" t="str">
        <f t="shared" si="98"/>
        <v>SHIV SS</v>
      </c>
      <c r="AZ290" t="str">
        <f t="shared" si="99"/>
        <v>Dwarka</v>
      </c>
      <c r="BC290" s="5">
        <v>194183</v>
      </c>
      <c r="BD290" s="5" t="s">
        <v>581</v>
      </c>
      <c r="BE290" s="46" t="s">
        <v>743</v>
      </c>
      <c r="BF290" s="13" t="s">
        <v>744</v>
      </c>
      <c r="BG290" s="6" t="s">
        <v>81</v>
      </c>
      <c r="BH290" s="6" t="s">
        <v>719</v>
      </c>
      <c r="BI290" s="12" t="s">
        <v>719</v>
      </c>
      <c r="BJ290" s="51" t="s">
        <v>135</v>
      </c>
    </row>
    <row r="291" spans="1:62" ht="36.5" x14ac:dyDescent="0.35">
      <c r="A291">
        <v>106332</v>
      </c>
      <c r="B291" s="84">
        <f t="shared" si="80"/>
        <v>261.5</v>
      </c>
      <c r="C291" s="84">
        <f t="shared" si="81"/>
        <v>316</v>
      </c>
      <c r="E291" s="5">
        <v>107629</v>
      </c>
      <c r="F291" s="19">
        <v>513</v>
      </c>
      <c r="G291" s="19">
        <v>562.5</v>
      </c>
      <c r="H291" s="19">
        <v>524</v>
      </c>
      <c r="I291" s="19">
        <v>485.5</v>
      </c>
      <c r="J291" s="19">
        <v>162</v>
      </c>
      <c r="K291" s="19">
        <v>148.5</v>
      </c>
      <c r="L291" s="19">
        <v>153</v>
      </c>
      <c r="M291" s="19">
        <v>139.5</v>
      </c>
      <c r="N291" s="5">
        <v>102111</v>
      </c>
      <c r="O291">
        <f t="shared" si="82"/>
        <v>50</v>
      </c>
      <c r="P291">
        <f t="shared" si="83"/>
        <v>60</v>
      </c>
      <c r="Q291">
        <f t="shared" si="84"/>
        <v>90</v>
      </c>
      <c r="R291">
        <f t="shared" si="85"/>
        <v>80</v>
      </c>
      <c r="S291">
        <f t="shared" si="86"/>
        <v>57.5</v>
      </c>
      <c r="T291">
        <f t="shared" si="87"/>
        <v>35</v>
      </c>
      <c r="U291">
        <f t="shared" si="88"/>
        <v>104.5</v>
      </c>
      <c r="V291">
        <f t="shared" si="89"/>
        <v>85</v>
      </c>
      <c r="X291" s="9">
        <v>41057000</v>
      </c>
      <c r="Y291">
        <f t="shared" si="90"/>
        <v>353</v>
      </c>
      <c r="Z291">
        <f t="shared" si="91"/>
        <v>337</v>
      </c>
      <c r="AA291">
        <f t="shared" si="92"/>
        <v>53</v>
      </c>
      <c r="AB291">
        <f t="shared" si="93"/>
        <v>48</v>
      </c>
      <c r="AC291">
        <f t="shared" si="94"/>
        <v>4233.5</v>
      </c>
      <c r="AD291">
        <f t="shared" si="95"/>
        <v>3473</v>
      </c>
      <c r="AE291">
        <f t="shared" si="96"/>
        <v>528.5</v>
      </c>
      <c r="AF291">
        <f t="shared" si="97"/>
        <v>587</v>
      </c>
      <c r="AG291" s="5">
        <v>102111</v>
      </c>
      <c r="AH291" s="31">
        <v>50</v>
      </c>
      <c r="AI291" s="31">
        <v>60</v>
      </c>
      <c r="AJ291" s="37">
        <v>-10</v>
      </c>
      <c r="AK291" s="37">
        <v>-16.666666666666664</v>
      </c>
      <c r="AL291" s="36">
        <v>90</v>
      </c>
      <c r="AM291" s="36">
        <v>80</v>
      </c>
      <c r="AN291" s="37">
        <v>10</v>
      </c>
      <c r="AO291" s="37">
        <v>12.5</v>
      </c>
      <c r="AP291" s="38">
        <v>698.5</v>
      </c>
      <c r="AQ291" s="39">
        <v>465.5</v>
      </c>
      <c r="AR291" s="37">
        <v>233</v>
      </c>
      <c r="AS291" s="37">
        <v>50.05370569280344</v>
      </c>
      <c r="AT291" s="36">
        <v>1185.5</v>
      </c>
      <c r="AU291" s="36">
        <v>903.5</v>
      </c>
      <c r="AV291" s="37">
        <v>282</v>
      </c>
      <c r="AW291" s="37">
        <v>31.211953514111791</v>
      </c>
      <c r="AX291" s="5">
        <v>107629</v>
      </c>
      <c r="AY291" t="str">
        <f t="shared" si="98"/>
        <v>AUTO REST_OKHLA</v>
      </c>
      <c r="AZ291" t="str">
        <f t="shared" si="99"/>
        <v xml:space="preserve">Okhla </v>
      </c>
      <c r="BC291" s="5">
        <v>102111</v>
      </c>
      <c r="BD291" s="5" t="s">
        <v>581</v>
      </c>
      <c r="BE291" s="46" t="s">
        <v>745</v>
      </c>
      <c r="BF291" s="13" t="s">
        <v>746</v>
      </c>
      <c r="BG291" s="6" t="s">
        <v>200</v>
      </c>
      <c r="BH291" s="6" t="s">
        <v>223</v>
      </c>
      <c r="BI291" s="12" t="s">
        <v>223</v>
      </c>
      <c r="BJ291" s="51" t="s">
        <v>172</v>
      </c>
    </row>
    <row r="292" spans="1:62" ht="36.5" x14ac:dyDescent="0.35">
      <c r="A292">
        <v>106333</v>
      </c>
      <c r="B292" s="84">
        <f t="shared" si="80"/>
        <v>373.5</v>
      </c>
      <c r="C292" s="84">
        <f t="shared" si="81"/>
        <v>373.5</v>
      </c>
      <c r="E292" s="5">
        <v>102075</v>
      </c>
      <c r="F292" s="19">
        <v>270</v>
      </c>
      <c r="G292" s="19">
        <v>270</v>
      </c>
      <c r="H292" s="19">
        <v>265.5</v>
      </c>
      <c r="I292" s="19">
        <v>293</v>
      </c>
      <c r="J292" s="19">
        <v>76.5</v>
      </c>
      <c r="K292" s="19">
        <v>79</v>
      </c>
      <c r="L292" s="19">
        <v>70</v>
      </c>
      <c r="M292" s="19">
        <v>70</v>
      </c>
      <c r="N292" s="5">
        <v>186858</v>
      </c>
      <c r="O292">
        <f t="shared" si="82"/>
        <v>630</v>
      </c>
      <c r="P292">
        <f t="shared" si="83"/>
        <v>621</v>
      </c>
      <c r="Q292">
        <f t="shared" si="84"/>
        <v>90</v>
      </c>
      <c r="R292">
        <f t="shared" si="85"/>
        <v>99</v>
      </c>
      <c r="S292">
        <f t="shared" si="86"/>
        <v>575</v>
      </c>
      <c r="T292">
        <f t="shared" si="87"/>
        <v>531</v>
      </c>
      <c r="U292">
        <f t="shared" si="88"/>
        <v>85</v>
      </c>
      <c r="V292">
        <f t="shared" si="89"/>
        <v>81</v>
      </c>
      <c r="X292" s="9">
        <v>41056836</v>
      </c>
      <c r="Y292">
        <f t="shared" si="90"/>
        <v>342</v>
      </c>
      <c r="Z292">
        <f t="shared" si="91"/>
        <v>342</v>
      </c>
      <c r="AA292">
        <f t="shared" si="92"/>
        <v>76</v>
      </c>
      <c r="AB292">
        <f t="shared" si="93"/>
        <v>87</v>
      </c>
      <c r="AC292">
        <f t="shared" si="94"/>
        <v>4143.5</v>
      </c>
      <c r="AD292">
        <f t="shared" si="95"/>
        <v>3286.5</v>
      </c>
      <c r="AE292">
        <f t="shared" si="96"/>
        <v>929.5</v>
      </c>
      <c r="AF292">
        <f t="shared" si="97"/>
        <v>1026.5</v>
      </c>
      <c r="AG292" s="5">
        <v>186858</v>
      </c>
      <c r="AH292" s="31">
        <v>630</v>
      </c>
      <c r="AI292" s="31">
        <v>621</v>
      </c>
      <c r="AJ292" s="37">
        <v>9</v>
      </c>
      <c r="AK292" s="37">
        <v>1.4492753623188406</v>
      </c>
      <c r="AL292" s="36">
        <v>90</v>
      </c>
      <c r="AM292" s="36">
        <v>99</v>
      </c>
      <c r="AN292" s="37">
        <v>-9</v>
      </c>
      <c r="AO292" s="37">
        <v>-9.0909090909090917</v>
      </c>
      <c r="AP292" s="38">
        <v>7262</v>
      </c>
      <c r="AQ292" s="39">
        <v>5859</v>
      </c>
      <c r="AR292" s="37">
        <v>1403</v>
      </c>
      <c r="AS292" s="37">
        <v>23.946065881549753</v>
      </c>
      <c r="AT292" s="36">
        <v>1014</v>
      </c>
      <c r="AU292" s="36">
        <v>1143</v>
      </c>
      <c r="AV292" s="37">
        <v>-129</v>
      </c>
      <c r="AW292" s="37">
        <v>-11.286089238845145</v>
      </c>
      <c r="AX292" s="5">
        <v>102075</v>
      </c>
      <c r="AY292" t="str">
        <f t="shared" si="98"/>
        <v>DEEPAK AUTOMOBILES</v>
      </c>
      <c r="AZ292" t="str">
        <f t="shared" si="99"/>
        <v>Old GT Road (NH1)</v>
      </c>
      <c r="BC292" s="5">
        <v>186858</v>
      </c>
      <c r="BD292" s="5" t="s">
        <v>581</v>
      </c>
      <c r="BE292" s="46" t="s">
        <v>747</v>
      </c>
      <c r="BF292" s="13" t="s">
        <v>748</v>
      </c>
      <c r="BG292" s="6" t="s">
        <v>169</v>
      </c>
      <c r="BH292" s="6" t="s">
        <v>488</v>
      </c>
      <c r="BI292" s="12" t="s">
        <v>488</v>
      </c>
      <c r="BJ292" s="51" t="s">
        <v>172</v>
      </c>
    </row>
    <row r="293" spans="1:62" ht="48.5" x14ac:dyDescent="0.35">
      <c r="A293">
        <v>106334</v>
      </c>
      <c r="B293" s="84">
        <f t="shared" si="80"/>
        <v>191</v>
      </c>
      <c r="C293" s="84">
        <f t="shared" si="81"/>
        <v>216.5</v>
      </c>
      <c r="E293" s="5">
        <v>186845</v>
      </c>
      <c r="F293" s="19">
        <v>84</v>
      </c>
      <c r="G293" s="19">
        <v>69.5</v>
      </c>
      <c r="H293" s="19">
        <v>24</v>
      </c>
      <c r="I293" s="19">
        <v>0</v>
      </c>
      <c r="J293" s="19">
        <v>0</v>
      </c>
      <c r="K293" s="19">
        <v>0</v>
      </c>
      <c r="L293" s="19">
        <v>0</v>
      </c>
      <c r="M293" s="19">
        <v>4</v>
      </c>
      <c r="N293" s="5">
        <v>356946</v>
      </c>
      <c r="O293">
        <f t="shared" si="82"/>
        <v>356.21699999999902</v>
      </c>
      <c r="P293">
        <f t="shared" si="83"/>
        <v>321.75399999999991</v>
      </c>
      <c r="Q293">
        <f t="shared" si="84"/>
        <v>63.829000000000001</v>
      </c>
      <c r="R293">
        <f t="shared" si="85"/>
        <v>59.113999999999905</v>
      </c>
      <c r="S293">
        <f t="shared" si="86"/>
        <v>318.35399999999902</v>
      </c>
      <c r="T293">
        <f t="shared" si="87"/>
        <v>283.13999999999987</v>
      </c>
      <c r="U293">
        <f t="shared" si="88"/>
        <v>53.072000000000003</v>
      </c>
      <c r="V293">
        <f t="shared" si="89"/>
        <v>46.072000000000102</v>
      </c>
      <c r="X293" s="5">
        <v>186838</v>
      </c>
      <c r="Y293">
        <f t="shared" si="90"/>
        <v>235</v>
      </c>
      <c r="Z293">
        <f t="shared" si="91"/>
        <v>229.5</v>
      </c>
      <c r="AA293">
        <f t="shared" si="92"/>
        <v>285</v>
      </c>
      <c r="AB293">
        <f t="shared" si="93"/>
        <v>292.5</v>
      </c>
      <c r="AC293">
        <f t="shared" si="94"/>
        <v>2804.5</v>
      </c>
      <c r="AD293">
        <f t="shared" si="95"/>
        <v>2237</v>
      </c>
      <c r="AE293">
        <f t="shared" si="96"/>
        <v>3111.5</v>
      </c>
      <c r="AF293">
        <f t="shared" si="97"/>
        <v>2871</v>
      </c>
      <c r="AG293" s="5">
        <v>356946</v>
      </c>
      <c r="AH293" s="31">
        <v>356.21699999999902</v>
      </c>
      <c r="AI293" s="31">
        <v>321.75399999999991</v>
      </c>
      <c r="AJ293" s="37">
        <v>34.462999999999113</v>
      </c>
      <c r="AK293" s="37">
        <v>10.710977952099778</v>
      </c>
      <c r="AL293" s="36">
        <v>63.829000000000001</v>
      </c>
      <c r="AM293" s="36">
        <v>59.113999999999905</v>
      </c>
      <c r="AN293" s="37">
        <v>4.7150000000000958</v>
      </c>
      <c r="AO293" s="37">
        <v>7.9761139493184423</v>
      </c>
      <c r="AP293" s="38">
        <v>3988.6739999999977</v>
      </c>
      <c r="AQ293" s="39">
        <v>3029.0109999999995</v>
      </c>
      <c r="AR293" s="37">
        <v>959.66299999999819</v>
      </c>
      <c r="AS293" s="37">
        <v>31.682387419524005</v>
      </c>
      <c r="AT293" s="36">
        <v>692.2109999999999</v>
      </c>
      <c r="AU293" s="36">
        <v>634.60199999999998</v>
      </c>
      <c r="AV293" s="37">
        <v>57.608999999999924</v>
      </c>
      <c r="AW293" s="37">
        <v>9.077973280891003</v>
      </c>
      <c r="AX293" s="5">
        <v>186845</v>
      </c>
      <c r="AY293" t="str">
        <f t="shared" si="98"/>
        <v>MOBILE</v>
      </c>
      <c r="AZ293" t="str">
        <f t="shared" si="99"/>
        <v>Old Delhi</v>
      </c>
      <c r="BC293" s="5">
        <v>356946</v>
      </c>
      <c r="BD293" s="5" t="s">
        <v>581</v>
      </c>
      <c r="BE293" s="46" t="s">
        <v>749</v>
      </c>
      <c r="BF293" s="13" t="s">
        <v>750</v>
      </c>
      <c r="BG293" s="6" t="s">
        <v>187</v>
      </c>
      <c r="BH293" s="6" t="s">
        <v>321</v>
      </c>
      <c r="BI293" s="12" t="s">
        <v>321</v>
      </c>
      <c r="BJ293" s="51" t="s">
        <v>189</v>
      </c>
    </row>
    <row r="294" spans="1:62" ht="60.5" x14ac:dyDescent="0.35">
      <c r="A294">
        <v>112444</v>
      </c>
      <c r="B294" s="84">
        <f t="shared" si="80"/>
        <v>375</v>
      </c>
      <c r="C294" s="84">
        <f t="shared" si="81"/>
        <v>389</v>
      </c>
      <c r="E294" s="5">
        <v>102104</v>
      </c>
      <c r="F294" s="19">
        <v>333.5</v>
      </c>
      <c r="G294" s="19">
        <v>368</v>
      </c>
      <c r="H294" s="19">
        <v>264</v>
      </c>
      <c r="I294" s="19">
        <v>57.5</v>
      </c>
      <c r="J294" s="19">
        <v>24</v>
      </c>
      <c r="K294" s="19">
        <v>8.5</v>
      </c>
      <c r="L294" s="19">
        <v>44.5</v>
      </c>
      <c r="M294" s="19">
        <v>40</v>
      </c>
      <c r="N294" s="5">
        <v>231563</v>
      </c>
      <c r="O294">
        <f t="shared" si="82"/>
        <v>461</v>
      </c>
      <c r="P294">
        <f t="shared" si="83"/>
        <v>494</v>
      </c>
      <c r="Q294">
        <f t="shared" si="84"/>
        <v>225</v>
      </c>
      <c r="R294">
        <f t="shared" si="85"/>
        <v>232</v>
      </c>
      <c r="S294">
        <f t="shared" si="86"/>
        <v>461</v>
      </c>
      <c r="T294">
        <f t="shared" si="87"/>
        <v>494</v>
      </c>
      <c r="U294">
        <f t="shared" si="88"/>
        <v>208</v>
      </c>
      <c r="V294">
        <f t="shared" si="89"/>
        <v>254</v>
      </c>
      <c r="X294" s="9">
        <v>41057001</v>
      </c>
      <c r="Y294">
        <f t="shared" si="90"/>
        <v>110</v>
      </c>
      <c r="Z294">
        <f t="shared" si="91"/>
        <v>124.5</v>
      </c>
      <c r="AA294">
        <f t="shared" si="92"/>
        <v>91</v>
      </c>
      <c r="AB294">
        <f t="shared" si="93"/>
        <v>92.5</v>
      </c>
      <c r="AC294">
        <f t="shared" si="94"/>
        <v>1513.5</v>
      </c>
      <c r="AD294">
        <f t="shared" si="95"/>
        <v>1273</v>
      </c>
      <c r="AE294">
        <f t="shared" si="96"/>
        <v>1208.5</v>
      </c>
      <c r="AF294">
        <f t="shared" si="97"/>
        <v>1029.5</v>
      </c>
      <c r="AG294" s="5">
        <v>231563</v>
      </c>
      <c r="AH294" s="31">
        <v>461</v>
      </c>
      <c r="AI294" s="31">
        <v>494</v>
      </c>
      <c r="AJ294" s="37">
        <v>-33</v>
      </c>
      <c r="AK294" s="37">
        <v>-6.6801619433198383</v>
      </c>
      <c r="AL294" s="36">
        <v>225</v>
      </c>
      <c r="AM294" s="36">
        <v>232</v>
      </c>
      <c r="AN294" s="37">
        <v>-7</v>
      </c>
      <c r="AO294" s="37">
        <v>-3.0172413793103448</v>
      </c>
      <c r="AP294" s="38">
        <v>6013.5</v>
      </c>
      <c r="AQ294" s="39">
        <v>4946.5</v>
      </c>
      <c r="AR294" s="37">
        <v>1067</v>
      </c>
      <c r="AS294" s="37">
        <v>21.570807641766905</v>
      </c>
      <c r="AT294" s="36">
        <v>2684.5</v>
      </c>
      <c r="AU294" s="36">
        <v>3029.5</v>
      </c>
      <c r="AV294" s="37">
        <v>-345</v>
      </c>
      <c r="AW294" s="37">
        <v>-11.388017824723553</v>
      </c>
      <c r="AX294" s="5">
        <v>102104</v>
      </c>
      <c r="AY294" t="str">
        <f t="shared" si="98"/>
        <v>GANPATI</v>
      </c>
      <c r="AZ294" t="str">
        <f t="shared" si="99"/>
        <v>Rohini</v>
      </c>
      <c r="BC294" s="5">
        <v>231563</v>
      </c>
      <c r="BD294" s="5" t="s">
        <v>581</v>
      </c>
      <c r="BE294" s="46" t="s">
        <v>751</v>
      </c>
      <c r="BF294" s="13" t="s">
        <v>752</v>
      </c>
      <c r="BG294" s="6" t="s">
        <v>103</v>
      </c>
      <c r="BH294" s="6" t="s">
        <v>526</v>
      </c>
      <c r="BI294" s="12" t="s">
        <v>526</v>
      </c>
      <c r="BJ294" s="51" t="s">
        <v>248</v>
      </c>
    </row>
    <row r="295" spans="1:62" ht="48.5" x14ac:dyDescent="0.35">
      <c r="A295">
        <v>102110</v>
      </c>
      <c r="B295" s="84">
        <f t="shared" si="80"/>
        <v>232</v>
      </c>
      <c r="C295" s="84">
        <f t="shared" si="81"/>
        <v>272</v>
      </c>
      <c r="E295" s="5">
        <v>186832</v>
      </c>
      <c r="F295" s="19">
        <v>586</v>
      </c>
      <c r="G295" s="19">
        <v>644</v>
      </c>
      <c r="H295" s="19">
        <v>528</v>
      </c>
      <c r="I295" s="19">
        <v>582</v>
      </c>
      <c r="J295" s="19">
        <v>66</v>
      </c>
      <c r="K295" s="19">
        <v>56</v>
      </c>
      <c r="L295" s="19">
        <v>74</v>
      </c>
      <c r="M295" s="19">
        <v>82</v>
      </c>
      <c r="N295" s="5">
        <v>106373</v>
      </c>
      <c r="O295">
        <f t="shared" si="82"/>
        <v>110</v>
      </c>
      <c r="P295">
        <f t="shared" si="83"/>
        <v>94.5</v>
      </c>
      <c r="Q295">
        <f t="shared" si="84"/>
        <v>450</v>
      </c>
      <c r="R295">
        <f t="shared" si="85"/>
        <v>463.5</v>
      </c>
      <c r="S295">
        <f t="shared" si="86"/>
        <v>95</v>
      </c>
      <c r="T295">
        <f t="shared" si="87"/>
        <v>81</v>
      </c>
      <c r="U295">
        <f t="shared" si="88"/>
        <v>465</v>
      </c>
      <c r="V295">
        <f t="shared" si="89"/>
        <v>495</v>
      </c>
      <c r="X295" s="3">
        <v>112392</v>
      </c>
      <c r="Y295">
        <f t="shared" si="90"/>
        <v>400</v>
      </c>
      <c r="Z295">
        <f t="shared" si="91"/>
        <v>405</v>
      </c>
      <c r="AA295">
        <f t="shared" si="92"/>
        <v>200</v>
      </c>
      <c r="AB295">
        <f t="shared" si="93"/>
        <v>225</v>
      </c>
      <c r="AC295">
        <f t="shared" si="94"/>
        <v>4735</v>
      </c>
      <c r="AD295">
        <f t="shared" si="95"/>
        <v>4068.0000359999999</v>
      </c>
      <c r="AE295">
        <f t="shared" si="96"/>
        <v>2373</v>
      </c>
      <c r="AF295">
        <f t="shared" si="97"/>
        <v>2808</v>
      </c>
      <c r="AG295" s="5">
        <v>106373</v>
      </c>
      <c r="AH295" s="31">
        <v>110</v>
      </c>
      <c r="AI295" s="31">
        <v>94.5</v>
      </c>
      <c r="AJ295" s="37">
        <v>15.5</v>
      </c>
      <c r="AK295" s="37">
        <v>16.402116402116402</v>
      </c>
      <c r="AL295" s="36">
        <v>450</v>
      </c>
      <c r="AM295" s="36">
        <v>463.5</v>
      </c>
      <c r="AN295" s="37">
        <v>-13.5</v>
      </c>
      <c r="AO295" s="37">
        <v>-2.912621359223301</v>
      </c>
      <c r="AP295" s="38">
        <v>1211.5</v>
      </c>
      <c r="AQ295" s="39">
        <v>940.5</v>
      </c>
      <c r="AR295" s="37">
        <v>271</v>
      </c>
      <c r="AS295" s="37">
        <v>28.81446039340776</v>
      </c>
      <c r="AT295" s="36">
        <v>5700.5</v>
      </c>
      <c r="AU295" s="36">
        <v>5724</v>
      </c>
      <c r="AV295" s="37">
        <v>-23.5</v>
      </c>
      <c r="AW295" s="37">
        <v>-0.41055206149545775</v>
      </c>
      <c r="AX295" s="5">
        <v>186832</v>
      </c>
      <c r="AY295" t="str">
        <f t="shared" si="98"/>
        <v>PAMFS</v>
      </c>
      <c r="AZ295" t="str">
        <f t="shared" si="99"/>
        <v>Wazirabad-Loni</v>
      </c>
      <c r="BC295" s="5">
        <v>106373</v>
      </c>
      <c r="BD295" s="5" t="s">
        <v>581</v>
      </c>
      <c r="BE295" s="46" t="s">
        <v>753</v>
      </c>
      <c r="BF295" s="13" t="s">
        <v>754</v>
      </c>
      <c r="BG295" s="6" t="s">
        <v>85</v>
      </c>
      <c r="BH295" s="6" t="s">
        <v>177</v>
      </c>
      <c r="BI295" s="12" t="s">
        <v>177</v>
      </c>
      <c r="BJ295" s="51" t="s">
        <v>178</v>
      </c>
    </row>
    <row r="296" spans="1:62" ht="60.5" x14ac:dyDescent="0.35">
      <c r="A296">
        <v>112445</v>
      </c>
      <c r="B296" s="84">
        <f t="shared" si="80"/>
        <v>0</v>
      </c>
      <c r="C296" s="84">
        <f t="shared" si="81"/>
        <v>0</v>
      </c>
      <c r="E296" s="5">
        <v>102120</v>
      </c>
      <c r="F296" s="19">
        <v>306</v>
      </c>
      <c r="G296" s="19">
        <v>405</v>
      </c>
      <c r="H296" s="19">
        <v>270</v>
      </c>
      <c r="I296" s="19">
        <v>319.5</v>
      </c>
      <c r="J296" s="19">
        <v>54</v>
      </c>
      <c r="K296" s="19">
        <v>58.5</v>
      </c>
      <c r="L296" s="19">
        <v>54</v>
      </c>
      <c r="M296" s="19">
        <v>59</v>
      </c>
      <c r="N296" s="5">
        <v>102073</v>
      </c>
      <c r="O296">
        <f t="shared" si="82"/>
        <v>578</v>
      </c>
      <c r="P296">
        <f t="shared" si="83"/>
        <v>554</v>
      </c>
      <c r="Q296">
        <f t="shared" si="84"/>
        <v>156</v>
      </c>
      <c r="R296">
        <f t="shared" si="85"/>
        <v>172</v>
      </c>
      <c r="S296">
        <f t="shared" si="86"/>
        <v>524</v>
      </c>
      <c r="T296">
        <f t="shared" si="87"/>
        <v>485.5</v>
      </c>
      <c r="U296">
        <f t="shared" si="88"/>
        <v>140</v>
      </c>
      <c r="V296">
        <f t="shared" si="89"/>
        <v>148.5</v>
      </c>
      <c r="X296" s="3">
        <v>112434</v>
      </c>
      <c r="Y296">
        <f t="shared" si="90"/>
        <v>340</v>
      </c>
      <c r="Z296">
        <f t="shared" si="91"/>
        <v>292.5</v>
      </c>
      <c r="AA296">
        <f t="shared" si="92"/>
        <v>100</v>
      </c>
      <c r="AB296">
        <f t="shared" si="93"/>
        <v>139.5</v>
      </c>
      <c r="AC296">
        <f t="shared" si="94"/>
        <v>4062</v>
      </c>
      <c r="AD296">
        <f t="shared" si="95"/>
        <v>3258.0000199999999</v>
      </c>
      <c r="AE296">
        <f t="shared" si="96"/>
        <v>1426</v>
      </c>
      <c r="AF296">
        <f t="shared" si="97"/>
        <v>1728</v>
      </c>
      <c r="AG296" s="5">
        <v>102073</v>
      </c>
      <c r="AH296" s="31">
        <v>578</v>
      </c>
      <c r="AI296" s="31">
        <v>554</v>
      </c>
      <c r="AJ296" s="37">
        <v>24</v>
      </c>
      <c r="AK296" s="37">
        <v>4.3321299638989164</v>
      </c>
      <c r="AL296" s="36">
        <v>156</v>
      </c>
      <c r="AM296" s="36">
        <v>172</v>
      </c>
      <c r="AN296" s="37">
        <v>-16</v>
      </c>
      <c r="AO296" s="37">
        <v>-9.3023255813953494</v>
      </c>
      <c r="AP296" s="38">
        <v>6901</v>
      </c>
      <c r="AQ296" s="39">
        <v>5610.5</v>
      </c>
      <c r="AR296" s="37">
        <v>1290.5</v>
      </c>
      <c r="AS296" s="37">
        <v>23.001515016486945</v>
      </c>
      <c r="AT296" s="36">
        <v>1877</v>
      </c>
      <c r="AU296" s="36">
        <v>2270</v>
      </c>
      <c r="AV296" s="37">
        <v>-393</v>
      </c>
      <c r="AW296" s="37">
        <v>-17.312775330396477</v>
      </c>
      <c r="AX296" s="5">
        <v>102120</v>
      </c>
      <c r="AY296" t="str">
        <f t="shared" si="98"/>
        <v>KANWAR</v>
      </c>
      <c r="AZ296" t="str">
        <f t="shared" si="99"/>
        <v>Old GT Road (NH1)</v>
      </c>
      <c r="BC296" s="5">
        <v>102073</v>
      </c>
      <c r="BD296" s="5" t="s">
        <v>581</v>
      </c>
      <c r="BE296" s="46" t="s">
        <v>755</v>
      </c>
      <c r="BF296" s="13" t="s">
        <v>756</v>
      </c>
      <c r="BG296" s="6" t="s">
        <v>103</v>
      </c>
      <c r="BH296" s="6" t="s">
        <v>130</v>
      </c>
      <c r="BI296" s="12" t="s">
        <v>130</v>
      </c>
      <c r="BJ296" s="51" t="s">
        <v>105</v>
      </c>
    </row>
    <row r="297" spans="1:62" ht="36.5" x14ac:dyDescent="0.35">
      <c r="A297">
        <v>180790</v>
      </c>
      <c r="B297" s="84">
        <f t="shared" si="80"/>
        <v>350.5</v>
      </c>
      <c r="C297" s="84">
        <f t="shared" si="81"/>
        <v>408</v>
      </c>
      <c r="E297" s="5">
        <v>106326</v>
      </c>
      <c r="F297" s="19">
        <v>347</v>
      </c>
      <c r="G297" s="19">
        <v>387</v>
      </c>
      <c r="H297" s="19">
        <v>260</v>
      </c>
      <c r="I297" s="19">
        <v>305</v>
      </c>
      <c r="J297" s="19">
        <v>202</v>
      </c>
      <c r="K297" s="19">
        <v>235</v>
      </c>
      <c r="L297" s="19">
        <v>205</v>
      </c>
      <c r="M297" s="19">
        <v>305</v>
      </c>
      <c r="N297" s="5">
        <v>193265</v>
      </c>
      <c r="O297">
        <f t="shared" si="82"/>
        <v>406</v>
      </c>
      <c r="P297">
        <f t="shared" si="83"/>
        <v>313</v>
      </c>
      <c r="Q297">
        <f t="shared" si="84"/>
        <v>54</v>
      </c>
      <c r="R297">
        <f t="shared" si="85"/>
        <v>51</v>
      </c>
      <c r="S297">
        <f t="shared" si="86"/>
        <v>330</v>
      </c>
      <c r="T297">
        <f t="shared" si="87"/>
        <v>250</v>
      </c>
      <c r="U297">
        <f t="shared" si="88"/>
        <v>56</v>
      </c>
      <c r="V297">
        <f t="shared" si="89"/>
        <v>44</v>
      </c>
      <c r="X297" s="5">
        <v>102073</v>
      </c>
      <c r="Y297">
        <f t="shared" si="90"/>
        <v>578</v>
      </c>
      <c r="Z297">
        <f t="shared" si="91"/>
        <v>554</v>
      </c>
      <c r="AA297">
        <f t="shared" si="92"/>
        <v>156</v>
      </c>
      <c r="AB297">
        <f t="shared" si="93"/>
        <v>172</v>
      </c>
      <c r="AC297">
        <f t="shared" si="94"/>
        <v>6901</v>
      </c>
      <c r="AD297">
        <f t="shared" si="95"/>
        <v>5610.5</v>
      </c>
      <c r="AE297">
        <f t="shared" si="96"/>
        <v>1877</v>
      </c>
      <c r="AF297">
        <f t="shared" si="97"/>
        <v>2270</v>
      </c>
      <c r="AG297" s="5">
        <v>193265</v>
      </c>
      <c r="AH297" s="31">
        <v>406</v>
      </c>
      <c r="AI297" s="31">
        <v>313</v>
      </c>
      <c r="AJ297" s="37">
        <v>93</v>
      </c>
      <c r="AK297" s="37">
        <v>29.712460063897762</v>
      </c>
      <c r="AL297" s="36">
        <v>54</v>
      </c>
      <c r="AM297" s="36">
        <v>51</v>
      </c>
      <c r="AN297" s="37">
        <v>3</v>
      </c>
      <c r="AO297" s="37">
        <v>5.8823529411764701</v>
      </c>
      <c r="AP297" s="38">
        <v>4276</v>
      </c>
      <c r="AQ297" s="39">
        <v>3154.5</v>
      </c>
      <c r="AR297" s="37">
        <v>1121.5</v>
      </c>
      <c r="AS297" s="37">
        <v>35.552385481058806</v>
      </c>
      <c r="AT297" s="36">
        <v>644</v>
      </c>
      <c r="AU297" s="36">
        <v>632.5</v>
      </c>
      <c r="AV297" s="37">
        <v>11.5</v>
      </c>
      <c r="AW297" s="37">
        <v>1.8181818181818181</v>
      </c>
      <c r="AX297" s="5">
        <v>106326</v>
      </c>
      <c r="AY297" t="str">
        <f t="shared" si="98"/>
        <v>ARAVALI</v>
      </c>
      <c r="AZ297" t="str">
        <f t="shared" si="99"/>
        <v>Dwarka</v>
      </c>
      <c r="BC297" s="5">
        <v>193265</v>
      </c>
      <c r="BD297" s="5" t="s">
        <v>581</v>
      </c>
      <c r="BE297" s="46" t="s">
        <v>757</v>
      </c>
      <c r="BF297" s="13" t="s">
        <v>758</v>
      </c>
      <c r="BG297" s="6" t="s">
        <v>81</v>
      </c>
      <c r="BH297" s="6" t="s">
        <v>154</v>
      </c>
      <c r="BI297" s="12" t="s">
        <v>154</v>
      </c>
      <c r="BJ297" s="51" t="s">
        <v>135</v>
      </c>
    </row>
    <row r="298" spans="1:62" ht="60.5" x14ac:dyDescent="0.35">
      <c r="A298">
        <v>112446</v>
      </c>
      <c r="B298" s="84">
        <f t="shared" si="80"/>
        <v>218</v>
      </c>
      <c r="C298" s="84">
        <f t="shared" si="81"/>
        <v>252</v>
      </c>
      <c r="E298" s="5">
        <v>106245</v>
      </c>
      <c r="F298" s="19">
        <v>315</v>
      </c>
      <c r="G298" s="19">
        <v>346.5</v>
      </c>
      <c r="H298" s="19">
        <v>274.5</v>
      </c>
      <c r="I298" s="19">
        <v>306</v>
      </c>
      <c r="J298" s="19">
        <v>85.5</v>
      </c>
      <c r="K298" s="19">
        <v>108</v>
      </c>
      <c r="L298" s="19">
        <v>63</v>
      </c>
      <c r="M298" s="19">
        <v>67.5</v>
      </c>
      <c r="N298" s="5">
        <v>106265</v>
      </c>
      <c r="O298">
        <f t="shared" si="82"/>
        <v>261.5</v>
      </c>
      <c r="P298">
        <f t="shared" si="83"/>
        <v>230</v>
      </c>
      <c r="Q298">
        <f t="shared" si="84"/>
        <v>56.5</v>
      </c>
      <c r="R298">
        <f t="shared" si="85"/>
        <v>48</v>
      </c>
      <c r="S298">
        <f t="shared" si="86"/>
        <v>227.5</v>
      </c>
      <c r="T298">
        <f t="shared" si="87"/>
        <v>208</v>
      </c>
      <c r="U298">
        <f t="shared" si="88"/>
        <v>48.5</v>
      </c>
      <c r="V298">
        <f t="shared" si="89"/>
        <v>44</v>
      </c>
      <c r="X298" s="5">
        <v>106269</v>
      </c>
      <c r="Y298">
        <f t="shared" si="90"/>
        <v>615</v>
      </c>
      <c r="Z298">
        <f t="shared" si="91"/>
        <v>555</v>
      </c>
      <c r="AA298">
        <f t="shared" si="92"/>
        <v>145</v>
      </c>
      <c r="AB298">
        <f t="shared" si="93"/>
        <v>145</v>
      </c>
      <c r="AC298">
        <f t="shared" si="94"/>
        <v>6842</v>
      </c>
      <c r="AD298">
        <f t="shared" si="95"/>
        <v>5518.5</v>
      </c>
      <c r="AE298">
        <f t="shared" si="96"/>
        <v>1720</v>
      </c>
      <c r="AF298">
        <f t="shared" si="97"/>
        <v>1824.5</v>
      </c>
      <c r="AG298" s="5">
        <v>106265</v>
      </c>
      <c r="AH298" s="31">
        <v>261.5</v>
      </c>
      <c r="AI298" s="31">
        <v>230</v>
      </c>
      <c r="AJ298" s="37">
        <v>31.5</v>
      </c>
      <c r="AK298" s="37">
        <v>13.695652173913043</v>
      </c>
      <c r="AL298" s="36">
        <v>56.5</v>
      </c>
      <c r="AM298" s="36">
        <v>48</v>
      </c>
      <c r="AN298" s="37">
        <v>8.5</v>
      </c>
      <c r="AO298" s="37">
        <v>17.708333333333336</v>
      </c>
      <c r="AP298" s="38">
        <v>2984.5</v>
      </c>
      <c r="AQ298" s="39">
        <v>2374.5</v>
      </c>
      <c r="AR298" s="37">
        <v>610</v>
      </c>
      <c r="AS298" s="37">
        <v>25.689618867129919</v>
      </c>
      <c r="AT298" s="36">
        <v>625.5</v>
      </c>
      <c r="AU298" s="36">
        <v>639.5</v>
      </c>
      <c r="AV298" s="37">
        <v>-14</v>
      </c>
      <c r="AW298" s="37">
        <v>-2.1892103205629398</v>
      </c>
      <c r="AX298" s="5">
        <v>106245</v>
      </c>
      <c r="AY298" t="str">
        <f t="shared" si="98"/>
        <v>RN MOTORS</v>
      </c>
      <c r="AZ298" t="str">
        <f t="shared" si="99"/>
        <v>Outer Ring Road</v>
      </c>
      <c r="BC298" s="5">
        <v>106265</v>
      </c>
      <c r="BD298" s="5" t="s">
        <v>581</v>
      </c>
      <c r="BE298" s="46" t="s">
        <v>759</v>
      </c>
      <c r="BF298" s="13" t="s">
        <v>760</v>
      </c>
      <c r="BG298" s="6" t="s">
        <v>200</v>
      </c>
      <c r="BH298" s="6" t="s">
        <v>670</v>
      </c>
      <c r="BI298" s="12" t="s">
        <v>670</v>
      </c>
      <c r="BJ298" s="51" t="s">
        <v>91</v>
      </c>
    </row>
    <row r="299" spans="1:62" ht="48.5" x14ac:dyDescent="0.35">
      <c r="A299">
        <v>106335</v>
      </c>
      <c r="B299" s="84">
        <f t="shared" si="80"/>
        <v>24</v>
      </c>
      <c r="C299" s="84">
        <f t="shared" si="81"/>
        <v>27</v>
      </c>
      <c r="E299" s="5">
        <v>186862</v>
      </c>
      <c r="F299" s="19">
        <v>397</v>
      </c>
      <c r="G299" s="19">
        <v>415</v>
      </c>
      <c r="H299" s="19">
        <v>379</v>
      </c>
      <c r="I299" s="19">
        <v>400.5</v>
      </c>
      <c r="J299" s="19">
        <v>127</v>
      </c>
      <c r="K299" s="19">
        <v>83.5</v>
      </c>
      <c r="L299" s="19">
        <v>99</v>
      </c>
      <c r="M299" s="19">
        <v>105</v>
      </c>
      <c r="N299" s="5">
        <v>190058</v>
      </c>
      <c r="O299">
        <f t="shared" si="82"/>
        <v>592.5</v>
      </c>
      <c r="P299">
        <f t="shared" si="83"/>
        <v>543.5</v>
      </c>
      <c r="Q299">
        <f t="shared" si="84"/>
        <v>163.5</v>
      </c>
      <c r="R299">
        <f t="shared" si="85"/>
        <v>194.5</v>
      </c>
      <c r="S299">
        <f t="shared" si="86"/>
        <v>555</v>
      </c>
      <c r="T299">
        <f t="shared" si="87"/>
        <v>506</v>
      </c>
      <c r="U299">
        <f t="shared" si="88"/>
        <v>145</v>
      </c>
      <c r="V299">
        <f t="shared" si="89"/>
        <v>188</v>
      </c>
      <c r="X299" s="3">
        <v>142283</v>
      </c>
      <c r="Y299">
        <f t="shared" si="90"/>
        <v>170</v>
      </c>
      <c r="Z299">
        <f t="shared" si="91"/>
        <v>203</v>
      </c>
      <c r="AA299">
        <f t="shared" si="92"/>
        <v>198</v>
      </c>
      <c r="AB299">
        <f t="shared" si="93"/>
        <v>188</v>
      </c>
      <c r="AC299">
        <f t="shared" si="94"/>
        <v>2310</v>
      </c>
      <c r="AD299">
        <f t="shared" si="95"/>
        <v>2051</v>
      </c>
      <c r="AE299">
        <f t="shared" si="96"/>
        <v>2180</v>
      </c>
      <c r="AF299">
        <f t="shared" si="97"/>
        <v>2365</v>
      </c>
      <c r="AG299" s="5">
        <v>190058</v>
      </c>
      <c r="AH299" s="31">
        <v>592.5</v>
      </c>
      <c r="AI299" s="31">
        <v>543.5</v>
      </c>
      <c r="AJ299" s="37">
        <v>49</v>
      </c>
      <c r="AK299" s="37">
        <v>9.0156393744250227</v>
      </c>
      <c r="AL299" s="36">
        <v>163.5</v>
      </c>
      <c r="AM299" s="36">
        <v>194.5</v>
      </c>
      <c r="AN299" s="37">
        <v>-31</v>
      </c>
      <c r="AO299" s="37">
        <v>-15.938303341902312</v>
      </c>
      <c r="AP299" s="38">
        <v>6502</v>
      </c>
      <c r="AQ299" s="39">
        <v>5598.5</v>
      </c>
      <c r="AR299" s="37">
        <v>903.5</v>
      </c>
      <c r="AS299" s="37">
        <v>16.138251317317138</v>
      </c>
      <c r="AT299" s="36">
        <v>2326</v>
      </c>
      <c r="AU299" s="36">
        <v>2534.5</v>
      </c>
      <c r="AV299" s="37">
        <v>-208.5</v>
      </c>
      <c r="AW299" s="37">
        <v>-8.2264746498323138</v>
      </c>
      <c r="AX299" s="5">
        <v>186862</v>
      </c>
      <c r="AY299" t="str">
        <f t="shared" si="98"/>
        <v>White Patch_Wazirabad</v>
      </c>
      <c r="AZ299" t="str">
        <f t="shared" si="99"/>
        <v>Wazirabad-Loni</v>
      </c>
      <c r="BC299" s="5">
        <v>190058</v>
      </c>
      <c r="BD299" s="5" t="s">
        <v>581</v>
      </c>
      <c r="BE299" s="46" t="s">
        <v>761</v>
      </c>
      <c r="BF299" s="13" t="s">
        <v>762</v>
      </c>
      <c r="BG299" s="6" t="s">
        <v>103</v>
      </c>
      <c r="BH299" s="6" t="s">
        <v>763</v>
      </c>
      <c r="BI299" s="12" t="s">
        <v>763</v>
      </c>
      <c r="BJ299" s="51" t="s">
        <v>96</v>
      </c>
    </row>
    <row r="300" spans="1:62" ht="36.5" x14ac:dyDescent="0.35">
      <c r="A300">
        <v>356678</v>
      </c>
      <c r="B300" s="84">
        <f t="shared" si="80"/>
        <v>453.89400000000001</v>
      </c>
      <c r="C300" s="84">
        <f t="shared" si="81"/>
        <v>501.79899999999901</v>
      </c>
      <c r="E300" s="5">
        <v>106332</v>
      </c>
      <c r="F300" s="19">
        <v>261.5</v>
      </c>
      <c r="G300" s="19">
        <v>316</v>
      </c>
      <c r="H300" s="19">
        <v>312</v>
      </c>
      <c r="I300" s="19">
        <v>384</v>
      </c>
      <c r="J300" s="19">
        <v>60</v>
      </c>
      <c r="K300" s="19">
        <v>72</v>
      </c>
      <c r="L300" s="19">
        <v>44.5</v>
      </c>
      <c r="M300" s="19">
        <v>56</v>
      </c>
      <c r="N300" s="5">
        <v>274208</v>
      </c>
      <c r="O300">
        <f t="shared" si="82"/>
        <v>360</v>
      </c>
      <c r="P300">
        <f t="shared" si="83"/>
        <v>436.5</v>
      </c>
      <c r="Q300">
        <f t="shared" si="84"/>
        <v>36</v>
      </c>
      <c r="R300">
        <f t="shared" si="85"/>
        <v>31.5</v>
      </c>
      <c r="S300">
        <f t="shared" si="86"/>
        <v>391.5</v>
      </c>
      <c r="T300">
        <f t="shared" si="87"/>
        <v>382.5</v>
      </c>
      <c r="U300">
        <f t="shared" si="88"/>
        <v>40.5</v>
      </c>
      <c r="V300">
        <f t="shared" si="89"/>
        <v>31.5</v>
      </c>
      <c r="X300" s="3">
        <v>112460</v>
      </c>
      <c r="Y300">
        <f t="shared" si="90"/>
        <v>190</v>
      </c>
      <c r="Z300">
        <f t="shared" si="91"/>
        <v>155</v>
      </c>
      <c r="AA300">
        <f t="shared" si="92"/>
        <v>34</v>
      </c>
      <c r="AB300">
        <f t="shared" si="93"/>
        <v>39</v>
      </c>
      <c r="AC300">
        <f t="shared" si="94"/>
        <v>2025</v>
      </c>
      <c r="AD300">
        <f t="shared" si="95"/>
        <v>1598.0000009999999</v>
      </c>
      <c r="AE300">
        <f t="shared" si="96"/>
        <v>369</v>
      </c>
      <c r="AF300">
        <f t="shared" si="97"/>
        <v>441</v>
      </c>
      <c r="AG300" s="5">
        <v>274208</v>
      </c>
      <c r="AH300" s="31">
        <v>360</v>
      </c>
      <c r="AI300" s="31">
        <v>436.5</v>
      </c>
      <c r="AJ300" s="37">
        <v>-76.5</v>
      </c>
      <c r="AK300" s="37">
        <v>-17.525773195876287</v>
      </c>
      <c r="AL300" s="36">
        <v>36</v>
      </c>
      <c r="AM300" s="36">
        <v>31.5</v>
      </c>
      <c r="AN300" s="37">
        <v>4.5</v>
      </c>
      <c r="AO300" s="37">
        <v>14.285714285714285</v>
      </c>
      <c r="AP300" s="38">
        <v>4958.5</v>
      </c>
      <c r="AQ300" s="39">
        <v>4369.5</v>
      </c>
      <c r="AR300" s="37">
        <v>589</v>
      </c>
      <c r="AS300" s="37">
        <v>13.479803181142008</v>
      </c>
      <c r="AT300" s="36">
        <v>409.5</v>
      </c>
      <c r="AU300" s="36">
        <v>463.5</v>
      </c>
      <c r="AV300" s="37">
        <v>-54</v>
      </c>
      <c r="AW300" s="37">
        <v>-11.650485436893204</v>
      </c>
      <c r="AX300" s="5">
        <v>106332</v>
      </c>
      <c r="AY300" t="str">
        <f t="shared" si="98"/>
        <v>GANPATI</v>
      </c>
      <c r="AZ300" t="str">
        <f t="shared" si="99"/>
        <v>Rohini</v>
      </c>
      <c r="BC300" s="5">
        <v>274208</v>
      </c>
      <c r="BD300" s="5" t="s">
        <v>581</v>
      </c>
      <c r="BE300" s="46" t="s">
        <v>764</v>
      </c>
      <c r="BF300" s="13" t="s">
        <v>765</v>
      </c>
      <c r="BG300" s="6" t="s">
        <v>228</v>
      </c>
      <c r="BH300" s="6" t="s">
        <v>462</v>
      </c>
      <c r="BI300" s="12" t="s">
        <v>462</v>
      </c>
      <c r="BJ300" s="51" t="s">
        <v>230</v>
      </c>
    </row>
    <row r="301" spans="1:62" ht="24.5" x14ac:dyDescent="0.35">
      <c r="A301">
        <v>186862</v>
      </c>
      <c r="B301" s="84">
        <f t="shared" si="80"/>
        <v>397</v>
      </c>
      <c r="C301" s="84">
        <f t="shared" si="81"/>
        <v>415</v>
      </c>
      <c r="E301" s="5">
        <v>106341</v>
      </c>
      <c r="F301" s="19">
        <v>295</v>
      </c>
      <c r="G301" s="19">
        <v>351</v>
      </c>
      <c r="H301" s="19">
        <v>313</v>
      </c>
      <c r="I301" s="19">
        <v>351</v>
      </c>
      <c r="J301" s="19">
        <v>81</v>
      </c>
      <c r="K301" s="19">
        <v>81</v>
      </c>
      <c r="L301" s="19">
        <v>101</v>
      </c>
      <c r="M301" s="19">
        <v>83</v>
      </c>
      <c r="N301" s="5">
        <v>106269</v>
      </c>
      <c r="O301">
        <f t="shared" si="82"/>
        <v>615</v>
      </c>
      <c r="P301">
        <f t="shared" si="83"/>
        <v>555</v>
      </c>
      <c r="Q301">
        <f t="shared" si="84"/>
        <v>145</v>
      </c>
      <c r="R301">
        <f t="shared" si="85"/>
        <v>145</v>
      </c>
      <c r="S301">
        <f t="shared" si="86"/>
        <v>545</v>
      </c>
      <c r="T301">
        <f t="shared" si="87"/>
        <v>480</v>
      </c>
      <c r="U301">
        <f t="shared" si="88"/>
        <v>135</v>
      </c>
      <c r="V301">
        <f t="shared" si="89"/>
        <v>120</v>
      </c>
      <c r="X301" s="3">
        <v>168006</v>
      </c>
      <c r="Y301">
        <f t="shared" si="90"/>
        <v>52.5</v>
      </c>
      <c r="Z301">
        <f t="shared" si="91"/>
        <v>52</v>
      </c>
      <c r="AA301">
        <f t="shared" si="92"/>
        <v>13.5</v>
      </c>
      <c r="AB301">
        <f t="shared" si="93"/>
        <v>32</v>
      </c>
      <c r="AC301">
        <f t="shared" si="94"/>
        <v>629.5</v>
      </c>
      <c r="AD301">
        <f t="shared" si="95"/>
        <v>493.5</v>
      </c>
      <c r="AE301">
        <f t="shared" si="96"/>
        <v>242.5</v>
      </c>
      <c r="AF301">
        <f t="shared" si="97"/>
        <v>286.5</v>
      </c>
      <c r="AG301" s="5">
        <v>106269</v>
      </c>
      <c r="AH301" s="31">
        <v>615</v>
      </c>
      <c r="AI301" s="31">
        <v>555</v>
      </c>
      <c r="AJ301" s="37">
        <v>60</v>
      </c>
      <c r="AK301" s="37">
        <v>10.810810810810811</v>
      </c>
      <c r="AL301" s="36">
        <v>145</v>
      </c>
      <c r="AM301" s="36">
        <v>145</v>
      </c>
      <c r="AN301" s="37">
        <v>0</v>
      </c>
      <c r="AO301" s="37">
        <v>0</v>
      </c>
      <c r="AP301" s="38">
        <v>6842</v>
      </c>
      <c r="AQ301" s="39">
        <v>5518.5</v>
      </c>
      <c r="AR301" s="37">
        <v>1323.5</v>
      </c>
      <c r="AS301" s="37">
        <v>23.98296638579324</v>
      </c>
      <c r="AT301" s="36">
        <v>1720</v>
      </c>
      <c r="AU301" s="36">
        <v>1824.5</v>
      </c>
      <c r="AV301" s="37">
        <v>-104.5</v>
      </c>
      <c r="AW301" s="37">
        <v>-5.727596601808715</v>
      </c>
      <c r="AX301" s="5">
        <v>106341</v>
      </c>
      <c r="AY301" t="str">
        <f t="shared" si="98"/>
        <v>AUTO REST_OKHLA</v>
      </c>
      <c r="AZ301" t="str">
        <f t="shared" si="99"/>
        <v xml:space="preserve">Okhla </v>
      </c>
      <c r="BC301" s="5">
        <v>106269</v>
      </c>
      <c r="BD301" s="5" t="s">
        <v>581</v>
      </c>
      <c r="BE301" s="46" t="s">
        <v>766</v>
      </c>
      <c r="BF301" s="13" t="s">
        <v>767</v>
      </c>
      <c r="BG301" s="6" t="s">
        <v>81</v>
      </c>
      <c r="BH301" s="6" t="s">
        <v>195</v>
      </c>
      <c r="BI301" s="12" t="s">
        <v>195</v>
      </c>
      <c r="BJ301" s="51" t="s">
        <v>135</v>
      </c>
    </row>
    <row r="302" spans="1:62" ht="84.5" x14ac:dyDescent="0.35">
      <c r="A302">
        <v>102078</v>
      </c>
      <c r="B302" s="84">
        <f t="shared" si="80"/>
        <v>128</v>
      </c>
      <c r="C302" s="84">
        <f t="shared" si="81"/>
        <v>146</v>
      </c>
      <c r="E302" s="9">
        <v>41031838</v>
      </c>
      <c r="F302" s="85">
        <v>368</v>
      </c>
      <c r="G302" s="87">
        <v>389</v>
      </c>
      <c r="H302" s="20">
        <v>285</v>
      </c>
      <c r="I302" s="20">
        <v>283.5</v>
      </c>
      <c r="J302" s="20">
        <v>86</v>
      </c>
      <c r="K302" s="20">
        <v>85.5</v>
      </c>
      <c r="L302" s="85">
        <v>139</v>
      </c>
      <c r="M302" s="87">
        <v>141</v>
      </c>
      <c r="N302" s="5">
        <v>106270</v>
      </c>
      <c r="O302">
        <f t="shared" si="82"/>
        <v>770</v>
      </c>
      <c r="P302">
        <f t="shared" si="83"/>
        <v>745.5</v>
      </c>
      <c r="Q302">
        <f t="shared" si="84"/>
        <v>150</v>
      </c>
      <c r="R302">
        <f t="shared" si="85"/>
        <v>166.5</v>
      </c>
      <c r="S302">
        <f t="shared" si="86"/>
        <v>678</v>
      </c>
      <c r="T302">
        <f t="shared" si="87"/>
        <v>655</v>
      </c>
      <c r="U302">
        <f t="shared" si="88"/>
        <v>138</v>
      </c>
      <c r="V302">
        <f t="shared" si="89"/>
        <v>179</v>
      </c>
      <c r="X302" s="5">
        <v>211064</v>
      </c>
      <c r="Y302">
        <f t="shared" si="90"/>
        <v>400</v>
      </c>
      <c r="Z302">
        <f t="shared" si="91"/>
        <v>373.5</v>
      </c>
      <c r="AA302">
        <f t="shared" si="92"/>
        <v>300</v>
      </c>
      <c r="AB302">
        <f t="shared" si="93"/>
        <v>256.5</v>
      </c>
      <c r="AC302">
        <f t="shared" si="94"/>
        <v>4230.5</v>
      </c>
      <c r="AD302">
        <f t="shared" si="95"/>
        <v>3753</v>
      </c>
      <c r="AE302">
        <f t="shared" si="96"/>
        <v>3045.5</v>
      </c>
      <c r="AF302">
        <f t="shared" si="97"/>
        <v>3289.5</v>
      </c>
      <c r="AG302" s="5">
        <v>106270</v>
      </c>
      <c r="AH302" s="31">
        <v>770</v>
      </c>
      <c r="AI302" s="31">
        <v>745.5</v>
      </c>
      <c r="AJ302" s="37">
        <v>24.5</v>
      </c>
      <c r="AK302" s="37">
        <v>3.286384976525822</v>
      </c>
      <c r="AL302" s="36">
        <v>150</v>
      </c>
      <c r="AM302" s="36">
        <v>166.5</v>
      </c>
      <c r="AN302" s="37">
        <v>-16.5</v>
      </c>
      <c r="AO302" s="37">
        <v>-9.9099099099099099</v>
      </c>
      <c r="AP302" s="38">
        <v>9009.5</v>
      </c>
      <c r="AQ302" s="39">
        <v>7388.5</v>
      </c>
      <c r="AR302" s="37">
        <v>1621</v>
      </c>
      <c r="AS302" s="37">
        <v>21.939500575218247</v>
      </c>
      <c r="AT302" s="36">
        <v>1974.5</v>
      </c>
      <c r="AU302" s="36">
        <v>2177</v>
      </c>
      <c r="AV302" s="37">
        <v>-202.5</v>
      </c>
      <c r="AW302" s="37">
        <v>-9.3017914561322925</v>
      </c>
      <c r="AX302" s="9">
        <v>41031838</v>
      </c>
      <c r="AY302" t="str">
        <f t="shared" si="98"/>
        <v>JAGLAN FS</v>
      </c>
      <c r="AZ302" t="str">
        <f t="shared" si="99"/>
        <v>Dwarka</v>
      </c>
      <c r="BC302" s="5">
        <v>106270</v>
      </c>
      <c r="BD302" s="5" t="s">
        <v>581</v>
      </c>
      <c r="BE302" s="46" t="s">
        <v>768</v>
      </c>
      <c r="BF302" s="13" t="s">
        <v>769</v>
      </c>
      <c r="BG302" s="6" t="s">
        <v>75</v>
      </c>
      <c r="BH302" s="6" t="s">
        <v>770</v>
      </c>
      <c r="BI302" s="12" t="s">
        <v>770</v>
      </c>
      <c r="BJ302" s="51" t="s">
        <v>77</v>
      </c>
    </row>
    <row r="303" spans="1:62" ht="36.5" x14ac:dyDescent="0.35">
      <c r="A303">
        <v>186855</v>
      </c>
      <c r="B303" s="84">
        <f t="shared" si="80"/>
        <v>435</v>
      </c>
      <c r="C303" s="84">
        <f t="shared" si="81"/>
        <v>495</v>
      </c>
      <c r="E303" s="9">
        <v>41056491</v>
      </c>
      <c r="F303" s="85">
        <v>565.5</v>
      </c>
      <c r="G303" s="87">
        <v>601</v>
      </c>
      <c r="H303" s="20">
        <v>575</v>
      </c>
      <c r="I303" s="20">
        <v>584</v>
      </c>
      <c r="J303" s="20">
        <v>73</v>
      </c>
      <c r="K303" s="20">
        <v>67</v>
      </c>
      <c r="L303" s="85">
        <v>61.5</v>
      </c>
      <c r="M303" s="87">
        <v>58</v>
      </c>
      <c r="N303" s="5">
        <v>106272</v>
      </c>
      <c r="O303">
        <f t="shared" si="82"/>
        <v>655.5</v>
      </c>
      <c r="P303">
        <f t="shared" si="83"/>
        <v>584</v>
      </c>
      <c r="Q303">
        <f t="shared" si="84"/>
        <v>108.5</v>
      </c>
      <c r="R303">
        <f t="shared" si="85"/>
        <v>112</v>
      </c>
      <c r="S303">
        <f t="shared" si="86"/>
        <v>599</v>
      </c>
      <c r="T303">
        <f t="shared" si="87"/>
        <v>546</v>
      </c>
      <c r="U303">
        <f t="shared" si="88"/>
        <v>101</v>
      </c>
      <c r="V303">
        <f t="shared" si="89"/>
        <v>116</v>
      </c>
      <c r="X303" s="3">
        <v>200922</v>
      </c>
      <c r="Y303">
        <f t="shared" si="90"/>
        <v>304.09199999999998</v>
      </c>
      <c r="Z303">
        <f t="shared" si="91"/>
        <v>283.62900000000002</v>
      </c>
      <c r="AA303">
        <f t="shared" si="92"/>
        <v>65.864000000000004</v>
      </c>
      <c r="AB303">
        <f t="shared" si="93"/>
        <v>67.805999999999997</v>
      </c>
      <c r="AC303">
        <f t="shared" si="94"/>
        <v>3549.6149999999998</v>
      </c>
      <c r="AD303">
        <f t="shared" si="95"/>
        <v>2804.6</v>
      </c>
      <c r="AE303">
        <f t="shared" si="96"/>
        <v>742.101</v>
      </c>
      <c r="AF303">
        <f t="shared" si="97"/>
        <v>929.32600000000025</v>
      </c>
      <c r="AG303" s="5">
        <v>106272</v>
      </c>
      <c r="AH303" s="31">
        <v>655.5</v>
      </c>
      <c r="AI303" s="31">
        <v>584</v>
      </c>
      <c r="AJ303" s="37">
        <v>71.5</v>
      </c>
      <c r="AK303" s="37">
        <v>12.243150684931507</v>
      </c>
      <c r="AL303" s="36">
        <v>108.5</v>
      </c>
      <c r="AM303" s="36">
        <v>112</v>
      </c>
      <c r="AN303" s="37">
        <v>-3.5</v>
      </c>
      <c r="AO303" s="37">
        <v>-3.125</v>
      </c>
      <c r="AP303" s="38">
        <v>7758.5</v>
      </c>
      <c r="AQ303" s="39">
        <v>6082.5</v>
      </c>
      <c r="AR303" s="37">
        <v>1676</v>
      </c>
      <c r="AS303" s="37">
        <v>27.554459515002055</v>
      </c>
      <c r="AT303" s="36">
        <v>1335.5</v>
      </c>
      <c r="AU303" s="36">
        <v>1505.5</v>
      </c>
      <c r="AV303" s="37">
        <v>-170</v>
      </c>
      <c r="AW303" s="37">
        <v>-11.291929591497842</v>
      </c>
      <c r="AX303" s="9">
        <v>41056491</v>
      </c>
      <c r="AY303" t="str">
        <f t="shared" si="98"/>
        <v>White Patch_Old GT Road</v>
      </c>
      <c r="AZ303" t="str">
        <f t="shared" si="99"/>
        <v>Old GT Road (NH1)</v>
      </c>
      <c r="BC303" s="5">
        <v>106272</v>
      </c>
      <c r="BD303" s="5" t="s">
        <v>581</v>
      </c>
      <c r="BE303" s="46" t="s">
        <v>771</v>
      </c>
      <c r="BF303" s="13" t="s">
        <v>772</v>
      </c>
      <c r="BG303" s="6" t="s">
        <v>94</v>
      </c>
      <c r="BH303" s="6" t="s">
        <v>166</v>
      </c>
      <c r="BI303" s="12" t="s">
        <v>166</v>
      </c>
      <c r="BJ303" s="51" t="s">
        <v>120</v>
      </c>
    </row>
    <row r="304" spans="1:62" ht="48.5" x14ac:dyDescent="0.35">
      <c r="A304">
        <v>106336</v>
      </c>
      <c r="B304" s="84">
        <f t="shared" si="80"/>
        <v>740</v>
      </c>
      <c r="C304" s="84">
        <f t="shared" si="81"/>
        <v>823</v>
      </c>
      <c r="E304" s="9">
        <v>41056544</v>
      </c>
      <c r="F304" s="85">
        <v>395</v>
      </c>
      <c r="G304" s="87">
        <v>387</v>
      </c>
      <c r="H304" s="20">
        <v>415</v>
      </c>
      <c r="I304" s="20">
        <v>458</v>
      </c>
      <c r="J304" s="20">
        <v>318</v>
      </c>
      <c r="K304" s="20">
        <v>292</v>
      </c>
      <c r="L304" s="85">
        <v>207</v>
      </c>
      <c r="M304" s="87">
        <v>254</v>
      </c>
      <c r="N304" s="5">
        <v>153271</v>
      </c>
      <c r="O304">
        <f t="shared" si="82"/>
        <v>439.77999999999901</v>
      </c>
      <c r="P304">
        <f t="shared" si="83"/>
        <v>415.09300000000002</v>
      </c>
      <c r="Q304">
        <f t="shared" si="84"/>
        <v>72.349000000000004</v>
      </c>
      <c r="R304">
        <f t="shared" si="85"/>
        <v>77.147999999999996</v>
      </c>
      <c r="S304">
        <f t="shared" si="86"/>
        <v>382.01900000000001</v>
      </c>
      <c r="T304">
        <f t="shared" si="87"/>
        <v>381.17</v>
      </c>
      <c r="U304">
        <f t="shared" si="88"/>
        <v>60.531999999999897</v>
      </c>
      <c r="V304">
        <f t="shared" si="89"/>
        <v>68.861000000000004</v>
      </c>
      <c r="X304" s="5">
        <v>106235</v>
      </c>
      <c r="Y304">
        <f t="shared" si="90"/>
        <v>255</v>
      </c>
      <c r="Z304">
        <f t="shared" si="91"/>
        <v>227.5</v>
      </c>
      <c r="AA304">
        <f t="shared" si="92"/>
        <v>45</v>
      </c>
      <c r="AB304">
        <f t="shared" si="93"/>
        <v>86.5</v>
      </c>
      <c r="AC304">
        <f t="shared" si="94"/>
        <v>2918</v>
      </c>
      <c r="AD304">
        <f t="shared" si="95"/>
        <v>2393</v>
      </c>
      <c r="AE304">
        <f t="shared" si="96"/>
        <v>1031</v>
      </c>
      <c r="AF304">
        <f t="shared" si="97"/>
        <v>1035</v>
      </c>
      <c r="AG304" s="5">
        <v>153271</v>
      </c>
      <c r="AH304" s="31">
        <v>439.77999999999901</v>
      </c>
      <c r="AI304" s="31">
        <v>415.09300000000002</v>
      </c>
      <c r="AJ304" s="37">
        <v>24.686999999998989</v>
      </c>
      <c r="AK304" s="37">
        <v>5.9473419209668652</v>
      </c>
      <c r="AL304" s="36">
        <v>72.349000000000004</v>
      </c>
      <c r="AM304" s="36">
        <v>77.147999999999996</v>
      </c>
      <c r="AN304" s="37">
        <v>-4.7989999999999924</v>
      </c>
      <c r="AO304" s="37">
        <v>-6.2205112251775709</v>
      </c>
      <c r="AP304" s="38">
        <v>5176.6749999999984</v>
      </c>
      <c r="AQ304" s="39">
        <v>4086.2369999999996</v>
      </c>
      <c r="AR304" s="37">
        <v>1090.4379999999987</v>
      </c>
      <c r="AS304" s="37">
        <v>26.68562787718869</v>
      </c>
      <c r="AT304" s="36">
        <v>875.96399999999983</v>
      </c>
      <c r="AU304" s="36">
        <v>1017.0409999999999</v>
      </c>
      <c r="AV304" s="37">
        <v>-141.07700000000011</v>
      </c>
      <c r="AW304" s="37">
        <v>-13.87131885538539</v>
      </c>
      <c r="AX304" s="9">
        <v>41056544</v>
      </c>
      <c r="AY304" t="str">
        <f t="shared" si="98"/>
        <v>RAJINDER-RS BHOLA</v>
      </c>
      <c r="AZ304" t="str">
        <f t="shared" si="99"/>
        <v>Ashok Vihar</v>
      </c>
      <c r="BC304" s="5">
        <v>153271</v>
      </c>
      <c r="BD304" s="5" t="s">
        <v>581</v>
      </c>
      <c r="BE304" s="46" t="s">
        <v>773</v>
      </c>
      <c r="BF304" s="13" t="s">
        <v>774</v>
      </c>
      <c r="BG304" s="6" t="s">
        <v>111</v>
      </c>
      <c r="BH304" s="6" t="s">
        <v>129</v>
      </c>
      <c r="BI304" s="12" t="s">
        <v>129</v>
      </c>
      <c r="BJ304" s="51" t="s">
        <v>126</v>
      </c>
    </row>
    <row r="305" spans="1:62" ht="48.5" x14ac:dyDescent="0.35">
      <c r="A305">
        <v>41019288</v>
      </c>
      <c r="B305" s="84">
        <f t="shared" si="80"/>
        <v>217</v>
      </c>
      <c r="C305" s="84">
        <f t="shared" si="81"/>
        <v>266</v>
      </c>
      <c r="E305" s="9">
        <v>41030786</v>
      </c>
      <c r="F305" s="85">
        <v>969.5</v>
      </c>
      <c r="G305" s="87">
        <v>1091</v>
      </c>
      <c r="H305" s="20">
        <v>925.5</v>
      </c>
      <c r="I305" s="20">
        <v>973</v>
      </c>
      <c r="J305" s="20">
        <v>329.5</v>
      </c>
      <c r="K305" s="20">
        <v>315</v>
      </c>
      <c r="L305" s="85">
        <v>303.5</v>
      </c>
      <c r="M305" s="87">
        <v>314</v>
      </c>
      <c r="N305" s="5">
        <v>368600</v>
      </c>
      <c r="O305">
        <f t="shared" si="82"/>
        <v>489.31599999999901</v>
      </c>
      <c r="P305">
        <f t="shared" si="83"/>
        <v>466.017</v>
      </c>
      <c r="Q305">
        <f t="shared" si="84"/>
        <v>71.302000000000007</v>
      </c>
      <c r="R305">
        <f t="shared" si="85"/>
        <v>82.877999999999901</v>
      </c>
      <c r="S305">
        <f t="shared" si="86"/>
        <v>467.33100000000002</v>
      </c>
      <c r="T305">
        <f t="shared" si="87"/>
        <v>421.66499999999991</v>
      </c>
      <c r="U305">
        <f t="shared" si="88"/>
        <v>72.539000000000001</v>
      </c>
      <c r="V305">
        <f t="shared" si="89"/>
        <v>80.133999999999986</v>
      </c>
      <c r="X305" s="5">
        <v>102111</v>
      </c>
      <c r="Y305">
        <f t="shared" si="90"/>
        <v>50</v>
      </c>
      <c r="Z305">
        <f t="shared" si="91"/>
        <v>60</v>
      </c>
      <c r="AA305">
        <f t="shared" si="92"/>
        <v>90</v>
      </c>
      <c r="AB305">
        <f t="shared" si="93"/>
        <v>80</v>
      </c>
      <c r="AC305">
        <f t="shared" si="94"/>
        <v>698.5</v>
      </c>
      <c r="AD305">
        <f t="shared" si="95"/>
        <v>465.5</v>
      </c>
      <c r="AE305">
        <f t="shared" si="96"/>
        <v>1185.5</v>
      </c>
      <c r="AF305">
        <f t="shared" si="97"/>
        <v>903.5</v>
      </c>
      <c r="AG305" s="5">
        <v>368600</v>
      </c>
      <c r="AH305" s="31">
        <v>489.31599999999901</v>
      </c>
      <c r="AI305" s="31">
        <v>466.017</v>
      </c>
      <c r="AJ305" s="37">
        <v>23.298999999999012</v>
      </c>
      <c r="AK305" s="37">
        <v>4.9996030187737812</v>
      </c>
      <c r="AL305" s="36">
        <v>71.302000000000007</v>
      </c>
      <c r="AM305" s="36">
        <v>82.877999999999901</v>
      </c>
      <c r="AN305" s="37">
        <v>-11.575999999999894</v>
      </c>
      <c r="AO305" s="37">
        <v>-13.967518521199725</v>
      </c>
      <c r="AP305" s="38">
        <v>5968.7529999999988</v>
      </c>
      <c r="AQ305" s="39">
        <v>4611.7139999999999</v>
      </c>
      <c r="AR305" s="37">
        <v>1357.0389999999989</v>
      </c>
      <c r="AS305" s="37">
        <v>29.425914096147309</v>
      </c>
      <c r="AT305" s="36">
        <v>970.52599999999973</v>
      </c>
      <c r="AU305" s="36">
        <v>1115.3419999999994</v>
      </c>
      <c r="AV305" s="37">
        <v>-144.81599999999969</v>
      </c>
      <c r="AW305" s="37">
        <v>-12.983999526602583</v>
      </c>
      <c r="AX305" s="9">
        <v>41030786</v>
      </c>
      <c r="AY305" t="str">
        <f t="shared" si="98"/>
        <v>AUTO REST_OKHLA</v>
      </c>
      <c r="AZ305" t="str">
        <f t="shared" si="99"/>
        <v xml:space="preserve">Okhla </v>
      </c>
      <c r="BC305" s="5">
        <v>368600</v>
      </c>
      <c r="BD305" s="5" t="s">
        <v>581</v>
      </c>
      <c r="BE305" s="46" t="s">
        <v>775</v>
      </c>
      <c r="BF305" s="13" t="s">
        <v>776</v>
      </c>
      <c r="BG305" s="6" t="s">
        <v>94</v>
      </c>
      <c r="BH305" s="6" t="s">
        <v>129</v>
      </c>
      <c r="BI305" s="12" t="s">
        <v>129</v>
      </c>
      <c r="BJ305" s="51" t="s">
        <v>126</v>
      </c>
    </row>
    <row r="306" spans="1:62" ht="48.5" x14ac:dyDescent="0.35">
      <c r="A306">
        <v>106337</v>
      </c>
      <c r="B306" s="84">
        <f t="shared" si="80"/>
        <v>222</v>
      </c>
      <c r="C306" s="84">
        <f t="shared" si="81"/>
        <v>237.5</v>
      </c>
      <c r="E306" s="9">
        <v>41019261</v>
      </c>
      <c r="F306" s="85">
        <v>296.5</v>
      </c>
      <c r="G306" s="87">
        <v>318</v>
      </c>
      <c r="H306" s="20">
        <v>294</v>
      </c>
      <c r="I306" s="20">
        <v>297.5</v>
      </c>
      <c r="J306" s="20">
        <v>109</v>
      </c>
      <c r="K306" s="20">
        <v>92.5</v>
      </c>
      <c r="L306" s="85">
        <v>96.5</v>
      </c>
      <c r="M306" s="87">
        <v>112</v>
      </c>
      <c r="N306" s="5">
        <v>102090</v>
      </c>
      <c r="O306">
        <f t="shared" si="82"/>
        <v>234</v>
      </c>
      <c r="P306">
        <f t="shared" si="83"/>
        <v>197</v>
      </c>
      <c r="Q306">
        <f t="shared" si="84"/>
        <v>90</v>
      </c>
      <c r="R306">
        <f t="shared" si="85"/>
        <v>59</v>
      </c>
      <c r="S306">
        <f t="shared" si="86"/>
        <v>184.5</v>
      </c>
      <c r="T306">
        <f t="shared" si="87"/>
        <v>169.5</v>
      </c>
      <c r="U306">
        <f t="shared" si="88"/>
        <v>49.5</v>
      </c>
      <c r="V306">
        <f t="shared" si="89"/>
        <v>50.5</v>
      </c>
      <c r="X306" s="5">
        <v>106288</v>
      </c>
      <c r="Y306">
        <f t="shared" si="90"/>
        <v>196</v>
      </c>
      <c r="Z306">
        <f t="shared" si="91"/>
        <v>166.5</v>
      </c>
      <c r="AA306">
        <f t="shared" si="92"/>
        <v>98</v>
      </c>
      <c r="AB306">
        <f t="shared" si="93"/>
        <v>121.5</v>
      </c>
      <c r="AC306">
        <f t="shared" si="94"/>
        <v>2085</v>
      </c>
      <c r="AD306">
        <f t="shared" si="95"/>
        <v>1749.5</v>
      </c>
      <c r="AE306">
        <f t="shared" si="96"/>
        <v>1315</v>
      </c>
      <c r="AF306">
        <f t="shared" si="97"/>
        <v>1682.5</v>
      </c>
      <c r="AG306" s="5">
        <v>102090</v>
      </c>
      <c r="AH306" s="31">
        <v>234</v>
      </c>
      <c r="AI306" s="31">
        <v>197</v>
      </c>
      <c r="AJ306" s="37">
        <v>37</v>
      </c>
      <c r="AK306" s="37">
        <v>18.781725888324875</v>
      </c>
      <c r="AL306" s="36">
        <v>90</v>
      </c>
      <c r="AM306" s="36">
        <v>59</v>
      </c>
      <c r="AN306" s="37">
        <v>31</v>
      </c>
      <c r="AO306" s="37">
        <v>52.542372881355938</v>
      </c>
      <c r="AP306" s="38">
        <v>2617</v>
      </c>
      <c r="AQ306" s="39">
        <v>2177.5</v>
      </c>
      <c r="AR306" s="37">
        <v>439.5</v>
      </c>
      <c r="AS306" s="37">
        <v>20.183696900114811</v>
      </c>
      <c r="AT306" s="36">
        <v>735</v>
      </c>
      <c r="AU306" s="36">
        <v>764</v>
      </c>
      <c r="AV306" s="37">
        <v>-29</v>
      </c>
      <c r="AW306" s="37">
        <v>-3.7958115183246073</v>
      </c>
      <c r="AX306" s="9">
        <v>41019261</v>
      </c>
      <c r="AY306" t="str">
        <f t="shared" si="98"/>
        <v>White Patch_Ranhola</v>
      </c>
      <c r="AZ306" t="str">
        <f t="shared" si="99"/>
        <v>Nazafgarh-Kapashera</v>
      </c>
      <c r="BC306" s="5">
        <v>102090</v>
      </c>
      <c r="BD306" s="5" t="s">
        <v>581</v>
      </c>
      <c r="BE306" s="46" t="s">
        <v>778</v>
      </c>
      <c r="BF306" s="13" t="s">
        <v>779</v>
      </c>
      <c r="BG306" s="6" t="s">
        <v>103</v>
      </c>
      <c r="BH306" s="6" t="s">
        <v>181</v>
      </c>
      <c r="BI306" s="12" t="s">
        <v>181</v>
      </c>
      <c r="BJ306" s="51" t="s">
        <v>105</v>
      </c>
    </row>
    <row r="307" spans="1:62" ht="36.5" x14ac:dyDescent="0.35">
      <c r="A307">
        <v>41056548</v>
      </c>
      <c r="B307" s="84">
        <f t="shared" si="80"/>
        <v>241</v>
      </c>
      <c r="C307" s="84">
        <f t="shared" si="81"/>
        <v>222</v>
      </c>
      <c r="E307" s="9">
        <v>41063936</v>
      </c>
      <c r="F307" s="85">
        <v>246</v>
      </c>
      <c r="G307" s="87">
        <v>279</v>
      </c>
      <c r="H307" s="20">
        <v>229</v>
      </c>
      <c r="I307" s="20">
        <v>256</v>
      </c>
      <c r="J307" s="20">
        <v>266</v>
      </c>
      <c r="K307" s="20">
        <v>264</v>
      </c>
      <c r="L307" s="85">
        <v>245</v>
      </c>
      <c r="M307" s="87">
        <v>249</v>
      </c>
      <c r="N307" s="5">
        <v>106242</v>
      </c>
      <c r="O307">
        <f t="shared" si="82"/>
        <v>531</v>
      </c>
      <c r="P307">
        <f t="shared" si="83"/>
        <v>517.5</v>
      </c>
      <c r="Q307">
        <f t="shared" si="84"/>
        <v>45</v>
      </c>
      <c r="R307">
        <f t="shared" si="85"/>
        <v>76.5</v>
      </c>
      <c r="S307">
        <f t="shared" si="86"/>
        <v>472.5</v>
      </c>
      <c r="T307">
        <f t="shared" si="87"/>
        <v>459</v>
      </c>
      <c r="U307">
        <f t="shared" si="88"/>
        <v>40.5</v>
      </c>
      <c r="V307">
        <f t="shared" si="89"/>
        <v>63</v>
      </c>
      <c r="X307" s="5">
        <v>102102</v>
      </c>
      <c r="Y307">
        <f t="shared" si="90"/>
        <v>370</v>
      </c>
      <c r="Z307">
        <f t="shared" si="91"/>
        <v>315</v>
      </c>
      <c r="AA307">
        <f t="shared" si="92"/>
        <v>128</v>
      </c>
      <c r="AB307">
        <f t="shared" si="93"/>
        <v>81</v>
      </c>
      <c r="AC307">
        <f t="shared" si="94"/>
        <v>4147.5</v>
      </c>
      <c r="AD307">
        <f t="shared" si="95"/>
        <v>2864</v>
      </c>
      <c r="AE307">
        <f t="shared" si="96"/>
        <v>1271.5</v>
      </c>
      <c r="AF307">
        <f t="shared" si="97"/>
        <v>1305</v>
      </c>
      <c r="AG307" s="5">
        <v>106242</v>
      </c>
      <c r="AH307" s="31">
        <v>531</v>
      </c>
      <c r="AI307" s="31">
        <v>517.5</v>
      </c>
      <c r="AJ307" s="37">
        <v>13.5</v>
      </c>
      <c r="AK307" s="37">
        <v>2.6086956521739131</v>
      </c>
      <c r="AL307" s="36">
        <v>45</v>
      </c>
      <c r="AM307" s="36">
        <v>76.5</v>
      </c>
      <c r="AN307" s="37">
        <v>-31.5</v>
      </c>
      <c r="AO307" s="37">
        <v>-41.17647058823529</v>
      </c>
      <c r="AP307" s="38">
        <v>6449</v>
      </c>
      <c r="AQ307" s="39">
        <v>5333</v>
      </c>
      <c r="AR307" s="37">
        <v>1116</v>
      </c>
      <c r="AS307" s="37">
        <v>20.92630789424339</v>
      </c>
      <c r="AT307" s="36">
        <v>716</v>
      </c>
      <c r="AU307" s="36">
        <v>926.5</v>
      </c>
      <c r="AV307" s="37">
        <v>-210.5</v>
      </c>
      <c r="AW307" s="37">
        <v>-22.71991365353481</v>
      </c>
      <c r="AX307" s="9">
        <v>41063936</v>
      </c>
      <c r="AY307" t="str">
        <f t="shared" si="98"/>
        <v>SAI</v>
      </c>
      <c r="AZ307" t="str">
        <f t="shared" si="99"/>
        <v>Burari</v>
      </c>
      <c r="BC307" s="5">
        <v>106242</v>
      </c>
      <c r="BD307" s="5" t="s">
        <v>581</v>
      </c>
      <c r="BE307" s="46" t="s">
        <v>780</v>
      </c>
      <c r="BF307" s="13" t="s">
        <v>579</v>
      </c>
      <c r="BG307" s="6" t="s">
        <v>85</v>
      </c>
      <c r="BH307" s="6" t="s">
        <v>326</v>
      </c>
      <c r="BI307" s="12" t="s">
        <v>326</v>
      </c>
      <c r="BJ307" s="51" t="s">
        <v>120</v>
      </c>
    </row>
    <row r="308" spans="1:62" ht="36.5" x14ac:dyDescent="0.35">
      <c r="A308">
        <v>127090</v>
      </c>
      <c r="B308" s="84">
        <f t="shared" si="80"/>
        <v>445</v>
      </c>
      <c r="C308" s="84">
        <f t="shared" si="81"/>
        <v>520</v>
      </c>
      <c r="E308" s="9">
        <v>41019248</v>
      </c>
      <c r="F308" s="85">
        <v>624</v>
      </c>
      <c r="G308" s="87">
        <v>660</v>
      </c>
      <c r="H308" s="20">
        <v>634</v>
      </c>
      <c r="I308" s="20">
        <v>657</v>
      </c>
      <c r="J308" s="20">
        <v>280</v>
      </c>
      <c r="K308" s="20">
        <v>329</v>
      </c>
      <c r="L308" s="85">
        <v>256</v>
      </c>
      <c r="M308" s="87">
        <v>308</v>
      </c>
      <c r="N308" s="5">
        <v>106274</v>
      </c>
      <c r="O308">
        <f t="shared" si="82"/>
        <v>245</v>
      </c>
      <c r="P308">
        <f t="shared" si="83"/>
        <v>241</v>
      </c>
      <c r="Q308">
        <f t="shared" si="84"/>
        <v>229</v>
      </c>
      <c r="R308">
        <f t="shared" si="85"/>
        <v>123</v>
      </c>
      <c r="S308">
        <f t="shared" si="86"/>
        <v>220</v>
      </c>
      <c r="T308">
        <f t="shared" si="87"/>
        <v>239.5</v>
      </c>
      <c r="U308">
        <f t="shared" si="88"/>
        <v>220</v>
      </c>
      <c r="V308">
        <f t="shared" si="89"/>
        <v>86.5</v>
      </c>
      <c r="X308" s="5">
        <v>254645</v>
      </c>
      <c r="Y308">
        <f t="shared" si="90"/>
        <v>48.5</v>
      </c>
      <c r="Z308">
        <f t="shared" si="91"/>
        <v>62</v>
      </c>
      <c r="AA308">
        <f t="shared" si="92"/>
        <v>193.5</v>
      </c>
      <c r="AB308">
        <f t="shared" si="93"/>
        <v>190</v>
      </c>
      <c r="AC308">
        <f t="shared" si="94"/>
        <v>722</v>
      </c>
      <c r="AD308">
        <f t="shared" si="95"/>
        <v>553</v>
      </c>
      <c r="AE308">
        <f t="shared" si="96"/>
        <v>2310</v>
      </c>
      <c r="AF308">
        <f t="shared" si="97"/>
        <v>2546.5</v>
      </c>
      <c r="AG308" s="5">
        <v>106274</v>
      </c>
      <c r="AH308" s="31">
        <v>245</v>
      </c>
      <c r="AI308" s="31">
        <v>241</v>
      </c>
      <c r="AJ308" s="37">
        <v>4</v>
      </c>
      <c r="AK308" s="37">
        <v>1.6597510373443984</v>
      </c>
      <c r="AL308" s="36">
        <v>229</v>
      </c>
      <c r="AM308" s="36">
        <v>123</v>
      </c>
      <c r="AN308" s="37">
        <v>106</v>
      </c>
      <c r="AO308" s="37">
        <v>86.178861788617894</v>
      </c>
      <c r="AP308" s="38">
        <v>2909.5</v>
      </c>
      <c r="AQ308" s="39">
        <v>2554</v>
      </c>
      <c r="AR308" s="37">
        <v>355.5</v>
      </c>
      <c r="AS308" s="37">
        <v>13.919342208300705</v>
      </c>
      <c r="AT308" s="36">
        <v>2584.5</v>
      </c>
      <c r="AU308" s="36">
        <v>1073.5</v>
      </c>
      <c r="AV308" s="37">
        <v>1511</v>
      </c>
      <c r="AW308" s="37">
        <v>140.75454122030743</v>
      </c>
      <c r="AX308" s="9">
        <v>41019248</v>
      </c>
      <c r="AY308" t="str">
        <f t="shared" si="98"/>
        <v>White Patch_Dhaula Kuan_NH8</v>
      </c>
      <c r="AZ308" t="str">
        <f t="shared" si="99"/>
        <v>Dwarka</v>
      </c>
      <c r="BC308" s="5">
        <v>106274</v>
      </c>
      <c r="BD308" s="5" t="s">
        <v>581</v>
      </c>
      <c r="BE308" s="46" t="s">
        <v>781</v>
      </c>
      <c r="BF308" s="13" t="s">
        <v>782</v>
      </c>
      <c r="BG308" s="6" t="s">
        <v>111</v>
      </c>
      <c r="BH308" s="6" t="s">
        <v>274</v>
      </c>
      <c r="BI308" s="12" t="s">
        <v>274</v>
      </c>
      <c r="BJ308" s="51" t="s">
        <v>275</v>
      </c>
    </row>
    <row r="309" spans="1:62" ht="48.5" x14ac:dyDescent="0.35">
      <c r="A309">
        <v>163708</v>
      </c>
      <c r="B309" s="84">
        <f t="shared" si="80"/>
        <v>525</v>
      </c>
      <c r="C309" s="84">
        <f t="shared" si="81"/>
        <v>570</v>
      </c>
      <c r="E309" s="9">
        <v>41031854</v>
      </c>
      <c r="F309" s="85">
        <v>375</v>
      </c>
      <c r="G309" s="87">
        <v>373.5</v>
      </c>
      <c r="H309" s="20">
        <v>355</v>
      </c>
      <c r="I309" s="20">
        <v>475</v>
      </c>
      <c r="J309" s="20">
        <v>105</v>
      </c>
      <c r="K309" s="20">
        <v>128</v>
      </c>
      <c r="L309" s="85">
        <v>85</v>
      </c>
      <c r="M309" s="87">
        <v>84.5</v>
      </c>
      <c r="N309" s="5">
        <v>106276</v>
      </c>
      <c r="O309">
        <f t="shared" si="82"/>
        <v>400</v>
      </c>
      <c r="P309">
        <f t="shared" si="83"/>
        <v>420</v>
      </c>
      <c r="Q309">
        <f t="shared" si="84"/>
        <v>80</v>
      </c>
      <c r="R309">
        <f t="shared" si="85"/>
        <v>100</v>
      </c>
      <c r="S309">
        <f t="shared" si="86"/>
        <v>395</v>
      </c>
      <c r="T309">
        <f t="shared" si="87"/>
        <v>370</v>
      </c>
      <c r="U309">
        <f t="shared" si="88"/>
        <v>85</v>
      </c>
      <c r="V309">
        <f t="shared" si="89"/>
        <v>90</v>
      </c>
      <c r="X309" s="9">
        <v>41031180</v>
      </c>
      <c r="Y309">
        <f t="shared" si="90"/>
        <v>200</v>
      </c>
      <c r="Z309">
        <f t="shared" si="91"/>
        <v>225.5</v>
      </c>
      <c r="AA309">
        <f t="shared" si="92"/>
        <v>136</v>
      </c>
      <c r="AB309">
        <f t="shared" si="93"/>
        <v>234.5</v>
      </c>
      <c r="AC309">
        <f t="shared" si="94"/>
        <v>2714</v>
      </c>
      <c r="AD309">
        <f t="shared" si="95"/>
        <v>2219</v>
      </c>
      <c r="AE309">
        <f t="shared" si="96"/>
        <v>2774</v>
      </c>
      <c r="AF309">
        <f t="shared" si="97"/>
        <v>2717</v>
      </c>
      <c r="AG309" s="5">
        <v>106276</v>
      </c>
      <c r="AH309" s="31">
        <v>400</v>
      </c>
      <c r="AI309" s="31">
        <v>420</v>
      </c>
      <c r="AJ309" s="37">
        <v>-20</v>
      </c>
      <c r="AK309" s="37">
        <v>-4.7619047619047619</v>
      </c>
      <c r="AL309" s="36">
        <v>80</v>
      </c>
      <c r="AM309" s="36">
        <v>100</v>
      </c>
      <c r="AN309" s="37">
        <v>-20</v>
      </c>
      <c r="AO309" s="37">
        <v>-20</v>
      </c>
      <c r="AP309" s="38">
        <v>4878</v>
      </c>
      <c r="AQ309" s="39">
        <v>4034.5</v>
      </c>
      <c r="AR309" s="37">
        <v>843.5</v>
      </c>
      <c r="AS309" s="37">
        <v>20.907175610360639</v>
      </c>
      <c r="AT309" s="36">
        <v>1060</v>
      </c>
      <c r="AU309" s="36">
        <v>1256</v>
      </c>
      <c r="AV309" s="37">
        <v>-196</v>
      </c>
      <c r="AW309" s="37">
        <v>-15.605095541401273</v>
      </c>
      <c r="AX309" s="9">
        <v>41031854</v>
      </c>
      <c r="AY309" t="str">
        <f t="shared" si="98"/>
        <v>White Patch_Dwarka_To_Bijwasan</v>
      </c>
      <c r="AZ309" t="str">
        <f t="shared" si="99"/>
        <v>Dwarka</v>
      </c>
      <c r="BC309" s="5">
        <v>106276</v>
      </c>
      <c r="BD309" s="5" t="s">
        <v>581</v>
      </c>
      <c r="BE309" s="46" t="s">
        <v>783</v>
      </c>
      <c r="BF309" s="13" t="s">
        <v>784</v>
      </c>
      <c r="BG309" s="6" t="s">
        <v>111</v>
      </c>
      <c r="BH309" s="6" t="s">
        <v>112</v>
      </c>
      <c r="BI309" s="12" t="s">
        <v>112</v>
      </c>
      <c r="BJ309" s="51" t="s">
        <v>113</v>
      </c>
    </row>
    <row r="310" spans="1:62" ht="48.5" x14ac:dyDescent="0.35">
      <c r="A310">
        <v>205752</v>
      </c>
      <c r="B310" s="84">
        <f t="shared" si="80"/>
        <v>173.5</v>
      </c>
      <c r="C310" s="84">
        <f t="shared" si="81"/>
        <v>168</v>
      </c>
      <c r="E310" s="9">
        <v>41056993</v>
      </c>
      <c r="F310" s="85">
        <v>290</v>
      </c>
      <c r="G310" s="87">
        <v>312</v>
      </c>
      <c r="H310" s="20">
        <v>246</v>
      </c>
      <c r="I310" s="20">
        <v>307</v>
      </c>
      <c r="J310" s="20">
        <v>320</v>
      </c>
      <c r="K310" s="20">
        <v>339</v>
      </c>
      <c r="L310" s="85">
        <v>396</v>
      </c>
      <c r="M310" s="87">
        <v>396</v>
      </c>
      <c r="N310" s="5">
        <v>106275</v>
      </c>
      <c r="O310">
        <f t="shared" si="82"/>
        <v>689</v>
      </c>
      <c r="P310">
        <f t="shared" si="83"/>
        <v>670</v>
      </c>
      <c r="Q310">
        <f t="shared" si="84"/>
        <v>173</v>
      </c>
      <c r="R310">
        <f t="shared" si="85"/>
        <v>172</v>
      </c>
      <c r="S310">
        <f t="shared" si="86"/>
        <v>609</v>
      </c>
      <c r="T310">
        <f t="shared" si="87"/>
        <v>584</v>
      </c>
      <c r="U310">
        <f t="shared" si="88"/>
        <v>145</v>
      </c>
      <c r="V310">
        <f t="shared" si="89"/>
        <v>160</v>
      </c>
      <c r="X310" s="5">
        <v>106222</v>
      </c>
      <c r="Y310">
        <f t="shared" si="90"/>
        <v>93</v>
      </c>
      <c r="Z310">
        <f t="shared" si="91"/>
        <v>112.5</v>
      </c>
      <c r="AA310">
        <f t="shared" si="92"/>
        <v>9</v>
      </c>
      <c r="AB310">
        <f t="shared" si="93"/>
        <v>13.5</v>
      </c>
      <c r="AC310">
        <f t="shared" si="94"/>
        <v>1235</v>
      </c>
      <c r="AD310">
        <f t="shared" si="95"/>
        <v>1078</v>
      </c>
      <c r="AE310">
        <f t="shared" si="96"/>
        <v>99</v>
      </c>
      <c r="AF310">
        <f t="shared" si="97"/>
        <v>122.5</v>
      </c>
      <c r="AG310" s="5">
        <v>106275</v>
      </c>
      <c r="AH310" s="31">
        <v>689</v>
      </c>
      <c r="AI310" s="31">
        <v>670</v>
      </c>
      <c r="AJ310" s="37">
        <v>19</v>
      </c>
      <c r="AK310" s="37">
        <v>2.8358208955223883</v>
      </c>
      <c r="AL310" s="36">
        <v>173</v>
      </c>
      <c r="AM310" s="36">
        <v>172</v>
      </c>
      <c r="AN310" s="37">
        <v>1</v>
      </c>
      <c r="AO310" s="37">
        <v>0.58139534883720934</v>
      </c>
      <c r="AP310" s="38">
        <v>8337</v>
      </c>
      <c r="AQ310" s="39">
        <v>6839</v>
      </c>
      <c r="AR310" s="37">
        <v>1498</v>
      </c>
      <c r="AS310" s="37">
        <v>21.903787103377688</v>
      </c>
      <c r="AT310" s="36">
        <v>1955</v>
      </c>
      <c r="AU310" s="36">
        <v>1947</v>
      </c>
      <c r="AV310" s="37">
        <v>8</v>
      </c>
      <c r="AW310" s="37">
        <v>0.41088854648176681</v>
      </c>
      <c r="AX310" s="9">
        <v>41056993</v>
      </c>
      <c r="AY310" t="str">
        <f t="shared" si="98"/>
        <v>MOOLCHAND</v>
      </c>
      <c r="AZ310" t="str">
        <f t="shared" si="99"/>
        <v>New GT Road (NH44)</v>
      </c>
      <c r="BC310" s="5">
        <v>106275</v>
      </c>
      <c r="BD310" s="5" t="s">
        <v>581</v>
      </c>
      <c r="BE310" s="46" t="s">
        <v>785</v>
      </c>
      <c r="BF310" s="13" t="s">
        <v>579</v>
      </c>
      <c r="BG310" s="6" t="s">
        <v>85</v>
      </c>
      <c r="BH310" s="6" t="s">
        <v>580</v>
      </c>
      <c r="BI310" s="12" t="s">
        <v>580</v>
      </c>
      <c r="BJ310" s="51" t="s">
        <v>304</v>
      </c>
    </row>
    <row r="311" spans="1:62" ht="36.5" x14ac:dyDescent="0.35">
      <c r="A311">
        <v>112448</v>
      </c>
      <c r="B311" s="84">
        <f t="shared" si="80"/>
        <v>262</v>
      </c>
      <c r="C311" s="84">
        <f t="shared" si="81"/>
        <v>271</v>
      </c>
      <c r="E311" s="9">
        <v>41057004</v>
      </c>
      <c r="F311" s="85">
        <v>749.5</v>
      </c>
      <c r="G311" s="87">
        <v>823</v>
      </c>
      <c r="H311" s="20">
        <v>686.5</v>
      </c>
      <c r="I311" s="20">
        <v>763.5</v>
      </c>
      <c r="J311" s="20">
        <v>76.5</v>
      </c>
      <c r="K311" s="20">
        <v>76.5</v>
      </c>
      <c r="L311" s="85">
        <v>85.5</v>
      </c>
      <c r="M311" s="87">
        <v>90</v>
      </c>
      <c r="N311" s="5">
        <v>106280</v>
      </c>
      <c r="O311">
        <f t="shared" si="82"/>
        <v>308</v>
      </c>
      <c r="P311">
        <f t="shared" si="83"/>
        <v>268</v>
      </c>
      <c r="Q311">
        <f t="shared" si="84"/>
        <v>64</v>
      </c>
      <c r="R311">
        <f t="shared" si="85"/>
        <v>44</v>
      </c>
      <c r="S311">
        <f t="shared" si="86"/>
        <v>288</v>
      </c>
      <c r="T311">
        <f t="shared" si="87"/>
        <v>224</v>
      </c>
      <c r="U311">
        <f t="shared" si="88"/>
        <v>48</v>
      </c>
      <c r="V311">
        <f t="shared" si="89"/>
        <v>76</v>
      </c>
      <c r="X311" s="9">
        <v>41032594</v>
      </c>
      <c r="Y311">
        <f t="shared" si="90"/>
        <v>322.5</v>
      </c>
      <c r="Z311">
        <f t="shared" si="91"/>
        <v>238.5</v>
      </c>
      <c r="AA311">
        <f t="shared" si="92"/>
        <v>96.5</v>
      </c>
      <c r="AB311">
        <f t="shared" si="93"/>
        <v>54.5</v>
      </c>
      <c r="AC311">
        <f t="shared" si="94"/>
        <v>3785.5</v>
      </c>
      <c r="AD311">
        <f t="shared" si="95"/>
        <v>2484.5</v>
      </c>
      <c r="AE311">
        <f t="shared" si="96"/>
        <v>988.5</v>
      </c>
      <c r="AF311">
        <f t="shared" si="97"/>
        <v>843.5</v>
      </c>
      <c r="AG311" s="5">
        <v>106280</v>
      </c>
      <c r="AH311" s="31">
        <v>308</v>
      </c>
      <c r="AI311" s="31">
        <v>268</v>
      </c>
      <c r="AJ311" s="37">
        <v>40</v>
      </c>
      <c r="AK311" s="37">
        <v>14.925373134328357</v>
      </c>
      <c r="AL311" s="36">
        <v>64</v>
      </c>
      <c r="AM311" s="36">
        <v>44</v>
      </c>
      <c r="AN311" s="37">
        <v>20</v>
      </c>
      <c r="AO311" s="37">
        <v>45.454545454545453</v>
      </c>
      <c r="AP311" s="38">
        <v>3567</v>
      </c>
      <c r="AQ311" s="39">
        <v>2836</v>
      </c>
      <c r="AR311" s="37">
        <v>731</v>
      </c>
      <c r="AS311" s="37">
        <v>25.775740479548659</v>
      </c>
      <c r="AT311" s="36">
        <v>685</v>
      </c>
      <c r="AU311" s="36">
        <v>680</v>
      </c>
      <c r="AV311" s="37">
        <v>5</v>
      </c>
      <c r="AW311" s="37">
        <v>0.73529411764705876</v>
      </c>
      <c r="AX311" s="9">
        <v>41057004</v>
      </c>
      <c r="AY311" t="str">
        <f t="shared" si="98"/>
        <v>AUTO CARE-WELCOME</v>
      </c>
      <c r="AZ311" t="str">
        <f t="shared" si="99"/>
        <v>Punjabi Bagh</v>
      </c>
      <c r="BC311" s="5">
        <v>106280</v>
      </c>
      <c r="BD311" s="5" t="s">
        <v>581</v>
      </c>
      <c r="BE311" s="46" t="s">
        <v>786</v>
      </c>
      <c r="BF311" s="13" t="s">
        <v>787</v>
      </c>
      <c r="BG311" s="6" t="s">
        <v>94</v>
      </c>
      <c r="BH311" s="6" t="s">
        <v>788</v>
      </c>
      <c r="BI311" s="12" t="s">
        <v>788</v>
      </c>
      <c r="BJ311" s="51" t="s">
        <v>126</v>
      </c>
    </row>
    <row r="312" spans="1:62" ht="60.5" x14ac:dyDescent="0.35">
      <c r="A312">
        <v>254695</v>
      </c>
      <c r="B312" s="84">
        <f t="shared" si="80"/>
        <v>12</v>
      </c>
      <c r="C312" s="84">
        <f t="shared" si="81"/>
        <v>12</v>
      </c>
      <c r="E312" s="9">
        <v>41019292</v>
      </c>
      <c r="F312" s="85">
        <v>549</v>
      </c>
      <c r="G312" s="87">
        <v>601.5</v>
      </c>
      <c r="H312" s="20">
        <v>492</v>
      </c>
      <c r="I312" s="20">
        <v>533</v>
      </c>
      <c r="J312" s="20">
        <v>102</v>
      </c>
      <c r="K312" s="20">
        <v>108</v>
      </c>
      <c r="L312" s="85">
        <v>136</v>
      </c>
      <c r="M312" s="87">
        <v>118.5</v>
      </c>
      <c r="N312" s="5">
        <v>106283</v>
      </c>
      <c r="O312">
        <f t="shared" si="82"/>
        <v>215</v>
      </c>
      <c r="P312">
        <f t="shared" si="83"/>
        <v>184.5</v>
      </c>
      <c r="Q312">
        <f t="shared" si="84"/>
        <v>145</v>
      </c>
      <c r="R312">
        <f t="shared" si="85"/>
        <v>121.5</v>
      </c>
      <c r="S312">
        <f t="shared" si="86"/>
        <v>195</v>
      </c>
      <c r="T312">
        <f t="shared" si="87"/>
        <v>184.5</v>
      </c>
      <c r="U312">
        <f t="shared" si="88"/>
        <v>145</v>
      </c>
      <c r="V312">
        <f t="shared" si="89"/>
        <v>121.5</v>
      </c>
      <c r="X312" s="5">
        <v>289183</v>
      </c>
      <c r="Y312">
        <f t="shared" si="90"/>
        <v>112</v>
      </c>
      <c r="Z312">
        <f t="shared" si="91"/>
        <v>92</v>
      </c>
      <c r="AA312">
        <f t="shared" si="92"/>
        <v>116</v>
      </c>
      <c r="AB312">
        <f t="shared" si="93"/>
        <v>136</v>
      </c>
      <c r="AC312">
        <f t="shared" si="94"/>
        <v>1183</v>
      </c>
      <c r="AD312">
        <f t="shared" si="95"/>
        <v>892</v>
      </c>
      <c r="AE312">
        <f t="shared" si="96"/>
        <v>1405</v>
      </c>
      <c r="AF312">
        <f t="shared" si="97"/>
        <v>1500</v>
      </c>
      <c r="AG312" s="5">
        <v>106283</v>
      </c>
      <c r="AH312" s="31">
        <v>215</v>
      </c>
      <c r="AI312" s="31">
        <v>184.5</v>
      </c>
      <c r="AJ312" s="37">
        <v>30.5</v>
      </c>
      <c r="AK312" s="37">
        <v>16.531165311653119</v>
      </c>
      <c r="AL312" s="36">
        <v>145</v>
      </c>
      <c r="AM312" s="36">
        <v>121.5</v>
      </c>
      <c r="AN312" s="37">
        <v>23.5</v>
      </c>
      <c r="AO312" s="37">
        <v>19.34156378600823</v>
      </c>
      <c r="AP312" s="38">
        <v>2471</v>
      </c>
      <c r="AQ312" s="39">
        <v>1899</v>
      </c>
      <c r="AR312" s="37">
        <v>572</v>
      </c>
      <c r="AS312" s="37">
        <v>30.121116377040547</v>
      </c>
      <c r="AT312" s="36">
        <v>1483</v>
      </c>
      <c r="AU312" s="36">
        <v>1656</v>
      </c>
      <c r="AV312" s="37">
        <v>-173</v>
      </c>
      <c r="AW312" s="37">
        <v>-10.446859903381643</v>
      </c>
      <c r="AX312" s="9">
        <v>41019292</v>
      </c>
      <c r="AY312" t="str">
        <f t="shared" si="98"/>
        <v>White Patch_Dwarka Sector17</v>
      </c>
      <c r="AZ312" t="str">
        <f t="shared" si="99"/>
        <v>Dwarka</v>
      </c>
      <c r="BC312" s="5">
        <v>106283</v>
      </c>
      <c r="BD312" s="5" t="s">
        <v>581</v>
      </c>
      <c r="BE312" s="46" t="s">
        <v>789</v>
      </c>
      <c r="BF312" s="13" t="s">
        <v>790</v>
      </c>
      <c r="BG312" s="6" t="s">
        <v>228</v>
      </c>
      <c r="BH312" s="6" t="s">
        <v>229</v>
      </c>
      <c r="BI312" s="12" t="s">
        <v>229</v>
      </c>
      <c r="BJ312" s="51" t="s">
        <v>230</v>
      </c>
    </row>
    <row r="313" spans="1:62" ht="60.5" x14ac:dyDescent="0.35">
      <c r="A313">
        <v>136152</v>
      </c>
      <c r="B313" s="84">
        <f t="shared" si="80"/>
        <v>300</v>
      </c>
      <c r="C313" s="84">
        <f t="shared" si="81"/>
        <v>322</v>
      </c>
      <c r="E313" s="9">
        <v>41028903</v>
      </c>
      <c r="F313" s="85">
        <v>500</v>
      </c>
      <c r="G313" s="87">
        <v>502</v>
      </c>
      <c r="H313" s="20">
        <v>474</v>
      </c>
      <c r="I313" s="20">
        <v>525</v>
      </c>
      <c r="J313" s="20">
        <v>164</v>
      </c>
      <c r="K313" s="20">
        <v>188</v>
      </c>
      <c r="L313" s="85">
        <v>138</v>
      </c>
      <c r="M313" s="87">
        <v>136</v>
      </c>
      <c r="N313" s="5">
        <v>106284</v>
      </c>
      <c r="O313">
        <f t="shared" si="82"/>
        <v>249.5</v>
      </c>
      <c r="P313">
        <f t="shared" si="83"/>
        <v>229.5</v>
      </c>
      <c r="Q313">
        <f t="shared" si="84"/>
        <v>22.5</v>
      </c>
      <c r="R313">
        <f t="shared" si="85"/>
        <v>22.5</v>
      </c>
      <c r="S313">
        <f t="shared" si="86"/>
        <v>224</v>
      </c>
      <c r="T313">
        <f t="shared" si="87"/>
        <v>229.5</v>
      </c>
      <c r="U313">
        <f t="shared" si="88"/>
        <v>22</v>
      </c>
      <c r="V313">
        <f t="shared" si="89"/>
        <v>22.5</v>
      </c>
      <c r="X313" s="3">
        <v>112386</v>
      </c>
      <c r="Y313">
        <f t="shared" si="90"/>
        <v>435</v>
      </c>
      <c r="Z313">
        <f t="shared" si="91"/>
        <v>387</v>
      </c>
      <c r="AA313">
        <f t="shared" si="92"/>
        <v>65</v>
      </c>
      <c r="AB313">
        <f t="shared" si="93"/>
        <v>63</v>
      </c>
      <c r="AC313">
        <f t="shared" si="94"/>
        <v>4940.5</v>
      </c>
      <c r="AD313">
        <f t="shared" si="95"/>
        <v>4061</v>
      </c>
      <c r="AE313">
        <f t="shared" si="96"/>
        <v>709.5</v>
      </c>
      <c r="AF313">
        <f t="shared" si="97"/>
        <v>792</v>
      </c>
      <c r="AG313" s="5">
        <v>106284</v>
      </c>
      <c r="AH313" s="31">
        <v>249.5</v>
      </c>
      <c r="AI313" s="31">
        <v>229.5</v>
      </c>
      <c r="AJ313" s="37">
        <v>20</v>
      </c>
      <c r="AK313" s="37">
        <v>8.7145969498910674</v>
      </c>
      <c r="AL313" s="36">
        <v>22.5</v>
      </c>
      <c r="AM313" s="36">
        <v>22.5</v>
      </c>
      <c r="AN313" s="37">
        <v>0</v>
      </c>
      <c r="AO313" s="37">
        <v>0</v>
      </c>
      <c r="AP313" s="38">
        <v>3067</v>
      </c>
      <c r="AQ313" s="39">
        <v>2457.5</v>
      </c>
      <c r="AR313" s="37">
        <v>609.5</v>
      </c>
      <c r="AS313" s="37">
        <v>24.801627670396744</v>
      </c>
      <c r="AT313" s="36">
        <v>243</v>
      </c>
      <c r="AU313" s="36">
        <v>269.5</v>
      </c>
      <c r="AV313" s="37">
        <v>-26.5</v>
      </c>
      <c r="AW313" s="37">
        <v>-9.833024118738404</v>
      </c>
      <c r="AX313" s="9">
        <v>41028903</v>
      </c>
      <c r="AY313" t="str">
        <f t="shared" si="98"/>
        <v>JALVAYU</v>
      </c>
      <c r="AZ313" t="str">
        <f t="shared" si="99"/>
        <v>Inner Ring Road</v>
      </c>
      <c r="BC313" s="5">
        <v>106284</v>
      </c>
      <c r="BD313" s="5" t="s">
        <v>581</v>
      </c>
      <c r="BE313" s="46" t="s">
        <v>791</v>
      </c>
      <c r="BF313" s="13" t="s">
        <v>792</v>
      </c>
      <c r="BG313" s="6" t="s">
        <v>75</v>
      </c>
      <c r="BH313" s="6" t="s">
        <v>667</v>
      </c>
      <c r="BI313" s="12" t="s">
        <v>667</v>
      </c>
      <c r="BJ313" s="51" t="s">
        <v>77</v>
      </c>
    </row>
    <row r="314" spans="1:62" ht="60.5" x14ac:dyDescent="0.35">
      <c r="A314">
        <v>102100</v>
      </c>
      <c r="B314" s="84">
        <f t="shared" si="80"/>
        <v>345</v>
      </c>
      <c r="C314" s="84">
        <f t="shared" si="81"/>
        <v>371</v>
      </c>
      <c r="E314" s="9">
        <v>41070344</v>
      </c>
      <c r="F314" s="85">
        <v>201.5</v>
      </c>
      <c r="G314" s="87">
        <v>194</v>
      </c>
      <c r="H314" s="20">
        <v>232.5</v>
      </c>
      <c r="I314" s="20">
        <v>261.5</v>
      </c>
      <c r="J314" s="20">
        <v>103.5</v>
      </c>
      <c r="K314" s="20">
        <v>120.5</v>
      </c>
      <c r="L314" s="85">
        <v>73.5</v>
      </c>
      <c r="M314" s="87">
        <v>52</v>
      </c>
      <c r="N314" s="5">
        <v>186867</v>
      </c>
      <c r="O314">
        <f t="shared" si="82"/>
        <v>630</v>
      </c>
      <c r="P314">
        <f t="shared" si="83"/>
        <v>579</v>
      </c>
      <c r="Q314">
        <f t="shared" si="84"/>
        <v>126</v>
      </c>
      <c r="R314">
        <f t="shared" si="85"/>
        <v>109</v>
      </c>
      <c r="S314">
        <f t="shared" si="86"/>
        <v>573.5</v>
      </c>
      <c r="T314">
        <f t="shared" si="87"/>
        <v>553</v>
      </c>
      <c r="U314">
        <f t="shared" si="88"/>
        <v>94.5</v>
      </c>
      <c r="V314">
        <f t="shared" si="89"/>
        <v>99</v>
      </c>
      <c r="X314" s="5">
        <v>311776</v>
      </c>
      <c r="Y314">
        <f t="shared" si="90"/>
        <v>345</v>
      </c>
      <c r="Z314">
        <f t="shared" si="91"/>
        <v>336</v>
      </c>
      <c r="AA314">
        <f t="shared" si="92"/>
        <v>75</v>
      </c>
      <c r="AB314">
        <f t="shared" si="93"/>
        <v>100</v>
      </c>
      <c r="AC314">
        <f t="shared" si="94"/>
        <v>4214.5</v>
      </c>
      <c r="AD314">
        <f t="shared" si="95"/>
        <v>3462</v>
      </c>
      <c r="AE314">
        <f t="shared" si="96"/>
        <v>1027.5</v>
      </c>
      <c r="AF314">
        <f t="shared" si="97"/>
        <v>1207</v>
      </c>
      <c r="AG314" s="5">
        <v>186867</v>
      </c>
      <c r="AH314" s="31">
        <v>630</v>
      </c>
      <c r="AI314" s="31">
        <v>579</v>
      </c>
      <c r="AJ314" s="37">
        <v>51</v>
      </c>
      <c r="AK314" s="37">
        <v>8.8082901554404138</v>
      </c>
      <c r="AL314" s="36">
        <v>126</v>
      </c>
      <c r="AM314" s="36">
        <v>109</v>
      </c>
      <c r="AN314" s="37">
        <v>17</v>
      </c>
      <c r="AO314" s="37">
        <v>15.596330275229359</v>
      </c>
      <c r="AP314" s="38">
        <v>7326</v>
      </c>
      <c r="AQ314" s="39">
        <v>5951.5</v>
      </c>
      <c r="AR314" s="37">
        <v>1374.5</v>
      </c>
      <c r="AS314" s="37">
        <v>23.095018062673276</v>
      </c>
      <c r="AT314" s="36">
        <v>1434</v>
      </c>
      <c r="AU314" s="36">
        <v>1468.5</v>
      </c>
      <c r="AV314" s="37">
        <v>-34.5</v>
      </c>
      <c r="AW314" s="37">
        <v>-2.3493360572012256</v>
      </c>
      <c r="AX314" s="9">
        <v>41070344</v>
      </c>
      <c r="AY314" t="str">
        <f t="shared" si="98"/>
        <v>White Patch_IGI NH8</v>
      </c>
      <c r="AZ314" t="str">
        <f t="shared" si="99"/>
        <v>Dwarka</v>
      </c>
      <c r="BC314" s="5">
        <v>186867</v>
      </c>
      <c r="BD314" s="5" t="s">
        <v>581</v>
      </c>
      <c r="BE314" s="46" t="s">
        <v>793</v>
      </c>
      <c r="BF314" s="13" t="s">
        <v>794</v>
      </c>
      <c r="BG314" s="6" t="s">
        <v>75</v>
      </c>
      <c r="BH314" s="6" t="s">
        <v>220</v>
      </c>
      <c r="BI314" s="12" t="s">
        <v>220</v>
      </c>
      <c r="BJ314" s="51" t="s">
        <v>77</v>
      </c>
    </row>
    <row r="315" spans="1:62" ht="48.5" x14ac:dyDescent="0.35">
      <c r="A315">
        <v>255817</v>
      </c>
      <c r="B315" s="84">
        <f t="shared" si="80"/>
        <v>279.5</v>
      </c>
      <c r="C315" s="84">
        <f t="shared" si="81"/>
        <v>296</v>
      </c>
      <c r="E315" s="9">
        <v>41056840</v>
      </c>
      <c r="F315" s="85">
        <v>395</v>
      </c>
      <c r="G315" s="87">
        <v>410</v>
      </c>
      <c r="H315" s="20">
        <v>375</v>
      </c>
      <c r="I315" s="20">
        <v>398</v>
      </c>
      <c r="J315" s="20">
        <v>175</v>
      </c>
      <c r="K315" s="20">
        <v>201</v>
      </c>
      <c r="L315" s="85">
        <v>130</v>
      </c>
      <c r="M315" s="87">
        <v>165</v>
      </c>
      <c r="N315" s="5">
        <v>186852</v>
      </c>
      <c r="O315">
        <f t="shared" si="82"/>
        <v>220.5</v>
      </c>
      <c r="P315">
        <f t="shared" si="83"/>
        <v>228</v>
      </c>
      <c r="Q315">
        <f t="shared" si="84"/>
        <v>67.5</v>
      </c>
      <c r="R315">
        <f t="shared" si="85"/>
        <v>72</v>
      </c>
      <c r="S315">
        <f t="shared" si="86"/>
        <v>207</v>
      </c>
      <c r="T315">
        <f t="shared" si="87"/>
        <v>220.5</v>
      </c>
      <c r="U315">
        <f t="shared" si="88"/>
        <v>63</v>
      </c>
      <c r="V315">
        <f t="shared" si="89"/>
        <v>49.5</v>
      </c>
      <c r="X315" s="9">
        <v>41030511</v>
      </c>
      <c r="Y315">
        <f t="shared" si="90"/>
        <v>390</v>
      </c>
      <c r="Z315">
        <f t="shared" si="91"/>
        <v>350</v>
      </c>
      <c r="AA315">
        <f t="shared" si="92"/>
        <v>355</v>
      </c>
      <c r="AB315">
        <f t="shared" si="93"/>
        <v>375</v>
      </c>
      <c r="AC315">
        <f t="shared" si="94"/>
        <v>4480</v>
      </c>
      <c r="AD315">
        <f t="shared" si="95"/>
        <v>3655</v>
      </c>
      <c r="AE315">
        <f t="shared" si="96"/>
        <v>4622</v>
      </c>
      <c r="AF315">
        <f t="shared" si="97"/>
        <v>4823.03</v>
      </c>
      <c r="AG315" s="5">
        <v>186852</v>
      </c>
      <c r="AH315" s="31">
        <v>220.5</v>
      </c>
      <c r="AI315" s="31">
        <v>228</v>
      </c>
      <c r="AJ315" s="37">
        <v>-7.5</v>
      </c>
      <c r="AK315" s="37">
        <v>-3.2894736842105261</v>
      </c>
      <c r="AL315" s="36">
        <v>67.5</v>
      </c>
      <c r="AM315" s="36">
        <v>72</v>
      </c>
      <c r="AN315" s="37">
        <v>-4.5</v>
      </c>
      <c r="AO315" s="37">
        <v>-6.25</v>
      </c>
      <c r="AP315" s="38">
        <v>2983</v>
      </c>
      <c r="AQ315" s="39">
        <v>2293.5</v>
      </c>
      <c r="AR315" s="37">
        <v>689.5</v>
      </c>
      <c r="AS315" s="37">
        <v>30.063222149553088</v>
      </c>
      <c r="AT315" s="36">
        <v>897</v>
      </c>
      <c r="AU315" s="36">
        <v>770</v>
      </c>
      <c r="AV315" s="37">
        <v>127</v>
      </c>
      <c r="AW315" s="37">
        <v>16.493506493506494</v>
      </c>
      <c r="AX315" s="9">
        <v>41056840</v>
      </c>
      <c r="AY315" t="str">
        <f t="shared" si="98"/>
        <v>White Patch_Mathura Road</v>
      </c>
      <c r="AZ315" t="str">
        <f t="shared" si="99"/>
        <v>Mathura Road</v>
      </c>
      <c r="BC315" s="5">
        <v>186852</v>
      </c>
      <c r="BD315" s="5" t="s">
        <v>581</v>
      </c>
      <c r="BE315" s="46" t="s">
        <v>795</v>
      </c>
      <c r="BF315" s="13" t="s">
        <v>796</v>
      </c>
      <c r="BG315" s="6" t="s">
        <v>89</v>
      </c>
      <c r="BH315" s="6" t="s">
        <v>603</v>
      </c>
      <c r="BI315" s="12" t="s">
        <v>603</v>
      </c>
      <c r="BJ315" s="51" t="s">
        <v>120</v>
      </c>
    </row>
    <row r="316" spans="1:62" ht="48.5" x14ac:dyDescent="0.35">
      <c r="A316">
        <v>106340</v>
      </c>
      <c r="B316" s="84">
        <f t="shared" si="80"/>
        <v>324.5</v>
      </c>
      <c r="C316" s="84">
        <f t="shared" si="81"/>
        <v>319</v>
      </c>
      <c r="E316" s="9">
        <v>41019252</v>
      </c>
      <c r="F316" s="85">
        <v>504</v>
      </c>
      <c r="G316" s="87">
        <v>557</v>
      </c>
      <c r="H316" s="20">
        <v>481</v>
      </c>
      <c r="I316" s="20">
        <v>529</v>
      </c>
      <c r="J316" s="20">
        <v>91</v>
      </c>
      <c r="K316" s="20">
        <v>109</v>
      </c>
      <c r="L316" s="85">
        <v>90</v>
      </c>
      <c r="M316" s="87">
        <v>105</v>
      </c>
      <c r="N316" s="5">
        <v>106287</v>
      </c>
      <c r="O316">
        <f t="shared" si="82"/>
        <v>700</v>
      </c>
      <c r="P316">
        <f t="shared" si="83"/>
        <v>750</v>
      </c>
      <c r="Q316">
        <f t="shared" si="84"/>
        <v>408</v>
      </c>
      <c r="R316">
        <f t="shared" si="85"/>
        <v>308</v>
      </c>
      <c r="S316">
        <f t="shared" si="86"/>
        <v>684</v>
      </c>
      <c r="T316">
        <f t="shared" si="87"/>
        <v>670</v>
      </c>
      <c r="U316">
        <f t="shared" si="88"/>
        <v>290</v>
      </c>
      <c r="V316">
        <f t="shared" si="89"/>
        <v>270</v>
      </c>
      <c r="X316" s="5">
        <v>106229</v>
      </c>
      <c r="Y316">
        <f t="shared" si="90"/>
        <v>390</v>
      </c>
      <c r="Z316">
        <f t="shared" si="91"/>
        <v>385</v>
      </c>
      <c r="AA316">
        <f t="shared" si="92"/>
        <v>70</v>
      </c>
      <c r="AB316">
        <f t="shared" si="93"/>
        <v>75</v>
      </c>
      <c r="AC316">
        <f t="shared" si="94"/>
        <v>4768</v>
      </c>
      <c r="AD316">
        <f t="shared" si="95"/>
        <v>3942</v>
      </c>
      <c r="AE316">
        <f t="shared" si="96"/>
        <v>864</v>
      </c>
      <c r="AF316">
        <f t="shared" si="97"/>
        <v>974.5</v>
      </c>
      <c r="AG316" s="5">
        <v>106287</v>
      </c>
      <c r="AH316" s="31">
        <v>700</v>
      </c>
      <c r="AI316" s="31">
        <v>750</v>
      </c>
      <c r="AJ316" s="37">
        <v>-50</v>
      </c>
      <c r="AK316" s="37">
        <v>-6.666666666666667</v>
      </c>
      <c r="AL316" s="36">
        <v>408</v>
      </c>
      <c r="AM316" s="36">
        <v>308</v>
      </c>
      <c r="AN316" s="37">
        <v>100</v>
      </c>
      <c r="AO316" s="37">
        <v>32.467532467532465</v>
      </c>
      <c r="AP316" s="38">
        <v>8725.5</v>
      </c>
      <c r="AQ316" s="39">
        <v>6932</v>
      </c>
      <c r="AR316" s="37">
        <v>1793.5</v>
      </c>
      <c r="AS316" s="37">
        <v>25.872763993075594</v>
      </c>
      <c r="AT316" s="36">
        <v>3524.5</v>
      </c>
      <c r="AU316" s="36">
        <v>3538</v>
      </c>
      <c r="AV316" s="37">
        <v>-13.5</v>
      </c>
      <c r="AW316" s="37">
        <v>-0.38157150932730355</v>
      </c>
      <c r="AX316" s="9">
        <v>41019252</v>
      </c>
      <c r="AY316" t="str">
        <f t="shared" si="98"/>
        <v>BS DWARKA</v>
      </c>
      <c r="AZ316" t="str">
        <f t="shared" si="99"/>
        <v>Dwarka</v>
      </c>
      <c r="BC316" s="5">
        <v>106287</v>
      </c>
      <c r="BD316" s="5" t="s">
        <v>581</v>
      </c>
      <c r="BE316" s="46" t="s">
        <v>797</v>
      </c>
      <c r="BF316" s="13" t="s">
        <v>798</v>
      </c>
      <c r="BG316" s="6" t="s">
        <v>103</v>
      </c>
      <c r="BH316" s="6" t="s">
        <v>428</v>
      </c>
      <c r="BI316" s="12" t="s">
        <v>428</v>
      </c>
      <c r="BJ316" s="51" t="s">
        <v>248</v>
      </c>
    </row>
    <row r="317" spans="1:62" ht="72.5" x14ac:dyDescent="0.35">
      <c r="A317">
        <v>41056833</v>
      </c>
      <c r="B317" s="84">
        <f t="shared" si="80"/>
        <v>267.5</v>
      </c>
      <c r="C317" s="84">
        <f t="shared" si="81"/>
        <v>264</v>
      </c>
      <c r="E317" s="9">
        <v>41056488</v>
      </c>
      <c r="F317" s="85">
        <v>336.5</v>
      </c>
      <c r="G317" s="87">
        <v>272</v>
      </c>
      <c r="H317" s="20">
        <v>311</v>
      </c>
      <c r="I317" s="20">
        <v>317</v>
      </c>
      <c r="J317" s="20">
        <v>102</v>
      </c>
      <c r="K317" s="20">
        <v>71</v>
      </c>
      <c r="L317" s="85">
        <v>54.5</v>
      </c>
      <c r="M317" s="87">
        <v>47</v>
      </c>
      <c r="N317" s="5">
        <v>206615</v>
      </c>
      <c r="O317">
        <f t="shared" si="82"/>
        <v>184</v>
      </c>
      <c r="P317">
        <f t="shared" si="83"/>
        <v>212</v>
      </c>
      <c r="Q317">
        <f t="shared" si="84"/>
        <v>44</v>
      </c>
      <c r="R317">
        <f t="shared" si="85"/>
        <v>52</v>
      </c>
      <c r="S317">
        <f t="shared" si="86"/>
        <v>188</v>
      </c>
      <c r="T317">
        <f t="shared" si="87"/>
        <v>172</v>
      </c>
      <c r="U317">
        <f t="shared" si="88"/>
        <v>40</v>
      </c>
      <c r="V317">
        <f t="shared" si="89"/>
        <v>44</v>
      </c>
      <c r="X317" s="3">
        <v>112398</v>
      </c>
      <c r="Y317">
        <f t="shared" si="90"/>
        <v>208.5</v>
      </c>
      <c r="Z317">
        <f t="shared" si="91"/>
        <v>216</v>
      </c>
      <c r="AA317">
        <f t="shared" si="92"/>
        <v>63.5</v>
      </c>
      <c r="AB317">
        <f t="shared" si="93"/>
        <v>54</v>
      </c>
      <c r="AC317">
        <f t="shared" si="94"/>
        <v>2605.5</v>
      </c>
      <c r="AD317">
        <f t="shared" si="95"/>
        <v>2151.5000099999997</v>
      </c>
      <c r="AE317">
        <f t="shared" si="96"/>
        <v>666.5</v>
      </c>
      <c r="AF317">
        <f t="shared" si="97"/>
        <v>697.5</v>
      </c>
      <c r="AG317" s="5">
        <v>206615</v>
      </c>
      <c r="AH317" s="31">
        <v>184</v>
      </c>
      <c r="AI317" s="31">
        <v>212</v>
      </c>
      <c r="AJ317" s="37">
        <v>-28</v>
      </c>
      <c r="AK317" s="37">
        <v>-13.20754716981132</v>
      </c>
      <c r="AL317" s="36">
        <v>44</v>
      </c>
      <c r="AM317" s="36">
        <v>52</v>
      </c>
      <c r="AN317" s="37">
        <v>-8</v>
      </c>
      <c r="AO317" s="37">
        <v>-15.384615384615385</v>
      </c>
      <c r="AP317" s="38">
        <v>2324</v>
      </c>
      <c r="AQ317" s="39">
        <v>1868</v>
      </c>
      <c r="AR317" s="37">
        <v>456</v>
      </c>
      <c r="AS317" s="37">
        <v>24.411134903640257</v>
      </c>
      <c r="AT317" s="36">
        <v>508</v>
      </c>
      <c r="AU317" s="36">
        <v>568</v>
      </c>
      <c r="AV317" s="37">
        <v>-60</v>
      </c>
      <c r="AW317" s="37">
        <v>-10.56338028169014</v>
      </c>
      <c r="AX317" s="9">
        <v>41056488</v>
      </c>
      <c r="AY317" t="str">
        <f t="shared" si="98"/>
        <v>White Patch_Hauz Khas_to_SouthExt</v>
      </c>
      <c r="AZ317" t="str">
        <f t="shared" si="99"/>
        <v>Greater Kailash I &amp;II</v>
      </c>
      <c r="BC317" s="5">
        <v>206615</v>
      </c>
      <c r="BD317" s="5" t="s">
        <v>581</v>
      </c>
      <c r="BE317" s="46" t="s">
        <v>799</v>
      </c>
      <c r="BF317" s="13" t="s">
        <v>800</v>
      </c>
      <c r="BG317" s="6" t="s">
        <v>89</v>
      </c>
      <c r="BH317" s="6" t="s">
        <v>603</v>
      </c>
      <c r="BI317" s="12" t="s">
        <v>906</v>
      </c>
      <c r="BJ317" s="51" t="s">
        <v>1007</v>
      </c>
    </row>
    <row r="318" spans="1:62" ht="36.5" x14ac:dyDescent="0.35">
      <c r="A318">
        <v>41056836</v>
      </c>
      <c r="B318" s="84">
        <f t="shared" si="80"/>
        <v>324</v>
      </c>
      <c r="C318" s="84">
        <f t="shared" si="81"/>
        <v>342</v>
      </c>
      <c r="E318" s="9">
        <v>41056989</v>
      </c>
      <c r="F318" s="85">
        <v>259</v>
      </c>
      <c r="G318" s="87">
        <v>253</v>
      </c>
      <c r="H318" s="20">
        <v>236.5</v>
      </c>
      <c r="I318" s="20">
        <v>263.5</v>
      </c>
      <c r="J318" s="20">
        <v>553.5</v>
      </c>
      <c r="K318" s="20">
        <v>613.5</v>
      </c>
      <c r="L318" s="85">
        <v>755</v>
      </c>
      <c r="M318" s="87">
        <v>459</v>
      </c>
      <c r="N318" s="5">
        <v>106288</v>
      </c>
      <c r="O318">
        <f t="shared" si="82"/>
        <v>196</v>
      </c>
      <c r="P318">
        <f t="shared" si="83"/>
        <v>166.5</v>
      </c>
      <c r="Q318">
        <f t="shared" si="84"/>
        <v>98</v>
      </c>
      <c r="R318">
        <f t="shared" si="85"/>
        <v>121.5</v>
      </c>
      <c r="S318">
        <f t="shared" si="86"/>
        <v>166.5</v>
      </c>
      <c r="T318">
        <f t="shared" si="87"/>
        <v>153.5</v>
      </c>
      <c r="U318">
        <f t="shared" si="88"/>
        <v>99.5</v>
      </c>
      <c r="V318">
        <f t="shared" si="89"/>
        <v>112.5</v>
      </c>
      <c r="X318" s="3">
        <v>112720</v>
      </c>
      <c r="Y318">
        <f t="shared" si="90"/>
        <v>754</v>
      </c>
      <c r="Z318">
        <f t="shared" si="91"/>
        <v>706</v>
      </c>
      <c r="AA318">
        <f t="shared" si="92"/>
        <v>170</v>
      </c>
      <c r="AB318">
        <f t="shared" si="93"/>
        <v>176</v>
      </c>
      <c r="AC318">
        <f t="shared" si="94"/>
        <v>8822.5</v>
      </c>
      <c r="AD318">
        <f t="shared" si="95"/>
        <v>7245.0000030000001</v>
      </c>
      <c r="AE318">
        <f t="shared" si="96"/>
        <v>2085.5</v>
      </c>
      <c r="AF318">
        <f t="shared" si="97"/>
        <v>2300</v>
      </c>
      <c r="AG318" s="5">
        <v>106288</v>
      </c>
      <c r="AH318" s="31">
        <v>196</v>
      </c>
      <c r="AI318" s="31">
        <v>166.5</v>
      </c>
      <c r="AJ318" s="37">
        <v>29.5</v>
      </c>
      <c r="AK318" s="37">
        <v>17.717717717717719</v>
      </c>
      <c r="AL318" s="36">
        <v>98</v>
      </c>
      <c r="AM318" s="36">
        <v>121.5</v>
      </c>
      <c r="AN318" s="37">
        <v>-23.5</v>
      </c>
      <c r="AO318" s="37">
        <v>-19.34156378600823</v>
      </c>
      <c r="AP318" s="38">
        <v>2085</v>
      </c>
      <c r="AQ318" s="39">
        <v>1749.5</v>
      </c>
      <c r="AR318" s="37">
        <v>335.5</v>
      </c>
      <c r="AS318" s="37">
        <v>19.176907687910834</v>
      </c>
      <c r="AT318" s="36">
        <v>1315</v>
      </c>
      <c r="AU318" s="36">
        <v>1682.5</v>
      </c>
      <c r="AV318" s="37">
        <v>-367.5</v>
      </c>
      <c r="AW318" s="37">
        <v>-21.842496285289748</v>
      </c>
      <c r="AX318" s="9">
        <v>41056989</v>
      </c>
      <c r="AY318" t="str">
        <f t="shared" si="98"/>
        <v>FAST TRACK-VEEJAY</v>
      </c>
      <c r="AZ318" t="str">
        <f t="shared" si="99"/>
        <v>Ashok Vihar</v>
      </c>
      <c r="BC318" s="5">
        <v>106288</v>
      </c>
      <c r="BD318" s="5" t="s">
        <v>581</v>
      </c>
      <c r="BE318" s="46" t="s">
        <v>801</v>
      </c>
      <c r="BF318" s="13" t="s">
        <v>802</v>
      </c>
      <c r="BG318" s="6" t="s">
        <v>111</v>
      </c>
      <c r="BH318" s="6" t="s">
        <v>156</v>
      </c>
      <c r="BI318" s="12" t="s">
        <v>156</v>
      </c>
      <c r="BJ318" s="51" t="s">
        <v>158</v>
      </c>
    </row>
    <row r="319" spans="1:62" ht="60.5" x14ac:dyDescent="0.35">
      <c r="A319">
        <v>106341</v>
      </c>
      <c r="B319" s="84">
        <f t="shared" si="80"/>
        <v>295</v>
      </c>
      <c r="C319" s="84">
        <f t="shared" si="81"/>
        <v>351</v>
      </c>
      <c r="E319" s="9">
        <v>41056793</v>
      </c>
      <c r="F319" s="85">
        <v>393</v>
      </c>
      <c r="G319" s="87">
        <v>338</v>
      </c>
      <c r="H319" s="20">
        <v>257</v>
      </c>
      <c r="I319" s="20">
        <v>288.5</v>
      </c>
      <c r="J319" s="20">
        <v>50</v>
      </c>
      <c r="K319" s="20">
        <v>56.5</v>
      </c>
      <c r="L319" s="85">
        <v>65</v>
      </c>
      <c r="M319" s="87">
        <v>54</v>
      </c>
      <c r="N319" s="5">
        <v>106289</v>
      </c>
      <c r="O319">
        <f t="shared" si="82"/>
        <v>787</v>
      </c>
      <c r="P319">
        <f t="shared" si="83"/>
        <v>723.5</v>
      </c>
      <c r="Q319">
        <f t="shared" si="84"/>
        <v>151</v>
      </c>
      <c r="R319">
        <f t="shared" si="85"/>
        <v>166.5</v>
      </c>
      <c r="S319">
        <f t="shared" si="86"/>
        <v>693</v>
      </c>
      <c r="T319">
        <f t="shared" si="87"/>
        <v>665</v>
      </c>
      <c r="U319">
        <f t="shared" si="88"/>
        <v>131</v>
      </c>
      <c r="V319">
        <f t="shared" si="89"/>
        <v>163</v>
      </c>
      <c r="X319" s="3">
        <v>127090</v>
      </c>
      <c r="Y319">
        <f t="shared" si="90"/>
        <v>520</v>
      </c>
      <c r="Z319">
        <f t="shared" si="91"/>
        <v>455</v>
      </c>
      <c r="AA319">
        <f t="shared" si="92"/>
        <v>80</v>
      </c>
      <c r="AB319">
        <f t="shared" si="93"/>
        <v>85</v>
      </c>
      <c r="AC319">
        <f t="shared" si="94"/>
        <v>5755</v>
      </c>
      <c r="AD319">
        <f t="shared" si="95"/>
        <v>4770.5</v>
      </c>
      <c r="AE319">
        <f t="shared" si="96"/>
        <v>925</v>
      </c>
      <c r="AF319">
        <f t="shared" si="97"/>
        <v>1098.5</v>
      </c>
      <c r="AG319" s="5">
        <v>106289</v>
      </c>
      <c r="AH319" s="31">
        <v>787</v>
      </c>
      <c r="AI319" s="31">
        <v>723.5</v>
      </c>
      <c r="AJ319" s="37">
        <v>63.5</v>
      </c>
      <c r="AK319" s="37">
        <v>8.7767795438838974</v>
      </c>
      <c r="AL319" s="36">
        <v>151</v>
      </c>
      <c r="AM319" s="36">
        <v>166.5</v>
      </c>
      <c r="AN319" s="37">
        <v>-15.5</v>
      </c>
      <c r="AO319" s="37">
        <v>-9.3093093093093096</v>
      </c>
      <c r="AP319" s="38">
        <v>8848</v>
      </c>
      <c r="AQ319" s="39">
        <v>7060</v>
      </c>
      <c r="AR319" s="37">
        <v>1788</v>
      </c>
      <c r="AS319" s="37">
        <v>25.325779036827196</v>
      </c>
      <c r="AT319" s="36">
        <v>1774</v>
      </c>
      <c r="AU319" s="36">
        <v>2057.5</v>
      </c>
      <c r="AV319" s="37">
        <v>-283.5</v>
      </c>
      <c r="AW319" s="37">
        <v>-13.778857837181043</v>
      </c>
      <c r="AX319" s="9">
        <v>41056793</v>
      </c>
      <c r="AY319" t="str">
        <f t="shared" si="98"/>
        <v>RING ROAD</v>
      </c>
      <c r="AZ319" t="str">
        <f t="shared" si="99"/>
        <v>Inner Ring Road</v>
      </c>
      <c r="BC319" s="5">
        <v>106289</v>
      </c>
      <c r="BD319" s="5" t="s">
        <v>581</v>
      </c>
      <c r="BE319" s="46" t="s">
        <v>803</v>
      </c>
      <c r="BF319" s="13" t="s">
        <v>804</v>
      </c>
      <c r="BG319" s="6" t="s">
        <v>75</v>
      </c>
      <c r="BH319" s="6" t="s">
        <v>667</v>
      </c>
      <c r="BI319" s="12" t="s">
        <v>667</v>
      </c>
      <c r="BJ319" s="51" t="s">
        <v>77</v>
      </c>
    </row>
    <row r="320" spans="1:62" ht="48.5" x14ac:dyDescent="0.35">
      <c r="A320">
        <v>186860</v>
      </c>
      <c r="B320" s="84">
        <f t="shared" si="80"/>
        <v>705</v>
      </c>
      <c r="C320" s="84">
        <f t="shared" si="81"/>
        <v>770</v>
      </c>
      <c r="E320" s="9">
        <v>41037146</v>
      </c>
      <c r="F320" s="85">
        <v>369</v>
      </c>
      <c r="G320" s="87">
        <v>387</v>
      </c>
      <c r="H320" s="20">
        <v>360.5</v>
      </c>
      <c r="I320" s="20">
        <v>426</v>
      </c>
      <c r="J320" s="20">
        <v>76.5</v>
      </c>
      <c r="K320" s="20">
        <v>92</v>
      </c>
      <c r="L320" s="85">
        <v>81</v>
      </c>
      <c r="M320" s="87">
        <v>81</v>
      </c>
      <c r="N320" s="5">
        <v>205875</v>
      </c>
      <c r="O320">
        <f t="shared" si="82"/>
        <v>248</v>
      </c>
      <c r="P320">
        <f t="shared" si="83"/>
        <v>191</v>
      </c>
      <c r="Q320">
        <f t="shared" si="84"/>
        <v>36</v>
      </c>
      <c r="R320">
        <f t="shared" si="85"/>
        <v>29</v>
      </c>
      <c r="S320">
        <f t="shared" si="86"/>
        <v>207.5</v>
      </c>
      <c r="T320">
        <f t="shared" si="87"/>
        <v>181.5</v>
      </c>
      <c r="U320">
        <f t="shared" si="88"/>
        <v>32.5</v>
      </c>
      <c r="V320">
        <f t="shared" si="89"/>
        <v>28.5</v>
      </c>
      <c r="X320" s="5">
        <v>186846</v>
      </c>
      <c r="Y320">
        <f t="shared" si="90"/>
        <v>304</v>
      </c>
      <c r="Z320">
        <f t="shared" si="91"/>
        <v>291</v>
      </c>
      <c r="AA320">
        <f t="shared" si="92"/>
        <v>80</v>
      </c>
      <c r="AB320">
        <f t="shared" si="93"/>
        <v>81</v>
      </c>
      <c r="AC320">
        <f t="shared" si="94"/>
        <v>3611</v>
      </c>
      <c r="AD320">
        <f t="shared" si="95"/>
        <v>2912</v>
      </c>
      <c r="AE320">
        <f t="shared" si="96"/>
        <v>940</v>
      </c>
      <c r="AF320">
        <f t="shared" si="97"/>
        <v>1054</v>
      </c>
      <c r="AG320" s="5">
        <v>205875</v>
      </c>
      <c r="AH320" s="31">
        <v>248</v>
      </c>
      <c r="AI320" s="31">
        <v>191</v>
      </c>
      <c r="AJ320" s="37">
        <v>57</v>
      </c>
      <c r="AK320" s="37">
        <v>29.842931937172771</v>
      </c>
      <c r="AL320" s="36">
        <v>36</v>
      </c>
      <c r="AM320" s="36">
        <v>29</v>
      </c>
      <c r="AN320" s="37">
        <v>7</v>
      </c>
      <c r="AO320" s="37">
        <v>24.137931034482758</v>
      </c>
      <c r="AP320" s="38">
        <v>2669.5</v>
      </c>
      <c r="AQ320" s="39">
        <v>1955</v>
      </c>
      <c r="AR320" s="37">
        <v>714.5</v>
      </c>
      <c r="AS320" s="37">
        <v>36.547314578005114</v>
      </c>
      <c r="AT320" s="36">
        <v>396.5</v>
      </c>
      <c r="AU320" s="36">
        <v>398.5</v>
      </c>
      <c r="AV320" s="37">
        <v>-2</v>
      </c>
      <c r="AW320" s="37">
        <v>-0.50188205771643657</v>
      </c>
      <c r="AX320" s="9">
        <v>41037146</v>
      </c>
      <c r="AY320" t="str">
        <f t="shared" si="98"/>
        <v>RN MOTORS</v>
      </c>
      <c r="AZ320" t="str">
        <f t="shared" si="99"/>
        <v>Outer Ring Road</v>
      </c>
      <c r="BC320" s="5">
        <v>205875</v>
      </c>
      <c r="BD320" s="5" t="s">
        <v>581</v>
      </c>
      <c r="BE320" s="46" t="s">
        <v>805</v>
      </c>
      <c r="BF320" s="13" t="s">
        <v>806</v>
      </c>
      <c r="BG320" s="6" t="s">
        <v>81</v>
      </c>
      <c r="BH320" s="6" t="s">
        <v>195</v>
      </c>
      <c r="BI320" s="12" t="s">
        <v>195</v>
      </c>
      <c r="BJ320" s="51" t="s">
        <v>135</v>
      </c>
    </row>
    <row r="321" spans="1:62" ht="36.5" x14ac:dyDescent="0.35">
      <c r="A321">
        <v>186834</v>
      </c>
      <c r="B321" s="84">
        <f t="shared" si="80"/>
        <v>316</v>
      </c>
      <c r="C321" s="84">
        <f t="shared" si="81"/>
        <v>354</v>
      </c>
      <c r="E321" s="9">
        <v>41056833</v>
      </c>
      <c r="F321" s="85">
        <v>267.5</v>
      </c>
      <c r="G321" s="87">
        <v>264</v>
      </c>
      <c r="H321" s="20">
        <v>264</v>
      </c>
      <c r="I321" s="20">
        <v>312.5</v>
      </c>
      <c r="J321" s="20">
        <v>48</v>
      </c>
      <c r="K321" s="20">
        <v>42.5</v>
      </c>
      <c r="L321" s="85">
        <v>36.5</v>
      </c>
      <c r="M321" s="87">
        <v>36</v>
      </c>
      <c r="N321" s="5">
        <v>106261</v>
      </c>
      <c r="O321">
        <f t="shared" si="82"/>
        <v>440</v>
      </c>
      <c r="P321">
        <f t="shared" si="83"/>
        <v>387</v>
      </c>
      <c r="Q321">
        <f t="shared" si="84"/>
        <v>100</v>
      </c>
      <c r="R321">
        <f t="shared" si="85"/>
        <v>111</v>
      </c>
      <c r="S321">
        <f t="shared" si="86"/>
        <v>375</v>
      </c>
      <c r="T321">
        <f t="shared" si="87"/>
        <v>346.5</v>
      </c>
      <c r="U321">
        <f t="shared" si="88"/>
        <v>105</v>
      </c>
      <c r="V321">
        <f t="shared" si="89"/>
        <v>85.5</v>
      </c>
      <c r="X321" s="5">
        <v>106333</v>
      </c>
      <c r="Y321">
        <f t="shared" si="90"/>
        <v>373.5</v>
      </c>
      <c r="Z321">
        <f t="shared" si="91"/>
        <v>360.5</v>
      </c>
      <c r="AA321">
        <f t="shared" si="92"/>
        <v>58.5</v>
      </c>
      <c r="AB321">
        <f t="shared" si="93"/>
        <v>67.5</v>
      </c>
      <c r="AC321">
        <f t="shared" si="94"/>
        <v>4650</v>
      </c>
      <c r="AD321">
        <f t="shared" si="95"/>
        <v>3706</v>
      </c>
      <c r="AE321">
        <f t="shared" si="96"/>
        <v>816</v>
      </c>
      <c r="AF321">
        <f t="shared" si="97"/>
        <v>956</v>
      </c>
      <c r="AG321" s="5">
        <v>106261</v>
      </c>
      <c r="AH321" s="31">
        <v>440</v>
      </c>
      <c r="AI321" s="31">
        <v>387</v>
      </c>
      <c r="AJ321" s="37">
        <v>53</v>
      </c>
      <c r="AK321" s="37">
        <v>13.695090439276486</v>
      </c>
      <c r="AL321" s="36">
        <v>100</v>
      </c>
      <c r="AM321" s="36">
        <v>111</v>
      </c>
      <c r="AN321" s="37">
        <v>-11</v>
      </c>
      <c r="AO321" s="37">
        <v>-9.9099099099099099</v>
      </c>
      <c r="AP321" s="38">
        <v>4890</v>
      </c>
      <c r="AQ321" s="39">
        <v>3924</v>
      </c>
      <c r="AR321" s="37">
        <v>966</v>
      </c>
      <c r="AS321" s="37">
        <v>24.617737003058103</v>
      </c>
      <c r="AT321" s="36">
        <v>1270</v>
      </c>
      <c r="AU321" s="36">
        <v>1366.5</v>
      </c>
      <c r="AV321" s="37">
        <v>-96.5</v>
      </c>
      <c r="AW321" s="37">
        <v>-7.0618368093669961</v>
      </c>
      <c r="AX321" s="9">
        <v>41056833</v>
      </c>
      <c r="AY321" t="str">
        <f t="shared" si="98"/>
        <v>White Patch- Karol Bagh</v>
      </c>
      <c r="AZ321" t="str">
        <f t="shared" si="99"/>
        <v>Rohtak Road</v>
      </c>
      <c r="BC321" s="5">
        <v>106261</v>
      </c>
      <c r="BD321" s="5" t="s">
        <v>581</v>
      </c>
      <c r="BE321" s="46" t="s">
        <v>807</v>
      </c>
      <c r="BF321" s="13" t="s">
        <v>808</v>
      </c>
      <c r="BG321" s="6" t="s">
        <v>85</v>
      </c>
      <c r="BH321" s="6" t="s">
        <v>373</v>
      </c>
      <c r="BI321" s="12" t="s">
        <v>373</v>
      </c>
      <c r="BJ321" s="51" t="s">
        <v>178</v>
      </c>
    </row>
    <row r="322" spans="1:62" ht="36.5" x14ac:dyDescent="0.35">
      <c r="A322">
        <v>186839</v>
      </c>
      <c r="B322" s="84">
        <f t="shared" si="80"/>
        <v>370</v>
      </c>
      <c r="C322" s="84">
        <f t="shared" si="81"/>
        <v>358</v>
      </c>
      <c r="E322" s="9">
        <v>41056494</v>
      </c>
      <c r="F322" s="85">
        <v>699.5</v>
      </c>
      <c r="G322" s="87">
        <v>733</v>
      </c>
      <c r="H322" s="20">
        <v>649</v>
      </c>
      <c r="I322" s="20">
        <v>714</v>
      </c>
      <c r="J322" s="20">
        <v>200</v>
      </c>
      <c r="K322" s="20">
        <v>230</v>
      </c>
      <c r="L322" s="85">
        <v>202.5</v>
      </c>
      <c r="M322" s="87">
        <v>184</v>
      </c>
      <c r="N322" s="5">
        <v>102096</v>
      </c>
      <c r="O322">
        <f t="shared" si="82"/>
        <v>138.5</v>
      </c>
      <c r="P322">
        <f t="shared" si="83"/>
        <v>135</v>
      </c>
      <c r="Q322">
        <f t="shared" si="84"/>
        <v>443.5</v>
      </c>
      <c r="R322">
        <f t="shared" si="85"/>
        <v>423</v>
      </c>
      <c r="S322">
        <f t="shared" si="86"/>
        <v>145</v>
      </c>
      <c r="T322">
        <f t="shared" si="87"/>
        <v>121.5</v>
      </c>
      <c r="U322">
        <f t="shared" si="88"/>
        <v>361</v>
      </c>
      <c r="V322">
        <f t="shared" si="89"/>
        <v>400.5</v>
      </c>
      <c r="X322" s="5">
        <v>312646</v>
      </c>
      <c r="Y322">
        <f t="shared" si="90"/>
        <v>359.49299999999897</v>
      </c>
      <c r="Z322">
        <f t="shared" si="91"/>
        <v>355.66500000000002</v>
      </c>
      <c r="AA322">
        <f t="shared" si="92"/>
        <v>83.540999999999897</v>
      </c>
      <c r="AB322">
        <f t="shared" si="93"/>
        <v>90.721999999999994</v>
      </c>
      <c r="AC322">
        <f t="shared" si="94"/>
        <v>4338.9049999999979</v>
      </c>
      <c r="AD322">
        <f t="shared" si="95"/>
        <v>3530.2839999999997</v>
      </c>
      <c r="AE322">
        <f t="shared" si="96"/>
        <v>1035.4749999999997</v>
      </c>
      <c r="AF322">
        <f t="shared" si="97"/>
        <v>1106.1869999999997</v>
      </c>
      <c r="AG322" s="5">
        <v>102096</v>
      </c>
      <c r="AH322" s="31">
        <v>138.5</v>
      </c>
      <c r="AI322" s="31">
        <v>135</v>
      </c>
      <c r="AJ322" s="37">
        <v>3.5</v>
      </c>
      <c r="AK322" s="37">
        <v>2.5925925925925926</v>
      </c>
      <c r="AL322" s="36">
        <v>443.5</v>
      </c>
      <c r="AM322" s="36">
        <v>423</v>
      </c>
      <c r="AN322" s="37">
        <v>20.5</v>
      </c>
      <c r="AO322" s="37">
        <v>4.8463356973995273</v>
      </c>
      <c r="AP322" s="38">
        <v>1700.5</v>
      </c>
      <c r="AQ322" s="39">
        <v>1298</v>
      </c>
      <c r="AR322" s="37">
        <v>402.5</v>
      </c>
      <c r="AS322" s="37">
        <v>31.009244992295841</v>
      </c>
      <c r="AT322" s="36">
        <v>4613.5</v>
      </c>
      <c r="AU322" s="36">
        <v>4411.5</v>
      </c>
      <c r="AV322" s="37">
        <v>202</v>
      </c>
      <c r="AW322" s="37">
        <v>4.5789414031508562</v>
      </c>
      <c r="AX322" s="9">
        <v>41056494</v>
      </c>
      <c r="AY322" t="str">
        <f t="shared" si="98"/>
        <v>AUTO REST_OKHLA</v>
      </c>
      <c r="AZ322" t="str">
        <f t="shared" si="99"/>
        <v>Mathura Road</v>
      </c>
      <c r="BC322" s="5">
        <v>102096</v>
      </c>
      <c r="BD322" s="5" t="s">
        <v>581</v>
      </c>
      <c r="BE322" s="46" t="s">
        <v>809</v>
      </c>
      <c r="BF322" s="13" t="s">
        <v>281</v>
      </c>
      <c r="BG322" s="6" t="s">
        <v>200</v>
      </c>
      <c r="BH322" s="6" t="s">
        <v>244</v>
      </c>
      <c r="BI322" s="12" t="s">
        <v>244</v>
      </c>
      <c r="BJ322" s="51" t="s">
        <v>172</v>
      </c>
    </row>
    <row r="323" spans="1:62" ht="48.5" x14ac:dyDescent="0.35">
      <c r="A323">
        <v>177589</v>
      </c>
      <c r="B323" s="84">
        <f t="shared" ref="B323:B386" si="100">VLOOKUP(A323,E$2:G$399,2,FALSE)</f>
        <v>290</v>
      </c>
      <c r="C323" s="84">
        <f t="shared" ref="C323:C386" si="101">VLOOKUP(A323,E$2:G$399,3,FALSE)</f>
        <v>315</v>
      </c>
      <c r="E323" s="9">
        <v>41019298</v>
      </c>
      <c r="F323" s="85">
        <v>308</v>
      </c>
      <c r="G323" s="87">
        <v>306</v>
      </c>
      <c r="H323" s="20">
        <v>245</v>
      </c>
      <c r="I323" s="20">
        <v>288</v>
      </c>
      <c r="J323" s="20">
        <v>95</v>
      </c>
      <c r="K323" s="20">
        <v>75</v>
      </c>
      <c r="L323" s="85">
        <v>90</v>
      </c>
      <c r="M323" s="87">
        <v>86</v>
      </c>
      <c r="N323" s="5">
        <v>186866</v>
      </c>
      <c r="O323">
        <f t="shared" ref="O323:O386" si="102">VLOOKUP(N323,E$2:M$399,3,FALSE)</f>
        <v>809</v>
      </c>
      <c r="P323">
        <f t="shared" ref="P323:P386" si="103">VLOOKUP(N323,E$2:M$399,5,FALSE)</f>
        <v>680</v>
      </c>
      <c r="Q323">
        <f t="shared" ref="Q323:Q386" si="104">VLOOKUP(N323,E$2:M$399,9,FALSE)</f>
        <v>221</v>
      </c>
      <c r="R323">
        <f t="shared" ref="R323:R386" si="105">VLOOKUP(N323,E$2:M$399,7,FALSE)</f>
        <v>190</v>
      </c>
      <c r="S323">
        <f t="shared" ref="S323:S386" si="106">VLOOKUP(N323,E$2:M$399,2,FALSE)</f>
        <v>725</v>
      </c>
      <c r="T323">
        <f t="shared" ref="T323:T386" si="107">VLOOKUP(N323,E$2:M$399,4,FALSE)</f>
        <v>641</v>
      </c>
      <c r="U323">
        <f t="shared" ref="U323:U386" si="108">VLOOKUP(N323,E$2:M$399,8,FALSE)</f>
        <v>173</v>
      </c>
      <c r="V323">
        <f t="shared" ref="V323:V386" si="109">VLOOKUP(N323,E$2:M$399,6,FALSE)</f>
        <v>181</v>
      </c>
      <c r="X323" s="5">
        <v>205752</v>
      </c>
      <c r="Y323">
        <f t="shared" ref="Y323:Y386" si="110">VLOOKUP(X323,AG$2:AI$398,2,FALSE)</f>
        <v>168</v>
      </c>
      <c r="Z323">
        <f t="shared" ref="Z323:Z386" si="111">VLOOKUP(X323,AG$2:AI$398,3,FALSE)</f>
        <v>166</v>
      </c>
      <c r="AA323">
        <f t="shared" ref="AA323:AA386" si="112">VLOOKUP(X323,AG$2:AM$398,6,FALSE)</f>
        <v>36</v>
      </c>
      <c r="AB323">
        <f t="shared" ref="AB323:AB386" si="113">VLOOKUP(X323,AG$2:AM$398,7,FALSE)</f>
        <v>44</v>
      </c>
      <c r="AC323">
        <f t="shared" ref="AC323:AC386" si="114">VLOOKUP(X323,AG$2:AU$398,10,FALSE)</f>
        <v>2182.5</v>
      </c>
      <c r="AD323">
        <f t="shared" ref="AD323:AD386" si="115">VLOOKUP(X323,AG$2:AU$398,11,FALSE)</f>
        <v>1681</v>
      </c>
      <c r="AE323">
        <f t="shared" ref="AE323:AE386" si="116">VLOOKUP(X323,AG$2:AU$398,14,FALSE)</f>
        <v>539.5</v>
      </c>
      <c r="AF323">
        <f t="shared" ref="AF323:AF386" si="117">VLOOKUP(X323,AG$2:AU$398,15,FALSE)</f>
        <v>533</v>
      </c>
      <c r="AG323" s="5">
        <v>186866</v>
      </c>
      <c r="AH323" s="31">
        <v>809</v>
      </c>
      <c r="AI323" s="31">
        <v>680</v>
      </c>
      <c r="AJ323" s="37">
        <v>129</v>
      </c>
      <c r="AK323" s="37">
        <v>18.970588235294116</v>
      </c>
      <c r="AL323" s="36">
        <v>221</v>
      </c>
      <c r="AM323" s="36">
        <v>190</v>
      </c>
      <c r="AN323" s="37">
        <v>31</v>
      </c>
      <c r="AO323" s="37">
        <v>16.315789473684212</v>
      </c>
      <c r="AP323" s="38">
        <v>9326.5</v>
      </c>
      <c r="AQ323" s="39">
        <v>6916.5</v>
      </c>
      <c r="AR323" s="37">
        <v>2410</v>
      </c>
      <c r="AS323" s="37">
        <v>34.844213113568998</v>
      </c>
      <c r="AT323" s="36">
        <v>2573.5</v>
      </c>
      <c r="AU323" s="36">
        <v>2620.5</v>
      </c>
      <c r="AV323" s="37">
        <v>-47</v>
      </c>
      <c r="AW323" s="37">
        <v>-1.7935508490746039</v>
      </c>
      <c r="AX323" s="9">
        <v>41019298</v>
      </c>
      <c r="AY323" t="str">
        <f t="shared" ref="AY323:AY386" si="118">VLOOKUP(AX323,BC$2:BJ$398,6,FALSE)</f>
        <v>White Patch_Ranhola</v>
      </c>
      <c r="AZ323" t="str">
        <f t="shared" ref="AZ323:AZ386" si="119">VLOOKUP(AX323,BC$2:BJ$398,8,FALSE)</f>
        <v>Nazafgarh-Kapashera</v>
      </c>
      <c r="BC323" s="5">
        <v>186866</v>
      </c>
      <c r="BD323" s="5" t="s">
        <v>581</v>
      </c>
      <c r="BE323" s="46" t="s">
        <v>810</v>
      </c>
      <c r="BF323" s="13" t="s">
        <v>811</v>
      </c>
      <c r="BG323" s="6" t="s">
        <v>94</v>
      </c>
      <c r="BH323" s="6" t="s">
        <v>763</v>
      </c>
      <c r="BI323" s="12" t="s">
        <v>763</v>
      </c>
      <c r="BJ323" s="51" t="s">
        <v>96</v>
      </c>
    </row>
    <row r="324" spans="1:62" ht="36.5" x14ac:dyDescent="0.35">
      <c r="A324">
        <v>106344</v>
      </c>
      <c r="B324" s="84">
        <f t="shared" si="100"/>
        <v>725</v>
      </c>
      <c r="C324" s="84">
        <f t="shared" si="101"/>
        <v>831.5</v>
      </c>
      <c r="E324" s="9">
        <v>41057007</v>
      </c>
      <c r="F324" s="85">
        <v>343.5</v>
      </c>
      <c r="G324" s="87">
        <v>342</v>
      </c>
      <c r="H324" s="20">
        <v>348</v>
      </c>
      <c r="I324" s="20">
        <v>367</v>
      </c>
      <c r="J324" s="20">
        <v>104</v>
      </c>
      <c r="K324" s="20">
        <v>102</v>
      </c>
      <c r="L324" s="85">
        <v>86.5</v>
      </c>
      <c r="M324" s="87">
        <v>85</v>
      </c>
      <c r="N324" s="5">
        <v>354260</v>
      </c>
      <c r="O324">
        <f t="shared" si="102"/>
        <v>179.5</v>
      </c>
      <c r="P324">
        <f t="shared" si="103"/>
        <v>124</v>
      </c>
      <c r="Q324">
        <f t="shared" si="104"/>
        <v>76.5</v>
      </c>
      <c r="R324">
        <f t="shared" si="105"/>
        <v>44</v>
      </c>
      <c r="S324">
        <f t="shared" si="106"/>
        <v>165</v>
      </c>
      <c r="T324">
        <f t="shared" si="107"/>
        <v>124.5</v>
      </c>
      <c r="U324">
        <f t="shared" si="108"/>
        <v>57</v>
      </c>
      <c r="V324">
        <f t="shared" si="109"/>
        <v>45.5</v>
      </c>
      <c r="X324" s="5">
        <v>255817</v>
      </c>
      <c r="Y324">
        <f t="shared" si="110"/>
        <v>296</v>
      </c>
      <c r="Z324">
        <f t="shared" si="111"/>
        <v>266</v>
      </c>
      <c r="AA324">
        <f t="shared" si="112"/>
        <v>55.5</v>
      </c>
      <c r="AB324">
        <f t="shared" si="113"/>
        <v>57</v>
      </c>
      <c r="AC324">
        <f t="shared" si="114"/>
        <v>3331</v>
      </c>
      <c r="AD324">
        <f t="shared" si="115"/>
        <v>2549.5</v>
      </c>
      <c r="AE324">
        <f t="shared" si="116"/>
        <v>634</v>
      </c>
      <c r="AF324">
        <f t="shared" si="117"/>
        <v>630</v>
      </c>
      <c r="AG324" s="5">
        <v>354260</v>
      </c>
      <c r="AH324" s="31">
        <v>179.5</v>
      </c>
      <c r="AI324" s="31">
        <v>124</v>
      </c>
      <c r="AJ324" s="37">
        <v>55.5</v>
      </c>
      <c r="AK324" s="37">
        <v>44.758064516129032</v>
      </c>
      <c r="AL324" s="36">
        <v>76.5</v>
      </c>
      <c r="AM324" s="36">
        <v>44</v>
      </c>
      <c r="AN324" s="37">
        <v>32.5</v>
      </c>
      <c r="AO324" s="37">
        <v>73.86363636363636</v>
      </c>
      <c r="AP324" s="38">
        <v>1924</v>
      </c>
      <c r="AQ324" s="39">
        <v>1352.5</v>
      </c>
      <c r="AR324" s="37">
        <v>571.5</v>
      </c>
      <c r="AS324" s="37">
        <v>42.2550831792976</v>
      </c>
      <c r="AT324" s="36">
        <v>656</v>
      </c>
      <c r="AU324" s="36">
        <v>563</v>
      </c>
      <c r="AV324" s="37">
        <v>93</v>
      </c>
      <c r="AW324" s="37">
        <v>16.518650088809945</v>
      </c>
      <c r="AX324" s="9">
        <v>41057007</v>
      </c>
      <c r="AY324" t="str">
        <f t="shared" si="118"/>
        <v>AUTO CENTRE_NAVYUG_PREM</v>
      </c>
      <c r="AZ324" t="str">
        <f t="shared" si="119"/>
        <v>Greater Kailash I &amp;II</v>
      </c>
      <c r="BC324" s="5">
        <v>354260</v>
      </c>
      <c r="BD324" s="5" t="s">
        <v>581</v>
      </c>
      <c r="BE324" s="46" t="s">
        <v>812</v>
      </c>
      <c r="BF324" s="13" t="s">
        <v>813</v>
      </c>
      <c r="BG324" s="6" t="s">
        <v>200</v>
      </c>
      <c r="BH324" s="6" t="s">
        <v>814</v>
      </c>
      <c r="BI324" s="12" t="s">
        <v>814</v>
      </c>
      <c r="BJ324" s="51" t="s">
        <v>91</v>
      </c>
    </row>
    <row r="325" spans="1:62" ht="60.5" x14ac:dyDescent="0.35">
      <c r="A325">
        <v>41056840</v>
      </c>
      <c r="B325" s="84">
        <f t="shared" si="100"/>
        <v>395</v>
      </c>
      <c r="C325" s="84">
        <f t="shared" si="101"/>
        <v>410</v>
      </c>
      <c r="E325" s="9">
        <v>41032884</v>
      </c>
      <c r="F325" s="85">
        <v>646.5</v>
      </c>
      <c r="G325" s="87">
        <v>682</v>
      </c>
      <c r="H325" s="20">
        <v>647.5</v>
      </c>
      <c r="I325" s="20">
        <v>769</v>
      </c>
      <c r="J325" s="20">
        <v>208.5</v>
      </c>
      <c r="K325" s="20">
        <v>238</v>
      </c>
      <c r="L325" s="85">
        <v>195.5</v>
      </c>
      <c r="M325" s="87">
        <v>191</v>
      </c>
      <c r="N325" s="5">
        <v>102108</v>
      </c>
      <c r="O325">
        <f t="shared" si="102"/>
        <v>265.5</v>
      </c>
      <c r="P325">
        <f t="shared" si="103"/>
        <v>225</v>
      </c>
      <c r="Q325">
        <f t="shared" si="104"/>
        <v>22.5</v>
      </c>
      <c r="R325">
        <f t="shared" si="105"/>
        <v>27</v>
      </c>
      <c r="S325">
        <f t="shared" si="106"/>
        <v>243</v>
      </c>
      <c r="T325">
        <f t="shared" si="107"/>
        <v>222</v>
      </c>
      <c r="U325">
        <f t="shared" si="108"/>
        <v>27</v>
      </c>
      <c r="V325">
        <f t="shared" si="109"/>
        <v>18</v>
      </c>
      <c r="X325" s="5">
        <v>203544</v>
      </c>
      <c r="Y325">
        <f t="shared" si="110"/>
        <v>360</v>
      </c>
      <c r="Z325">
        <f t="shared" si="111"/>
        <v>306</v>
      </c>
      <c r="AA325">
        <f t="shared" si="112"/>
        <v>90</v>
      </c>
      <c r="AB325">
        <f t="shared" si="113"/>
        <v>90</v>
      </c>
      <c r="AC325">
        <f t="shared" si="114"/>
        <v>4009.5</v>
      </c>
      <c r="AD325">
        <f t="shared" si="115"/>
        <v>3339</v>
      </c>
      <c r="AE325">
        <f t="shared" si="116"/>
        <v>1030.5</v>
      </c>
      <c r="AF325">
        <f t="shared" si="117"/>
        <v>1278</v>
      </c>
      <c r="AG325" s="5">
        <v>102108</v>
      </c>
      <c r="AH325" s="31">
        <v>265.5</v>
      </c>
      <c r="AI325" s="31">
        <v>225</v>
      </c>
      <c r="AJ325" s="37">
        <v>40.5</v>
      </c>
      <c r="AK325" s="37">
        <v>18</v>
      </c>
      <c r="AL325" s="36">
        <v>22.5</v>
      </c>
      <c r="AM325" s="36">
        <v>27</v>
      </c>
      <c r="AN325" s="37">
        <v>-4.5</v>
      </c>
      <c r="AO325" s="37">
        <v>-16.666666666666664</v>
      </c>
      <c r="AP325" s="38">
        <v>2970</v>
      </c>
      <c r="AQ325" s="39">
        <v>2334</v>
      </c>
      <c r="AR325" s="37">
        <v>636</v>
      </c>
      <c r="AS325" s="37">
        <v>27.249357326478147</v>
      </c>
      <c r="AT325" s="36">
        <v>298</v>
      </c>
      <c r="AU325" s="36">
        <v>271</v>
      </c>
      <c r="AV325" s="37">
        <v>27</v>
      </c>
      <c r="AW325" s="37">
        <v>9.9630996309963091</v>
      </c>
      <c r="AX325" s="9">
        <v>41032884</v>
      </c>
      <c r="AY325" t="str">
        <f t="shared" si="118"/>
        <v>AUTO REST_OKHLA</v>
      </c>
      <c r="AZ325" t="str">
        <f t="shared" si="119"/>
        <v>Mathura Road</v>
      </c>
      <c r="BC325" s="5">
        <v>102108</v>
      </c>
      <c r="BD325" s="5" t="s">
        <v>581</v>
      </c>
      <c r="BE325" s="46" t="s">
        <v>815</v>
      </c>
      <c r="BF325" s="13" t="s">
        <v>816</v>
      </c>
      <c r="BG325" s="6" t="s">
        <v>75</v>
      </c>
      <c r="BH325" s="6" t="s">
        <v>108</v>
      </c>
      <c r="BI325" s="12" t="s">
        <v>108</v>
      </c>
      <c r="BJ325" s="51" t="s">
        <v>77</v>
      </c>
    </row>
    <row r="326" spans="1:62" ht="60.5" x14ac:dyDescent="0.35">
      <c r="A326">
        <v>524842</v>
      </c>
      <c r="B326" s="84">
        <f t="shared" si="100"/>
        <v>336</v>
      </c>
      <c r="C326" s="84">
        <f t="shared" si="101"/>
        <v>256</v>
      </c>
      <c r="E326" s="9">
        <v>41019250</v>
      </c>
      <c r="F326" s="85">
        <v>173</v>
      </c>
      <c r="G326" s="87">
        <v>171.5</v>
      </c>
      <c r="H326" s="20">
        <v>174.5</v>
      </c>
      <c r="I326" s="20">
        <v>166.5</v>
      </c>
      <c r="J326" s="20">
        <v>71.5</v>
      </c>
      <c r="K326" s="20">
        <v>67.5</v>
      </c>
      <c r="L326" s="85">
        <v>61</v>
      </c>
      <c r="M326" s="87">
        <v>74.5</v>
      </c>
      <c r="N326" s="7">
        <v>142929</v>
      </c>
      <c r="O326">
        <f t="shared" si="102"/>
        <v>72.5</v>
      </c>
      <c r="P326">
        <f t="shared" si="103"/>
        <v>65</v>
      </c>
      <c r="Q326">
        <f t="shared" si="104"/>
        <v>65.5</v>
      </c>
      <c r="R326">
        <f t="shared" si="105"/>
        <v>91</v>
      </c>
      <c r="S326">
        <f t="shared" si="106"/>
        <v>59</v>
      </c>
      <c r="T326">
        <f t="shared" si="107"/>
        <v>73.5</v>
      </c>
      <c r="U326">
        <f t="shared" si="108"/>
        <v>67</v>
      </c>
      <c r="V326">
        <f t="shared" si="109"/>
        <v>64.5</v>
      </c>
      <c r="X326" s="5">
        <v>107653</v>
      </c>
      <c r="Y326">
        <f t="shared" si="110"/>
        <v>199</v>
      </c>
      <c r="Z326">
        <f t="shared" si="111"/>
        <v>218</v>
      </c>
      <c r="AA326">
        <f t="shared" si="112"/>
        <v>49</v>
      </c>
      <c r="AB326">
        <f t="shared" si="113"/>
        <v>64</v>
      </c>
      <c r="AC326">
        <f t="shared" si="114"/>
        <v>2350</v>
      </c>
      <c r="AD326">
        <f t="shared" si="115"/>
        <v>1992</v>
      </c>
      <c r="AE326">
        <f t="shared" si="116"/>
        <v>584</v>
      </c>
      <c r="AF326">
        <f t="shared" si="117"/>
        <v>786</v>
      </c>
      <c r="AG326" s="7">
        <v>142929</v>
      </c>
      <c r="AH326" s="31">
        <v>72.5</v>
      </c>
      <c r="AI326" s="31">
        <v>65</v>
      </c>
      <c r="AJ326" s="37">
        <v>7.5</v>
      </c>
      <c r="AK326" s="37">
        <v>11.538461538461538</v>
      </c>
      <c r="AL326" s="36">
        <v>65.5</v>
      </c>
      <c r="AM326" s="36">
        <v>91</v>
      </c>
      <c r="AN326" s="37">
        <v>-25.5</v>
      </c>
      <c r="AO326" s="37">
        <v>-28.021978021978022</v>
      </c>
      <c r="AP326" s="38">
        <v>802</v>
      </c>
      <c r="AQ326" s="39">
        <v>667.5</v>
      </c>
      <c r="AR326" s="37">
        <v>134.5</v>
      </c>
      <c r="AS326" s="37">
        <v>20.149812734082399</v>
      </c>
      <c r="AT326" s="36">
        <v>550</v>
      </c>
      <c r="AU326" s="36">
        <v>692</v>
      </c>
      <c r="AV326" s="37">
        <v>-142</v>
      </c>
      <c r="AW326" s="37">
        <v>-20.520231213872833</v>
      </c>
      <c r="AX326" s="9">
        <v>41019250</v>
      </c>
      <c r="AY326" t="str">
        <f t="shared" si="118"/>
        <v>GS BHASIN</v>
      </c>
      <c r="AZ326" t="str">
        <f t="shared" si="119"/>
        <v>Mathura Road</v>
      </c>
      <c r="BC326" s="7">
        <v>142929</v>
      </c>
      <c r="BD326" s="5" t="s">
        <v>581</v>
      </c>
      <c r="BE326" s="46" t="s">
        <v>817</v>
      </c>
      <c r="BF326" s="13" t="s">
        <v>818</v>
      </c>
      <c r="BG326" s="6" t="s">
        <v>81</v>
      </c>
      <c r="BH326" s="6" t="s">
        <v>184</v>
      </c>
      <c r="BI326" s="12" t="s">
        <v>184</v>
      </c>
      <c r="BJ326" s="51" t="s">
        <v>141</v>
      </c>
    </row>
    <row r="327" spans="1:62" ht="60.5" x14ac:dyDescent="0.35">
      <c r="A327">
        <v>102115</v>
      </c>
      <c r="B327" s="84">
        <f t="shared" si="100"/>
        <v>210</v>
      </c>
      <c r="C327" s="84">
        <f t="shared" si="101"/>
        <v>350</v>
      </c>
      <c r="E327" s="9">
        <v>41056821</v>
      </c>
      <c r="F327" s="85">
        <v>465</v>
      </c>
      <c r="G327" s="87">
        <v>470</v>
      </c>
      <c r="H327" s="20">
        <v>465</v>
      </c>
      <c r="I327" s="20">
        <v>553.5</v>
      </c>
      <c r="J327" s="20">
        <v>385</v>
      </c>
      <c r="K327" s="20">
        <v>450.5</v>
      </c>
      <c r="L327" s="85">
        <v>319</v>
      </c>
      <c r="M327" s="87">
        <v>268</v>
      </c>
      <c r="N327" s="5">
        <v>179735</v>
      </c>
      <c r="O327">
        <f t="shared" si="102"/>
        <v>409.5</v>
      </c>
      <c r="P327">
        <f t="shared" si="103"/>
        <v>364.5</v>
      </c>
      <c r="Q327">
        <f t="shared" si="104"/>
        <v>76.5</v>
      </c>
      <c r="R327">
        <f t="shared" si="105"/>
        <v>103.5</v>
      </c>
      <c r="S327">
        <f t="shared" si="106"/>
        <v>333</v>
      </c>
      <c r="T327">
        <f t="shared" si="107"/>
        <v>310.5</v>
      </c>
      <c r="U327">
        <f t="shared" si="108"/>
        <v>81</v>
      </c>
      <c r="V327">
        <f t="shared" si="109"/>
        <v>103.5</v>
      </c>
      <c r="X327" s="7">
        <v>122804</v>
      </c>
      <c r="Y327">
        <f t="shared" si="110"/>
        <v>88</v>
      </c>
      <c r="Z327">
        <f t="shared" si="111"/>
        <v>112</v>
      </c>
      <c r="AA327">
        <f t="shared" si="112"/>
        <v>152</v>
      </c>
      <c r="AB327">
        <f t="shared" si="113"/>
        <v>264</v>
      </c>
      <c r="AC327">
        <f t="shared" si="114"/>
        <v>1106</v>
      </c>
      <c r="AD327">
        <f t="shared" si="115"/>
        <v>1116.5</v>
      </c>
      <c r="AE327">
        <f t="shared" si="116"/>
        <v>1874</v>
      </c>
      <c r="AF327">
        <f t="shared" si="117"/>
        <v>3166</v>
      </c>
      <c r="AG327" s="5">
        <v>179735</v>
      </c>
      <c r="AH327" s="31">
        <v>409.5</v>
      </c>
      <c r="AI327" s="31">
        <v>364.5</v>
      </c>
      <c r="AJ327" s="37">
        <v>45</v>
      </c>
      <c r="AK327" s="37">
        <v>12.345679012345679</v>
      </c>
      <c r="AL327" s="36">
        <v>76.5</v>
      </c>
      <c r="AM327" s="36">
        <v>103.5</v>
      </c>
      <c r="AN327" s="37">
        <v>-27</v>
      </c>
      <c r="AO327" s="37">
        <v>-26.086956521739129</v>
      </c>
      <c r="AP327" s="38">
        <v>4620.5</v>
      </c>
      <c r="AQ327" s="39">
        <v>3658.5</v>
      </c>
      <c r="AR327" s="37">
        <v>962</v>
      </c>
      <c r="AS327" s="37">
        <v>26.294929615962825</v>
      </c>
      <c r="AT327" s="36">
        <v>1003.5</v>
      </c>
      <c r="AU327" s="36">
        <v>1222.5</v>
      </c>
      <c r="AV327" s="37">
        <v>-219</v>
      </c>
      <c r="AW327" s="37">
        <v>-17.914110429447852</v>
      </c>
      <c r="AX327" s="9">
        <v>41056821</v>
      </c>
      <c r="AY327" t="str">
        <f t="shared" si="118"/>
        <v>White Patch_Dhaula Kuan_NH8</v>
      </c>
      <c r="AZ327" t="str">
        <f t="shared" si="119"/>
        <v>Dwarka</v>
      </c>
      <c r="BC327" s="5">
        <v>179735</v>
      </c>
      <c r="BD327" s="5" t="s">
        <v>581</v>
      </c>
      <c r="BE327" s="46" t="s">
        <v>819</v>
      </c>
      <c r="BF327" s="13" t="s">
        <v>820</v>
      </c>
      <c r="BG327" s="6" t="s">
        <v>169</v>
      </c>
      <c r="BH327" s="6" t="s">
        <v>100</v>
      </c>
      <c r="BI327" s="12" t="s">
        <v>100</v>
      </c>
      <c r="BJ327" s="51" t="s">
        <v>77</v>
      </c>
    </row>
    <row r="328" spans="1:62" ht="60.5" x14ac:dyDescent="0.35">
      <c r="A328">
        <v>206615</v>
      </c>
      <c r="B328" s="84">
        <f t="shared" si="100"/>
        <v>188</v>
      </c>
      <c r="C328" s="84">
        <f t="shared" si="101"/>
        <v>184</v>
      </c>
      <c r="E328" s="9">
        <v>41056535</v>
      </c>
      <c r="F328" s="85">
        <v>665</v>
      </c>
      <c r="G328" s="87">
        <v>672</v>
      </c>
      <c r="H328" s="20">
        <v>625</v>
      </c>
      <c r="I328" s="20">
        <v>662</v>
      </c>
      <c r="J328" s="20">
        <v>95</v>
      </c>
      <c r="K328" s="20">
        <v>98</v>
      </c>
      <c r="L328" s="85">
        <v>95</v>
      </c>
      <c r="M328" s="87">
        <v>88</v>
      </c>
      <c r="N328" s="5">
        <v>106296</v>
      </c>
      <c r="O328">
        <f t="shared" si="102"/>
        <v>229.5</v>
      </c>
      <c r="P328">
        <f t="shared" si="103"/>
        <v>245</v>
      </c>
      <c r="Q328">
        <f t="shared" si="104"/>
        <v>22.5</v>
      </c>
      <c r="R328">
        <f t="shared" si="105"/>
        <v>29</v>
      </c>
      <c r="S328">
        <f t="shared" si="106"/>
        <v>267</v>
      </c>
      <c r="T328">
        <f t="shared" si="107"/>
        <v>230</v>
      </c>
      <c r="U328">
        <f t="shared" si="108"/>
        <v>27</v>
      </c>
      <c r="V328">
        <f t="shared" si="109"/>
        <v>30</v>
      </c>
      <c r="X328" s="5">
        <v>106231</v>
      </c>
      <c r="Y328">
        <f t="shared" si="110"/>
        <v>260</v>
      </c>
      <c r="Z328">
        <f t="shared" si="111"/>
        <v>247.5</v>
      </c>
      <c r="AA328">
        <f t="shared" si="112"/>
        <v>140</v>
      </c>
      <c r="AB328">
        <f t="shared" si="113"/>
        <v>148.5</v>
      </c>
      <c r="AC328">
        <f t="shared" si="114"/>
        <v>3130</v>
      </c>
      <c r="AD328">
        <f t="shared" si="115"/>
        <v>2601</v>
      </c>
      <c r="AE328">
        <f t="shared" si="116"/>
        <v>1782</v>
      </c>
      <c r="AF328">
        <f t="shared" si="117"/>
        <v>2011.5</v>
      </c>
      <c r="AG328" s="5">
        <v>106296</v>
      </c>
      <c r="AH328" s="31">
        <v>229.5</v>
      </c>
      <c r="AI328" s="31">
        <v>245</v>
      </c>
      <c r="AJ328" s="37">
        <v>-15.5</v>
      </c>
      <c r="AK328" s="37">
        <v>-6.3265306122448974</v>
      </c>
      <c r="AL328" s="36">
        <v>22.5</v>
      </c>
      <c r="AM328" s="36">
        <v>29</v>
      </c>
      <c r="AN328" s="37">
        <v>-6.5</v>
      </c>
      <c r="AO328" s="37">
        <v>-22.413793103448278</v>
      </c>
      <c r="AP328" s="38">
        <v>3046</v>
      </c>
      <c r="AQ328" s="39">
        <v>2357.5</v>
      </c>
      <c r="AR328" s="37">
        <v>688.5</v>
      </c>
      <c r="AS328" s="37">
        <v>29.204665959703075</v>
      </c>
      <c r="AT328" s="36">
        <v>364</v>
      </c>
      <c r="AU328" s="36">
        <v>339.5</v>
      </c>
      <c r="AV328" s="37">
        <v>24.5</v>
      </c>
      <c r="AW328" s="37">
        <v>7.216494845360824</v>
      </c>
      <c r="AX328" s="9">
        <v>41056535</v>
      </c>
      <c r="AY328" t="str">
        <f t="shared" si="118"/>
        <v>MUKUL</v>
      </c>
      <c r="AZ328" t="str">
        <f t="shared" si="119"/>
        <v>Wazirabad-Loni</v>
      </c>
      <c r="BC328" s="5">
        <v>106296</v>
      </c>
      <c r="BD328" s="5" t="s">
        <v>581</v>
      </c>
      <c r="BE328" s="46" t="s">
        <v>821</v>
      </c>
      <c r="BF328" s="13" t="s">
        <v>822</v>
      </c>
      <c r="BG328" s="6" t="s">
        <v>169</v>
      </c>
      <c r="BH328" s="6" t="s">
        <v>100</v>
      </c>
      <c r="BI328" s="12" t="s">
        <v>100</v>
      </c>
      <c r="BJ328" s="51" t="s">
        <v>77</v>
      </c>
    </row>
    <row r="329" spans="1:62" ht="48.5" x14ac:dyDescent="0.35">
      <c r="A329">
        <v>41027003</v>
      </c>
      <c r="B329" s="84">
        <f t="shared" si="100"/>
        <v>162</v>
      </c>
      <c r="C329" s="84">
        <f t="shared" si="101"/>
        <v>155</v>
      </c>
      <c r="E329" s="9">
        <v>41056401</v>
      </c>
      <c r="F329" s="85">
        <v>327.5</v>
      </c>
      <c r="G329" s="87">
        <v>342</v>
      </c>
      <c r="H329" s="20">
        <v>327.5</v>
      </c>
      <c r="I329" s="20">
        <v>363.5</v>
      </c>
      <c r="J329" s="20">
        <v>62.5</v>
      </c>
      <c r="K329" s="20">
        <v>62.5</v>
      </c>
      <c r="L329" s="85">
        <v>59.5</v>
      </c>
      <c r="M329" s="87">
        <v>54</v>
      </c>
      <c r="N329" s="5">
        <v>107657</v>
      </c>
      <c r="O329">
        <f t="shared" si="102"/>
        <v>622.5</v>
      </c>
      <c r="P329">
        <f t="shared" si="103"/>
        <v>558.5</v>
      </c>
      <c r="Q329">
        <f t="shared" si="104"/>
        <v>117.5</v>
      </c>
      <c r="R329">
        <f t="shared" si="105"/>
        <v>111.5</v>
      </c>
      <c r="S329">
        <f t="shared" si="106"/>
        <v>508.5</v>
      </c>
      <c r="T329">
        <f t="shared" si="107"/>
        <v>493</v>
      </c>
      <c r="U329">
        <f t="shared" si="108"/>
        <v>85.5</v>
      </c>
      <c r="V329">
        <f t="shared" si="109"/>
        <v>93</v>
      </c>
      <c r="X329" s="9">
        <v>41056823</v>
      </c>
      <c r="Y329">
        <f t="shared" si="110"/>
        <v>363</v>
      </c>
      <c r="Z329">
        <f t="shared" si="111"/>
        <v>353</v>
      </c>
      <c r="AA329">
        <f t="shared" si="112"/>
        <v>80</v>
      </c>
      <c r="AB329">
        <f t="shared" si="113"/>
        <v>105</v>
      </c>
      <c r="AC329">
        <f t="shared" si="114"/>
        <v>4431.5</v>
      </c>
      <c r="AD329">
        <f t="shared" si="115"/>
        <v>3570</v>
      </c>
      <c r="AE329">
        <f t="shared" si="116"/>
        <v>1422.5</v>
      </c>
      <c r="AF329">
        <f t="shared" si="117"/>
        <v>1379.5</v>
      </c>
      <c r="AG329" s="5">
        <v>107657</v>
      </c>
      <c r="AH329" s="31">
        <v>622.5</v>
      </c>
      <c r="AI329" s="31">
        <v>558.5</v>
      </c>
      <c r="AJ329" s="37">
        <v>64</v>
      </c>
      <c r="AK329" s="37">
        <v>11.459265890778871</v>
      </c>
      <c r="AL329" s="36">
        <v>117.5</v>
      </c>
      <c r="AM329" s="36">
        <v>111.5</v>
      </c>
      <c r="AN329" s="37">
        <v>6</v>
      </c>
      <c r="AO329" s="37">
        <v>5.3811659192825116</v>
      </c>
      <c r="AP329" s="38">
        <v>6966.5</v>
      </c>
      <c r="AQ329" s="39">
        <v>5689.5</v>
      </c>
      <c r="AR329" s="37">
        <v>1277</v>
      </c>
      <c r="AS329" s="37">
        <v>22.444854556639424</v>
      </c>
      <c r="AT329" s="36">
        <v>1219.5</v>
      </c>
      <c r="AU329" s="36">
        <v>1411</v>
      </c>
      <c r="AV329" s="37">
        <v>-191.5</v>
      </c>
      <c r="AW329" s="37">
        <v>-13.571934798015592</v>
      </c>
      <c r="AX329" s="9">
        <v>41056401</v>
      </c>
      <c r="AY329" t="str">
        <f t="shared" si="118"/>
        <v>White Patch- Rohini</v>
      </c>
      <c r="AZ329" t="str">
        <f t="shared" si="119"/>
        <v>Rohini</v>
      </c>
      <c r="BC329" s="5">
        <v>107657</v>
      </c>
      <c r="BD329" s="5" t="s">
        <v>581</v>
      </c>
      <c r="BE329" s="46" t="s">
        <v>823</v>
      </c>
      <c r="BF329" s="13" t="s">
        <v>824</v>
      </c>
      <c r="BG329" s="6" t="s">
        <v>89</v>
      </c>
      <c r="BH329" s="6" t="s">
        <v>538</v>
      </c>
      <c r="BI329" s="12" t="s">
        <v>906</v>
      </c>
      <c r="BJ329" s="51" t="s">
        <v>1007</v>
      </c>
    </row>
    <row r="330" spans="1:62" ht="48.5" x14ac:dyDescent="0.35">
      <c r="A330">
        <v>185484</v>
      </c>
      <c r="B330" s="84">
        <f t="shared" si="100"/>
        <v>162</v>
      </c>
      <c r="C330" s="84">
        <f t="shared" si="101"/>
        <v>157</v>
      </c>
      <c r="E330" s="9">
        <v>41056986</v>
      </c>
      <c r="F330" s="85">
        <v>354</v>
      </c>
      <c r="G330" s="87">
        <v>422</v>
      </c>
      <c r="H330" s="20">
        <v>355</v>
      </c>
      <c r="I330" s="20">
        <v>405</v>
      </c>
      <c r="J330" s="20">
        <v>46</v>
      </c>
      <c r="K330" s="20">
        <v>28</v>
      </c>
      <c r="L330" s="85">
        <v>44</v>
      </c>
      <c r="M330" s="87">
        <v>25</v>
      </c>
      <c r="N330" s="7">
        <v>108140</v>
      </c>
      <c r="O330">
        <f t="shared" si="102"/>
        <v>508.5</v>
      </c>
      <c r="P330">
        <f t="shared" si="103"/>
        <v>459</v>
      </c>
      <c r="Q330">
        <f t="shared" si="104"/>
        <v>67.5</v>
      </c>
      <c r="R330">
        <f t="shared" si="105"/>
        <v>63</v>
      </c>
      <c r="S330">
        <f t="shared" si="106"/>
        <v>450</v>
      </c>
      <c r="T330">
        <f t="shared" si="107"/>
        <v>414</v>
      </c>
      <c r="U330">
        <f t="shared" si="108"/>
        <v>72</v>
      </c>
      <c r="V330">
        <f t="shared" si="109"/>
        <v>54</v>
      </c>
      <c r="X330" s="3">
        <v>181987</v>
      </c>
      <c r="Y330">
        <f t="shared" si="110"/>
        <v>60</v>
      </c>
      <c r="Z330">
        <f t="shared" si="111"/>
        <v>76</v>
      </c>
      <c r="AA330">
        <f t="shared" si="112"/>
        <v>204</v>
      </c>
      <c r="AB330">
        <f t="shared" si="113"/>
        <v>140</v>
      </c>
      <c r="AC330">
        <f t="shared" si="114"/>
        <v>734.5</v>
      </c>
      <c r="AD330">
        <f t="shared" si="115"/>
        <v>717.5</v>
      </c>
      <c r="AE330">
        <f t="shared" si="116"/>
        <v>2369.5</v>
      </c>
      <c r="AF330">
        <f t="shared" si="117"/>
        <v>1924.5</v>
      </c>
      <c r="AG330" s="7">
        <v>108140</v>
      </c>
      <c r="AH330" s="31">
        <v>508.5</v>
      </c>
      <c r="AI330" s="31">
        <v>459</v>
      </c>
      <c r="AJ330" s="37">
        <v>49.5</v>
      </c>
      <c r="AK330" s="37">
        <v>10.784313725490197</v>
      </c>
      <c r="AL330" s="36">
        <v>67.5</v>
      </c>
      <c r="AM330" s="36">
        <v>63</v>
      </c>
      <c r="AN330" s="37">
        <v>4.5</v>
      </c>
      <c r="AO330" s="37">
        <v>7.1428571428571423</v>
      </c>
      <c r="AP330" s="38">
        <v>5718.5</v>
      </c>
      <c r="AQ330" s="39">
        <v>4744.5</v>
      </c>
      <c r="AR330" s="37">
        <v>974</v>
      </c>
      <c r="AS330" s="37">
        <v>20.529033617873328</v>
      </c>
      <c r="AT330" s="36">
        <v>777.5</v>
      </c>
      <c r="AU330" s="36">
        <v>810.5</v>
      </c>
      <c r="AV330" s="37">
        <v>-33</v>
      </c>
      <c r="AW330" s="37">
        <v>-4.0715607649599015</v>
      </c>
      <c r="AX330" s="9">
        <v>41056986</v>
      </c>
      <c r="AY330" t="str">
        <f t="shared" si="118"/>
        <v>White Patch_Old GT Road</v>
      </c>
      <c r="AZ330" t="str">
        <f t="shared" si="119"/>
        <v>Old GT Road (NH1)</v>
      </c>
      <c r="BC330" s="7">
        <v>108140</v>
      </c>
      <c r="BD330" s="5" t="s">
        <v>581</v>
      </c>
      <c r="BE330" s="46" t="s">
        <v>825</v>
      </c>
      <c r="BF330" s="13" t="s">
        <v>826</v>
      </c>
      <c r="BG330" s="8" t="s">
        <v>81</v>
      </c>
      <c r="BH330" s="8" t="s">
        <v>498</v>
      </c>
      <c r="BI330" s="12" t="s">
        <v>498</v>
      </c>
      <c r="BJ330" s="51" t="s">
        <v>135</v>
      </c>
    </row>
    <row r="331" spans="1:62" ht="60.5" x14ac:dyDescent="0.35">
      <c r="A331">
        <v>106345</v>
      </c>
      <c r="B331" s="84">
        <f t="shared" si="100"/>
        <v>585</v>
      </c>
      <c r="C331" s="84">
        <f t="shared" si="101"/>
        <v>682</v>
      </c>
      <c r="E331" s="9">
        <v>41056839</v>
      </c>
      <c r="F331" s="85">
        <v>141</v>
      </c>
      <c r="G331" s="87">
        <v>166</v>
      </c>
      <c r="H331" s="20">
        <v>140</v>
      </c>
      <c r="I331" s="20">
        <v>145</v>
      </c>
      <c r="J331" s="20">
        <v>868</v>
      </c>
      <c r="K331" s="20">
        <v>900</v>
      </c>
      <c r="L331" s="85">
        <v>629</v>
      </c>
      <c r="M331" s="87">
        <v>627</v>
      </c>
      <c r="N331" s="5">
        <v>106301</v>
      </c>
      <c r="O331">
        <f t="shared" si="102"/>
        <v>112</v>
      </c>
      <c r="P331">
        <f t="shared" si="103"/>
        <v>83.5</v>
      </c>
      <c r="Q331">
        <f t="shared" si="104"/>
        <v>40</v>
      </c>
      <c r="R331">
        <f t="shared" si="105"/>
        <v>36.5</v>
      </c>
      <c r="S331">
        <f t="shared" si="106"/>
        <v>87</v>
      </c>
      <c r="T331">
        <f t="shared" si="107"/>
        <v>82</v>
      </c>
      <c r="U331">
        <f t="shared" si="108"/>
        <v>27</v>
      </c>
      <c r="V331">
        <f t="shared" si="109"/>
        <v>34</v>
      </c>
      <c r="X331" s="5">
        <v>107630</v>
      </c>
      <c r="Y331">
        <f t="shared" si="110"/>
        <v>214.5</v>
      </c>
      <c r="Z331">
        <f t="shared" si="111"/>
        <v>200.5</v>
      </c>
      <c r="AA331">
        <f t="shared" si="112"/>
        <v>49.5</v>
      </c>
      <c r="AB331">
        <f t="shared" si="113"/>
        <v>53.5</v>
      </c>
      <c r="AC331">
        <f t="shared" si="114"/>
        <v>2445</v>
      </c>
      <c r="AD331">
        <f t="shared" si="115"/>
        <v>2040</v>
      </c>
      <c r="AE331">
        <f t="shared" si="116"/>
        <v>527</v>
      </c>
      <c r="AF331">
        <f t="shared" si="117"/>
        <v>782</v>
      </c>
      <c r="AG331" s="5">
        <v>106301</v>
      </c>
      <c r="AH331" s="31">
        <v>112</v>
      </c>
      <c r="AI331" s="31">
        <v>83.5</v>
      </c>
      <c r="AJ331" s="37">
        <v>28.5</v>
      </c>
      <c r="AK331" s="37">
        <v>34.131736526946113</v>
      </c>
      <c r="AL331" s="36">
        <v>40</v>
      </c>
      <c r="AM331" s="36">
        <v>36.5</v>
      </c>
      <c r="AN331" s="37">
        <v>3.5</v>
      </c>
      <c r="AO331" s="37">
        <v>9.5890410958904102</v>
      </c>
      <c r="AP331" s="38">
        <v>1105.5</v>
      </c>
      <c r="AQ331" s="39">
        <v>825.5</v>
      </c>
      <c r="AR331" s="37">
        <v>280</v>
      </c>
      <c r="AS331" s="37">
        <v>33.918837068443366</v>
      </c>
      <c r="AT331" s="36">
        <v>426.5</v>
      </c>
      <c r="AU331" s="36">
        <v>493</v>
      </c>
      <c r="AV331" s="37">
        <v>-66.5</v>
      </c>
      <c r="AW331" s="37">
        <v>-13.488843813387424</v>
      </c>
      <c r="AX331" s="9">
        <v>41056839</v>
      </c>
      <c r="AY331" t="str">
        <f t="shared" si="118"/>
        <v>SIDHU</v>
      </c>
      <c r="AZ331" t="str">
        <f t="shared" si="119"/>
        <v>Old GT Road (NH1)</v>
      </c>
      <c r="BC331" s="5">
        <v>106301</v>
      </c>
      <c r="BD331" s="5" t="s">
        <v>581</v>
      </c>
      <c r="BE331" s="46" t="s">
        <v>827</v>
      </c>
      <c r="BF331" s="13" t="s">
        <v>279</v>
      </c>
      <c r="BG331" s="6" t="s">
        <v>81</v>
      </c>
      <c r="BH331" s="6" t="s">
        <v>140</v>
      </c>
      <c r="BI331" s="12" t="s">
        <v>140</v>
      </c>
      <c r="BJ331" s="51" t="s">
        <v>141</v>
      </c>
    </row>
    <row r="332" spans="1:62" ht="48.5" x14ac:dyDescent="0.35">
      <c r="A332">
        <v>102087</v>
      </c>
      <c r="B332" s="84">
        <f t="shared" si="100"/>
        <v>233</v>
      </c>
      <c r="C332" s="84">
        <f t="shared" si="101"/>
        <v>260</v>
      </c>
      <c r="E332" s="9">
        <v>41057000</v>
      </c>
      <c r="F332" s="85">
        <v>309</v>
      </c>
      <c r="G332" s="87">
        <v>353</v>
      </c>
      <c r="H332" s="20">
        <v>307</v>
      </c>
      <c r="I332" s="20">
        <v>337</v>
      </c>
      <c r="J332" s="20">
        <v>44</v>
      </c>
      <c r="K332" s="20">
        <v>48</v>
      </c>
      <c r="L332" s="85">
        <v>39</v>
      </c>
      <c r="M332" s="87">
        <v>53</v>
      </c>
      <c r="N332" s="5">
        <v>106303</v>
      </c>
      <c r="O332">
        <f t="shared" si="102"/>
        <v>267.5</v>
      </c>
      <c r="P332">
        <f t="shared" si="103"/>
        <v>273</v>
      </c>
      <c r="Q332">
        <f t="shared" si="104"/>
        <v>54.5</v>
      </c>
      <c r="R332">
        <f t="shared" si="105"/>
        <v>71</v>
      </c>
      <c r="S332">
        <f t="shared" si="106"/>
        <v>232</v>
      </c>
      <c r="T332">
        <f t="shared" si="107"/>
        <v>240.5</v>
      </c>
      <c r="U332">
        <f t="shared" si="108"/>
        <v>54</v>
      </c>
      <c r="V332">
        <f t="shared" si="109"/>
        <v>65.5</v>
      </c>
      <c r="X332" s="3">
        <v>112414</v>
      </c>
      <c r="Y332">
        <f t="shared" si="110"/>
        <v>625.5</v>
      </c>
      <c r="Z332">
        <f t="shared" si="111"/>
        <v>598</v>
      </c>
      <c r="AA332">
        <f t="shared" si="112"/>
        <v>76.5</v>
      </c>
      <c r="AB332">
        <f t="shared" si="113"/>
        <v>108</v>
      </c>
      <c r="AC332">
        <f t="shared" si="114"/>
        <v>7427</v>
      </c>
      <c r="AD332">
        <f t="shared" si="115"/>
        <v>6095.5000449999998</v>
      </c>
      <c r="AE332">
        <f t="shared" si="116"/>
        <v>1125</v>
      </c>
      <c r="AF332">
        <f t="shared" si="117"/>
        <v>1283.5</v>
      </c>
      <c r="AG332" s="5">
        <v>106303</v>
      </c>
      <c r="AH332" s="31">
        <v>267.5</v>
      </c>
      <c r="AI332" s="31">
        <v>273</v>
      </c>
      <c r="AJ332" s="37">
        <v>-5.5</v>
      </c>
      <c r="AK332" s="37">
        <v>-2.0146520146520146</v>
      </c>
      <c r="AL332" s="36">
        <v>54.5</v>
      </c>
      <c r="AM332" s="36">
        <v>71</v>
      </c>
      <c r="AN332" s="37">
        <v>-16.5</v>
      </c>
      <c r="AO332" s="37">
        <v>-23.239436619718308</v>
      </c>
      <c r="AP332" s="38">
        <v>3403</v>
      </c>
      <c r="AQ332" s="39">
        <v>2825</v>
      </c>
      <c r="AR332" s="37">
        <v>578</v>
      </c>
      <c r="AS332" s="37">
        <v>20.460176991150441</v>
      </c>
      <c r="AT332" s="36">
        <v>763</v>
      </c>
      <c r="AU332" s="36">
        <v>885.5</v>
      </c>
      <c r="AV332" s="37">
        <v>-122.5</v>
      </c>
      <c r="AW332" s="37">
        <v>-13.83399209486166</v>
      </c>
      <c r="AX332" s="9">
        <v>41057000</v>
      </c>
      <c r="AY332" t="str">
        <f t="shared" si="118"/>
        <v>White Patch- Karol Bagh</v>
      </c>
      <c r="AZ332" t="str">
        <f t="shared" si="119"/>
        <v>Rohtak Road</v>
      </c>
      <c r="BC332" s="5">
        <v>106303</v>
      </c>
      <c r="BD332" s="5" t="s">
        <v>581</v>
      </c>
      <c r="BE332" s="46" t="s">
        <v>828</v>
      </c>
      <c r="BF332" s="13" t="s">
        <v>829</v>
      </c>
      <c r="BG332" s="6" t="s">
        <v>103</v>
      </c>
      <c r="BH332" s="6" t="s">
        <v>119</v>
      </c>
      <c r="BI332" s="12" t="s">
        <v>119</v>
      </c>
      <c r="BJ332" s="51" t="s">
        <v>96</v>
      </c>
    </row>
    <row r="333" spans="1:62" ht="48.5" x14ac:dyDescent="0.35">
      <c r="A333">
        <v>112450</v>
      </c>
      <c r="B333" s="84">
        <f t="shared" si="100"/>
        <v>470</v>
      </c>
      <c r="C333" s="84">
        <f t="shared" si="101"/>
        <v>515</v>
      </c>
      <c r="E333" s="9">
        <v>41056823</v>
      </c>
      <c r="F333" s="85">
        <v>348</v>
      </c>
      <c r="G333" s="87">
        <v>363</v>
      </c>
      <c r="H333" s="20">
        <v>310.5</v>
      </c>
      <c r="I333" s="20">
        <v>353</v>
      </c>
      <c r="J333" s="20">
        <v>93.5</v>
      </c>
      <c r="K333" s="20">
        <v>105</v>
      </c>
      <c r="L333" s="85">
        <v>210</v>
      </c>
      <c r="M333" s="87">
        <v>80</v>
      </c>
      <c r="N333" s="5">
        <v>186840</v>
      </c>
      <c r="O333">
        <f t="shared" si="102"/>
        <v>445</v>
      </c>
      <c r="P333">
        <f t="shared" si="103"/>
        <v>370</v>
      </c>
      <c r="Q333">
        <f t="shared" si="104"/>
        <v>75</v>
      </c>
      <c r="R333">
        <f t="shared" si="105"/>
        <v>70</v>
      </c>
      <c r="S333">
        <f t="shared" si="106"/>
        <v>360</v>
      </c>
      <c r="T333">
        <f t="shared" si="107"/>
        <v>340</v>
      </c>
      <c r="U333">
        <f t="shared" si="108"/>
        <v>60</v>
      </c>
      <c r="V333">
        <f t="shared" si="109"/>
        <v>60</v>
      </c>
      <c r="X333" s="5">
        <v>153271</v>
      </c>
      <c r="Y333">
        <f t="shared" si="110"/>
        <v>439.77999999999901</v>
      </c>
      <c r="Z333">
        <f t="shared" si="111"/>
        <v>415.09300000000002</v>
      </c>
      <c r="AA333">
        <f t="shared" si="112"/>
        <v>72.349000000000004</v>
      </c>
      <c r="AB333">
        <f t="shared" si="113"/>
        <v>77.147999999999996</v>
      </c>
      <c r="AC333">
        <f t="shared" si="114"/>
        <v>5176.6749999999984</v>
      </c>
      <c r="AD333">
        <f t="shared" si="115"/>
        <v>4086.2369999999996</v>
      </c>
      <c r="AE333">
        <f t="shared" si="116"/>
        <v>875.96399999999983</v>
      </c>
      <c r="AF333">
        <f t="shared" si="117"/>
        <v>1017.0409999999999</v>
      </c>
      <c r="AG333" s="5">
        <v>186840</v>
      </c>
      <c r="AH333" s="31">
        <v>445</v>
      </c>
      <c r="AI333" s="31">
        <v>370</v>
      </c>
      <c r="AJ333" s="37">
        <v>75</v>
      </c>
      <c r="AK333" s="37">
        <v>20.27027027027027</v>
      </c>
      <c r="AL333" s="36">
        <v>75</v>
      </c>
      <c r="AM333" s="36">
        <v>70</v>
      </c>
      <c r="AN333" s="37">
        <v>5</v>
      </c>
      <c r="AO333" s="37">
        <v>7.1428571428571423</v>
      </c>
      <c r="AP333" s="38">
        <v>4900</v>
      </c>
      <c r="AQ333" s="39">
        <v>3991</v>
      </c>
      <c r="AR333" s="37">
        <v>909</v>
      </c>
      <c r="AS333" s="37">
        <v>22.776246554748184</v>
      </c>
      <c r="AT333" s="36">
        <v>840</v>
      </c>
      <c r="AU333" s="36">
        <v>957</v>
      </c>
      <c r="AV333" s="37">
        <v>-117</v>
      </c>
      <c r="AW333" s="37">
        <v>-12.225705329153605</v>
      </c>
      <c r="AX333" s="9">
        <v>41056823</v>
      </c>
      <c r="AY333" t="str">
        <f t="shared" si="118"/>
        <v>JIWAN</v>
      </c>
      <c r="AZ333" t="str">
        <f t="shared" si="119"/>
        <v>Lutyens</v>
      </c>
      <c r="BC333" s="5">
        <v>186840</v>
      </c>
      <c r="BD333" s="5" t="s">
        <v>581</v>
      </c>
      <c r="BE333" s="46" t="s">
        <v>830</v>
      </c>
      <c r="BF333" s="13" t="s">
        <v>682</v>
      </c>
      <c r="BG333" s="6" t="s">
        <v>200</v>
      </c>
      <c r="BH333" s="6" t="s">
        <v>683</v>
      </c>
      <c r="BI333" s="12" t="s">
        <v>683</v>
      </c>
      <c r="BJ333" s="51" t="s">
        <v>248</v>
      </c>
    </row>
    <row r="334" spans="1:62" ht="48.5" x14ac:dyDescent="0.35">
      <c r="A334">
        <v>146411</v>
      </c>
      <c r="B334" s="84">
        <f t="shared" si="100"/>
        <v>75</v>
      </c>
      <c r="C334" s="84">
        <f t="shared" si="101"/>
        <v>85</v>
      </c>
      <c r="E334" s="9">
        <v>41056826</v>
      </c>
      <c r="F334" s="85">
        <v>291</v>
      </c>
      <c r="G334" s="87">
        <v>291</v>
      </c>
      <c r="H334" s="20">
        <v>317</v>
      </c>
      <c r="I334" s="20">
        <v>325</v>
      </c>
      <c r="J334" s="20">
        <v>185</v>
      </c>
      <c r="K334" s="20">
        <v>135</v>
      </c>
      <c r="L334" s="85">
        <v>203</v>
      </c>
      <c r="M334" s="87">
        <v>126</v>
      </c>
      <c r="N334" s="5">
        <v>283795</v>
      </c>
      <c r="O334">
        <f t="shared" si="102"/>
        <v>92</v>
      </c>
      <c r="P334">
        <f t="shared" si="103"/>
        <v>72</v>
      </c>
      <c r="Q334">
        <f t="shared" si="104"/>
        <v>52</v>
      </c>
      <c r="R334">
        <f t="shared" si="105"/>
        <v>48</v>
      </c>
      <c r="S334">
        <f t="shared" si="106"/>
        <v>76</v>
      </c>
      <c r="T334">
        <f t="shared" si="107"/>
        <v>60</v>
      </c>
      <c r="U334">
        <f t="shared" si="108"/>
        <v>44</v>
      </c>
      <c r="V334">
        <f t="shared" si="109"/>
        <v>48</v>
      </c>
      <c r="X334" s="5">
        <v>106283</v>
      </c>
      <c r="Y334">
        <f t="shared" si="110"/>
        <v>215</v>
      </c>
      <c r="Z334">
        <f t="shared" si="111"/>
        <v>184.5</v>
      </c>
      <c r="AA334">
        <f t="shared" si="112"/>
        <v>145</v>
      </c>
      <c r="AB334">
        <f t="shared" si="113"/>
        <v>121.5</v>
      </c>
      <c r="AC334">
        <f t="shared" si="114"/>
        <v>2471</v>
      </c>
      <c r="AD334">
        <f t="shared" si="115"/>
        <v>1899</v>
      </c>
      <c r="AE334">
        <f t="shared" si="116"/>
        <v>1483</v>
      </c>
      <c r="AF334">
        <f t="shared" si="117"/>
        <v>1656</v>
      </c>
      <c r="AG334" s="5">
        <v>283795</v>
      </c>
      <c r="AH334" s="31">
        <v>92</v>
      </c>
      <c r="AI334" s="31">
        <v>72</v>
      </c>
      <c r="AJ334" s="37">
        <v>20</v>
      </c>
      <c r="AK334" s="37">
        <v>27.777777777777779</v>
      </c>
      <c r="AL334" s="36">
        <v>52</v>
      </c>
      <c r="AM334" s="36">
        <v>48</v>
      </c>
      <c r="AN334" s="37">
        <v>4</v>
      </c>
      <c r="AO334" s="37">
        <v>8.3333333333333321</v>
      </c>
      <c r="AP334" s="38">
        <v>944</v>
      </c>
      <c r="AQ334" s="39">
        <v>648.5</v>
      </c>
      <c r="AR334" s="37">
        <v>295.5</v>
      </c>
      <c r="AS334" s="37">
        <v>45.566692367000769</v>
      </c>
      <c r="AT334" s="36">
        <v>568</v>
      </c>
      <c r="AU334" s="36">
        <v>663.5</v>
      </c>
      <c r="AV334" s="37">
        <v>-95.5</v>
      </c>
      <c r="AW334" s="37">
        <v>-14.393368500376791</v>
      </c>
      <c r="AX334" s="9">
        <v>41056826</v>
      </c>
      <c r="AY334" t="str">
        <f t="shared" si="118"/>
        <v xml:space="preserve">White Patch_ Govind Puri to Okhla </v>
      </c>
      <c r="AZ334" t="str">
        <f t="shared" si="119"/>
        <v xml:space="preserve">Okhla </v>
      </c>
      <c r="BC334" s="5">
        <v>283795</v>
      </c>
      <c r="BD334" s="5" t="s">
        <v>581</v>
      </c>
      <c r="BE334" s="46" t="s">
        <v>831</v>
      </c>
      <c r="BF334" s="13" t="s">
        <v>832</v>
      </c>
      <c r="BG334" s="6" t="s">
        <v>200</v>
      </c>
      <c r="BH334" s="6" t="s">
        <v>268</v>
      </c>
      <c r="BI334" s="12" t="s">
        <v>268</v>
      </c>
      <c r="BJ334" s="51" t="s">
        <v>91</v>
      </c>
    </row>
    <row r="335" spans="1:62" ht="36.5" x14ac:dyDescent="0.35">
      <c r="A335">
        <v>41056494</v>
      </c>
      <c r="B335" s="84">
        <f t="shared" si="100"/>
        <v>699.5</v>
      </c>
      <c r="C335" s="84">
        <f t="shared" si="101"/>
        <v>733</v>
      </c>
      <c r="E335" s="9">
        <v>41056997</v>
      </c>
      <c r="F335" s="85">
        <v>32.5</v>
      </c>
      <c r="G335" s="87">
        <v>20</v>
      </c>
      <c r="H335" s="20">
        <v>32</v>
      </c>
      <c r="I335" s="20">
        <v>41</v>
      </c>
      <c r="J335" s="20">
        <v>62</v>
      </c>
      <c r="K335" s="20">
        <v>49</v>
      </c>
      <c r="L335" s="85">
        <v>69.5</v>
      </c>
      <c r="M335" s="87">
        <v>40</v>
      </c>
      <c r="N335" s="5">
        <v>305307</v>
      </c>
      <c r="O335">
        <f t="shared" si="102"/>
        <v>294</v>
      </c>
      <c r="P335">
        <f t="shared" si="103"/>
        <v>279</v>
      </c>
      <c r="Q335">
        <f t="shared" si="104"/>
        <v>88</v>
      </c>
      <c r="R335">
        <f t="shared" si="105"/>
        <v>103</v>
      </c>
      <c r="S335">
        <f t="shared" si="106"/>
        <v>263</v>
      </c>
      <c r="T335">
        <f t="shared" si="107"/>
        <v>245.5</v>
      </c>
      <c r="U335">
        <f t="shared" si="108"/>
        <v>59</v>
      </c>
      <c r="V335">
        <f t="shared" si="109"/>
        <v>92.5</v>
      </c>
      <c r="X335" s="5">
        <v>177589</v>
      </c>
      <c r="Y335">
        <f t="shared" si="110"/>
        <v>315</v>
      </c>
      <c r="Z335">
        <f t="shared" si="111"/>
        <v>295</v>
      </c>
      <c r="AA335">
        <f t="shared" si="112"/>
        <v>85</v>
      </c>
      <c r="AB335">
        <f t="shared" si="113"/>
        <v>65</v>
      </c>
      <c r="AC335">
        <f t="shared" si="114"/>
        <v>3720</v>
      </c>
      <c r="AD335">
        <f t="shared" si="115"/>
        <v>2855</v>
      </c>
      <c r="AE335">
        <f t="shared" si="116"/>
        <v>840</v>
      </c>
      <c r="AF335">
        <f t="shared" si="117"/>
        <v>740</v>
      </c>
      <c r="AG335" s="5">
        <v>305307</v>
      </c>
      <c r="AH335" s="31">
        <v>294</v>
      </c>
      <c r="AI335" s="31">
        <v>279</v>
      </c>
      <c r="AJ335" s="37">
        <v>15</v>
      </c>
      <c r="AK335" s="37">
        <v>5.376344086021505</v>
      </c>
      <c r="AL335" s="36">
        <v>88</v>
      </c>
      <c r="AM335" s="36">
        <v>103</v>
      </c>
      <c r="AN335" s="37">
        <v>-15</v>
      </c>
      <c r="AO335" s="37">
        <v>-14.563106796116504</v>
      </c>
      <c r="AP335" s="38">
        <v>3552.5</v>
      </c>
      <c r="AQ335" s="39">
        <v>2803.5</v>
      </c>
      <c r="AR335" s="37">
        <v>749</v>
      </c>
      <c r="AS335" s="37">
        <v>26.716604244694132</v>
      </c>
      <c r="AT335" s="36">
        <v>1155.5</v>
      </c>
      <c r="AU335" s="36">
        <v>1318</v>
      </c>
      <c r="AV335" s="37">
        <v>-162.5</v>
      </c>
      <c r="AW335" s="37">
        <v>-12.329286798179059</v>
      </c>
      <c r="AX335" s="9">
        <v>41056997</v>
      </c>
      <c r="AY335" t="str">
        <f t="shared" si="118"/>
        <v>GARG-VIJAY-NEW HARYANA</v>
      </c>
      <c r="AZ335" t="str">
        <f t="shared" si="119"/>
        <v>Rohtak Road</v>
      </c>
      <c r="BC335" s="5">
        <v>305307</v>
      </c>
      <c r="BD335" s="5" t="s">
        <v>581</v>
      </c>
      <c r="BE335" s="46" t="s">
        <v>833</v>
      </c>
      <c r="BF335" s="13" t="s">
        <v>834</v>
      </c>
      <c r="BG335" s="6" t="s">
        <v>103</v>
      </c>
      <c r="BH335" s="6" t="s">
        <v>630</v>
      </c>
      <c r="BI335" s="12" t="s">
        <v>630</v>
      </c>
      <c r="BJ335" s="51" t="s">
        <v>304</v>
      </c>
    </row>
    <row r="336" spans="1:62" ht="36.5" x14ac:dyDescent="0.35">
      <c r="A336">
        <v>106347</v>
      </c>
      <c r="B336" s="84">
        <f t="shared" si="100"/>
        <v>283</v>
      </c>
      <c r="C336" s="84">
        <f t="shared" si="101"/>
        <v>289.5</v>
      </c>
      <c r="E336" s="9">
        <v>41056836</v>
      </c>
      <c r="F336" s="85">
        <v>324</v>
      </c>
      <c r="G336" s="87">
        <v>342</v>
      </c>
      <c r="H336" s="20">
        <v>285</v>
      </c>
      <c r="I336" s="20">
        <v>342</v>
      </c>
      <c r="J336" s="20">
        <v>76</v>
      </c>
      <c r="K336" s="20">
        <v>87</v>
      </c>
      <c r="L336" s="85">
        <v>72</v>
      </c>
      <c r="M336" s="87">
        <v>76</v>
      </c>
      <c r="N336" s="5">
        <v>102085</v>
      </c>
      <c r="O336">
        <f t="shared" si="102"/>
        <v>259</v>
      </c>
      <c r="P336">
        <f t="shared" si="103"/>
        <v>234</v>
      </c>
      <c r="Q336">
        <f t="shared" si="104"/>
        <v>39</v>
      </c>
      <c r="R336">
        <f t="shared" si="105"/>
        <v>54</v>
      </c>
      <c r="S336">
        <f t="shared" si="106"/>
        <v>258</v>
      </c>
      <c r="T336">
        <f t="shared" si="107"/>
        <v>216</v>
      </c>
      <c r="U336">
        <f t="shared" si="108"/>
        <v>40</v>
      </c>
      <c r="V336">
        <f t="shared" si="109"/>
        <v>54</v>
      </c>
      <c r="X336" s="3">
        <v>112390</v>
      </c>
      <c r="Y336">
        <f t="shared" si="110"/>
        <v>670</v>
      </c>
      <c r="Z336">
        <f t="shared" si="111"/>
        <v>645</v>
      </c>
      <c r="AA336">
        <f t="shared" si="112"/>
        <v>90</v>
      </c>
      <c r="AB336">
        <f t="shared" si="113"/>
        <v>115</v>
      </c>
      <c r="AC336">
        <f t="shared" si="114"/>
        <v>8045</v>
      </c>
      <c r="AD336">
        <f t="shared" si="115"/>
        <v>6434.5000140000002</v>
      </c>
      <c r="AE336">
        <f t="shared" si="116"/>
        <v>1115</v>
      </c>
      <c r="AF336">
        <f t="shared" si="117"/>
        <v>1285.5</v>
      </c>
      <c r="AG336" s="5">
        <v>102085</v>
      </c>
      <c r="AH336" s="31">
        <v>259</v>
      </c>
      <c r="AI336" s="31">
        <v>234</v>
      </c>
      <c r="AJ336" s="37">
        <v>25</v>
      </c>
      <c r="AK336" s="37">
        <v>10.683760683760683</v>
      </c>
      <c r="AL336" s="36">
        <v>39</v>
      </c>
      <c r="AM336" s="36">
        <v>54</v>
      </c>
      <c r="AN336" s="37">
        <v>-15</v>
      </c>
      <c r="AO336" s="37">
        <v>-27.777777777777779</v>
      </c>
      <c r="AP336" s="38">
        <v>3077.5</v>
      </c>
      <c r="AQ336" s="39">
        <v>2420.5</v>
      </c>
      <c r="AR336" s="37">
        <v>657</v>
      </c>
      <c r="AS336" s="37">
        <v>27.143152241272468</v>
      </c>
      <c r="AT336" s="36">
        <v>554.5</v>
      </c>
      <c r="AU336" s="36">
        <v>757.5</v>
      </c>
      <c r="AV336" s="37">
        <v>-203</v>
      </c>
      <c r="AW336" s="37">
        <v>-26.798679867986795</v>
      </c>
      <c r="AX336" s="9">
        <v>41056836</v>
      </c>
      <c r="AY336" t="str">
        <f t="shared" si="118"/>
        <v>White Patch_Bhikaji Kama to South Ex RING Road</v>
      </c>
      <c r="AZ336" t="str">
        <f t="shared" si="119"/>
        <v>Hauj Khas-Saket-Vasant Kunj</v>
      </c>
      <c r="BC336" s="5">
        <v>102085</v>
      </c>
      <c r="BD336" s="5" t="s">
        <v>581</v>
      </c>
      <c r="BE336" s="46" t="s">
        <v>835</v>
      </c>
      <c r="BF336" s="13" t="s">
        <v>836</v>
      </c>
      <c r="BG336" s="6" t="s">
        <v>89</v>
      </c>
      <c r="BH336" s="6" t="s">
        <v>307</v>
      </c>
      <c r="BI336" s="12" t="s">
        <v>307</v>
      </c>
      <c r="BJ336" s="51" t="s">
        <v>205</v>
      </c>
    </row>
    <row r="337" spans="1:62" ht="48.5" x14ac:dyDescent="0.35">
      <c r="A337">
        <v>128472</v>
      </c>
      <c r="B337" s="84">
        <f t="shared" si="100"/>
        <v>295</v>
      </c>
      <c r="C337" s="84">
        <f t="shared" si="101"/>
        <v>375</v>
      </c>
      <c r="E337" s="9">
        <v>41031180</v>
      </c>
      <c r="F337" s="85">
        <v>205</v>
      </c>
      <c r="G337" s="87">
        <v>200</v>
      </c>
      <c r="H337" s="20">
        <v>205.5</v>
      </c>
      <c r="I337" s="20">
        <v>225.5</v>
      </c>
      <c r="J337" s="20">
        <v>233.5</v>
      </c>
      <c r="K337" s="20">
        <v>234.5</v>
      </c>
      <c r="L337" s="85">
        <v>109</v>
      </c>
      <c r="M337" s="87">
        <v>136</v>
      </c>
      <c r="N337" s="5">
        <v>106310</v>
      </c>
      <c r="O337">
        <f t="shared" si="102"/>
        <v>209.5</v>
      </c>
      <c r="P337">
        <f t="shared" si="103"/>
        <v>191</v>
      </c>
      <c r="Q337">
        <f t="shared" si="104"/>
        <v>36.5</v>
      </c>
      <c r="R337">
        <f t="shared" si="105"/>
        <v>49</v>
      </c>
      <c r="S337">
        <f t="shared" si="106"/>
        <v>177</v>
      </c>
      <c r="T337">
        <f t="shared" si="107"/>
        <v>169.5</v>
      </c>
      <c r="U337">
        <f t="shared" si="108"/>
        <v>33</v>
      </c>
      <c r="V337">
        <f t="shared" si="109"/>
        <v>40.5</v>
      </c>
      <c r="X337" s="9">
        <v>41056826</v>
      </c>
      <c r="Y337">
        <f t="shared" si="110"/>
        <v>291</v>
      </c>
      <c r="Z337">
        <f t="shared" si="111"/>
        <v>325</v>
      </c>
      <c r="AA337">
        <f t="shared" si="112"/>
        <v>126</v>
      </c>
      <c r="AB337">
        <f t="shared" si="113"/>
        <v>135</v>
      </c>
      <c r="AC337">
        <f t="shared" si="114"/>
        <v>4120</v>
      </c>
      <c r="AD337">
        <f t="shared" si="115"/>
        <v>3469</v>
      </c>
      <c r="AE337">
        <f t="shared" si="116"/>
        <v>1813</v>
      </c>
      <c r="AF337">
        <f t="shared" si="117"/>
        <v>1745</v>
      </c>
      <c r="AG337" s="5">
        <v>106310</v>
      </c>
      <c r="AH337" s="31">
        <v>209.5</v>
      </c>
      <c r="AI337" s="31">
        <v>191</v>
      </c>
      <c r="AJ337" s="37">
        <v>18.5</v>
      </c>
      <c r="AK337" s="37">
        <v>9.6858638743455501</v>
      </c>
      <c r="AL337" s="36">
        <v>36.5</v>
      </c>
      <c r="AM337" s="36">
        <v>49</v>
      </c>
      <c r="AN337" s="37">
        <v>-12.5</v>
      </c>
      <c r="AO337" s="37">
        <v>-25.510204081632654</v>
      </c>
      <c r="AP337" s="38">
        <v>2384.5</v>
      </c>
      <c r="AQ337" s="39">
        <v>1894</v>
      </c>
      <c r="AR337" s="37">
        <v>490.5</v>
      </c>
      <c r="AS337" s="37">
        <v>25.897571277719113</v>
      </c>
      <c r="AT337" s="36">
        <v>519.5</v>
      </c>
      <c r="AU337" s="36">
        <v>623.5</v>
      </c>
      <c r="AV337" s="37">
        <v>-104</v>
      </c>
      <c r="AW337" s="37">
        <v>-16.680032076984762</v>
      </c>
      <c r="AX337" s="9">
        <v>41031180</v>
      </c>
      <c r="AY337" t="str">
        <f t="shared" si="118"/>
        <v>White Patch_Moti Bagh</v>
      </c>
      <c r="AZ337" t="str">
        <f t="shared" si="119"/>
        <v>Lutyens</v>
      </c>
      <c r="BC337" s="5">
        <v>106310</v>
      </c>
      <c r="BD337" s="5" t="s">
        <v>581</v>
      </c>
      <c r="BE337" s="46" t="s">
        <v>837</v>
      </c>
      <c r="BF337" s="13" t="s">
        <v>838</v>
      </c>
      <c r="BG337" s="6" t="s">
        <v>111</v>
      </c>
      <c r="BH337" s="6" t="s">
        <v>839</v>
      </c>
      <c r="BI337" s="12" t="s">
        <v>839</v>
      </c>
      <c r="BJ337" s="51" t="s">
        <v>105</v>
      </c>
    </row>
    <row r="338" spans="1:62" ht="36.5" x14ac:dyDescent="0.35">
      <c r="A338">
        <v>41019272</v>
      </c>
      <c r="B338" s="84">
        <f t="shared" si="100"/>
        <v>65</v>
      </c>
      <c r="C338" s="84">
        <f t="shared" si="101"/>
        <v>78.5</v>
      </c>
      <c r="E338" s="9">
        <v>41057003</v>
      </c>
      <c r="F338" s="85">
        <v>375</v>
      </c>
      <c r="G338" s="87">
        <v>430</v>
      </c>
      <c r="H338" s="20">
        <v>335</v>
      </c>
      <c r="I338" s="20">
        <v>385</v>
      </c>
      <c r="J338" s="20">
        <v>125</v>
      </c>
      <c r="K338" s="20">
        <v>140</v>
      </c>
      <c r="L338" s="85">
        <v>162</v>
      </c>
      <c r="M338" s="87">
        <v>171</v>
      </c>
      <c r="N338" s="5">
        <v>179954</v>
      </c>
      <c r="O338">
        <f t="shared" si="102"/>
        <v>270</v>
      </c>
      <c r="P338">
        <f t="shared" si="103"/>
        <v>275</v>
      </c>
      <c r="Q338">
        <f t="shared" si="104"/>
        <v>210</v>
      </c>
      <c r="R338">
        <f t="shared" si="105"/>
        <v>145</v>
      </c>
      <c r="S338">
        <f t="shared" si="106"/>
        <v>255</v>
      </c>
      <c r="T338">
        <f t="shared" si="107"/>
        <v>230</v>
      </c>
      <c r="U338">
        <f t="shared" si="108"/>
        <v>205</v>
      </c>
      <c r="V338">
        <f t="shared" si="109"/>
        <v>130</v>
      </c>
      <c r="X338" s="5">
        <v>106310</v>
      </c>
      <c r="Y338">
        <f t="shared" si="110"/>
        <v>209.5</v>
      </c>
      <c r="Z338">
        <f t="shared" si="111"/>
        <v>191</v>
      </c>
      <c r="AA338">
        <f t="shared" si="112"/>
        <v>36.5</v>
      </c>
      <c r="AB338">
        <f t="shared" si="113"/>
        <v>49</v>
      </c>
      <c r="AC338">
        <f t="shared" si="114"/>
        <v>2384.5</v>
      </c>
      <c r="AD338">
        <f t="shared" si="115"/>
        <v>1894</v>
      </c>
      <c r="AE338">
        <f t="shared" si="116"/>
        <v>519.5</v>
      </c>
      <c r="AF338">
        <f t="shared" si="117"/>
        <v>623.5</v>
      </c>
      <c r="AG338" s="5">
        <v>179954</v>
      </c>
      <c r="AH338" s="31">
        <v>270</v>
      </c>
      <c r="AI338" s="31">
        <v>275</v>
      </c>
      <c r="AJ338" s="37">
        <v>-5</v>
      </c>
      <c r="AK338" s="37">
        <v>-1.8181818181818181</v>
      </c>
      <c r="AL338" s="36">
        <v>210</v>
      </c>
      <c r="AM338" s="36">
        <v>145</v>
      </c>
      <c r="AN338" s="37">
        <v>65</v>
      </c>
      <c r="AO338" s="37">
        <v>44.827586206896555</v>
      </c>
      <c r="AP338" s="38">
        <v>3245</v>
      </c>
      <c r="AQ338" s="39">
        <v>2621.5</v>
      </c>
      <c r="AR338" s="37">
        <v>623.5</v>
      </c>
      <c r="AS338" s="37">
        <v>23.784093076482929</v>
      </c>
      <c r="AT338" s="36">
        <v>1915</v>
      </c>
      <c r="AU338" s="36">
        <v>2175.5</v>
      </c>
      <c r="AV338" s="37">
        <v>-260.5</v>
      </c>
      <c r="AW338" s="37">
        <v>-11.974258791082509</v>
      </c>
      <c r="AX338" s="9">
        <v>41057003</v>
      </c>
      <c r="AY338" t="str">
        <f t="shared" si="118"/>
        <v>KRISHNA-RAIZADA</v>
      </c>
      <c r="AZ338" t="str">
        <f t="shared" si="119"/>
        <v>Old Delhi</v>
      </c>
      <c r="BC338" s="5">
        <v>179954</v>
      </c>
      <c r="BD338" s="5" t="s">
        <v>581</v>
      </c>
      <c r="BE338" s="46" t="s">
        <v>840</v>
      </c>
      <c r="BF338" s="13" t="s">
        <v>841</v>
      </c>
      <c r="BG338" s="6" t="s">
        <v>81</v>
      </c>
      <c r="BH338" s="6" t="s">
        <v>140</v>
      </c>
      <c r="BI338" s="12" t="s">
        <v>140</v>
      </c>
      <c r="BJ338" s="51" t="s">
        <v>141</v>
      </c>
    </row>
    <row r="339" spans="1:62" ht="60.5" x14ac:dyDescent="0.35">
      <c r="A339">
        <v>106348</v>
      </c>
      <c r="B339" s="84">
        <f t="shared" si="100"/>
        <v>614.5</v>
      </c>
      <c r="C339" s="84">
        <f t="shared" si="101"/>
        <v>664.5</v>
      </c>
      <c r="E339" s="9">
        <v>41056396</v>
      </c>
      <c r="F339" s="85">
        <v>276</v>
      </c>
      <c r="G339" s="87">
        <v>285.5</v>
      </c>
      <c r="H339" s="20">
        <v>238.5</v>
      </c>
      <c r="I339" s="20">
        <v>279</v>
      </c>
      <c r="J339" s="20">
        <v>29.5</v>
      </c>
      <c r="K339" s="20">
        <v>29</v>
      </c>
      <c r="L339" s="85">
        <v>42</v>
      </c>
      <c r="M339" s="87">
        <v>28.5</v>
      </c>
      <c r="N339" s="5">
        <v>106314</v>
      </c>
      <c r="O339">
        <f t="shared" si="102"/>
        <v>95</v>
      </c>
      <c r="P339">
        <f t="shared" si="103"/>
        <v>82</v>
      </c>
      <c r="Q339">
        <f t="shared" si="104"/>
        <v>0</v>
      </c>
      <c r="R339">
        <f t="shared" si="105"/>
        <v>0</v>
      </c>
      <c r="S339">
        <f t="shared" si="106"/>
        <v>89</v>
      </c>
      <c r="T339">
        <f t="shared" si="107"/>
        <v>81</v>
      </c>
      <c r="U339">
        <f t="shared" si="108"/>
        <v>0</v>
      </c>
      <c r="V339">
        <f t="shared" si="109"/>
        <v>0</v>
      </c>
      <c r="X339" s="9">
        <v>41056817</v>
      </c>
      <c r="Y339">
        <f t="shared" si="110"/>
        <v>309</v>
      </c>
      <c r="Z339">
        <f t="shared" si="111"/>
        <v>283</v>
      </c>
      <c r="AA339">
        <f t="shared" si="112"/>
        <v>60</v>
      </c>
      <c r="AB339">
        <f t="shared" si="113"/>
        <v>74</v>
      </c>
      <c r="AC339">
        <f t="shared" si="114"/>
        <v>3593.5</v>
      </c>
      <c r="AD339">
        <f t="shared" si="115"/>
        <v>3043</v>
      </c>
      <c r="AE339">
        <f t="shared" si="116"/>
        <v>832.5</v>
      </c>
      <c r="AF339">
        <f t="shared" si="117"/>
        <v>1008</v>
      </c>
      <c r="AG339" s="5">
        <v>106314</v>
      </c>
      <c r="AH339" s="31">
        <v>95</v>
      </c>
      <c r="AI339" s="31">
        <v>82</v>
      </c>
      <c r="AJ339" s="37">
        <v>13</v>
      </c>
      <c r="AK339" s="37">
        <v>15.853658536585366</v>
      </c>
      <c r="AL339" s="36">
        <v>0</v>
      </c>
      <c r="AM339" s="36">
        <v>0</v>
      </c>
      <c r="AN339" s="37">
        <v>0</v>
      </c>
      <c r="AO339" s="37" t="e">
        <v>#DIV/0!</v>
      </c>
      <c r="AP339" s="38">
        <v>1144</v>
      </c>
      <c r="AQ339" s="39">
        <v>929</v>
      </c>
      <c r="AR339" s="37">
        <v>215</v>
      </c>
      <c r="AS339" s="37">
        <v>23.143164693218516</v>
      </c>
      <c r="AT339" s="36">
        <v>0</v>
      </c>
      <c r="AU339" s="36">
        <v>0</v>
      </c>
      <c r="AV339" s="37">
        <v>0</v>
      </c>
      <c r="AW339" s="37" t="e">
        <v>#DIV/0!</v>
      </c>
      <c r="AX339" s="9">
        <v>41056396</v>
      </c>
      <c r="AY339" t="str">
        <f t="shared" si="118"/>
        <v>ALLIED_MASIH</v>
      </c>
      <c r="AZ339" t="str">
        <f t="shared" si="119"/>
        <v>Mayur Vihar -Anand Vihar -Preet Vihar</v>
      </c>
      <c r="BC339" s="5">
        <v>106314</v>
      </c>
      <c r="BD339" s="5" t="s">
        <v>581</v>
      </c>
      <c r="BE339" s="46" t="s">
        <v>842</v>
      </c>
      <c r="BF339" s="13" t="s">
        <v>843</v>
      </c>
      <c r="BG339" s="6" t="s">
        <v>103</v>
      </c>
      <c r="BH339" s="6" t="s">
        <v>208</v>
      </c>
      <c r="BI339" s="12" t="s">
        <v>208</v>
      </c>
      <c r="BJ339" s="51" t="s">
        <v>105</v>
      </c>
    </row>
    <row r="340" spans="1:62" ht="36.5" x14ac:dyDescent="0.35">
      <c r="A340">
        <v>186845</v>
      </c>
      <c r="B340" s="84">
        <f t="shared" si="100"/>
        <v>84</v>
      </c>
      <c r="C340" s="84">
        <f t="shared" si="101"/>
        <v>69.5</v>
      </c>
      <c r="E340" s="9">
        <v>41056985</v>
      </c>
      <c r="F340" s="85">
        <v>105</v>
      </c>
      <c r="G340" s="87">
        <v>111</v>
      </c>
      <c r="H340" s="20">
        <v>96</v>
      </c>
      <c r="I340" s="20">
        <v>99</v>
      </c>
      <c r="J340" s="20">
        <v>112</v>
      </c>
      <c r="K340" s="20">
        <v>144</v>
      </c>
      <c r="L340" s="85">
        <v>153</v>
      </c>
      <c r="M340" s="87">
        <v>168</v>
      </c>
      <c r="N340" s="5">
        <v>186830</v>
      </c>
      <c r="O340">
        <f t="shared" si="102"/>
        <v>99</v>
      </c>
      <c r="P340">
        <f t="shared" si="103"/>
        <v>99</v>
      </c>
      <c r="Q340">
        <f t="shared" si="104"/>
        <v>45</v>
      </c>
      <c r="R340">
        <f t="shared" si="105"/>
        <v>45</v>
      </c>
      <c r="S340">
        <f t="shared" si="106"/>
        <v>82</v>
      </c>
      <c r="T340">
        <f t="shared" si="107"/>
        <v>91.5</v>
      </c>
      <c r="U340">
        <f t="shared" si="108"/>
        <v>40</v>
      </c>
      <c r="V340">
        <f t="shared" si="109"/>
        <v>36.5</v>
      </c>
      <c r="X340" s="9">
        <v>41037146</v>
      </c>
      <c r="Y340">
        <f t="shared" si="110"/>
        <v>387</v>
      </c>
      <c r="Z340">
        <f t="shared" si="111"/>
        <v>426</v>
      </c>
      <c r="AA340">
        <f t="shared" si="112"/>
        <v>81</v>
      </c>
      <c r="AB340">
        <f t="shared" si="113"/>
        <v>92</v>
      </c>
      <c r="AC340">
        <f t="shared" si="114"/>
        <v>4861.5</v>
      </c>
      <c r="AD340">
        <f t="shared" si="115"/>
        <v>3977</v>
      </c>
      <c r="AE340">
        <f t="shared" si="116"/>
        <v>885.5</v>
      </c>
      <c r="AF340">
        <f t="shared" si="117"/>
        <v>1074.5</v>
      </c>
      <c r="AG340" s="5">
        <v>186830</v>
      </c>
      <c r="AH340" s="31">
        <v>99</v>
      </c>
      <c r="AI340" s="31">
        <v>99</v>
      </c>
      <c r="AJ340" s="37">
        <v>0</v>
      </c>
      <c r="AK340" s="37">
        <v>0</v>
      </c>
      <c r="AL340" s="36">
        <v>45</v>
      </c>
      <c r="AM340" s="36">
        <v>45</v>
      </c>
      <c r="AN340" s="37">
        <v>0</v>
      </c>
      <c r="AO340" s="37">
        <v>0</v>
      </c>
      <c r="AP340" s="38">
        <v>1189</v>
      </c>
      <c r="AQ340" s="39">
        <v>910.5</v>
      </c>
      <c r="AR340" s="37">
        <v>278.5</v>
      </c>
      <c r="AS340" s="37">
        <v>30.587589236683144</v>
      </c>
      <c r="AT340" s="36">
        <v>485</v>
      </c>
      <c r="AU340" s="36">
        <v>523</v>
      </c>
      <c r="AV340" s="37">
        <v>-38</v>
      </c>
      <c r="AW340" s="37">
        <v>-7.2657743785850863</v>
      </c>
      <c r="AX340" s="9">
        <v>41056985</v>
      </c>
      <c r="AY340" t="str">
        <f t="shared" si="118"/>
        <v>JAIPURGOLDEN_MANGAL</v>
      </c>
      <c r="AZ340" t="str">
        <f t="shared" si="119"/>
        <v>Nazafgarh-Kapashera</v>
      </c>
      <c r="BC340" s="5">
        <v>186830</v>
      </c>
      <c r="BD340" s="5" t="s">
        <v>581</v>
      </c>
      <c r="BE340" s="46" t="s">
        <v>844</v>
      </c>
      <c r="BF340" s="13" t="s">
        <v>845</v>
      </c>
      <c r="BG340" s="6" t="s">
        <v>103</v>
      </c>
      <c r="BH340" s="6" t="s">
        <v>181</v>
      </c>
      <c r="BI340" s="12" t="s">
        <v>181</v>
      </c>
      <c r="BJ340" s="51" t="s">
        <v>105</v>
      </c>
    </row>
    <row r="341" spans="1:62" ht="24.5" x14ac:dyDescent="0.35">
      <c r="A341">
        <v>112451</v>
      </c>
      <c r="B341" s="84">
        <f t="shared" si="100"/>
        <v>834</v>
      </c>
      <c r="C341" s="84">
        <f t="shared" si="101"/>
        <v>853</v>
      </c>
      <c r="E341" s="9">
        <v>41027027</v>
      </c>
      <c r="F341" s="85">
        <v>228.5</v>
      </c>
      <c r="G341" s="87">
        <v>162</v>
      </c>
      <c r="H341" s="20">
        <v>218</v>
      </c>
      <c r="I341" s="20">
        <v>227.5</v>
      </c>
      <c r="J341" s="20">
        <v>25</v>
      </c>
      <c r="K341" s="20">
        <v>33.5</v>
      </c>
      <c r="L341" s="85">
        <v>31.5</v>
      </c>
      <c r="M341" s="87">
        <v>18</v>
      </c>
      <c r="N341" s="5">
        <v>211064</v>
      </c>
      <c r="O341">
        <f t="shared" si="102"/>
        <v>400</v>
      </c>
      <c r="P341">
        <f t="shared" si="103"/>
        <v>373.5</v>
      </c>
      <c r="Q341">
        <f t="shared" si="104"/>
        <v>300</v>
      </c>
      <c r="R341">
        <f t="shared" si="105"/>
        <v>256.5</v>
      </c>
      <c r="S341">
        <f t="shared" si="106"/>
        <v>315</v>
      </c>
      <c r="T341">
        <f t="shared" si="107"/>
        <v>324</v>
      </c>
      <c r="U341">
        <f t="shared" si="108"/>
        <v>285</v>
      </c>
      <c r="V341">
        <f t="shared" si="109"/>
        <v>252</v>
      </c>
      <c r="X341" s="3">
        <v>157172</v>
      </c>
      <c r="Y341">
        <f t="shared" si="110"/>
        <v>115</v>
      </c>
      <c r="Z341">
        <f t="shared" si="111"/>
        <v>108.5</v>
      </c>
      <c r="AA341">
        <f t="shared" si="112"/>
        <v>143</v>
      </c>
      <c r="AB341">
        <f t="shared" si="113"/>
        <v>115.5</v>
      </c>
      <c r="AC341">
        <f t="shared" si="114"/>
        <v>1498.5</v>
      </c>
      <c r="AD341">
        <f t="shared" si="115"/>
        <v>1202.5</v>
      </c>
      <c r="AE341">
        <f t="shared" si="116"/>
        <v>1689.5</v>
      </c>
      <c r="AF341">
        <f t="shared" si="117"/>
        <v>1325</v>
      </c>
      <c r="AG341" s="5">
        <v>211064</v>
      </c>
      <c r="AH341" s="31">
        <v>400</v>
      </c>
      <c r="AI341" s="31">
        <v>373.5</v>
      </c>
      <c r="AJ341" s="37">
        <v>26.5</v>
      </c>
      <c r="AK341" s="37">
        <v>7.0950468540829981</v>
      </c>
      <c r="AL341" s="36">
        <v>300</v>
      </c>
      <c r="AM341" s="36">
        <v>256.5</v>
      </c>
      <c r="AN341" s="37">
        <v>43.5</v>
      </c>
      <c r="AO341" s="37">
        <v>16.959064327485379</v>
      </c>
      <c r="AP341" s="38">
        <v>4230.5</v>
      </c>
      <c r="AQ341" s="39">
        <v>3753</v>
      </c>
      <c r="AR341" s="37">
        <v>477.5</v>
      </c>
      <c r="AS341" s="37">
        <v>12.723154809485745</v>
      </c>
      <c r="AT341" s="36">
        <v>3045.5</v>
      </c>
      <c r="AU341" s="36">
        <v>3289.5</v>
      </c>
      <c r="AV341" s="37">
        <v>-244</v>
      </c>
      <c r="AW341" s="37">
        <v>-7.4175406596747218</v>
      </c>
      <c r="AX341" s="9">
        <v>41027027</v>
      </c>
      <c r="AY341" t="str">
        <f t="shared" si="118"/>
        <v>ALLIED_MASIH</v>
      </c>
      <c r="AZ341" t="str">
        <f t="shared" si="119"/>
        <v>Mayur Vihar -Anand Vihar -Preet Vihar</v>
      </c>
      <c r="BC341" s="5">
        <v>211064</v>
      </c>
      <c r="BD341" s="5" t="s">
        <v>581</v>
      </c>
      <c r="BE341" s="46" t="s">
        <v>846</v>
      </c>
      <c r="BF341" s="13" t="s">
        <v>847</v>
      </c>
      <c r="BG341" s="6" t="s">
        <v>89</v>
      </c>
      <c r="BH341" s="6" t="s">
        <v>342</v>
      </c>
      <c r="BI341" s="12" t="s">
        <v>204</v>
      </c>
      <c r="BJ341" s="51" t="s">
        <v>205</v>
      </c>
    </row>
    <row r="342" spans="1:62" ht="48.5" x14ac:dyDescent="0.35">
      <c r="A342">
        <v>106353</v>
      </c>
      <c r="B342" s="84">
        <f t="shared" si="100"/>
        <v>450</v>
      </c>
      <c r="C342" s="84">
        <f t="shared" si="101"/>
        <v>526.5</v>
      </c>
      <c r="E342" s="9">
        <v>41056522</v>
      </c>
      <c r="F342" s="85">
        <v>182</v>
      </c>
      <c r="G342" s="87">
        <v>207.5</v>
      </c>
      <c r="H342" s="20">
        <v>203.5</v>
      </c>
      <c r="I342" s="20">
        <v>219.5</v>
      </c>
      <c r="J342" s="20">
        <v>44.5</v>
      </c>
      <c r="K342" s="20">
        <v>46.5</v>
      </c>
      <c r="L342" s="85">
        <v>37</v>
      </c>
      <c r="M342" s="87">
        <v>32.5</v>
      </c>
      <c r="N342" s="5">
        <v>106320</v>
      </c>
      <c r="O342">
        <f t="shared" si="102"/>
        <v>207</v>
      </c>
      <c r="P342">
        <f t="shared" si="103"/>
        <v>177.5</v>
      </c>
      <c r="Q342">
        <f t="shared" si="104"/>
        <v>109</v>
      </c>
      <c r="R342">
        <f t="shared" si="105"/>
        <v>56.5</v>
      </c>
      <c r="S342">
        <f t="shared" si="106"/>
        <v>196</v>
      </c>
      <c r="T342">
        <f t="shared" si="107"/>
        <v>144</v>
      </c>
      <c r="U342">
        <f t="shared" si="108"/>
        <v>92</v>
      </c>
      <c r="V342">
        <f t="shared" si="109"/>
        <v>48</v>
      </c>
      <c r="X342" s="5">
        <v>196392</v>
      </c>
      <c r="Y342">
        <f t="shared" si="110"/>
        <v>138.5</v>
      </c>
      <c r="Z342">
        <f t="shared" si="111"/>
        <v>157</v>
      </c>
      <c r="AA342">
        <f t="shared" si="112"/>
        <v>27.5</v>
      </c>
      <c r="AB342">
        <f t="shared" si="113"/>
        <v>45</v>
      </c>
      <c r="AC342">
        <f t="shared" si="114"/>
        <v>1809</v>
      </c>
      <c r="AD342">
        <f t="shared" si="115"/>
        <v>1565.5</v>
      </c>
      <c r="AE342">
        <f t="shared" si="116"/>
        <v>397</v>
      </c>
      <c r="AF342">
        <f t="shared" si="117"/>
        <v>484</v>
      </c>
      <c r="AG342" s="5">
        <v>106320</v>
      </c>
      <c r="AH342" s="31">
        <v>207</v>
      </c>
      <c r="AI342" s="31">
        <v>177.5</v>
      </c>
      <c r="AJ342" s="37">
        <v>29.5</v>
      </c>
      <c r="AK342" s="37">
        <v>16.619718309859156</v>
      </c>
      <c r="AL342" s="36">
        <v>109</v>
      </c>
      <c r="AM342" s="36">
        <v>56.5</v>
      </c>
      <c r="AN342" s="37">
        <v>52.5</v>
      </c>
      <c r="AO342" s="37">
        <v>92.920353982300881</v>
      </c>
      <c r="AP342" s="38">
        <v>2374</v>
      </c>
      <c r="AQ342" s="39">
        <v>1543.5</v>
      </c>
      <c r="AR342" s="37">
        <v>830.5</v>
      </c>
      <c r="AS342" s="37">
        <v>53.806284418529316</v>
      </c>
      <c r="AT342" s="36">
        <v>938</v>
      </c>
      <c r="AU342" s="36">
        <v>601</v>
      </c>
      <c r="AV342" s="37">
        <v>337</v>
      </c>
      <c r="AW342" s="37">
        <v>56.07321131447587</v>
      </c>
      <c r="AX342" s="9">
        <v>41056522</v>
      </c>
      <c r="AY342" t="str">
        <f t="shared" si="118"/>
        <v>KRISHNA-RAIZADA</v>
      </c>
      <c r="AZ342" t="str">
        <f t="shared" si="119"/>
        <v>Old Delhi</v>
      </c>
      <c r="BC342" s="5">
        <v>106320</v>
      </c>
      <c r="BD342" s="5" t="s">
        <v>581</v>
      </c>
      <c r="BE342" s="46" t="s">
        <v>848</v>
      </c>
      <c r="BF342" s="13" t="s">
        <v>829</v>
      </c>
      <c r="BG342" s="6" t="s">
        <v>103</v>
      </c>
      <c r="BH342" s="6" t="s">
        <v>119</v>
      </c>
      <c r="BI342" s="12" t="s">
        <v>119</v>
      </c>
      <c r="BJ342" s="51" t="s">
        <v>120</v>
      </c>
    </row>
    <row r="343" spans="1:62" ht="48.5" x14ac:dyDescent="0.35">
      <c r="A343">
        <v>102107</v>
      </c>
      <c r="B343" s="84">
        <f t="shared" si="100"/>
        <v>420.5</v>
      </c>
      <c r="C343" s="84">
        <f t="shared" si="101"/>
        <v>425.5</v>
      </c>
      <c r="E343" s="9">
        <v>41019272</v>
      </c>
      <c r="F343" s="85">
        <v>65</v>
      </c>
      <c r="G343" s="87">
        <v>78.5</v>
      </c>
      <c r="H343" s="20">
        <v>53</v>
      </c>
      <c r="I343" s="20">
        <v>58.5</v>
      </c>
      <c r="J343" s="20">
        <v>13</v>
      </c>
      <c r="K343" s="20">
        <v>13.5</v>
      </c>
      <c r="L343" s="85">
        <v>13</v>
      </c>
      <c r="M343" s="87">
        <v>17.5</v>
      </c>
      <c r="N343" s="5">
        <v>106321</v>
      </c>
      <c r="O343">
        <f t="shared" si="102"/>
        <v>538</v>
      </c>
      <c r="P343">
        <f t="shared" si="103"/>
        <v>533</v>
      </c>
      <c r="Q343">
        <f t="shared" si="104"/>
        <v>126</v>
      </c>
      <c r="R343">
        <f t="shared" si="105"/>
        <v>171</v>
      </c>
      <c r="S343">
        <f t="shared" si="106"/>
        <v>512</v>
      </c>
      <c r="T343">
        <f t="shared" si="107"/>
        <v>495</v>
      </c>
      <c r="U343">
        <f t="shared" si="108"/>
        <v>130</v>
      </c>
      <c r="V343">
        <f t="shared" si="109"/>
        <v>187</v>
      </c>
      <c r="X343" s="9">
        <v>41056488</v>
      </c>
      <c r="Y343">
        <f t="shared" si="110"/>
        <v>272</v>
      </c>
      <c r="Z343">
        <f t="shared" si="111"/>
        <v>317</v>
      </c>
      <c r="AA343">
        <f t="shared" si="112"/>
        <v>47</v>
      </c>
      <c r="AB343">
        <f t="shared" si="113"/>
        <v>71</v>
      </c>
      <c r="AC343">
        <f t="shared" si="114"/>
        <v>3897.01</v>
      </c>
      <c r="AD343">
        <f t="shared" si="115"/>
        <v>3019</v>
      </c>
      <c r="AE343">
        <f t="shared" si="116"/>
        <v>668</v>
      </c>
      <c r="AF343">
        <f t="shared" si="117"/>
        <v>905</v>
      </c>
      <c r="AG343" s="5">
        <v>106321</v>
      </c>
      <c r="AH343" s="31">
        <v>538</v>
      </c>
      <c r="AI343" s="31">
        <v>533</v>
      </c>
      <c r="AJ343" s="37">
        <v>5</v>
      </c>
      <c r="AK343" s="37">
        <v>0.93808630393996251</v>
      </c>
      <c r="AL343" s="36">
        <v>126</v>
      </c>
      <c r="AM343" s="36">
        <v>171</v>
      </c>
      <c r="AN343" s="37">
        <v>-45</v>
      </c>
      <c r="AO343" s="37">
        <v>-26.315789473684209</v>
      </c>
      <c r="AP343" s="38">
        <v>6731</v>
      </c>
      <c r="AQ343" s="39">
        <v>5609.5</v>
      </c>
      <c r="AR343" s="37">
        <v>1121.5</v>
      </c>
      <c r="AS343" s="37">
        <v>19.99286923968268</v>
      </c>
      <c r="AT343" s="36">
        <v>1661</v>
      </c>
      <c r="AU343" s="36">
        <v>2137</v>
      </c>
      <c r="AV343" s="37">
        <v>-476</v>
      </c>
      <c r="AW343" s="37">
        <v>-22.274216190921852</v>
      </c>
      <c r="AX343" s="9">
        <v>41019272</v>
      </c>
      <c r="AY343" t="str">
        <f t="shared" si="118"/>
        <v>AIRPORT_SINGH_ANUP</v>
      </c>
      <c r="AZ343" t="str">
        <f t="shared" si="119"/>
        <v>Greater Kailash I &amp;II</v>
      </c>
      <c r="BC343" s="5">
        <v>106321</v>
      </c>
      <c r="BD343" s="5" t="s">
        <v>581</v>
      </c>
      <c r="BE343" s="46" t="s">
        <v>849</v>
      </c>
      <c r="BF343" s="13" t="s">
        <v>850</v>
      </c>
      <c r="BG343" s="6" t="s">
        <v>94</v>
      </c>
      <c r="BH343" s="6" t="s">
        <v>95</v>
      </c>
      <c r="BI343" s="12" t="s">
        <v>95</v>
      </c>
      <c r="BJ343" s="51" t="s">
        <v>96</v>
      </c>
    </row>
    <row r="344" spans="1:62" ht="36.5" x14ac:dyDescent="0.35">
      <c r="A344">
        <v>106354</v>
      </c>
      <c r="B344" s="84">
        <f t="shared" si="100"/>
        <v>630</v>
      </c>
      <c r="C344" s="84">
        <f t="shared" si="101"/>
        <v>653.5</v>
      </c>
      <c r="E344" s="9">
        <v>41056502</v>
      </c>
      <c r="F344" s="85">
        <v>281</v>
      </c>
      <c r="G344" s="87">
        <v>302.5</v>
      </c>
      <c r="H344" s="20">
        <v>255</v>
      </c>
      <c r="I344" s="20">
        <v>304</v>
      </c>
      <c r="J344" s="20">
        <v>587</v>
      </c>
      <c r="K344" s="20">
        <v>579</v>
      </c>
      <c r="L344" s="85">
        <v>386</v>
      </c>
      <c r="M344" s="87">
        <v>610.5</v>
      </c>
      <c r="N344" s="5">
        <v>106322</v>
      </c>
      <c r="O344">
        <f t="shared" si="102"/>
        <v>139</v>
      </c>
      <c r="P344">
        <f t="shared" si="103"/>
        <v>138</v>
      </c>
      <c r="Q344">
        <f t="shared" si="104"/>
        <v>73</v>
      </c>
      <c r="R344">
        <f t="shared" si="105"/>
        <v>86</v>
      </c>
      <c r="S344">
        <f t="shared" si="106"/>
        <v>125.5</v>
      </c>
      <c r="T344">
        <f t="shared" si="107"/>
        <v>120.5</v>
      </c>
      <c r="U344">
        <f t="shared" si="108"/>
        <v>80.5</v>
      </c>
      <c r="V344">
        <f t="shared" si="109"/>
        <v>71.5</v>
      </c>
      <c r="X344" s="5">
        <v>186857</v>
      </c>
      <c r="Y344">
        <f t="shared" si="110"/>
        <v>184.5</v>
      </c>
      <c r="Z344">
        <f t="shared" si="111"/>
        <v>157.5</v>
      </c>
      <c r="AA344">
        <f t="shared" si="112"/>
        <v>67.5</v>
      </c>
      <c r="AB344">
        <f t="shared" si="113"/>
        <v>22.5</v>
      </c>
      <c r="AC344">
        <f t="shared" si="114"/>
        <v>2002.5</v>
      </c>
      <c r="AD344">
        <f t="shared" si="115"/>
        <v>1598.5</v>
      </c>
      <c r="AE344">
        <f t="shared" si="116"/>
        <v>301.5</v>
      </c>
      <c r="AF344">
        <f t="shared" si="117"/>
        <v>272.5</v>
      </c>
      <c r="AG344" s="5">
        <v>106322</v>
      </c>
      <c r="AH344" s="31">
        <v>139</v>
      </c>
      <c r="AI344" s="31">
        <v>138</v>
      </c>
      <c r="AJ344" s="37">
        <v>1</v>
      </c>
      <c r="AK344" s="37">
        <v>0.72463768115942029</v>
      </c>
      <c r="AL344" s="36">
        <v>73</v>
      </c>
      <c r="AM344" s="36">
        <v>86</v>
      </c>
      <c r="AN344" s="37">
        <v>-13</v>
      </c>
      <c r="AO344" s="37">
        <v>-15.11627906976744</v>
      </c>
      <c r="AP344" s="38">
        <v>1828</v>
      </c>
      <c r="AQ344" s="39">
        <v>1397</v>
      </c>
      <c r="AR344" s="37">
        <v>431</v>
      </c>
      <c r="AS344" s="37">
        <v>30.851825340014315</v>
      </c>
      <c r="AT344" s="36">
        <v>838</v>
      </c>
      <c r="AU344" s="36">
        <v>962.5</v>
      </c>
      <c r="AV344" s="37">
        <v>-124.5</v>
      </c>
      <c r="AW344" s="37">
        <v>-12.935064935064936</v>
      </c>
      <c r="AX344" s="9">
        <v>41056502</v>
      </c>
      <c r="AY344" t="str">
        <f t="shared" si="118"/>
        <v>SYALL SS</v>
      </c>
      <c r="AZ344" t="str">
        <f t="shared" si="119"/>
        <v>Punjabi Bagh</v>
      </c>
      <c r="BC344" s="5">
        <v>106322</v>
      </c>
      <c r="BD344" s="5" t="s">
        <v>581</v>
      </c>
      <c r="BE344" s="46" t="s">
        <v>851</v>
      </c>
      <c r="BF344" s="13" t="s">
        <v>500</v>
      </c>
      <c r="BG344" s="6" t="s">
        <v>103</v>
      </c>
      <c r="BH344" s="6" t="s">
        <v>297</v>
      </c>
      <c r="BI344" s="12" t="s">
        <v>297</v>
      </c>
      <c r="BJ344" s="51" t="s">
        <v>105</v>
      </c>
    </row>
    <row r="345" spans="1:62" ht="36.5" x14ac:dyDescent="0.35">
      <c r="A345">
        <v>149412</v>
      </c>
      <c r="B345" s="84">
        <f t="shared" si="100"/>
        <v>126</v>
      </c>
      <c r="C345" s="84">
        <f t="shared" si="101"/>
        <v>149</v>
      </c>
      <c r="E345" s="9">
        <v>41056499</v>
      </c>
      <c r="F345" s="85">
        <v>220</v>
      </c>
      <c r="G345" s="87">
        <v>242</v>
      </c>
      <c r="H345" s="20">
        <v>205</v>
      </c>
      <c r="I345" s="20">
        <v>231</v>
      </c>
      <c r="J345" s="20">
        <v>120</v>
      </c>
      <c r="K345" s="20">
        <v>113</v>
      </c>
      <c r="L345" s="85">
        <v>93</v>
      </c>
      <c r="M345" s="87">
        <v>106</v>
      </c>
      <c r="N345" s="5">
        <v>234811</v>
      </c>
      <c r="O345">
        <f t="shared" si="102"/>
        <v>130.5</v>
      </c>
      <c r="P345">
        <f t="shared" si="103"/>
        <v>127</v>
      </c>
      <c r="Q345">
        <f t="shared" si="104"/>
        <v>67.5</v>
      </c>
      <c r="R345">
        <f t="shared" si="105"/>
        <v>45</v>
      </c>
      <c r="S345">
        <f t="shared" si="106"/>
        <v>103.5</v>
      </c>
      <c r="T345">
        <f t="shared" si="107"/>
        <v>106.5</v>
      </c>
      <c r="U345">
        <f t="shared" si="108"/>
        <v>40.5</v>
      </c>
      <c r="V345">
        <f t="shared" si="109"/>
        <v>49.5</v>
      </c>
      <c r="X345" s="5">
        <v>305307</v>
      </c>
      <c r="Y345">
        <f t="shared" si="110"/>
        <v>294</v>
      </c>
      <c r="Z345">
        <f t="shared" si="111"/>
        <v>279</v>
      </c>
      <c r="AA345">
        <f t="shared" si="112"/>
        <v>88</v>
      </c>
      <c r="AB345">
        <f t="shared" si="113"/>
        <v>103</v>
      </c>
      <c r="AC345">
        <f t="shared" si="114"/>
        <v>3552.5</v>
      </c>
      <c r="AD345">
        <f t="shared" si="115"/>
        <v>2803.5</v>
      </c>
      <c r="AE345">
        <f t="shared" si="116"/>
        <v>1155.5</v>
      </c>
      <c r="AF345">
        <f t="shared" si="117"/>
        <v>1318</v>
      </c>
      <c r="AG345" s="5">
        <v>234811</v>
      </c>
      <c r="AH345" s="31">
        <v>130.5</v>
      </c>
      <c r="AI345" s="31">
        <v>127</v>
      </c>
      <c r="AJ345" s="37">
        <v>3.5</v>
      </c>
      <c r="AK345" s="37">
        <v>2.7559055118110236</v>
      </c>
      <c r="AL345" s="36">
        <v>67.5</v>
      </c>
      <c r="AM345" s="36">
        <v>45</v>
      </c>
      <c r="AN345" s="37">
        <v>22.5</v>
      </c>
      <c r="AO345" s="37">
        <v>50</v>
      </c>
      <c r="AP345" s="38">
        <v>1518</v>
      </c>
      <c r="AQ345" s="39">
        <v>1260</v>
      </c>
      <c r="AR345" s="37">
        <v>258</v>
      </c>
      <c r="AS345" s="37">
        <v>20.476190476190474</v>
      </c>
      <c r="AT345" s="36">
        <v>586</v>
      </c>
      <c r="AU345" s="36">
        <v>716.5</v>
      </c>
      <c r="AV345" s="37">
        <v>-130.5</v>
      </c>
      <c r="AW345" s="37">
        <v>-18.213538032100487</v>
      </c>
      <c r="AX345" s="9">
        <v>41056499</v>
      </c>
      <c r="AY345" t="str">
        <f t="shared" si="118"/>
        <v>LINK ROAD</v>
      </c>
      <c r="AZ345" t="str">
        <f t="shared" si="119"/>
        <v>Old Delhi</v>
      </c>
      <c r="BC345" s="5">
        <v>234811</v>
      </c>
      <c r="BD345" s="5" t="s">
        <v>581</v>
      </c>
      <c r="BE345" s="46" t="s">
        <v>852</v>
      </c>
      <c r="BF345" s="13" t="s">
        <v>853</v>
      </c>
      <c r="BG345" s="6" t="s">
        <v>200</v>
      </c>
      <c r="BH345" s="6" t="s">
        <v>268</v>
      </c>
      <c r="BI345" s="12" t="s">
        <v>268</v>
      </c>
      <c r="BJ345" s="51" t="s">
        <v>91</v>
      </c>
    </row>
    <row r="346" spans="1:62" ht="36.5" x14ac:dyDescent="0.35">
      <c r="A346">
        <v>182561</v>
      </c>
      <c r="B346" s="84">
        <f t="shared" si="100"/>
        <v>298.5</v>
      </c>
      <c r="C346" s="84">
        <f t="shared" si="101"/>
        <v>313.5</v>
      </c>
      <c r="E346" s="9">
        <v>41057008</v>
      </c>
      <c r="F346" s="85">
        <v>405</v>
      </c>
      <c r="G346" s="87">
        <v>403</v>
      </c>
      <c r="H346" s="20">
        <v>325</v>
      </c>
      <c r="I346" s="20">
        <v>335</v>
      </c>
      <c r="J346" s="20">
        <v>200</v>
      </c>
      <c r="K346" s="20">
        <v>205</v>
      </c>
      <c r="L346" s="85">
        <v>95</v>
      </c>
      <c r="M346" s="87">
        <v>85</v>
      </c>
      <c r="N346" s="5">
        <v>186871</v>
      </c>
      <c r="O346">
        <f t="shared" si="102"/>
        <v>122</v>
      </c>
      <c r="P346">
        <f t="shared" si="103"/>
        <v>124.5</v>
      </c>
      <c r="Q346">
        <f t="shared" si="104"/>
        <v>1048</v>
      </c>
      <c r="R346">
        <f t="shared" si="105"/>
        <v>1151.5</v>
      </c>
      <c r="S346">
        <f t="shared" si="106"/>
        <v>108</v>
      </c>
      <c r="T346">
        <f t="shared" si="107"/>
        <v>108</v>
      </c>
      <c r="U346">
        <f t="shared" si="108"/>
        <v>962</v>
      </c>
      <c r="V346">
        <f t="shared" si="109"/>
        <v>1136</v>
      </c>
      <c r="X346" s="3">
        <v>244458</v>
      </c>
      <c r="Y346">
        <f t="shared" si="110"/>
        <v>241.5</v>
      </c>
      <c r="Z346">
        <f t="shared" si="111"/>
        <v>217</v>
      </c>
      <c r="AA346">
        <f t="shared" si="112"/>
        <v>68.5</v>
      </c>
      <c r="AB346">
        <f t="shared" si="113"/>
        <v>75</v>
      </c>
      <c r="AC346">
        <f t="shared" si="114"/>
        <v>2745.5</v>
      </c>
      <c r="AD346">
        <f t="shared" si="115"/>
        <v>2068</v>
      </c>
      <c r="AE346">
        <f t="shared" si="116"/>
        <v>768.5</v>
      </c>
      <c r="AF346">
        <f t="shared" si="117"/>
        <v>826</v>
      </c>
      <c r="AG346" s="5">
        <v>186871</v>
      </c>
      <c r="AH346" s="31">
        <v>122</v>
      </c>
      <c r="AI346" s="31">
        <v>124.5</v>
      </c>
      <c r="AJ346" s="37">
        <v>-2.5</v>
      </c>
      <c r="AK346" s="37">
        <v>-2.0080321285140563</v>
      </c>
      <c r="AL346" s="36">
        <v>1048</v>
      </c>
      <c r="AM346" s="36">
        <v>1151.5</v>
      </c>
      <c r="AN346" s="37">
        <v>-103.5</v>
      </c>
      <c r="AO346" s="37">
        <v>-8.9882761615284412</v>
      </c>
      <c r="AP346" s="38">
        <v>1485</v>
      </c>
      <c r="AQ346" s="39">
        <v>809</v>
      </c>
      <c r="AR346" s="37">
        <v>676</v>
      </c>
      <c r="AS346" s="37">
        <v>83.559950556242285</v>
      </c>
      <c r="AT346" s="36">
        <v>13387</v>
      </c>
      <c r="AU346" s="36">
        <v>15512.5</v>
      </c>
      <c r="AV346" s="37">
        <v>-2125.5</v>
      </c>
      <c r="AW346" s="37">
        <v>-13.701853344077358</v>
      </c>
      <c r="AX346" s="9">
        <v>41057008</v>
      </c>
      <c r="AY346" t="str">
        <f t="shared" si="118"/>
        <v>M.L.SETHI</v>
      </c>
      <c r="AZ346" t="str">
        <f t="shared" si="119"/>
        <v>Rohini</v>
      </c>
      <c r="BC346" s="5">
        <v>186871</v>
      </c>
      <c r="BD346" s="5" t="s">
        <v>581</v>
      </c>
      <c r="BE346" s="46" t="s">
        <v>854</v>
      </c>
      <c r="BF346" s="13" t="s">
        <v>855</v>
      </c>
      <c r="BG346" s="6" t="s">
        <v>200</v>
      </c>
      <c r="BH346" s="6" t="s">
        <v>856</v>
      </c>
      <c r="BI346" s="12" t="s">
        <v>856</v>
      </c>
      <c r="BJ346" s="51" t="s">
        <v>205</v>
      </c>
    </row>
    <row r="347" spans="1:62" ht="36.5" x14ac:dyDescent="0.35">
      <c r="A347">
        <v>202456</v>
      </c>
      <c r="B347" s="84">
        <f t="shared" si="100"/>
        <v>72</v>
      </c>
      <c r="C347" s="84">
        <f t="shared" si="101"/>
        <v>80</v>
      </c>
      <c r="E347" s="9">
        <v>41056343</v>
      </c>
      <c r="F347" s="85">
        <v>28</v>
      </c>
      <c r="G347" s="87">
        <v>28</v>
      </c>
      <c r="H347" s="20">
        <v>24</v>
      </c>
      <c r="I347" s="20">
        <v>36</v>
      </c>
      <c r="J347" s="20">
        <v>24</v>
      </c>
      <c r="K347" s="20">
        <v>24</v>
      </c>
      <c r="L347" s="85">
        <v>20</v>
      </c>
      <c r="M347" s="87">
        <v>20</v>
      </c>
      <c r="N347" s="5">
        <v>106324</v>
      </c>
      <c r="O347">
        <f t="shared" si="102"/>
        <v>502</v>
      </c>
      <c r="P347">
        <f t="shared" si="103"/>
        <v>472.5</v>
      </c>
      <c r="Q347">
        <f t="shared" si="104"/>
        <v>90</v>
      </c>
      <c r="R347">
        <f t="shared" si="105"/>
        <v>103.5</v>
      </c>
      <c r="S347">
        <f t="shared" si="106"/>
        <v>468.5</v>
      </c>
      <c r="T347">
        <f t="shared" si="107"/>
        <v>445.5</v>
      </c>
      <c r="U347">
        <f t="shared" si="108"/>
        <v>83.5</v>
      </c>
      <c r="V347">
        <f t="shared" si="109"/>
        <v>94.5</v>
      </c>
      <c r="X347" s="9">
        <v>41056999</v>
      </c>
      <c r="Y347">
        <f t="shared" si="110"/>
        <v>283</v>
      </c>
      <c r="Z347">
        <f t="shared" si="111"/>
        <v>257</v>
      </c>
      <c r="AA347">
        <f t="shared" si="112"/>
        <v>300</v>
      </c>
      <c r="AB347">
        <f t="shared" si="113"/>
        <v>256</v>
      </c>
      <c r="AC347">
        <f t="shared" si="114"/>
        <v>3125.5</v>
      </c>
      <c r="AD347">
        <f t="shared" si="115"/>
        <v>2435</v>
      </c>
      <c r="AE347">
        <f t="shared" si="116"/>
        <v>3351.5</v>
      </c>
      <c r="AF347">
        <f t="shared" si="117"/>
        <v>2939</v>
      </c>
      <c r="AG347" s="5">
        <v>106324</v>
      </c>
      <c r="AH347" s="31">
        <v>502</v>
      </c>
      <c r="AI347" s="31">
        <v>472.5</v>
      </c>
      <c r="AJ347" s="37">
        <v>29.5</v>
      </c>
      <c r="AK347" s="37">
        <v>6.2433862433862428</v>
      </c>
      <c r="AL347" s="36">
        <v>90</v>
      </c>
      <c r="AM347" s="36">
        <v>103.5</v>
      </c>
      <c r="AN347" s="37">
        <v>-13.5</v>
      </c>
      <c r="AO347" s="37">
        <v>-13.043478260869565</v>
      </c>
      <c r="AP347" s="38">
        <v>5907.5</v>
      </c>
      <c r="AQ347" s="39">
        <v>4887</v>
      </c>
      <c r="AR347" s="37">
        <v>1020.5</v>
      </c>
      <c r="AS347" s="37">
        <v>20.88193165541232</v>
      </c>
      <c r="AT347" s="36">
        <v>1106.5</v>
      </c>
      <c r="AU347" s="36">
        <v>1359</v>
      </c>
      <c r="AV347" s="37">
        <v>-252.5</v>
      </c>
      <c r="AW347" s="37">
        <v>-18.579838116261957</v>
      </c>
      <c r="AX347" s="9">
        <v>41056343</v>
      </c>
      <c r="AY347" t="str">
        <f t="shared" si="118"/>
        <v>GARG-VIJAY-NEW HARYANA</v>
      </c>
      <c r="AZ347" t="str">
        <f t="shared" si="119"/>
        <v>Rohtak Road</v>
      </c>
      <c r="BC347" s="5">
        <v>106324</v>
      </c>
      <c r="BD347" s="5" t="s">
        <v>581</v>
      </c>
      <c r="BE347" s="46" t="s">
        <v>857</v>
      </c>
      <c r="BF347" s="13" t="s">
        <v>858</v>
      </c>
      <c r="BG347" s="6" t="s">
        <v>103</v>
      </c>
      <c r="BH347" s="6" t="s">
        <v>428</v>
      </c>
      <c r="BI347" s="12" t="s">
        <v>428</v>
      </c>
      <c r="BJ347" s="51" t="s">
        <v>248</v>
      </c>
    </row>
    <row r="348" spans="1:62" ht="60.5" x14ac:dyDescent="0.35">
      <c r="A348">
        <v>150887</v>
      </c>
      <c r="B348" s="84">
        <f t="shared" si="100"/>
        <v>42</v>
      </c>
      <c r="C348" s="84">
        <f t="shared" si="101"/>
        <v>36</v>
      </c>
      <c r="E348" s="9">
        <v>41019270</v>
      </c>
      <c r="F348" s="85">
        <v>237</v>
      </c>
      <c r="G348" s="87">
        <v>232</v>
      </c>
      <c r="H348" s="20">
        <v>200</v>
      </c>
      <c r="I348" s="20">
        <v>236</v>
      </c>
      <c r="J348" s="20">
        <v>20</v>
      </c>
      <c r="K348" s="20">
        <v>27</v>
      </c>
      <c r="L348" s="85">
        <v>19</v>
      </c>
      <c r="M348" s="87">
        <v>18</v>
      </c>
      <c r="N348" s="5">
        <v>106325</v>
      </c>
      <c r="O348">
        <f t="shared" si="102"/>
        <v>115</v>
      </c>
      <c r="P348">
        <f t="shared" si="103"/>
        <v>105</v>
      </c>
      <c r="Q348">
        <f t="shared" si="104"/>
        <v>445</v>
      </c>
      <c r="R348">
        <f t="shared" si="105"/>
        <v>255</v>
      </c>
      <c r="S348">
        <f t="shared" si="106"/>
        <v>90</v>
      </c>
      <c r="T348">
        <f t="shared" si="107"/>
        <v>95</v>
      </c>
      <c r="U348">
        <f t="shared" si="108"/>
        <v>228</v>
      </c>
      <c r="V348">
        <f t="shared" si="109"/>
        <v>305</v>
      </c>
      <c r="X348" s="9">
        <v>41032599</v>
      </c>
      <c r="Y348">
        <f t="shared" si="110"/>
        <v>268</v>
      </c>
      <c r="Z348">
        <f t="shared" si="111"/>
        <v>316</v>
      </c>
      <c r="AA348">
        <f t="shared" si="112"/>
        <v>56</v>
      </c>
      <c r="AB348">
        <f t="shared" si="113"/>
        <v>68</v>
      </c>
      <c r="AC348">
        <f t="shared" si="114"/>
        <v>3542.5</v>
      </c>
      <c r="AD348">
        <f t="shared" si="115"/>
        <v>2952.5</v>
      </c>
      <c r="AE348">
        <f t="shared" si="116"/>
        <v>802.5</v>
      </c>
      <c r="AF348">
        <f t="shared" si="117"/>
        <v>928.5</v>
      </c>
      <c r="AG348" s="5">
        <v>106325</v>
      </c>
      <c r="AH348" s="31">
        <v>115</v>
      </c>
      <c r="AI348" s="31">
        <v>105</v>
      </c>
      <c r="AJ348" s="37">
        <v>10</v>
      </c>
      <c r="AK348" s="37">
        <v>9.5238095238095237</v>
      </c>
      <c r="AL348" s="36">
        <v>445</v>
      </c>
      <c r="AM348" s="36">
        <v>255</v>
      </c>
      <c r="AN348" s="37">
        <v>190</v>
      </c>
      <c r="AO348" s="37">
        <v>74.509803921568633</v>
      </c>
      <c r="AP348" s="38">
        <v>1264</v>
      </c>
      <c r="AQ348" s="39">
        <v>971.5</v>
      </c>
      <c r="AR348" s="37">
        <v>292.5</v>
      </c>
      <c r="AS348" s="37">
        <v>30.108080288214101</v>
      </c>
      <c r="AT348" s="36">
        <v>3528</v>
      </c>
      <c r="AU348" s="36">
        <v>4626.5</v>
      </c>
      <c r="AV348" s="37">
        <v>-1098.5</v>
      </c>
      <c r="AW348" s="37">
        <v>-23.743650707878526</v>
      </c>
      <c r="AX348" s="9">
        <v>41019270</v>
      </c>
      <c r="AY348" t="str">
        <f t="shared" si="118"/>
        <v>White Patch_Old GT Road</v>
      </c>
      <c r="AZ348" t="str">
        <f t="shared" si="119"/>
        <v>Old GT Road (NH1)</v>
      </c>
      <c r="BC348" s="5">
        <v>106325</v>
      </c>
      <c r="BD348" s="5" t="s">
        <v>581</v>
      </c>
      <c r="BE348" s="46" t="s">
        <v>859</v>
      </c>
      <c r="BF348" s="13" t="s">
        <v>279</v>
      </c>
      <c r="BG348" s="6" t="s">
        <v>81</v>
      </c>
      <c r="BH348" s="6" t="s">
        <v>140</v>
      </c>
      <c r="BI348" s="12" t="s">
        <v>140</v>
      </c>
      <c r="BJ348" s="51" t="s">
        <v>135</v>
      </c>
    </row>
    <row r="349" spans="1:62" ht="60.5" x14ac:dyDescent="0.35">
      <c r="A349">
        <v>41028903</v>
      </c>
      <c r="B349" s="84">
        <f t="shared" si="100"/>
        <v>500</v>
      </c>
      <c r="C349" s="84">
        <f t="shared" si="101"/>
        <v>502</v>
      </c>
      <c r="E349" s="9">
        <v>41026624</v>
      </c>
      <c r="F349" s="85">
        <v>344.5</v>
      </c>
      <c r="G349" s="87">
        <v>397</v>
      </c>
      <c r="H349" s="20">
        <v>326</v>
      </c>
      <c r="I349" s="20">
        <v>391.5</v>
      </c>
      <c r="J349" s="20">
        <v>34</v>
      </c>
      <c r="K349" s="20">
        <v>59.5</v>
      </c>
      <c r="L349" s="85">
        <v>47.5</v>
      </c>
      <c r="M349" s="87">
        <v>27</v>
      </c>
      <c r="N349" s="5">
        <v>106326</v>
      </c>
      <c r="O349">
        <f t="shared" si="102"/>
        <v>387</v>
      </c>
      <c r="P349">
        <f t="shared" si="103"/>
        <v>305</v>
      </c>
      <c r="Q349">
        <f t="shared" si="104"/>
        <v>305</v>
      </c>
      <c r="R349">
        <f t="shared" si="105"/>
        <v>235</v>
      </c>
      <c r="S349">
        <f t="shared" si="106"/>
        <v>347</v>
      </c>
      <c r="T349">
        <f t="shared" si="107"/>
        <v>260</v>
      </c>
      <c r="U349">
        <f t="shared" si="108"/>
        <v>205</v>
      </c>
      <c r="V349">
        <f t="shared" si="109"/>
        <v>202</v>
      </c>
      <c r="X349" s="9">
        <v>41056542</v>
      </c>
      <c r="Y349">
        <f t="shared" si="110"/>
        <v>365.5</v>
      </c>
      <c r="Z349">
        <f t="shared" si="111"/>
        <v>367.5</v>
      </c>
      <c r="AA349">
        <f t="shared" si="112"/>
        <v>88.5</v>
      </c>
      <c r="AB349">
        <f t="shared" si="113"/>
        <v>85.5</v>
      </c>
      <c r="AC349">
        <f t="shared" si="114"/>
        <v>4515</v>
      </c>
      <c r="AD349">
        <f t="shared" si="115"/>
        <v>3715</v>
      </c>
      <c r="AE349">
        <f t="shared" si="116"/>
        <v>1113</v>
      </c>
      <c r="AF349">
        <f t="shared" si="117"/>
        <v>1220.5</v>
      </c>
      <c r="AG349" s="5">
        <v>106326</v>
      </c>
      <c r="AH349" s="31">
        <v>387</v>
      </c>
      <c r="AI349" s="31">
        <v>305</v>
      </c>
      <c r="AJ349" s="37">
        <v>82</v>
      </c>
      <c r="AK349" s="37">
        <v>26.885245901639344</v>
      </c>
      <c r="AL349" s="36">
        <v>305</v>
      </c>
      <c r="AM349" s="36">
        <v>235</v>
      </c>
      <c r="AN349" s="37">
        <v>70</v>
      </c>
      <c r="AO349" s="37">
        <v>29.787234042553191</v>
      </c>
      <c r="AP349" s="38">
        <v>4142.5</v>
      </c>
      <c r="AQ349" s="39">
        <v>3091</v>
      </c>
      <c r="AR349" s="37">
        <v>1051.5</v>
      </c>
      <c r="AS349" s="37">
        <v>34.018117114202525</v>
      </c>
      <c r="AT349" s="36">
        <v>2727.5</v>
      </c>
      <c r="AU349" s="36">
        <v>2724</v>
      </c>
      <c r="AV349" s="37">
        <v>3.5</v>
      </c>
      <c r="AW349" s="37">
        <v>0.12848751835535976</v>
      </c>
      <c r="AX349" s="9">
        <v>41026624</v>
      </c>
      <c r="AY349" t="str">
        <f t="shared" si="118"/>
        <v>White Patch_Wazirabad</v>
      </c>
      <c r="AZ349" t="str">
        <f t="shared" si="119"/>
        <v>Wazirabad-Loni</v>
      </c>
      <c r="BC349" s="5">
        <v>106326</v>
      </c>
      <c r="BD349" s="5" t="s">
        <v>581</v>
      </c>
      <c r="BE349" s="46" t="s">
        <v>860</v>
      </c>
      <c r="BF349" s="13" t="s">
        <v>861</v>
      </c>
      <c r="BG349" s="6" t="s">
        <v>103</v>
      </c>
      <c r="BH349" s="6" t="s">
        <v>211</v>
      </c>
      <c r="BI349" s="12" t="s">
        <v>211</v>
      </c>
      <c r="BJ349" s="51" t="s">
        <v>135</v>
      </c>
    </row>
    <row r="350" spans="1:62" ht="36.5" x14ac:dyDescent="0.35">
      <c r="A350">
        <v>208231</v>
      </c>
      <c r="B350" s="84">
        <f t="shared" si="100"/>
        <v>395</v>
      </c>
      <c r="C350" s="84">
        <f t="shared" si="101"/>
        <v>432</v>
      </c>
      <c r="E350" s="9">
        <v>41056527</v>
      </c>
      <c r="F350" s="85">
        <v>281.5</v>
      </c>
      <c r="G350" s="87">
        <v>256</v>
      </c>
      <c r="H350" s="20">
        <v>229.5</v>
      </c>
      <c r="I350" s="20">
        <v>238.5</v>
      </c>
      <c r="J350" s="20">
        <v>112.5</v>
      </c>
      <c r="K350" s="20">
        <v>123.5</v>
      </c>
      <c r="L350" s="85">
        <v>96.5</v>
      </c>
      <c r="M350" s="87">
        <v>92</v>
      </c>
      <c r="N350" s="5">
        <v>106329</v>
      </c>
      <c r="O350">
        <f t="shared" si="102"/>
        <v>344.5</v>
      </c>
      <c r="P350">
        <f t="shared" si="103"/>
        <v>344</v>
      </c>
      <c r="Q350">
        <f t="shared" si="104"/>
        <v>61.5</v>
      </c>
      <c r="R350">
        <f t="shared" si="105"/>
        <v>74</v>
      </c>
      <c r="S350">
        <f t="shared" si="106"/>
        <v>320.5</v>
      </c>
      <c r="T350">
        <f t="shared" si="107"/>
        <v>304</v>
      </c>
      <c r="U350">
        <f t="shared" si="108"/>
        <v>55.5</v>
      </c>
      <c r="V350">
        <f t="shared" si="109"/>
        <v>58</v>
      </c>
      <c r="X350" s="3">
        <v>112426</v>
      </c>
      <c r="Y350">
        <f t="shared" si="110"/>
        <v>9</v>
      </c>
      <c r="Z350">
        <f t="shared" si="111"/>
        <v>9</v>
      </c>
      <c r="AA350">
        <f t="shared" si="112"/>
        <v>9</v>
      </c>
      <c r="AB350">
        <f t="shared" si="113"/>
        <v>23</v>
      </c>
      <c r="AC350">
        <f t="shared" si="114"/>
        <v>153</v>
      </c>
      <c r="AD350">
        <f t="shared" si="115"/>
        <v>145.5</v>
      </c>
      <c r="AE350">
        <f t="shared" si="116"/>
        <v>173</v>
      </c>
      <c r="AF350">
        <f t="shared" si="117"/>
        <v>172.5</v>
      </c>
      <c r="AG350" s="5">
        <v>106329</v>
      </c>
      <c r="AH350" s="31">
        <v>344.5</v>
      </c>
      <c r="AI350" s="31">
        <v>344</v>
      </c>
      <c r="AJ350" s="37">
        <v>0.5</v>
      </c>
      <c r="AK350" s="37">
        <v>0.14534883720930233</v>
      </c>
      <c r="AL350" s="36">
        <v>61.5</v>
      </c>
      <c r="AM350" s="36">
        <v>74</v>
      </c>
      <c r="AN350" s="37">
        <v>-12.5</v>
      </c>
      <c r="AO350" s="37">
        <v>-16.891891891891891</v>
      </c>
      <c r="AP350" s="38">
        <v>4241</v>
      </c>
      <c r="AQ350" s="39">
        <v>3253</v>
      </c>
      <c r="AR350" s="37">
        <v>988</v>
      </c>
      <c r="AS350" s="37">
        <v>30.37196434060867</v>
      </c>
      <c r="AT350" s="36">
        <v>727</v>
      </c>
      <c r="AU350" s="36">
        <v>789</v>
      </c>
      <c r="AV350" s="37">
        <v>-62</v>
      </c>
      <c r="AW350" s="37">
        <v>-7.8580481622306717</v>
      </c>
      <c r="AX350" s="9">
        <v>41056527</v>
      </c>
      <c r="AY350" t="str">
        <f t="shared" si="118"/>
        <v>MOBILE</v>
      </c>
      <c r="AZ350" t="str">
        <f t="shared" si="119"/>
        <v>Old Delhi</v>
      </c>
      <c r="BC350" s="5">
        <v>106329</v>
      </c>
      <c r="BD350" s="5" t="s">
        <v>581</v>
      </c>
      <c r="BE350" s="46" t="s">
        <v>862</v>
      </c>
      <c r="BF350" s="13" t="s">
        <v>850</v>
      </c>
      <c r="BG350" s="6" t="s">
        <v>94</v>
      </c>
      <c r="BH350" s="6" t="s">
        <v>95</v>
      </c>
      <c r="BI350" s="12" t="s">
        <v>95</v>
      </c>
      <c r="BJ350" s="51" t="s">
        <v>120</v>
      </c>
    </row>
    <row r="351" spans="1:62" ht="60.5" x14ac:dyDescent="0.35">
      <c r="A351">
        <v>234809</v>
      </c>
      <c r="B351" s="84">
        <f t="shared" si="100"/>
        <v>72</v>
      </c>
      <c r="C351" s="84">
        <f t="shared" si="101"/>
        <v>80</v>
      </c>
      <c r="E351" s="9">
        <v>41030511</v>
      </c>
      <c r="F351" s="85">
        <v>345</v>
      </c>
      <c r="G351" s="87">
        <v>390</v>
      </c>
      <c r="H351" s="20">
        <v>330</v>
      </c>
      <c r="I351" s="20">
        <v>350</v>
      </c>
      <c r="J351" s="20">
        <v>370</v>
      </c>
      <c r="K351" s="20">
        <v>375</v>
      </c>
      <c r="L351" s="85">
        <v>364</v>
      </c>
      <c r="M351" s="87">
        <v>355</v>
      </c>
      <c r="N351" s="5">
        <v>106330</v>
      </c>
      <c r="O351">
        <f t="shared" si="102"/>
        <v>959</v>
      </c>
      <c r="P351">
        <f t="shared" si="103"/>
        <v>675</v>
      </c>
      <c r="Q351">
        <f t="shared" si="104"/>
        <v>157</v>
      </c>
      <c r="R351">
        <f t="shared" si="105"/>
        <v>99</v>
      </c>
      <c r="S351">
        <f t="shared" si="106"/>
        <v>797.5</v>
      </c>
      <c r="T351">
        <f t="shared" si="107"/>
        <v>638</v>
      </c>
      <c r="U351">
        <f t="shared" si="108"/>
        <v>128.5</v>
      </c>
      <c r="V351">
        <f t="shared" si="109"/>
        <v>142</v>
      </c>
      <c r="X351" s="5">
        <v>102091</v>
      </c>
      <c r="Y351">
        <f t="shared" si="110"/>
        <v>192</v>
      </c>
      <c r="Z351">
        <f t="shared" si="111"/>
        <v>202.5</v>
      </c>
      <c r="AA351">
        <f t="shared" si="112"/>
        <v>50</v>
      </c>
      <c r="AB351">
        <f t="shared" si="113"/>
        <v>67.5</v>
      </c>
      <c r="AC351">
        <f t="shared" si="114"/>
        <v>2525.5</v>
      </c>
      <c r="AD351">
        <f t="shared" si="115"/>
        <v>1861</v>
      </c>
      <c r="AE351">
        <f t="shared" si="116"/>
        <v>652.5</v>
      </c>
      <c r="AF351">
        <f t="shared" si="117"/>
        <v>727</v>
      </c>
      <c r="AG351" s="5">
        <v>106330</v>
      </c>
      <c r="AH351" s="31">
        <v>959</v>
      </c>
      <c r="AI351" s="31">
        <v>675</v>
      </c>
      <c r="AJ351" s="37">
        <v>284</v>
      </c>
      <c r="AK351" s="37">
        <v>42.074074074074076</v>
      </c>
      <c r="AL351" s="36">
        <v>157</v>
      </c>
      <c r="AM351" s="36">
        <v>99</v>
      </c>
      <c r="AN351" s="37">
        <v>58</v>
      </c>
      <c r="AO351" s="37">
        <v>58.585858585858588</v>
      </c>
      <c r="AP351" s="38">
        <v>8765.5</v>
      </c>
      <c r="AQ351" s="39">
        <v>7329.5</v>
      </c>
      <c r="AR351" s="37">
        <v>1436</v>
      </c>
      <c r="AS351" s="37">
        <v>19.59205948564022</v>
      </c>
      <c r="AT351" s="36">
        <v>1334.5</v>
      </c>
      <c r="AU351" s="36">
        <v>1475.5</v>
      </c>
      <c r="AV351" s="37">
        <v>-141</v>
      </c>
      <c r="AW351" s="37">
        <v>-9.5560826838359887</v>
      </c>
      <c r="AX351" s="9">
        <v>41030511</v>
      </c>
      <c r="AY351" t="str">
        <f t="shared" si="118"/>
        <v xml:space="preserve">White Patch_ Govind Puri to Okhla </v>
      </c>
      <c r="AZ351" t="str">
        <f t="shared" si="119"/>
        <v xml:space="preserve">Okhla </v>
      </c>
      <c r="BC351" s="5">
        <v>106330</v>
      </c>
      <c r="BD351" s="5" t="s">
        <v>581</v>
      </c>
      <c r="BE351" s="46" t="s">
        <v>863</v>
      </c>
      <c r="BF351" s="13" t="s">
        <v>864</v>
      </c>
      <c r="BG351" s="6" t="s">
        <v>75</v>
      </c>
      <c r="BH351" s="6" t="s">
        <v>865</v>
      </c>
      <c r="BI351" s="12" t="s">
        <v>865</v>
      </c>
      <c r="BJ351" s="51" t="s">
        <v>77</v>
      </c>
    </row>
    <row r="352" spans="1:62" ht="48.5" x14ac:dyDescent="0.35">
      <c r="A352">
        <v>41056995</v>
      </c>
      <c r="B352" s="84">
        <f t="shared" si="100"/>
        <v>112</v>
      </c>
      <c r="C352" s="84">
        <f t="shared" si="101"/>
        <v>111</v>
      </c>
      <c r="E352" s="9">
        <v>41032599</v>
      </c>
      <c r="F352" s="85">
        <v>260</v>
      </c>
      <c r="G352" s="87">
        <v>268</v>
      </c>
      <c r="H352" s="20">
        <v>262</v>
      </c>
      <c r="I352" s="20">
        <v>316</v>
      </c>
      <c r="J352" s="20">
        <v>68</v>
      </c>
      <c r="K352" s="20">
        <v>68</v>
      </c>
      <c r="L352" s="85">
        <v>64</v>
      </c>
      <c r="M352" s="87">
        <v>56</v>
      </c>
      <c r="N352" s="5">
        <v>156756</v>
      </c>
      <c r="O352">
        <f t="shared" si="102"/>
        <v>126.5</v>
      </c>
      <c r="P352">
        <f t="shared" si="103"/>
        <v>97.5</v>
      </c>
      <c r="Q352">
        <f t="shared" si="104"/>
        <v>29.5</v>
      </c>
      <c r="R352">
        <f t="shared" si="105"/>
        <v>16.5</v>
      </c>
      <c r="S352">
        <f t="shared" si="106"/>
        <v>80</v>
      </c>
      <c r="T352">
        <f t="shared" si="107"/>
        <v>90.5</v>
      </c>
      <c r="U352">
        <f t="shared" si="108"/>
        <v>16</v>
      </c>
      <c r="V352">
        <f t="shared" si="109"/>
        <v>25.5</v>
      </c>
      <c r="X352" s="5">
        <v>190056</v>
      </c>
      <c r="Y352">
        <f t="shared" si="110"/>
        <v>126.5</v>
      </c>
      <c r="Z352">
        <f t="shared" si="111"/>
        <v>174</v>
      </c>
      <c r="AA352">
        <f t="shared" si="112"/>
        <v>39.5</v>
      </c>
      <c r="AB352">
        <f t="shared" si="113"/>
        <v>68</v>
      </c>
      <c r="AC352">
        <f t="shared" si="114"/>
        <v>1956</v>
      </c>
      <c r="AD352">
        <f t="shared" si="115"/>
        <v>1661</v>
      </c>
      <c r="AE352">
        <f t="shared" si="116"/>
        <v>572</v>
      </c>
      <c r="AF352">
        <f t="shared" si="117"/>
        <v>765</v>
      </c>
      <c r="AG352" s="5">
        <v>156756</v>
      </c>
      <c r="AH352" s="31">
        <v>126.5</v>
      </c>
      <c r="AI352" s="31">
        <v>97.5</v>
      </c>
      <c r="AJ352" s="37">
        <v>29</v>
      </c>
      <c r="AK352" s="37">
        <v>29.743589743589745</v>
      </c>
      <c r="AL352" s="36">
        <v>29.5</v>
      </c>
      <c r="AM352" s="36">
        <v>16.5</v>
      </c>
      <c r="AN352" s="37">
        <v>13</v>
      </c>
      <c r="AO352" s="37">
        <v>78.787878787878782</v>
      </c>
      <c r="AP352" s="38">
        <v>1250</v>
      </c>
      <c r="AQ352" s="39">
        <v>1049.5</v>
      </c>
      <c r="AR352" s="37">
        <v>200.5</v>
      </c>
      <c r="AS352" s="37">
        <v>19.10433539780848</v>
      </c>
      <c r="AT352" s="36">
        <v>254</v>
      </c>
      <c r="AU352" s="36">
        <v>280.5</v>
      </c>
      <c r="AV352" s="37">
        <v>-26.5</v>
      </c>
      <c r="AW352" s="37">
        <v>-9.4474153297682708</v>
      </c>
      <c r="AX352" s="9">
        <v>41032599</v>
      </c>
      <c r="AY352" t="str">
        <f t="shared" si="118"/>
        <v>SHAURYABHUSHAN_JAGDISH</v>
      </c>
      <c r="AZ352" t="str">
        <f t="shared" si="119"/>
        <v>Rohini</v>
      </c>
      <c r="BC352" s="5">
        <v>156756</v>
      </c>
      <c r="BD352" s="5" t="s">
        <v>581</v>
      </c>
      <c r="BE352" s="46" t="s">
        <v>866</v>
      </c>
      <c r="BF352" s="13" t="s">
        <v>699</v>
      </c>
      <c r="BG352" s="6" t="s">
        <v>103</v>
      </c>
      <c r="BH352" s="6" t="s">
        <v>145</v>
      </c>
      <c r="BI352" s="12" t="s">
        <v>145</v>
      </c>
      <c r="BJ352" s="51" t="s">
        <v>96</v>
      </c>
    </row>
    <row r="353" spans="1:62" ht="60.5" x14ac:dyDescent="0.35">
      <c r="A353">
        <v>112452</v>
      </c>
      <c r="B353" s="84">
        <f t="shared" si="100"/>
        <v>452.5</v>
      </c>
      <c r="C353" s="84">
        <f t="shared" si="101"/>
        <v>515</v>
      </c>
      <c r="E353" s="9">
        <v>41056344</v>
      </c>
      <c r="F353" s="85">
        <v>31.5</v>
      </c>
      <c r="G353" s="87">
        <v>36</v>
      </c>
      <c r="H353" s="20">
        <v>27.5</v>
      </c>
      <c r="I353" s="20">
        <v>47.5</v>
      </c>
      <c r="J353" s="20">
        <v>46.5</v>
      </c>
      <c r="K353" s="20">
        <v>75.5</v>
      </c>
      <c r="L353" s="85">
        <v>40.5</v>
      </c>
      <c r="M353" s="87">
        <v>54</v>
      </c>
      <c r="N353" s="5">
        <v>102102</v>
      </c>
      <c r="O353">
        <f t="shared" si="102"/>
        <v>370</v>
      </c>
      <c r="P353">
        <f t="shared" si="103"/>
        <v>315</v>
      </c>
      <c r="Q353">
        <f t="shared" si="104"/>
        <v>128</v>
      </c>
      <c r="R353">
        <f t="shared" si="105"/>
        <v>81</v>
      </c>
      <c r="S353">
        <f t="shared" si="106"/>
        <v>325</v>
      </c>
      <c r="T353">
        <f t="shared" si="107"/>
        <v>288</v>
      </c>
      <c r="U353">
        <f t="shared" si="108"/>
        <v>95</v>
      </c>
      <c r="V353">
        <f t="shared" si="109"/>
        <v>72</v>
      </c>
      <c r="X353" s="9">
        <v>41063936</v>
      </c>
      <c r="Y353">
        <f t="shared" si="110"/>
        <v>279</v>
      </c>
      <c r="Z353">
        <f t="shared" si="111"/>
        <v>256</v>
      </c>
      <c r="AA353">
        <f t="shared" si="112"/>
        <v>249</v>
      </c>
      <c r="AB353">
        <f t="shared" si="113"/>
        <v>264</v>
      </c>
      <c r="AC353">
        <f t="shared" si="114"/>
        <v>3067</v>
      </c>
      <c r="AD353">
        <f t="shared" si="115"/>
        <v>2087.5</v>
      </c>
      <c r="AE353">
        <f t="shared" si="116"/>
        <v>2928</v>
      </c>
      <c r="AF353">
        <f t="shared" si="117"/>
        <v>3235.5</v>
      </c>
      <c r="AG353" s="5">
        <v>102102</v>
      </c>
      <c r="AH353" s="31">
        <v>370</v>
      </c>
      <c r="AI353" s="31">
        <v>315</v>
      </c>
      <c r="AJ353" s="37">
        <v>55</v>
      </c>
      <c r="AK353" s="37">
        <v>17.460317460317459</v>
      </c>
      <c r="AL353" s="36">
        <v>128</v>
      </c>
      <c r="AM353" s="36">
        <v>81</v>
      </c>
      <c r="AN353" s="37">
        <v>47</v>
      </c>
      <c r="AO353" s="37">
        <v>58.024691358024697</v>
      </c>
      <c r="AP353" s="38">
        <v>4147.5</v>
      </c>
      <c r="AQ353" s="39">
        <v>2864</v>
      </c>
      <c r="AR353" s="37">
        <v>1283.5</v>
      </c>
      <c r="AS353" s="37">
        <v>44.81494413407821</v>
      </c>
      <c r="AT353" s="36">
        <v>1271.5</v>
      </c>
      <c r="AU353" s="36">
        <v>1305</v>
      </c>
      <c r="AV353" s="37">
        <v>-33.5</v>
      </c>
      <c r="AW353" s="37">
        <v>-2.5670498084291187</v>
      </c>
      <c r="AX353" s="9">
        <v>41056344</v>
      </c>
      <c r="AY353" t="str">
        <f t="shared" si="118"/>
        <v>MOOLCHAND</v>
      </c>
      <c r="AZ353" t="str">
        <f t="shared" si="119"/>
        <v>New GT Road (NH44)</v>
      </c>
      <c r="BC353" s="5">
        <v>102102</v>
      </c>
      <c r="BD353" s="5" t="s">
        <v>581</v>
      </c>
      <c r="BE353" s="46" t="s">
        <v>867</v>
      </c>
      <c r="BF353" s="13" t="s">
        <v>868</v>
      </c>
      <c r="BG353" s="6" t="s">
        <v>75</v>
      </c>
      <c r="BH353" s="6" t="s">
        <v>76</v>
      </c>
      <c r="BI353" s="12" t="s">
        <v>76</v>
      </c>
      <c r="BJ353" s="51" t="s">
        <v>77</v>
      </c>
    </row>
    <row r="354" spans="1:62" ht="60.5" x14ac:dyDescent="0.35">
      <c r="A354">
        <v>186872</v>
      </c>
      <c r="B354" s="84">
        <f t="shared" si="100"/>
        <v>63</v>
      </c>
      <c r="C354" s="84">
        <f t="shared" si="101"/>
        <v>58.5</v>
      </c>
      <c r="E354" s="9">
        <v>41066793</v>
      </c>
      <c r="F354" s="85">
        <v>523</v>
      </c>
      <c r="G354" s="87">
        <v>562</v>
      </c>
      <c r="H354" s="20">
        <v>478.5</v>
      </c>
      <c r="I354" s="20">
        <v>580.5</v>
      </c>
      <c r="J354" s="20">
        <v>134.5</v>
      </c>
      <c r="K354" s="20">
        <v>156.5</v>
      </c>
      <c r="L354" s="85">
        <v>108</v>
      </c>
      <c r="M354" s="87">
        <v>107</v>
      </c>
      <c r="N354" s="5">
        <v>106334</v>
      </c>
      <c r="O354">
        <f t="shared" si="102"/>
        <v>216.5</v>
      </c>
      <c r="P354">
        <f t="shared" si="103"/>
        <v>183</v>
      </c>
      <c r="Q354">
        <f t="shared" si="104"/>
        <v>13.5</v>
      </c>
      <c r="R354">
        <f t="shared" si="105"/>
        <v>9</v>
      </c>
      <c r="S354">
        <f t="shared" si="106"/>
        <v>191</v>
      </c>
      <c r="T354">
        <f t="shared" si="107"/>
        <v>179</v>
      </c>
      <c r="U354">
        <f t="shared" si="108"/>
        <v>13</v>
      </c>
      <c r="V354">
        <f t="shared" si="109"/>
        <v>13</v>
      </c>
      <c r="X354" s="5">
        <v>206615</v>
      </c>
      <c r="Y354">
        <f t="shared" si="110"/>
        <v>184</v>
      </c>
      <c r="Z354">
        <f t="shared" si="111"/>
        <v>212</v>
      </c>
      <c r="AA354">
        <f t="shared" si="112"/>
        <v>44</v>
      </c>
      <c r="AB354">
        <f t="shared" si="113"/>
        <v>52</v>
      </c>
      <c r="AC354">
        <f t="shared" si="114"/>
        <v>2324</v>
      </c>
      <c r="AD354">
        <f t="shared" si="115"/>
        <v>1868</v>
      </c>
      <c r="AE354">
        <f t="shared" si="116"/>
        <v>508</v>
      </c>
      <c r="AF354">
        <f t="shared" si="117"/>
        <v>568</v>
      </c>
      <c r="AG354" s="5">
        <v>106334</v>
      </c>
      <c r="AH354" s="31">
        <v>216.5</v>
      </c>
      <c r="AI354" s="31">
        <v>183</v>
      </c>
      <c r="AJ354" s="37">
        <v>33.5</v>
      </c>
      <c r="AK354" s="37">
        <v>18.306010928961751</v>
      </c>
      <c r="AL354" s="36">
        <v>13.5</v>
      </c>
      <c r="AM354" s="36">
        <v>9</v>
      </c>
      <c r="AN354" s="37">
        <v>4.5</v>
      </c>
      <c r="AO354" s="37">
        <v>50</v>
      </c>
      <c r="AP354" s="38">
        <v>2367</v>
      </c>
      <c r="AQ354" s="39">
        <v>1904</v>
      </c>
      <c r="AR354" s="37">
        <v>463</v>
      </c>
      <c r="AS354" s="37">
        <v>24.317226890756302</v>
      </c>
      <c r="AT354" s="36">
        <v>121</v>
      </c>
      <c r="AU354" s="36">
        <v>148</v>
      </c>
      <c r="AV354" s="37">
        <v>-27</v>
      </c>
      <c r="AW354" s="37">
        <v>-18.243243243243242</v>
      </c>
      <c r="AX354" s="9">
        <v>41066793</v>
      </c>
      <c r="AY354" t="str">
        <f t="shared" si="118"/>
        <v>White Patch-Pitampura</v>
      </c>
      <c r="AZ354" t="str">
        <f t="shared" si="119"/>
        <v>Inner Ring Road</v>
      </c>
      <c r="BC354" s="5">
        <v>106334</v>
      </c>
      <c r="BD354" s="5" t="s">
        <v>581</v>
      </c>
      <c r="BE354" s="46" t="s">
        <v>869</v>
      </c>
      <c r="BF354" s="13" t="s">
        <v>870</v>
      </c>
      <c r="BG354" s="6" t="s">
        <v>111</v>
      </c>
      <c r="BH354" s="6" t="s">
        <v>414</v>
      </c>
      <c r="BI354" s="12" t="s">
        <v>414</v>
      </c>
      <c r="BJ354" s="51" t="s">
        <v>275</v>
      </c>
    </row>
    <row r="355" spans="1:62" ht="36.5" x14ac:dyDescent="0.35">
      <c r="A355">
        <v>112453</v>
      </c>
      <c r="B355" s="84">
        <f t="shared" si="100"/>
        <v>562.5</v>
      </c>
      <c r="C355" s="84">
        <f t="shared" si="101"/>
        <v>627</v>
      </c>
      <c r="E355" s="9">
        <v>41032431</v>
      </c>
      <c r="F355" s="85">
        <v>350</v>
      </c>
      <c r="G355" s="87">
        <v>374</v>
      </c>
      <c r="H355" s="20">
        <v>315</v>
      </c>
      <c r="I355" s="20">
        <v>348</v>
      </c>
      <c r="J355" s="20">
        <v>53</v>
      </c>
      <c r="K355" s="20">
        <v>70</v>
      </c>
      <c r="L355" s="85">
        <v>65</v>
      </c>
      <c r="M355" s="87">
        <v>77</v>
      </c>
      <c r="N355" s="5">
        <v>106335</v>
      </c>
      <c r="O355">
        <f t="shared" si="102"/>
        <v>27</v>
      </c>
      <c r="P355">
        <f t="shared" si="103"/>
        <v>16</v>
      </c>
      <c r="Q355">
        <f t="shared" si="104"/>
        <v>9</v>
      </c>
      <c r="R355">
        <f t="shared" si="105"/>
        <v>8</v>
      </c>
      <c r="S355">
        <f t="shared" si="106"/>
        <v>24</v>
      </c>
      <c r="T355">
        <f t="shared" si="107"/>
        <v>15</v>
      </c>
      <c r="U355">
        <f t="shared" si="108"/>
        <v>10</v>
      </c>
      <c r="V355">
        <f t="shared" si="109"/>
        <v>5</v>
      </c>
      <c r="X355" s="9">
        <v>41056533</v>
      </c>
      <c r="Y355">
        <f t="shared" si="110"/>
        <v>323.5</v>
      </c>
      <c r="Z355">
        <f t="shared" si="111"/>
        <v>276.5</v>
      </c>
      <c r="AA355">
        <f t="shared" si="112"/>
        <v>198.5</v>
      </c>
      <c r="AB355">
        <f t="shared" si="113"/>
        <v>196.5</v>
      </c>
      <c r="AC355">
        <f t="shared" si="114"/>
        <v>3516</v>
      </c>
      <c r="AD355">
        <f t="shared" si="115"/>
        <v>2679</v>
      </c>
      <c r="AE355">
        <f t="shared" si="116"/>
        <v>2240</v>
      </c>
      <c r="AF355">
        <f t="shared" si="117"/>
        <v>2547.5</v>
      </c>
      <c r="AG355" s="5">
        <v>106335</v>
      </c>
      <c r="AH355" s="31">
        <v>27</v>
      </c>
      <c r="AI355" s="31">
        <v>16</v>
      </c>
      <c r="AJ355" s="37">
        <v>11</v>
      </c>
      <c r="AK355" s="37">
        <v>68.75</v>
      </c>
      <c r="AL355" s="36">
        <v>9</v>
      </c>
      <c r="AM355" s="36">
        <v>8</v>
      </c>
      <c r="AN355" s="37">
        <v>1</v>
      </c>
      <c r="AO355" s="37">
        <v>12.5</v>
      </c>
      <c r="AP355" s="38">
        <v>282.5</v>
      </c>
      <c r="AQ355" s="39">
        <v>176.5</v>
      </c>
      <c r="AR355" s="37">
        <v>106</v>
      </c>
      <c r="AS355" s="37">
        <v>60.056657223796037</v>
      </c>
      <c r="AT355" s="36">
        <v>109.5</v>
      </c>
      <c r="AU355" s="36">
        <v>104.5</v>
      </c>
      <c r="AV355" s="37">
        <v>5</v>
      </c>
      <c r="AW355" s="37">
        <v>4.7846889952153111</v>
      </c>
      <c r="AX355" s="9">
        <v>41032431</v>
      </c>
      <c r="AY355" t="str">
        <f t="shared" si="118"/>
        <v>KIRTINANAK</v>
      </c>
      <c r="AZ355" t="str">
        <f t="shared" si="119"/>
        <v>Rohtak Road</v>
      </c>
      <c r="BC355" s="5">
        <v>106335</v>
      </c>
      <c r="BD355" s="5" t="s">
        <v>581</v>
      </c>
      <c r="BE355" s="46" t="s">
        <v>871</v>
      </c>
      <c r="BF355" s="13" t="s">
        <v>434</v>
      </c>
      <c r="BG355" s="6" t="s">
        <v>200</v>
      </c>
      <c r="BH355" s="6" t="s">
        <v>300</v>
      </c>
      <c r="BI355" s="12" t="s">
        <v>300</v>
      </c>
      <c r="BJ355" s="51" t="s">
        <v>872</v>
      </c>
    </row>
    <row r="356" spans="1:62" ht="72.5" x14ac:dyDescent="0.35">
      <c r="A356">
        <v>186865</v>
      </c>
      <c r="B356" s="84">
        <f t="shared" si="100"/>
        <v>317</v>
      </c>
      <c r="C356" s="84">
        <f t="shared" si="101"/>
        <v>325</v>
      </c>
      <c r="E356" s="9">
        <v>41056542</v>
      </c>
      <c r="F356" s="85">
        <v>309</v>
      </c>
      <c r="G356" s="87">
        <v>365.5</v>
      </c>
      <c r="H356" s="20">
        <v>328</v>
      </c>
      <c r="I356" s="20">
        <v>367.5</v>
      </c>
      <c r="J356" s="20">
        <v>87</v>
      </c>
      <c r="K356" s="20">
        <v>85.5</v>
      </c>
      <c r="L356" s="85">
        <v>82</v>
      </c>
      <c r="M356" s="87">
        <v>88.5</v>
      </c>
      <c r="N356" s="5">
        <v>356678</v>
      </c>
      <c r="O356">
        <f t="shared" si="102"/>
        <v>501.79899999999901</v>
      </c>
      <c r="P356">
        <f t="shared" si="103"/>
        <v>488</v>
      </c>
      <c r="Q356">
        <f t="shared" si="104"/>
        <v>61.103000000000002</v>
      </c>
      <c r="R356">
        <f t="shared" si="105"/>
        <v>54</v>
      </c>
      <c r="S356">
        <f t="shared" si="106"/>
        <v>453.89400000000001</v>
      </c>
      <c r="T356">
        <f t="shared" si="107"/>
        <v>470.80600000000004</v>
      </c>
      <c r="U356">
        <f t="shared" si="108"/>
        <v>52.351999999999897</v>
      </c>
      <c r="V356">
        <f t="shared" si="109"/>
        <v>52.112000000000002</v>
      </c>
      <c r="X356" s="9">
        <v>41019284</v>
      </c>
      <c r="Y356">
        <f t="shared" si="110"/>
        <v>255</v>
      </c>
      <c r="Z356">
        <f t="shared" si="111"/>
        <v>224</v>
      </c>
      <c r="AA356">
        <f t="shared" si="112"/>
        <v>53</v>
      </c>
      <c r="AB356">
        <f t="shared" si="113"/>
        <v>41</v>
      </c>
      <c r="AC356">
        <f t="shared" si="114"/>
        <v>2822</v>
      </c>
      <c r="AD356">
        <f t="shared" si="115"/>
        <v>2265.5</v>
      </c>
      <c r="AE356">
        <f t="shared" si="116"/>
        <v>502</v>
      </c>
      <c r="AF356">
        <f t="shared" si="117"/>
        <v>544.5</v>
      </c>
      <c r="AG356" s="5">
        <v>356678</v>
      </c>
      <c r="AH356" s="31">
        <v>501.79899999999901</v>
      </c>
      <c r="AI356" s="31">
        <v>488</v>
      </c>
      <c r="AJ356" s="37">
        <v>13.798999999999012</v>
      </c>
      <c r="AK356" s="37">
        <v>2.827663934426027</v>
      </c>
      <c r="AL356" s="36">
        <v>61.103000000000002</v>
      </c>
      <c r="AM356" s="36">
        <v>54</v>
      </c>
      <c r="AN356" s="37">
        <v>7.1030000000000015</v>
      </c>
      <c r="AO356" s="37">
        <v>13.153703703703707</v>
      </c>
      <c r="AP356" s="38">
        <v>6107.8259999999991</v>
      </c>
      <c r="AQ356" s="39">
        <v>4695.2299999999996</v>
      </c>
      <c r="AR356" s="37">
        <v>1412.5959999999995</v>
      </c>
      <c r="AS356" s="37">
        <v>30.085767896354376</v>
      </c>
      <c r="AT356" s="36">
        <v>599.80499999999984</v>
      </c>
      <c r="AU356" s="36">
        <v>582.10499999999968</v>
      </c>
      <c r="AV356" s="37">
        <v>17.700000000000159</v>
      </c>
      <c r="AW356" s="37">
        <v>3.040688535573508</v>
      </c>
      <c r="AX356" s="9">
        <v>41056542</v>
      </c>
      <c r="AY356" t="str">
        <f t="shared" si="118"/>
        <v>AUTO REST_OKHLA</v>
      </c>
      <c r="AZ356" t="str">
        <f t="shared" si="119"/>
        <v>Mathura Road</v>
      </c>
      <c r="BC356" s="5">
        <v>356678</v>
      </c>
      <c r="BD356" s="5" t="s">
        <v>581</v>
      </c>
      <c r="BE356" s="46" t="s">
        <v>873</v>
      </c>
      <c r="BF356" s="13" t="s">
        <v>874</v>
      </c>
      <c r="BG356" s="6" t="s">
        <v>75</v>
      </c>
      <c r="BH356" s="6" t="s">
        <v>865</v>
      </c>
      <c r="BI356" s="12" t="s">
        <v>865</v>
      </c>
      <c r="BJ356" s="51" t="s">
        <v>77</v>
      </c>
    </row>
    <row r="357" spans="1:62" ht="36.5" x14ac:dyDescent="0.35">
      <c r="A357">
        <v>102120</v>
      </c>
      <c r="B357" s="84">
        <f t="shared" si="100"/>
        <v>306</v>
      </c>
      <c r="C357" s="84">
        <f t="shared" si="101"/>
        <v>405</v>
      </c>
      <c r="E357" s="9">
        <v>41056998</v>
      </c>
      <c r="F357" s="85">
        <v>143.5</v>
      </c>
      <c r="G357" s="87">
        <v>157.5</v>
      </c>
      <c r="H357" s="20">
        <v>151</v>
      </c>
      <c r="I357" s="20">
        <v>172</v>
      </c>
      <c r="J357" s="20">
        <v>61</v>
      </c>
      <c r="K357" s="20">
        <v>49</v>
      </c>
      <c r="L357" s="85">
        <v>35.5</v>
      </c>
      <c r="M357" s="87">
        <v>51.5</v>
      </c>
      <c r="N357" s="5">
        <v>186862</v>
      </c>
      <c r="O357">
        <f t="shared" si="102"/>
        <v>415</v>
      </c>
      <c r="P357">
        <f t="shared" si="103"/>
        <v>400.5</v>
      </c>
      <c r="Q357">
        <f t="shared" si="104"/>
        <v>105</v>
      </c>
      <c r="R357">
        <f t="shared" si="105"/>
        <v>83.5</v>
      </c>
      <c r="S357">
        <f t="shared" si="106"/>
        <v>397</v>
      </c>
      <c r="T357">
        <f t="shared" si="107"/>
        <v>379</v>
      </c>
      <c r="U357">
        <f t="shared" si="108"/>
        <v>99</v>
      </c>
      <c r="V357">
        <f t="shared" si="109"/>
        <v>127</v>
      </c>
      <c r="X357" s="5">
        <v>102108</v>
      </c>
      <c r="Y357">
        <f t="shared" si="110"/>
        <v>265.5</v>
      </c>
      <c r="Z357">
        <f t="shared" si="111"/>
        <v>225</v>
      </c>
      <c r="AA357">
        <f t="shared" si="112"/>
        <v>22.5</v>
      </c>
      <c r="AB357">
        <f t="shared" si="113"/>
        <v>27</v>
      </c>
      <c r="AC357">
        <f t="shared" si="114"/>
        <v>2970</v>
      </c>
      <c r="AD357">
        <f t="shared" si="115"/>
        <v>2334</v>
      </c>
      <c r="AE357">
        <f t="shared" si="116"/>
        <v>298</v>
      </c>
      <c r="AF357">
        <f t="shared" si="117"/>
        <v>271</v>
      </c>
      <c r="AG357" s="5">
        <v>186862</v>
      </c>
      <c r="AH357" s="31">
        <v>415</v>
      </c>
      <c r="AI357" s="31">
        <v>400.5</v>
      </c>
      <c r="AJ357" s="37">
        <v>14.5</v>
      </c>
      <c r="AK357" s="37">
        <v>3.6204744069912609</v>
      </c>
      <c r="AL357" s="36">
        <v>105</v>
      </c>
      <c r="AM357" s="36">
        <v>83.5</v>
      </c>
      <c r="AN357" s="37">
        <v>21.5</v>
      </c>
      <c r="AO357" s="37">
        <v>25.748502994011975</v>
      </c>
      <c r="AP357" s="38">
        <v>5103</v>
      </c>
      <c r="AQ357" s="39">
        <v>4056.5</v>
      </c>
      <c r="AR357" s="37">
        <v>1046.5</v>
      </c>
      <c r="AS357" s="37">
        <v>25.798101811906815</v>
      </c>
      <c r="AT357" s="36">
        <v>1225</v>
      </c>
      <c r="AU357" s="36">
        <v>1388</v>
      </c>
      <c r="AV357" s="37">
        <v>-163</v>
      </c>
      <c r="AW357" s="37">
        <v>-11.743515850144092</v>
      </c>
      <c r="AX357" s="9">
        <v>41056998</v>
      </c>
      <c r="AY357" t="str">
        <f t="shared" si="118"/>
        <v>CAR CARE</v>
      </c>
      <c r="AZ357" t="str">
        <f t="shared" si="119"/>
        <v>Lutyens</v>
      </c>
      <c r="BC357" s="5">
        <v>186862</v>
      </c>
      <c r="BD357" s="5" t="s">
        <v>581</v>
      </c>
      <c r="BE357" s="46" t="s">
        <v>875</v>
      </c>
      <c r="BF357" s="13" t="s">
        <v>461</v>
      </c>
      <c r="BG357" s="6" t="s">
        <v>228</v>
      </c>
      <c r="BH357" s="6" t="s">
        <v>462</v>
      </c>
      <c r="BI357" s="12" t="s">
        <v>462</v>
      </c>
      <c r="BJ357" s="51" t="s">
        <v>230</v>
      </c>
    </row>
    <row r="358" spans="1:62" ht="60.5" x14ac:dyDescent="0.35">
      <c r="A358">
        <v>112454</v>
      </c>
      <c r="B358" s="84">
        <f t="shared" si="100"/>
        <v>400</v>
      </c>
      <c r="C358" s="84">
        <f t="shared" si="101"/>
        <v>465</v>
      </c>
      <c r="E358" s="9">
        <v>41056327</v>
      </c>
      <c r="F358" s="85">
        <v>440</v>
      </c>
      <c r="G358" s="87">
        <v>512</v>
      </c>
      <c r="H358" s="20">
        <v>428</v>
      </c>
      <c r="I358" s="20">
        <v>479</v>
      </c>
      <c r="J358" s="20">
        <v>104</v>
      </c>
      <c r="K358" s="20">
        <v>118</v>
      </c>
      <c r="L358" s="85">
        <v>110</v>
      </c>
      <c r="M358" s="87">
        <v>126</v>
      </c>
      <c r="N358" s="5">
        <v>102078</v>
      </c>
      <c r="O358">
        <f t="shared" si="102"/>
        <v>146</v>
      </c>
      <c r="P358">
        <f t="shared" si="103"/>
        <v>145</v>
      </c>
      <c r="Q358">
        <f t="shared" si="104"/>
        <v>50</v>
      </c>
      <c r="R358">
        <f t="shared" si="105"/>
        <v>91</v>
      </c>
      <c r="S358">
        <f t="shared" si="106"/>
        <v>128</v>
      </c>
      <c r="T358">
        <f t="shared" si="107"/>
        <v>108</v>
      </c>
      <c r="U358">
        <f t="shared" si="108"/>
        <v>50</v>
      </c>
      <c r="V358">
        <f t="shared" si="109"/>
        <v>72</v>
      </c>
      <c r="X358" s="3">
        <v>128472</v>
      </c>
      <c r="Y358">
        <f t="shared" si="110"/>
        <v>375</v>
      </c>
      <c r="Z358">
        <f t="shared" si="111"/>
        <v>315</v>
      </c>
      <c r="AA358">
        <f t="shared" si="112"/>
        <v>65</v>
      </c>
      <c r="AB358">
        <f t="shared" si="113"/>
        <v>65</v>
      </c>
      <c r="AC358">
        <f t="shared" si="114"/>
        <v>3810</v>
      </c>
      <c r="AD358">
        <f t="shared" si="115"/>
        <v>3137.5</v>
      </c>
      <c r="AE358">
        <f t="shared" si="116"/>
        <v>730</v>
      </c>
      <c r="AF358">
        <f t="shared" si="117"/>
        <v>768.5</v>
      </c>
      <c r="AG358" s="5">
        <v>102078</v>
      </c>
      <c r="AH358" s="31">
        <v>146</v>
      </c>
      <c r="AI358" s="31">
        <v>145</v>
      </c>
      <c r="AJ358" s="37">
        <v>1</v>
      </c>
      <c r="AK358" s="37">
        <v>0.68965517241379315</v>
      </c>
      <c r="AL358" s="36">
        <v>50</v>
      </c>
      <c r="AM358" s="36">
        <v>91</v>
      </c>
      <c r="AN358" s="37">
        <v>-41</v>
      </c>
      <c r="AO358" s="37">
        <v>-45.054945054945058</v>
      </c>
      <c r="AP358" s="38">
        <v>1823.5</v>
      </c>
      <c r="AQ358" s="39">
        <v>1376</v>
      </c>
      <c r="AR358" s="37">
        <v>447.5</v>
      </c>
      <c r="AS358" s="37">
        <v>32.521802325581397</v>
      </c>
      <c r="AT358" s="36">
        <v>710.5</v>
      </c>
      <c r="AU358" s="36">
        <v>721</v>
      </c>
      <c r="AV358" s="37">
        <v>-10.5</v>
      </c>
      <c r="AW358" s="37">
        <v>-1.4563106796116505</v>
      </c>
      <c r="AX358" s="9">
        <v>41056327</v>
      </c>
      <c r="AY358" t="str">
        <f t="shared" si="118"/>
        <v>ANIL-SHANKAR</v>
      </c>
      <c r="AZ358" t="str">
        <f t="shared" si="119"/>
        <v>Rohtak Road</v>
      </c>
      <c r="BC358" s="5">
        <v>102078</v>
      </c>
      <c r="BD358" s="5" t="s">
        <v>581</v>
      </c>
      <c r="BE358" s="46" t="s">
        <v>876</v>
      </c>
      <c r="BF358" s="13" t="s">
        <v>877</v>
      </c>
      <c r="BG358" s="6" t="s">
        <v>75</v>
      </c>
      <c r="BH358" s="6" t="s">
        <v>220</v>
      </c>
      <c r="BI358" s="12" t="s">
        <v>220</v>
      </c>
      <c r="BJ358" s="51" t="s">
        <v>77</v>
      </c>
    </row>
    <row r="359" spans="1:62" ht="60.5" x14ac:dyDescent="0.35">
      <c r="A359">
        <v>112455</v>
      </c>
      <c r="B359" s="84">
        <f t="shared" si="100"/>
        <v>84</v>
      </c>
      <c r="C359" s="84">
        <f t="shared" si="101"/>
        <v>103</v>
      </c>
      <c r="E359" s="9">
        <v>41019255</v>
      </c>
      <c r="F359" s="85">
        <v>160.5</v>
      </c>
      <c r="G359" s="87">
        <v>185.5</v>
      </c>
      <c r="H359" s="20">
        <v>156</v>
      </c>
      <c r="I359" s="20">
        <v>171</v>
      </c>
      <c r="J359" s="20">
        <v>72</v>
      </c>
      <c r="K359" s="20">
        <v>82</v>
      </c>
      <c r="L359" s="85">
        <v>74.5</v>
      </c>
      <c r="M359" s="87">
        <v>88.5</v>
      </c>
      <c r="N359" s="5">
        <v>186855</v>
      </c>
      <c r="O359">
        <f t="shared" si="102"/>
        <v>495</v>
      </c>
      <c r="P359">
        <f t="shared" si="103"/>
        <v>445</v>
      </c>
      <c r="Q359">
        <f t="shared" si="104"/>
        <v>105</v>
      </c>
      <c r="R359">
        <f t="shared" si="105"/>
        <v>175</v>
      </c>
      <c r="S359">
        <f t="shared" si="106"/>
        <v>435</v>
      </c>
      <c r="T359">
        <f t="shared" si="107"/>
        <v>410</v>
      </c>
      <c r="U359">
        <f t="shared" si="108"/>
        <v>85</v>
      </c>
      <c r="V359">
        <f t="shared" si="109"/>
        <v>190</v>
      </c>
      <c r="X359" s="3">
        <v>146411</v>
      </c>
      <c r="Y359">
        <f t="shared" si="110"/>
        <v>85</v>
      </c>
      <c r="Z359">
        <f t="shared" si="111"/>
        <v>93</v>
      </c>
      <c r="AA359">
        <f t="shared" si="112"/>
        <v>55</v>
      </c>
      <c r="AB359">
        <f t="shared" si="113"/>
        <v>53</v>
      </c>
      <c r="AC359">
        <f t="shared" si="114"/>
        <v>985</v>
      </c>
      <c r="AD359">
        <f t="shared" si="115"/>
        <v>817.00000399999999</v>
      </c>
      <c r="AE359">
        <f t="shared" si="116"/>
        <v>595</v>
      </c>
      <c r="AF359">
        <f t="shared" si="117"/>
        <v>599</v>
      </c>
      <c r="AG359" s="5">
        <v>186855</v>
      </c>
      <c r="AH359" s="31">
        <v>495</v>
      </c>
      <c r="AI359" s="31">
        <v>445</v>
      </c>
      <c r="AJ359" s="37">
        <v>50</v>
      </c>
      <c r="AK359" s="37">
        <v>11.235955056179774</v>
      </c>
      <c r="AL359" s="36">
        <v>105</v>
      </c>
      <c r="AM359" s="36">
        <v>175</v>
      </c>
      <c r="AN359" s="37">
        <v>-70</v>
      </c>
      <c r="AO359" s="37">
        <v>-40</v>
      </c>
      <c r="AP359" s="38">
        <v>5645</v>
      </c>
      <c r="AQ359" s="39">
        <v>4615</v>
      </c>
      <c r="AR359" s="37">
        <v>1030</v>
      </c>
      <c r="AS359" s="37">
        <v>22.318526543878654</v>
      </c>
      <c r="AT359" s="36">
        <v>1695</v>
      </c>
      <c r="AU359" s="36">
        <v>2482</v>
      </c>
      <c r="AV359" s="37">
        <v>-787</v>
      </c>
      <c r="AW359" s="37">
        <v>-31.708299758259468</v>
      </c>
      <c r="AX359" s="9">
        <v>41019255</v>
      </c>
      <c r="AY359" t="str">
        <f t="shared" si="118"/>
        <v>SHOKEEN_JAI SHREEKRISHNA_SHANTI</v>
      </c>
      <c r="AZ359" t="str">
        <f t="shared" si="119"/>
        <v>Nazafgarh-Kapashera</v>
      </c>
      <c r="BC359" s="5">
        <v>186855</v>
      </c>
      <c r="BD359" s="5" t="s">
        <v>581</v>
      </c>
      <c r="BE359" s="46" t="s">
        <v>878</v>
      </c>
      <c r="BF359" s="13" t="s">
        <v>879</v>
      </c>
      <c r="BG359" s="6" t="s">
        <v>75</v>
      </c>
      <c r="BH359" s="6" t="s">
        <v>220</v>
      </c>
      <c r="BI359" s="12" t="s">
        <v>220</v>
      </c>
      <c r="BJ359" s="51" t="s">
        <v>77</v>
      </c>
    </row>
    <row r="360" spans="1:62" ht="36.5" x14ac:dyDescent="0.35">
      <c r="A360">
        <v>106360</v>
      </c>
      <c r="B360" s="84">
        <f t="shared" si="100"/>
        <v>484</v>
      </c>
      <c r="C360" s="84">
        <f t="shared" si="101"/>
        <v>564</v>
      </c>
      <c r="E360" s="9">
        <v>41057013</v>
      </c>
      <c r="F360" s="85">
        <v>265.5</v>
      </c>
      <c r="G360" s="87">
        <v>262</v>
      </c>
      <c r="H360" s="20">
        <v>241</v>
      </c>
      <c r="I360" s="20">
        <v>275</v>
      </c>
      <c r="J360" s="20">
        <v>23</v>
      </c>
      <c r="K360" s="20">
        <v>22</v>
      </c>
      <c r="L360" s="85">
        <v>22.5</v>
      </c>
      <c r="M360" s="87">
        <v>18</v>
      </c>
      <c r="N360" s="5">
        <v>106336</v>
      </c>
      <c r="O360">
        <f t="shared" si="102"/>
        <v>823</v>
      </c>
      <c r="P360">
        <f t="shared" si="103"/>
        <v>775</v>
      </c>
      <c r="Q360">
        <f t="shared" si="104"/>
        <v>109</v>
      </c>
      <c r="R360">
        <f t="shared" si="105"/>
        <v>105</v>
      </c>
      <c r="S360">
        <f t="shared" si="106"/>
        <v>740</v>
      </c>
      <c r="T360">
        <f t="shared" si="107"/>
        <v>699</v>
      </c>
      <c r="U360">
        <f t="shared" si="108"/>
        <v>94</v>
      </c>
      <c r="V360">
        <f t="shared" si="109"/>
        <v>95</v>
      </c>
      <c r="X360" s="3">
        <v>112385</v>
      </c>
      <c r="Y360">
        <f t="shared" si="110"/>
        <v>390</v>
      </c>
      <c r="Z360">
        <f t="shared" si="111"/>
        <v>405</v>
      </c>
      <c r="AA360">
        <f t="shared" si="112"/>
        <v>70</v>
      </c>
      <c r="AB360">
        <f t="shared" si="113"/>
        <v>55</v>
      </c>
      <c r="AC360">
        <f t="shared" si="114"/>
        <v>4975</v>
      </c>
      <c r="AD360">
        <f t="shared" si="115"/>
        <v>4170</v>
      </c>
      <c r="AE360">
        <f t="shared" si="116"/>
        <v>685</v>
      </c>
      <c r="AF360">
        <f t="shared" si="117"/>
        <v>800</v>
      </c>
      <c r="AG360" s="5">
        <v>106336</v>
      </c>
      <c r="AH360" s="31">
        <v>823</v>
      </c>
      <c r="AI360" s="31">
        <v>775</v>
      </c>
      <c r="AJ360" s="37">
        <v>48</v>
      </c>
      <c r="AK360" s="37">
        <v>6.193548387096774</v>
      </c>
      <c r="AL360" s="36">
        <v>109</v>
      </c>
      <c r="AM360" s="36">
        <v>105</v>
      </c>
      <c r="AN360" s="37">
        <v>4</v>
      </c>
      <c r="AO360" s="37">
        <v>3.8095238095238098</v>
      </c>
      <c r="AP360" s="38">
        <v>9572</v>
      </c>
      <c r="AQ360" s="39">
        <v>8076</v>
      </c>
      <c r="AR360" s="37">
        <v>1496</v>
      </c>
      <c r="AS360" s="37">
        <v>18.524021792966817</v>
      </c>
      <c r="AT360" s="36">
        <v>1202</v>
      </c>
      <c r="AU360" s="36">
        <v>1294</v>
      </c>
      <c r="AV360" s="37">
        <v>-92</v>
      </c>
      <c r="AW360" s="37">
        <v>-7.1097372488408039</v>
      </c>
      <c r="AX360" s="9">
        <v>41057013</v>
      </c>
      <c r="AY360" t="str">
        <f t="shared" si="118"/>
        <v>FAST TRACK-VEEJAY</v>
      </c>
      <c r="AZ360" t="str">
        <f t="shared" si="119"/>
        <v>Ashok Vihar</v>
      </c>
      <c r="BC360" s="5">
        <v>106336</v>
      </c>
      <c r="BD360" s="5" t="s">
        <v>581</v>
      </c>
      <c r="BE360" s="46" t="s">
        <v>880</v>
      </c>
      <c r="BF360" s="13" t="s">
        <v>881</v>
      </c>
      <c r="BG360" s="6" t="s">
        <v>81</v>
      </c>
      <c r="BH360" s="6" t="s">
        <v>195</v>
      </c>
      <c r="BI360" s="12" t="s">
        <v>195</v>
      </c>
      <c r="BJ360" s="51" t="s">
        <v>135</v>
      </c>
    </row>
    <row r="361" spans="1:62" ht="48.5" x14ac:dyDescent="0.35">
      <c r="A361">
        <v>206614</v>
      </c>
      <c r="B361" s="84">
        <f t="shared" si="100"/>
        <v>221</v>
      </c>
      <c r="C361" s="84">
        <f t="shared" si="101"/>
        <v>244</v>
      </c>
      <c r="E361" s="9">
        <v>41056828</v>
      </c>
      <c r="F361" s="85">
        <v>282</v>
      </c>
      <c r="G361" s="87">
        <v>278.5</v>
      </c>
      <c r="H361" s="20">
        <v>238.5</v>
      </c>
      <c r="I361" s="20">
        <v>262</v>
      </c>
      <c r="J361" s="20">
        <v>66.5</v>
      </c>
      <c r="K361" s="20">
        <v>65</v>
      </c>
      <c r="L361" s="85">
        <v>60</v>
      </c>
      <c r="M361" s="87">
        <v>73.5</v>
      </c>
      <c r="N361" s="5">
        <v>106337</v>
      </c>
      <c r="O361">
        <f t="shared" si="102"/>
        <v>237.5</v>
      </c>
      <c r="P361">
        <f t="shared" si="103"/>
        <v>225.5</v>
      </c>
      <c r="Q361">
        <f t="shared" si="104"/>
        <v>48.5</v>
      </c>
      <c r="R361">
        <f t="shared" si="105"/>
        <v>60.5</v>
      </c>
      <c r="S361">
        <f t="shared" si="106"/>
        <v>222</v>
      </c>
      <c r="T361">
        <f t="shared" si="107"/>
        <v>200</v>
      </c>
      <c r="U361">
        <f t="shared" si="108"/>
        <v>50</v>
      </c>
      <c r="V361">
        <f t="shared" si="109"/>
        <v>54</v>
      </c>
      <c r="X361" s="9">
        <v>41057005</v>
      </c>
      <c r="Y361">
        <f t="shared" si="110"/>
        <v>665</v>
      </c>
      <c r="Z361">
        <f t="shared" si="111"/>
        <v>650</v>
      </c>
      <c r="AA361">
        <f t="shared" si="112"/>
        <v>155</v>
      </c>
      <c r="AB361">
        <f t="shared" si="113"/>
        <v>185</v>
      </c>
      <c r="AC361">
        <f t="shared" si="114"/>
        <v>8360</v>
      </c>
      <c r="AD361">
        <f t="shared" si="115"/>
        <v>6603.5</v>
      </c>
      <c r="AE361">
        <f t="shared" si="116"/>
        <v>2081</v>
      </c>
      <c r="AF361">
        <f t="shared" si="117"/>
        <v>2328.5</v>
      </c>
      <c r="AG361" s="5">
        <v>106337</v>
      </c>
      <c r="AH361" s="31">
        <v>237.5</v>
      </c>
      <c r="AI361" s="31">
        <v>225.5</v>
      </c>
      <c r="AJ361" s="37">
        <v>12</v>
      </c>
      <c r="AK361" s="37">
        <v>5.3215077605321506</v>
      </c>
      <c r="AL361" s="36">
        <v>48.5</v>
      </c>
      <c r="AM361" s="36">
        <v>60.5</v>
      </c>
      <c r="AN361" s="37">
        <v>-12</v>
      </c>
      <c r="AO361" s="37">
        <v>-19.834710743801654</v>
      </c>
      <c r="AP361" s="38">
        <v>2799.5</v>
      </c>
      <c r="AQ361" s="39">
        <v>2135.5</v>
      </c>
      <c r="AR361" s="37">
        <v>664</v>
      </c>
      <c r="AS361" s="37">
        <v>31.093420744556312</v>
      </c>
      <c r="AT361" s="36">
        <v>616.5</v>
      </c>
      <c r="AU361" s="36">
        <v>725</v>
      </c>
      <c r="AV361" s="37">
        <v>-108.5</v>
      </c>
      <c r="AW361" s="37">
        <v>-14.965517241379311</v>
      </c>
      <c r="AX361" s="9">
        <v>41056828</v>
      </c>
      <c r="AY361" t="str">
        <f t="shared" si="118"/>
        <v>White Patch_Aurbindo marg to Ring Rod South Ex</v>
      </c>
      <c r="AZ361" t="str">
        <f t="shared" si="119"/>
        <v>Lutyens</v>
      </c>
      <c r="BC361" s="5">
        <v>106337</v>
      </c>
      <c r="BD361" s="5" t="s">
        <v>581</v>
      </c>
      <c r="BE361" s="46" t="s">
        <v>882</v>
      </c>
      <c r="BF361" s="13" t="s">
        <v>883</v>
      </c>
      <c r="BG361" s="6" t="s">
        <v>103</v>
      </c>
      <c r="BH361" s="6" t="s">
        <v>884</v>
      </c>
      <c r="BI361" s="12" t="s">
        <v>884</v>
      </c>
      <c r="BJ361" s="51" t="s">
        <v>96</v>
      </c>
    </row>
    <row r="362" spans="1:62" ht="48.5" x14ac:dyDescent="0.35">
      <c r="A362">
        <v>41076270</v>
      </c>
      <c r="B362" s="84">
        <f t="shared" si="100"/>
        <v>96</v>
      </c>
      <c r="C362" s="84">
        <f t="shared" si="101"/>
        <v>112</v>
      </c>
      <c r="E362" s="9">
        <v>41019268</v>
      </c>
      <c r="F362" s="85">
        <v>324</v>
      </c>
      <c r="G362" s="87">
        <v>381</v>
      </c>
      <c r="H362" s="20">
        <v>280</v>
      </c>
      <c r="I362" s="20">
        <v>291</v>
      </c>
      <c r="J362" s="20">
        <v>28</v>
      </c>
      <c r="K362" s="20">
        <v>29</v>
      </c>
      <c r="L362" s="85">
        <v>28</v>
      </c>
      <c r="M362" s="87">
        <v>37</v>
      </c>
      <c r="N362" s="5">
        <v>186851</v>
      </c>
      <c r="O362">
        <f t="shared" si="102"/>
        <v>72</v>
      </c>
      <c r="P362">
        <f t="shared" si="103"/>
        <v>68</v>
      </c>
      <c r="Q362">
        <f t="shared" si="104"/>
        <v>48</v>
      </c>
      <c r="R362">
        <f t="shared" si="105"/>
        <v>28</v>
      </c>
      <c r="S362">
        <f t="shared" si="106"/>
        <v>56</v>
      </c>
      <c r="T362">
        <f t="shared" si="107"/>
        <v>48</v>
      </c>
      <c r="U362">
        <f t="shared" si="108"/>
        <v>28</v>
      </c>
      <c r="V362">
        <f t="shared" si="109"/>
        <v>36</v>
      </c>
      <c r="X362" s="5">
        <v>172351</v>
      </c>
      <c r="Y362">
        <f t="shared" si="110"/>
        <v>0</v>
      </c>
      <c r="Z362">
        <f t="shared" si="111"/>
        <v>0</v>
      </c>
      <c r="AA362">
        <f t="shared" si="112"/>
        <v>0</v>
      </c>
      <c r="AB362">
        <f t="shared" si="113"/>
        <v>12</v>
      </c>
      <c r="AC362">
        <f t="shared" si="114"/>
        <v>0</v>
      </c>
      <c r="AD362">
        <f t="shared" si="115"/>
        <v>0</v>
      </c>
      <c r="AE362">
        <f t="shared" si="116"/>
        <v>74</v>
      </c>
      <c r="AF362">
        <f t="shared" si="117"/>
        <v>184</v>
      </c>
      <c r="AG362" s="5">
        <v>186851</v>
      </c>
      <c r="AH362" s="31">
        <v>72</v>
      </c>
      <c r="AI362" s="31">
        <v>68</v>
      </c>
      <c r="AJ362" s="37">
        <v>4</v>
      </c>
      <c r="AK362" s="37">
        <v>5.8823529411764701</v>
      </c>
      <c r="AL362" s="36">
        <v>48</v>
      </c>
      <c r="AM362" s="36">
        <v>28</v>
      </c>
      <c r="AN362" s="37">
        <v>20</v>
      </c>
      <c r="AO362" s="37">
        <v>71.428571428571431</v>
      </c>
      <c r="AP362" s="38">
        <v>737</v>
      </c>
      <c r="AQ362" s="39">
        <v>564</v>
      </c>
      <c r="AR362" s="37">
        <v>173</v>
      </c>
      <c r="AS362" s="37">
        <v>30.673758865248228</v>
      </c>
      <c r="AT362" s="36">
        <v>541</v>
      </c>
      <c r="AU362" s="36">
        <v>520</v>
      </c>
      <c r="AV362" s="37">
        <v>21</v>
      </c>
      <c r="AW362" s="37">
        <v>4.0384615384615383</v>
      </c>
      <c r="AX362" s="9">
        <v>41019268</v>
      </c>
      <c r="AY362" t="str">
        <f t="shared" si="118"/>
        <v>White Patch_Old GT Road</v>
      </c>
      <c r="AZ362" t="str">
        <f t="shared" si="119"/>
        <v>Old GT Road (NH1)</v>
      </c>
      <c r="BC362" s="5">
        <v>186851</v>
      </c>
      <c r="BD362" s="5" t="s">
        <v>581</v>
      </c>
      <c r="BE362" s="46" t="s">
        <v>885</v>
      </c>
      <c r="BF362" s="13" t="s">
        <v>886</v>
      </c>
      <c r="BG362" s="6" t="s">
        <v>85</v>
      </c>
      <c r="BH362" s="6" t="s">
        <v>192</v>
      </c>
      <c r="BI362" s="12" t="s">
        <v>192</v>
      </c>
      <c r="BJ362" s="51" t="s">
        <v>178</v>
      </c>
    </row>
    <row r="363" spans="1:62" ht="48.5" x14ac:dyDescent="0.35">
      <c r="A363">
        <v>102083</v>
      </c>
      <c r="B363" s="84">
        <f t="shared" si="100"/>
        <v>243</v>
      </c>
      <c r="C363" s="84">
        <f t="shared" si="101"/>
        <v>222.5</v>
      </c>
      <c r="E363" s="9">
        <v>41056999</v>
      </c>
      <c r="F363" s="85">
        <v>244</v>
      </c>
      <c r="G363" s="87">
        <v>283</v>
      </c>
      <c r="H363" s="20">
        <v>221</v>
      </c>
      <c r="I363" s="20">
        <v>257</v>
      </c>
      <c r="J363" s="20">
        <v>208</v>
      </c>
      <c r="K363" s="20">
        <v>256</v>
      </c>
      <c r="L363" s="85">
        <v>240</v>
      </c>
      <c r="M363" s="87">
        <v>300</v>
      </c>
      <c r="N363" s="5">
        <v>255817</v>
      </c>
      <c r="O363">
        <f t="shared" si="102"/>
        <v>296</v>
      </c>
      <c r="P363">
        <f t="shared" si="103"/>
        <v>266</v>
      </c>
      <c r="Q363">
        <f t="shared" si="104"/>
        <v>55.5</v>
      </c>
      <c r="R363">
        <f t="shared" si="105"/>
        <v>57</v>
      </c>
      <c r="S363">
        <f t="shared" si="106"/>
        <v>279.5</v>
      </c>
      <c r="T363">
        <f t="shared" si="107"/>
        <v>226</v>
      </c>
      <c r="U363">
        <f t="shared" si="108"/>
        <v>47.5</v>
      </c>
      <c r="V363">
        <f t="shared" si="109"/>
        <v>41</v>
      </c>
      <c r="X363" s="9">
        <v>41056821</v>
      </c>
      <c r="Y363">
        <f t="shared" si="110"/>
        <v>470</v>
      </c>
      <c r="Z363">
        <f t="shared" si="111"/>
        <v>553.5</v>
      </c>
      <c r="AA363">
        <f t="shared" si="112"/>
        <v>268</v>
      </c>
      <c r="AB363">
        <f t="shared" si="113"/>
        <v>450.5</v>
      </c>
      <c r="AC363">
        <f t="shared" si="114"/>
        <v>6411</v>
      </c>
      <c r="AD363">
        <f t="shared" si="115"/>
        <v>5254</v>
      </c>
      <c r="AE363">
        <f t="shared" si="116"/>
        <v>4681</v>
      </c>
      <c r="AF363">
        <f t="shared" si="117"/>
        <v>4779.5</v>
      </c>
      <c r="AG363" s="5">
        <v>255817</v>
      </c>
      <c r="AH363" s="31">
        <v>296</v>
      </c>
      <c r="AI363" s="31">
        <v>266</v>
      </c>
      <c r="AJ363" s="37">
        <v>30</v>
      </c>
      <c r="AK363" s="37">
        <v>11.278195488721805</v>
      </c>
      <c r="AL363" s="36">
        <v>55.5</v>
      </c>
      <c r="AM363" s="36">
        <v>57</v>
      </c>
      <c r="AN363" s="37">
        <v>-1.5</v>
      </c>
      <c r="AO363" s="37">
        <v>-2.6315789473684208</v>
      </c>
      <c r="AP363" s="38">
        <v>3331</v>
      </c>
      <c r="AQ363" s="39">
        <v>2549.5</v>
      </c>
      <c r="AR363" s="37">
        <v>781.5</v>
      </c>
      <c r="AS363" s="37">
        <v>30.653069229260637</v>
      </c>
      <c r="AT363" s="36">
        <v>634</v>
      </c>
      <c r="AU363" s="36">
        <v>630</v>
      </c>
      <c r="AV363" s="37">
        <v>4</v>
      </c>
      <c r="AW363" s="37">
        <v>0.63492063492063489</v>
      </c>
      <c r="AX363" s="9">
        <v>41056999</v>
      </c>
      <c r="AY363" t="str">
        <f t="shared" si="118"/>
        <v>VASUNDHARA_VIJ</v>
      </c>
      <c r="AZ363" t="str">
        <f t="shared" si="119"/>
        <v>Mayur Vihar -Anand Vihar -Preet Vihar</v>
      </c>
      <c r="BC363" s="5">
        <v>255817</v>
      </c>
      <c r="BD363" s="5" t="s">
        <v>581</v>
      </c>
      <c r="BE363" s="46" t="s">
        <v>887</v>
      </c>
      <c r="BF363" s="13" t="s">
        <v>888</v>
      </c>
      <c r="BG363" s="6" t="s">
        <v>103</v>
      </c>
      <c r="BH363" s="6" t="s">
        <v>439</v>
      </c>
      <c r="BI363" s="12" t="s">
        <v>439</v>
      </c>
      <c r="BJ363" s="51" t="s">
        <v>135</v>
      </c>
    </row>
    <row r="364" spans="1:62" ht="48.5" x14ac:dyDescent="0.35">
      <c r="A364">
        <v>41032431</v>
      </c>
      <c r="B364" s="84">
        <f t="shared" si="100"/>
        <v>350</v>
      </c>
      <c r="C364" s="84">
        <f t="shared" si="101"/>
        <v>374</v>
      </c>
      <c r="E364" s="9">
        <v>41019284</v>
      </c>
      <c r="F364" s="85">
        <v>206</v>
      </c>
      <c r="G364" s="87">
        <v>255</v>
      </c>
      <c r="H364" s="20">
        <v>183</v>
      </c>
      <c r="I364" s="20">
        <v>224</v>
      </c>
      <c r="J364" s="20">
        <v>33</v>
      </c>
      <c r="K364" s="20">
        <v>41</v>
      </c>
      <c r="L364" s="85">
        <v>36</v>
      </c>
      <c r="M364" s="87">
        <v>53</v>
      </c>
      <c r="N364" s="5">
        <v>106340</v>
      </c>
      <c r="O364">
        <f t="shared" si="102"/>
        <v>319</v>
      </c>
      <c r="P364">
        <f t="shared" si="103"/>
        <v>370</v>
      </c>
      <c r="Q364">
        <f t="shared" si="104"/>
        <v>53</v>
      </c>
      <c r="R364">
        <f t="shared" si="105"/>
        <v>76</v>
      </c>
      <c r="S364">
        <f t="shared" si="106"/>
        <v>324.5</v>
      </c>
      <c r="T364">
        <f t="shared" si="107"/>
        <v>340.5</v>
      </c>
      <c r="U364">
        <f t="shared" si="108"/>
        <v>57.5</v>
      </c>
      <c r="V364">
        <f t="shared" si="109"/>
        <v>67.5</v>
      </c>
      <c r="X364" s="9">
        <v>41056992</v>
      </c>
      <c r="Y364">
        <f t="shared" si="110"/>
        <v>270</v>
      </c>
      <c r="Z364">
        <f t="shared" si="111"/>
        <v>274.5</v>
      </c>
      <c r="AA364">
        <f t="shared" si="112"/>
        <v>54</v>
      </c>
      <c r="AB364">
        <f t="shared" si="113"/>
        <v>81</v>
      </c>
      <c r="AC364">
        <f t="shared" si="114"/>
        <v>3384</v>
      </c>
      <c r="AD364">
        <f t="shared" si="115"/>
        <v>2853</v>
      </c>
      <c r="AE364">
        <f t="shared" si="116"/>
        <v>810</v>
      </c>
      <c r="AF364">
        <f t="shared" si="117"/>
        <v>963</v>
      </c>
      <c r="AG364" s="5">
        <v>106340</v>
      </c>
      <c r="AH364" s="31">
        <v>319</v>
      </c>
      <c r="AI364" s="31">
        <v>370</v>
      </c>
      <c r="AJ364" s="37">
        <v>-51</v>
      </c>
      <c r="AK364" s="37">
        <v>-13.783783783783784</v>
      </c>
      <c r="AL364" s="36">
        <v>53</v>
      </c>
      <c r="AM364" s="36">
        <v>76</v>
      </c>
      <c r="AN364" s="37">
        <v>-23</v>
      </c>
      <c r="AO364" s="37">
        <v>-30.263157894736842</v>
      </c>
      <c r="AP364" s="38">
        <v>4326.5</v>
      </c>
      <c r="AQ364" s="39">
        <v>3593</v>
      </c>
      <c r="AR364" s="37">
        <v>733.5</v>
      </c>
      <c r="AS364" s="37">
        <v>20.414695240745896</v>
      </c>
      <c r="AT364" s="36">
        <v>757.5</v>
      </c>
      <c r="AU364" s="36">
        <v>892.5</v>
      </c>
      <c r="AV364" s="37">
        <v>-135</v>
      </c>
      <c r="AW364" s="37">
        <v>-15.126050420168067</v>
      </c>
      <c r="AX364" s="9">
        <v>41019284</v>
      </c>
      <c r="AY364" t="str">
        <f t="shared" si="118"/>
        <v>White Patch- Rohini</v>
      </c>
      <c r="AZ364" t="str">
        <f t="shared" si="119"/>
        <v>Pitampura</v>
      </c>
      <c r="BC364" s="5">
        <v>106340</v>
      </c>
      <c r="BD364" s="5" t="s">
        <v>581</v>
      </c>
      <c r="BE364" s="46" t="s">
        <v>889</v>
      </c>
      <c r="BF364" s="13" t="s">
        <v>890</v>
      </c>
      <c r="BG364" s="6" t="s">
        <v>94</v>
      </c>
      <c r="BH364" s="6" t="s">
        <v>891</v>
      </c>
      <c r="BI364" s="12" t="s">
        <v>891</v>
      </c>
      <c r="BJ364" s="51" t="s">
        <v>120</v>
      </c>
    </row>
    <row r="365" spans="1:62" ht="36.5" x14ac:dyDescent="0.35">
      <c r="A365">
        <v>106364</v>
      </c>
      <c r="B365" s="84">
        <f t="shared" si="100"/>
        <v>364</v>
      </c>
      <c r="C365" s="84">
        <f t="shared" si="101"/>
        <v>403</v>
      </c>
      <c r="E365" s="9">
        <v>41030958</v>
      </c>
      <c r="F365" s="85">
        <v>98</v>
      </c>
      <c r="G365" s="87">
        <v>128.5</v>
      </c>
      <c r="H365" s="20">
        <v>108</v>
      </c>
      <c r="I365" s="20">
        <v>118.5</v>
      </c>
      <c r="J365" s="20">
        <v>24</v>
      </c>
      <c r="K365" s="20">
        <v>19.5</v>
      </c>
      <c r="L365" s="85">
        <v>14</v>
      </c>
      <c r="M365" s="87">
        <v>9.5</v>
      </c>
      <c r="N365" s="5">
        <v>106341</v>
      </c>
      <c r="O365">
        <f t="shared" si="102"/>
        <v>351</v>
      </c>
      <c r="P365">
        <f t="shared" si="103"/>
        <v>351</v>
      </c>
      <c r="Q365">
        <f t="shared" si="104"/>
        <v>83</v>
      </c>
      <c r="R365">
        <f t="shared" si="105"/>
        <v>81</v>
      </c>
      <c r="S365">
        <f t="shared" si="106"/>
        <v>295</v>
      </c>
      <c r="T365">
        <f t="shared" si="107"/>
        <v>313</v>
      </c>
      <c r="U365">
        <f t="shared" si="108"/>
        <v>101</v>
      </c>
      <c r="V365">
        <f t="shared" si="109"/>
        <v>81</v>
      </c>
      <c r="X365" s="3">
        <v>112410</v>
      </c>
      <c r="Y365">
        <f t="shared" si="110"/>
        <v>98</v>
      </c>
      <c r="Z365">
        <f t="shared" si="111"/>
        <v>99</v>
      </c>
      <c r="AA365">
        <f t="shared" si="112"/>
        <v>48</v>
      </c>
      <c r="AB365">
        <f t="shared" si="113"/>
        <v>41</v>
      </c>
      <c r="AC365">
        <f t="shared" si="114"/>
        <v>1130</v>
      </c>
      <c r="AD365">
        <f t="shared" si="115"/>
        <v>1021.000001</v>
      </c>
      <c r="AE365">
        <f t="shared" si="116"/>
        <v>360</v>
      </c>
      <c r="AF365">
        <f t="shared" si="117"/>
        <v>542</v>
      </c>
      <c r="AG365" s="5">
        <v>106341</v>
      </c>
      <c r="AH365" s="31">
        <v>351</v>
      </c>
      <c r="AI365" s="31">
        <v>351</v>
      </c>
      <c r="AJ365" s="37">
        <v>0</v>
      </c>
      <c r="AK365" s="37">
        <v>0</v>
      </c>
      <c r="AL365" s="36">
        <v>83</v>
      </c>
      <c r="AM365" s="36">
        <v>81</v>
      </c>
      <c r="AN365" s="37">
        <v>2</v>
      </c>
      <c r="AO365" s="37">
        <v>2.4691358024691357</v>
      </c>
      <c r="AP365" s="38">
        <v>4051</v>
      </c>
      <c r="AQ365" s="39">
        <v>4007</v>
      </c>
      <c r="AR365" s="37">
        <v>44</v>
      </c>
      <c r="AS365" s="37">
        <v>1.0980783628649862</v>
      </c>
      <c r="AT365" s="36">
        <v>1107</v>
      </c>
      <c r="AU365" s="36">
        <v>1401</v>
      </c>
      <c r="AV365" s="37">
        <v>-294</v>
      </c>
      <c r="AW365" s="37">
        <v>-20.985010706638114</v>
      </c>
      <c r="AX365" s="9">
        <v>41030958</v>
      </c>
      <c r="AY365" t="str">
        <f t="shared" si="118"/>
        <v>White Patch-Janakpuri</v>
      </c>
      <c r="AZ365" t="str">
        <f t="shared" si="119"/>
        <v>Punjabi Bagh</v>
      </c>
      <c r="BC365" s="5">
        <v>106341</v>
      </c>
      <c r="BD365" s="5" t="s">
        <v>581</v>
      </c>
      <c r="BE365" s="46" t="s">
        <v>892</v>
      </c>
      <c r="BF365" s="13" t="s">
        <v>728</v>
      </c>
      <c r="BG365" s="6" t="s">
        <v>111</v>
      </c>
      <c r="BH365" s="6" t="s">
        <v>112</v>
      </c>
      <c r="BI365" s="12" t="s">
        <v>112</v>
      </c>
      <c r="BJ365" s="51" t="s">
        <v>275</v>
      </c>
    </row>
    <row r="366" spans="1:62" ht="36.5" x14ac:dyDescent="0.35">
      <c r="A366">
        <v>112456</v>
      </c>
      <c r="B366" s="84">
        <f t="shared" si="100"/>
        <v>315</v>
      </c>
      <c r="C366" s="84">
        <f t="shared" si="101"/>
        <v>350</v>
      </c>
      <c r="E366" s="9">
        <v>41019288</v>
      </c>
      <c r="F366" s="85">
        <v>217</v>
      </c>
      <c r="G366" s="87">
        <v>266</v>
      </c>
      <c r="H366" s="20">
        <v>210</v>
      </c>
      <c r="I366" s="20">
        <v>243</v>
      </c>
      <c r="J366" s="20">
        <v>24</v>
      </c>
      <c r="K366" s="20">
        <v>21</v>
      </c>
      <c r="L366" s="85">
        <v>25</v>
      </c>
      <c r="M366" s="87">
        <v>20</v>
      </c>
      <c r="N366" s="5">
        <v>186860</v>
      </c>
      <c r="O366">
        <f t="shared" si="102"/>
        <v>770</v>
      </c>
      <c r="P366">
        <f t="shared" si="103"/>
        <v>733</v>
      </c>
      <c r="Q366">
        <f t="shared" si="104"/>
        <v>210</v>
      </c>
      <c r="R366">
        <f t="shared" si="105"/>
        <v>233</v>
      </c>
      <c r="S366">
        <f t="shared" si="106"/>
        <v>705</v>
      </c>
      <c r="T366">
        <f t="shared" si="107"/>
        <v>630</v>
      </c>
      <c r="U366">
        <f t="shared" si="108"/>
        <v>215</v>
      </c>
      <c r="V366">
        <f t="shared" si="109"/>
        <v>216</v>
      </c>
      <c r="X366" s="9">
        <v>41056839</v>
      </c>
      <c r="Y366">
        <f t="shared" si="110"/>
        <v>166</v>
      </c>
      <c r="Z366">
        <f t="shared" si="111"/>
        <v>145</v>
      </c>
      <c r="AA366">
        <f t="shared" si="112"/>
        <v>627</v>
      </c>
      <c r="AB366">
        <f t="shared" si="113"/>
        <v>900</v>
      </c>
      <c r="AC366">
        <f t="shared" si="114"/>
        <v>1927</v>
      </c>
      <c r="AD366">
        <f t="shared" si="115"/>
        <v>1549</v>
      </c>
      <c r="AE366">
        <f t="shared" si="116"/>
        <v>8445</v>
      </c>
      <c r="AF366">
        <f t="shared" si="117"/>
        <v>9521</v>
      </c>
      <c r="AG366" s="5">
        <v>186860</v>
      </c>
      <c r="AH366" s="31">
        <v>770</v>
      </c>
      <c r="AI366" s="31">
        <v>733</v>
      </c>
      <c r="AJ366" s="37">
        <v>37</v>
      </c>
      <c r="AK366" s="37">
        <v>5.0477489768076405</v>
      </c>
      <c r="AL366" s="36">
        <v>210</v>
      </c>
      <c r="AM366" s="36">
        <v>233</v>
      </c>
      <c r="AN366" s="37">
        <v>-23</v>
      </c>
      <c r="AO366" s="37">
        <v>-9.8712446351931327</v>
      </c>
      <c r="AP366" s="38">
        <v>9185</v>
      </c>
      <c r="AQ366" s="39">
        <v>7271</v>
      </c>
      <c r="AR366" s="37">
        <v>1914</v>
      </c>
      <c r="AS366" s="37">
        <v>26.323751891074131</v>
      </c>
      <c r="AT366" s="36">
        <v>2775</v>
      </c>
      <c r="AU366" s="36">
        <v>3090</v>
      </c>
      <c r="AV366" s="37">
        <v>-315</v>
      </c>
      <c r="AW366" s="37">
        <v>-10.194174757281553</v>
      </c>
      <c r="AX366" s="9">
        <v>41019288</v>
      </c>
      <c r="AY366" t="str">
        <f t="shared" si="118"/>
        <v>ROHINI_SANJEEV</v>
      </c>
      <c r="AZ366" t="str">
        <f t="shared" si="119"/>
        <v>Rohini</v>
      </c>
      <c r="BC366" s="5">
        <v>186860</v>
      </c>
      <c r="BD366" s="5" t="s">
        <v>581</v>
      </c>
      <c r="BE366" s="46" t="s">
        <v>893</v>
      </c>
      <c r="BF366" s="13" t="s">
        <v>894</v>
      </c>
      <c r="BG366" s="6" t="s">
        <v>103</v>
      </c>
      <c r="BH366" s="6" t="s">
        <v>895</v>
      </c>
      <c r="BI366" s="12" t="s">
        <v>895</v>
      </c>
      <c r="BJ366" s="51" t="s">
        <v>135</v>
      </c>
    </row>
    <row r="367" spans="1:62" ht="36.5" x14ac:dyDescent="0.35">
      <c r="A367">
        <v>259713</v>
      </c>
      <c r="B367" s="84" t="e">
        <f t="shared" si="100"/>
        <v>#N/A</v>
      </c>
      <c r="C367" s="84" t="e">
        <f t="shared" si="101"/>
        <v>#N/A</v>
      </c>
      <c r="E367" s="9">
        <v>41056995</v>
      </c>
      <c r="F367" s="85">
        <v>112</v>
      </c>
      <c r="G367" s="87">
        <v>111</v>
      </c>
      <c r="H367" s="20">
        <v>102</v>
      </c>
      <c r="I367" s="20">
        <v>111.5</v>
      </c>
      <c r="J367" s="20">
        <v>97</v>
      </c>
      <c r="K367" s="20">
        <v>112.5</v>
      </c>
      <c r="L367" s="85">
        <v>83</v>
      </c>
      <c r="M367" s="87">
        <v>26</v>
      </c>
      <c r="N367" s="5">
        <v>196392</v>
      </c>
      <c r="O367">
        <f t="shared" si="102"/>
        <v>138.5</v>
      </c>
      <c r="P367">
        <f t="shared" si="103"/>
        <v>157</v>
      </c>
      <c r="Q367">
        <f t="shared" si="104"/>
        <v>27.5</v>
      </c>
      <c r="R367">
        <f t="shared" si="105"/>
        <v>45</v>
      </c>
      <c r="S367">
        <f t="shared" si="106"/>
        <v>125</v>
      </c>
      <c r="T367">
        <f t="shared" si="107"/>
        <v>135.5</v>
      </c>
      <c r="U367">
        <f t="shared" si="108"/>
        <v>25</v>
      </c>
      <c r="V367">
        <f t="shared" si="109"/>
        <v>34.5</v>
      </c>
      <c r="X367" s="9">
        <v>41019258</v>
      </c>
      <c r="Y367">
        <f t="shared" si="110"/>
        <v>145.5</v>
      </c>
      <c r="Z367">
        <f t="shared" si="111"/>
        <v>123.5</v>
      </c>
      <c r="AA367">
        <f t="shared" si="112"/>
        <v>181.5</v>
      </c>
      <c r="AB367">
        <f t="shared" si="113"/>
        <v>219.5</v>
      </c>
      <c r="AC367">
        <f t="shared" si="114"/>
        <v>1529</v>
      </c>
      <c r="AD367">
        <f t="shared" si="115"/>
        <v>1270</v>
      </c>
      <c r="AE367">
        <f t="shared" si="116"/>
        <v>2216</v>
      </c>
      <c r="AF367">
        <f t="shared" si="117"/>
        <v>2678</v>
      </c>
      <c r="AG367" s="5">
        <v>196392</v>
      </c>
      <c r="AH367" s="31">
        <v>138.5</v>
      </c>
      <c r="AI367" s="31">
        <v>157</v>
      </c>
      <c r="AJ367" s="37">
        <v>-18.5</v>
      </c>
      <c r="AK367" s="37">
        <v>-11.783439490445859</v>
      </c>
      <c r="AL367" s="36">
        <v>27.5</v>
      </c>
      <c r="AM367" s="36">
        <v>45</v>
      </c>
      <c r="AN367" s="37">
        <v>-17.5</v>
      </c>
      <c r="AO367" s="37">
        <v>-38.888888888888893</v>
      </c>
      <c r="AP367" s="38">
        <v>1809</v>
      </c>
      <c r="AQ367" s="39">
        <v>1565.5</v>
      </c>
      <c r="AR367" s="37">
        <v>243.5</v>
      </c>
      <c r="AS367" s="37">
        <v>15.554136058767169</v>
      </c>
      <c r="AT367" s="36">
        <v>397</v>
      </c>
      <c r="AU367" s="36">
        <v>484</v>
      </c>
      <c r="AV367" s="37">
        <v>-87</v>
      </c>
      <c r="AW367" s="37">
        <v>-17.97520661157025</v>
      </c>
      <c r="AX367" s="9">
        <v>41056995</v>
      </c>
      <c r="AY367" t="str">
        <f t="shared" si="118"/>
        <v>DEEPAK AUTOMOBILES</v>
      </c>
      <c r="AZ367" t="str">
        <f t="shared" si="119"/>
        <v>Old GT Road (NH1)</v>
      </c>
      <c r="BC367" s="5">
        <v>196392</v>
      </c>
      <c r="BD367" s="5" t="s">
        <v>581</v>
      </c>
      <c r="BE367" s="46" t="s">
        <v>896</v>
      </c>
      <c r="BF367" s="13" t="s">
        <v>600</v>
      </c>
      <c r="BG367" s="6" t="s">
        <v>89</v>
      </c>
      <c r="BH367" s="6" t="s">
        <v>342</v>
      </c>
      <c r="BI367" s="12" t="s">
        <v>342</v>
      </c>
      <c r="BJ367" s="51" t="s">
        <v>205</v>
      </c>
    </row>
    <row r="368" spans="1:62" ht="48.5" x14ac:dyDescent="0.35">
      <c r="A368">
        <v>102118</v>
      </c>
      <c r="B368" s="84">
        <f t="shared" si="100"/>
        <v>535</v>
      </c>
      <c r="C368" s="84">
        <f t="shared" si="101"/>
        <v>567</v>
      </c>
      <c r="E368" s="9">
        <v>41056984</v>
      </c>
      <c r="F368" s="85">
        <v>378</v>
      </c>
      <c r="G368" s="87">
        <v>402</v>
      </c>
      <c r="H368" s="20">
        <v>328</v>
      </c>
      <c r="I368" s="20">
        <v>353</v>
      </c>
      <c r="J368" s="20">
        <v>31</v>
      </c>
      <c r="K368" s="20">
        <v>30</v>
      </c>
      <c r="L368" s="85">
        <v>30</v>
      </c>
      <c r="M368" s="87">
        <v>30</v>
      </c>
      <c r="N368" s="5">
        <v>186839</v>
      </c>
      <c r="O368">
        <f t="shared" si="102"/>
        <v>358</v>
      </c>
      <c r="P368">
        <f t="shared" si="103"/>
        <v>337.5</v>
      </c>
      <c r="Q368">
        <f t="shared" si="104"/>
        <v>242</v>
      </c>
      <c r="R368">
        <f t="shared" si="105"/>
        <v>256.5</v>
      </c>
      <c r="S368">
        <f t="shared" si="106"/>
        <v>370</v>
      </c>
      <c r="T368">
        <f t="shared" si="107"/>
        <v>319.5</v>
      </c>
      <c r="U368">
        <f t="shared" si="108"/>
        <v>238</v>
      </c>
      <c r="V368">
        <f t="shared" si="109"/>
        <v>256.5</v>
      </c>
      <c r="X368" s="5">
        <v>156756</v>
      </c>
      <c r="Y368">
        <f t="shared" si="110"/>
        <v>126.5</v>
      </c>
      <c r="Z368">
        <f t="shared" si="111"/>
        <v>97.5</v>
      </c>
      <c r="AA368">
        <f t="shared" si="112"/>
        <v>29.5</v>
      </c>
      <c r="AB368">
        <f t="shared" si="113"/>
        <v>16.5</v>
      </c>
      <c r="AC368">
        <f t="shared" si="114"/>
        <v>1250</v>
      </c>
      <c r="AD368">
        <f t="shared" si="115"/>
        <v>1049.5</v>
      </c>
      <c r="AE368">
        <f t="shared" si="116"/>
        <v>254</v>
      </c>
      <c r="AF368">
        <f t="shared" si="117"/>
        <v>280.5</v>
      </c>
      <c r="AG368" s="5">
        <v>186839</v>
      </c>
      <c r="AH368" s="31">
        <v>358</v>
      </c>
      <c r="AI368" s="31">
        <v>337.5</v>
      </c>
      <c r="AJ368" s="37">
        <v>20.5</v>
      </c>
      <c r="AK368" s="37">
        <v>6.0740740740740744</v>
      </c>
      <c r="AL368" s="36">
        <v>242</v>
      </c>
      <c r="AM368" s="36">
        <v>256.5</v>
      </c>
      <c r="AN368" s="37">
        <v>-14.5</v>
      </c>
      <c r="AO368" s="37">
        <v>-5.6530214424951266</v>
      </c>
      <c r="AP368" s="38">
        <v>4379.5</v>
      </c>
      <c r="AQ368" s="39">
        <v>3364.5</v>
      </c>
      <c r="AR368" s="37">
        <v>1015</v>
      </c>
      <c r="AS368" s="37">
        <v>30.167929855847824</v>
      </c>
      <c r="AT368" s="36">
        <v>2940.5</v>
      </c>
      <c r="AU368" s="36">
        <v>3236.5</v>
      </c>
      <c r="AV368" s="37">
        <v>-296</v>
      </c>
      <c r="AW368" s="37">
        <v>-9.1456820639579792</v>
      </c>
      <c r="AX368" s="9">
        <v>41056984</v>
      </c>
      <c r="AY368" t="str">
        <f t="shared" si="118"/>
        <v>GARG-VIJAY-NEW HARYANA</v>
      </c>
      <c r="AZ368" t="str">
        <f t="shared" si="119"/>
        <v>Rohtak Road</v>
      </c>
      <c r="BC368" s="5">
        <v>186839</v>
      </c>
      <c r="BD368" s="5" t="s">
        <v>581</v>
      </c>
      <c r="BE368" s="46" t="s">
        <v>897</v>
      </c>
      <c r="BF368" s="13" t="s">
        <v>898</v>
      </c>
      <c r="BG368" s="6" t="s">
        <v>111</v>
      </c>
      <c r="BH368" s="6" t="s">
        <v>899</v>
      </c>
      <c r="BI368" s="12" t="s">
        <v>899</v>
      </c>
      <c r="BJ368" s="51" t="s">
        <v>248</v>
      </c>
    </row>
    <row r="369" spans="1:62" ht="36.5" x14ac:dyDescent="0.35">
      <c r="A369">
        <v>41056839</v>
      </c>
      <c r="B369" s="84">
        <f t="shared" si="100"/>
        <v>141</v>
      </c>
      <c r="C369" s="84">
        <f t="shared" si="101"/>
        <v>166</v>
      </c>
      <c r="E369" s="9">
        <v>41057012</v>
      </c>
      <c r="F369" s="85">
        <v>243</v>
      </c>
      <c r="G369" s="87">
        <v>281</v>
      </c>
      <c r="H369" s="20">
        <v>247</v>
      </c>
      <c r="I369" s="20">
        <v>248</v>
      </c>
      <c r="J369" s="20">
        <v>55</v>
      </c>
      <c r="K369" s="20">
        <v>50</v>
      </c>
      <c r="L369" s="85">
        <v>55</v>
      </c>
      <c r="M369" s="87">
        <v>61</v>
      </c>
      <c r="N369" s="5">
        <v>177589</v>
      </c>
      <c r="O369">
        <f t="shared" si="102"/>
        <v>315</v>
      </c>
      <c r="P369">
        <f t="shared" si="103"/>
        <v>295</v>
      </c>
      <c r="Q369">
        <f t="shared" si="104"/>
        <v>85</v>
      </c>
      <c r="R369">
        <f t="shared" si="105"/>
        <v>65</v>
      </c>
      <c r="S369">
        <f t="shared" si="106"/>
        <v>290</v>
      </c>
      <c r="T369">
        <f t="shared" si="107"/>
        <v>250</v>
      </c>
      <c r="U369">
        <f t="shared" si="108"/>
        <v>90</v>
      </c>
      <c r="V369">
        <f t="shared" si="109"/>
        <v>50</v>
      </c>
      <c r="X369" s="9">
        <v>41056991</v>
      </c>
      <c r="Y369">
        <f t="shared" si="110"/>
        <v>436</v>
      </c>
      <c r="Z369">
        <f t="shared" si="111"/>
        <v>414</v>
      </c>
      <c r="AA369">
        <f t="shared" si="112"/>
        <v>44</v>
      </c>
      <c r="AB369">
        <f t="shared" si="113"/>
        <v>58</v>
      </c>
      <c r="AC369">
        <f t="shared" si="114"/>
        <v>5174</v>
      </c>
      <c r="AD369">
        <f t="shared" si="115"/>
        <v>4406</v>
      </c>
      <c r="AE369">
        <f t="shared" si="116"/>
        <v>535</v>
      </c>
      <c r="AF369">
        <f t="shared" si="117"/>
        <v>729</v>
      </c>
      <c r="AG369" s="5">
        <v>177589</v>
      </c>
      <c r="AH369" s="31">
        <v>315</v>
      </c>
      <c r="AI369" s="31">
        <v>295</v>
      </c>
      <c r="AJ369" s="37">
        <v>20</v>
      </c>
      <c r="AK369" s="37">
        <v>6.7796610169491522</v>
      </c>
      <c r="AL369" s="36">
        <v>85</v>
      </c>
      <c r="AM369" s="36">
        <v>65</v>
      </c>
      <c r="AN369" s="37">
        <v>20</v>
      </c>
      <c r="AO369" s="37">
        <v>30.76923076923077</v>
      </c>
      <c r="AP369" s="38">
        <v>3720</v>
      </c>
      <c r="AQ369" s="39">
        <v>2855</v>
      </c>
      <c r="AR369" s="37">
        <v>865</v>
      </c>
      <c r="AS369" s="37">
        <v>30.297723292469353</v>
      </c>
      <c r="AT369" s="36">
        <v>840</v>
      </c>
      <c r="AU369" s="36">
        <v>740</v>
      </c>
      <c r="AV369" s="37">
        <v>100</v>
      </c>
      <c r="AW369" s="37">
        <v>13.513513513513514</v>
      </c>
      <c r="AX369" s="9">
        <v>41057012</v>
      </c>
      <c r="AY369" t="str">
        <f t="shared" si="118"/>
        <v>RAM</v>
      </c>
      <c r="AZ369" t="str">
        <f t="shared" si="119"/>
        <v>Lutyens</v>
      </c>
      <c r="BC369" s="5">
        <v>177589</v>
      </c>
      <c r="BD369" s="5" t="s">
        <v>581</v>
      </c>
      <c r="BE369" s="46" t="s">
        <v>900</v>
      </c>
      <c r="BF369" s="13" t="s">
        <v>901</v>
      </c>
      <c r="BG369" s="6" t="s">
        <v>81</v>
      </c>
      <c r="BH369" s="6" t="s">
        <v>154</v>
      </c>
      <c r="BI369" s="12" t="s">
        <v>154</v>
      </c>
      <c r="BJ369" s="51" t="s">
        <v>135</v>
      </c>
    </row>
    <row r="370" spans="1:62" ht="36.5" x14ac:dyDescent="0.35">
      <c r="A370">
        <v>106299</v>
      </c>
      <c r="B370" s="84">
        <f t="shared" si="100"/>
        <v>72</v>
      </c>
      <c r="C370" s="84">
        <f t="shared" si="101"/>
        <v>78</v>
      </c>
      <c r="E370" s="9">
        <v>41057009</v>
      </c>
      <c r="F370" s="85">
        <v>330</v>
      </c>
      <c r="G370" s="87">
        <v>380</v>
      </c>
      <c r="H370" s="20">
        <v>333</v>
      </c>
      <c r="I370" s="20">
        <v>340</v>
      </c>
      <c r="J370" s="20">
        <v>54</v>
      </c>
      <c r="K370" s="20">
        <v>42</v>
      </c>
      <c r="L370" s="85">
        <v>54</v>
      </c>
      <c r="M370" s="87">
        <v>59</v>
      </c>
      <c r="N370" s="5">
        <v>524842</v>
      </c>
      <c r="O370">
        <f t="shared" si="102"/>
        <v>256</v>
      </c>
      <c r="P370">
        <f t="shared" si="103"/>
        <v>302</v>
      </c>
      <c r="Q370">
        <f t="shared" si="104"/>
        <v>182</v>
      </c>
      <c r="R370">
        <f t="shared" si="105"/>
        <v>160</v>
      </c>
      <c r="S370">
        <f t="shared" si="106"/>
        <v>336</v>
      </c>
      <c r="T370">
        <f t="shared" si="107"/>
        <v>296</v>
      </c>
      <c r="U370">
        <f t="shared" si="108"/>
        <v>182</v>
      </c>
      <c r="V370">
        <f t="shared" si="109"/>
        <v>142</v>
      </c>
      <c r="X370" s="9">
        <v>41019255</v>
      </c>
      <c r="Y370">
        <f t="shared" si="110"/>
        <v>185.5</v>
      </c>
      <c r="Z370">
        <f t="shared" si="111"/>
        <v>171</v>
      </c>
      <c r="AA370">
        <f t="shared" si="112"/>
        <v>88.5</v>
      </c>
      <c r="AB370">
        <f t="shared" si="113"/>
        <v>82</v>
      </c>
      <c r="AC370">
        <f t="shared" si="114"/>
        <v>2059.5</v>
      </c>
      <c r="AD370">
        <f t="shared" si="115"/>
        <v>1675</v>
      </c>
      <c r="AE370">
        <f t="shared" si="116"/>
        <v>965.5</v>
      </c>
      <c r="AF370">
        <f t="shared" si="117"/>
        <v>1019</v>
      </c>
      <c r="AG370" s="5">
        <v>524842</v>
      </c>
      <c r="AH370" s="31">
        <v>256</v>
      </c>
      <c r="AI370" s="31">
        <v>302</v>
      </c>
      <c r="AJ370" s="37">
        <v>-46</v>
      </c>
      <c r="AK370" s="37">
        <v>-15.231788079470199</v>
      </c>
      <c r="AL370" s="36">
        <v>182</v>
      </c>
      <c r="AM370" s="36">
        <v>160</v>
      </c>
      <c r="AN370" s="37">
        <v>22</v>
      </c>
      <c r="AO370" s="37">
        <v>13.750000000000002</v>
      </c>
      <c r="AP370" s="38">
        <v>3960</v>
      </c>
      <c r="AQ370" s="39">
        <v>3032</v>
      </c>
      <c r="AR370" s="37">
        <v>928</v>
      </c>
      <c r="AS370" s="37">
        <v>30.606860158311346</v>
      </c>
      <c r="AT370" s="36">
        <v>1952</v>
      </c>
      <c r="AU370" s="36">
        <v>1964</v>
      </c>
      <c r="AV370" s="37">
        <v>-12</v>
      </c>
      <c r="AW370" s="37">
        <v>-0.61099796334012213</v>
      </c>
      <c r="AX370" s="9">
        <v>41057009</v>
      </c>
      <c r="AY370" t="str">
        <f t="shared" si="118"/>
        <v>AUTO REST_OKHLA</v>
      </c>
      <c r="AZ370" t="str">
        <f t="shared" si="119"/>
        <v>Mathura Road</v>
      </c>
      <c r="BC370" s="5">
        <v>524842</v>
      </c>
      <c r="BD370" s="5" t="s">
        <v>581</v>
      </c>
      <c r="BE370" s="46" t="s">
        <v>902</v>
      </c>
      <c r="BF370" s="13" t="s">
        <v>903</v>
      </c>
      <c r="BG370" s="6" t="s">
        <v>103</v>
      </c>
      <c r="BH370" s="6" t="s">
        <v>211</v>
      </c>
      <c r="BI370" s="12" t="s">
        <v>211</v>
      </c>
      <c r="BJ370" s="51" t="s">
        <v>135</v>
      </c>
    </row>
    <row r="371" spans="1:62" ht="48.5" x14ac:dyDescent="0.35">
      <c r="A371">
        <v>289183</v>
      </c>
      <c r="B371" s="84">
        <f t="shared" si="100"/>
        <v>89</v>
      </c>
      <c r="C371" s="84">
        <f t="shared" si="101"/>
        <v>112</v>
      </c>
      <c r="E371" s="9">
        <v>41032594</v>
      </c>
      <c r="F371" s="85">
        <v>282</v>
      </c>
      <c r="G371" s="87">
        <v>322.5</v>
      </c>
      <c r="H371" s="20">
        <v>213.5</v>
      </c>
      <c r="I371" s="20">
        <v>238.5</v>
      </c>
      <c r="J371" s="20">
        <v>63.5</v>
      </c>
      <c r="K371" s="20">
        <v>54.5</v>
      </c>
      <c r="L371" s="85">
        <v>81</v>
      </c>
      <c r="M371" s="87">
        <v>96.5</v>
      </c>
      <c r="N371" s="5">
        <v>106245</v>
      </c>
      <c r="O371">
        <f t="shared" si="102"/>
        <v>346.5</v>
      </c>
      <c r="P371">
        <f t="shared" si="103"/>
        <v>306</v>
      </c>
      <c r="Q371">
        <f t="shared" si="104"/>
        <v>67.5</v>
      </c>
      <c r="R371">
        <f t="shared" si="105"/>
        <v>108</v>
      </c>
      <c r="S371">
        <f t="shared" si="106"/>
        <v>315</v>
      </c>
      <c r="T371">
        <f t="shared" si="107"/>
        <v>274.5</v>
      </c>
      <c r="U371">
        <f t="shared" si="108"/>
        <v>63</v>
      </c>
      <c r="V371">
        <f t="shared" si="109"/>
        <v>85.5</v>
      </c>
      <c r="X371" s="5">
        <v>106226</v>
      </c>
      <c r="Y371">
        <f t="shared" si="110"/>
        <v>226.5</v>
      </c>
      <c r="Z371">
        <f t="shared" si="111"/>
        <v>204</v>
      </c>
      <c r="AA371">
        <f t="shared" si="112"/>
        <v>45.5</v>
      </c>
      <c r="AB371">
        <f t="shared" si="113"/>
        <v>62</v>
      </c>
      <c r="AC371">
        <f t="shared" si="114"/>
        <v>2579</v>
      </c>
      <c r="AD371">
        <f t="shared" si="115"/>
        <v>1774</v>
      </c>
      <c r="AE371">
        <f t="shared" si="116"/>
        <v>749</v>
      </c>
      <c r="AF371">
        <f t="shared" si="117"/>
        <v>628.5</v>
      </c>
      <c r="AG371" s="5">
        <v>106245</v>
      </c>
      <c r="AH371" s="31">
        <v>346.5</v>
      </c>
      <c r="AI371" s="31">
        <v>306</v>
      </c>
      <c r="AJ371" s="37">
        <v>40.5</v>
      </c>
      <c r="AK371" s="37">
        <v>13.23529411764706</v>
      </c>
      <c r="AL371" s="36">
        <v>67.5</v>
      </c>
      <c r="AM371" s="36">
        <v>108</v>
      </c>
      <c r="AN371" s="37">
        <v>-40.5</v>
      </c>
      <c r="AO371" s="37">
        <v>-37.5</v>
      </c>
      <c r="AP371" s="38">
        <v>3892.5</v>
      </c>
      <c r="AQ371" s="39">
        <v>3413</v>
      </c>
      <c r="AR371" s="37">
        <v>479.5</v>
      </c>
      <c r="AS371" s="37">
        <v>14.049223556987986</v>
      </c>
      <c r="AT371" s="36">
        <v>1009.5</v>
      </c>
      <c r="AU371" s="36">
        <v>976.5</v>
      </c>
      <c r="AV371" s="37">
        <v>33</v>
      </c>
      <c r="AW371" s="37">
        <v>3.3794162826420893</v>
      </c>
      <c r="AX371" s="9">
        <v>41032594</v>
      </c>
      <c r="AY371" t="str">
        <f t="shared" si="118"/>
        <v>M.L.SETHI</v>
      </c>
      <c r="AZ371" t="str">
        <f t="shared" si="119"/>
        <v>Rohini</v>
      </c>
      <c r="BC371" s="5">
        <v>106245</v>
      </c>
      <c r="BD371" s="5" t="s">
        <v>581</v>
      </c>
      <c r="BE371" s="46" t="s">
        <v>904</v>
      </c>
      <c r="BF371" s="13" t="s">
        <v>566</v>
      </c>
      <c r="BG371" s="6" t="s">
        <v>85</v>
      </c>
      <c r="BH371" s="6" t="s">
        <v>373</v>
      </c>
      <c r="BI371" s="12" t="s">
        <v>373</v>
      </c>
      <c r="BJ371" s="51" t="s">
        <v>120</v>
      </c>
    </row>
    <row r="372" spans="1:62" ht="48.5" x14ac:dyDescent="0.35">
      <c r="A372">
        <v>41056997</v>
      </c>
      <c r="B372" s="84">
        <f t="shared" si="100"/>
        <v>32.5</v>
      </c>
      <c r="C372" s="84">
        <f t="shared" si="101"/>
        <v>20</v>
      </c>
      <c r="E372" s="9">
        <v>41056400</v>
      </c>
      <c r="F372" s="85">
        <v>263</v>
      </c>
      <c r="G372" s="87">
        <v>253</v>
      </c>
      <c r="H372" s="20">
        <v>211</v>
      </c>
      <c r="I372" s="20">
        <v>301</v>
      </c>
      <c r="J372" s="20">
        <v>29</v>
      </c>
      <c r="K372" s="20">
        <v>23</v>
      </c>
      <c r="L372" s="85">
        <v>35</v>
      </c>
      <c r="M372" s="87">
        <v>19</v>
      </c>
      <c r="N372" s="5">
        <v>106222</v>
      </c>
      <c r="O372">
        <f t="shared" si="102"/>
        <v>93</v>
      </c>
      <c r="P372">
        <f t="shared" si="103"/>
        <v>112.5</v>
      </c>
      <c r="Q372">
        <f t="shared" si="104"/>
        <v>9</v>
      </c>
      <c r="R372">
        <f t="shared" si="105"/>
        <v>13.5</v>
      </c>
      <c r="S372">
        <f t="shared" si="106"/>
        <v>85.5</v>
      </c>
      <c r="T372">
        <f t="shared" si="107"/>
        <v>99</v>
      </c>
      <c r="U372">
        <f t="shared" si="108"/>
        <v>4.5</v>
      </c>
      <c r="V372">
        <f t="shared" si="109"/>
        <v>9</v>
      </c>
      <c r="X372" s="5">
        <v>106259</v>
      </c>
      <c r="Y372">
        <f t="shared" si="110"/>
        <v>175</v>
      </c>
      <c r="Z372">
        <f t="shared" si="111"/>
        <v>185.5</v>
      </c>
      <c r="AA372">
        <f t="shared" si="112"/>
        <v>17</v>
      </c>
      <c r="AB372">
        <f t="shared" si="113"/>
        <v>52.5</v>
      </c>
      <c r="AC372">
        <f t="shared" si="114"/>
        <v>2321</v>
      </c>
      <c r="AD372">
        <f t="shared" si="115"/>
        <v>2020.5</v>
      </c>
      <c r="AE372">
        <f t="shared" si="116"/>
        <v>369</v>
      </c>
      <c r="AF372">
        <f t="shared" si="117"/>
        <v>510.5</v>
      </c>
      <c r="AG372" s="5">
        <v>106222</v>
      </c>
      <c r="AH372" s="31">
        <v>93</v>
      </c>
      <c r="AI372" s="31">
        <v>112.5</v>
      </c>
      <c r="AJ372" s="37">
        <v>-19.5</v>
      </c>
      <c r="AK372" s="37">
        <v>-17.333333333333336</v>
      </c>
      <c r="AL372" s="36">
        <v>9</v>
      </c>
      <c r="AM372" s="36">
        <v>13.5</v>
      </c>
      <c r="AN372" s="37">
        <v>-4.5</v>
      </c>
      <c r="AO372" s="37">
        <v>-33.333333333333329</v>
      </c>
      <c r="AP372" s="38">
        <v>1235</v>
      </c>
      <c r="AQ372" s="39">
        <v>1078</v>
      </c>
      <c r="AR372" s="37">
        <v>157</v>
      </c>
      <c r="AS372" s="37">
        <v>14.564007421150279</v>
      </c>
      <c r="AT372" s="36">
        <v>99</v>
      </c>
      <c r="AU372" s="36">
        <v>122.5</v>
      </c>
      <c r="AV372" s="37">
        <v>-23.5</v>
      </c>
      <c r="AW372" s="37">
        <v>-19.183673469387756</v>
      </c>
      <c r="AX372" s="9">
        <v>41056400</v>
      </c>
      <c r="AY372" t="str">
        <f t="shared" si="118"/>
        <v>UNIQUE</v>
      </c>
      <c r="AZ372" t="str">
        <f t="shared" si="119"/>
        <v>Mayur Vihar -Anand Vihar -Preet Vihar</v>
      </c>
      <c r="BC372" s="5">
        <v>106222</v>
      </c>
      <c r="BD372" s="5" t="s">
        <v>581</v>
      </c>
      <c r="BE372" s="46" t="s">
        <v>905</v>
      </c>
      <c r="BF372" s="13" t="s">
        <v>391</v>
      </c>
      <c r="BG372" s="6" t="s">
        <v>89</v>
      </c>
      <c r="BH372" s="6" t="s">
        <v>906</v>
      </c>
      <c r="BI372" s="12" t="s">
        <v>906</v>
      </c>
      <c r="BJ372" s="51" t="s">
        <v>1007</v>
      </c>
    </row>
    <row r="373" spans="1:62" ht="36.5" x14ac:dyDescent="0.35">
      <c r="A373">
        <v>181987</v>
      </c>
      <c r="B373" s="84">
        <f t="shared" si="100"/>
        <v>56</v>
      </c>
      <c r="C373" s="84">
        <f t="shared" si="101"/>
        <v>60</v>
      </c>
      <c r="E373" s="9">
        <v>41057001</v>
      </c>
      <c r="F373" s="85">
        <v>134.5</v>
      </c>
      <c r="G373" s="87">
        <v>110</v>
      </c>
      <c r="H373" s="20">
        <v>120</v>
      </c>
      <c r="I373" s="20">
        <v>124.5</v>
      </c>
      <c r="J373" s="20">
        <v>94</v>
      </c>
      <c r="K373" s="20">
        <v>92.5</v>
      </c>
      <c r="L373" s="85">
        <v>111.5</v>
      </c>
      <c r="M373" s="87">
        <v>91</v>
      </c>
      <c r="N373" s="5">
        <v>102087</v>
      </c>
      <c r="O373">
        <f t="shared" si="102"/>
        <v>260</v>
      </c>
      <c r="P373">
        <f t="shared" si="103"/>
        <v>279</v>
      </c>
      <c r="Q373">
        <f t="shared" si="104"/>
        <v>52</v>
      </c>
      <c r="R373">
        <f t="shared" si="105"/>
        <v>75</v>
      </c>
      <c r="S373">
        <f t="shared" si="106"/>
        <v>233</v>
      </c>
      <c r="T373">
        <f t="shared" si="107"/>
        <v>243</v>
      </c>
      <c r="U373">
        <f t="shared" si="108"/>
        <v>49</v>
      </c>
      <c r="V373">
        <f t="shared" si="109"/>
        <v>66</v>
      </c>
      <c r="X373" s="3">
        <v>112418</v>
      </c>
      <c r="Y373">
        <f t="shared" si="110"/>
        <v>312.5</v>
      </c>
      <c r="Z373">
        <f t="shared" si="111"/>
        <v>286.5</v>
      </c>
      <c r="AA373">
        <f t="shared" si="112"/>
        <v>153.5</v>
      </c>
      <c r="AB373">
        <f t="shared" si="113"/>
        <v>257.5</v>
      </c>
      <c r="AC373">
        <f t="shared" si="114"/>
        <v>3600</v>
      </c>
      <c r="AD373">
        <f t="shared" si="115"/>
        <v>2724.5000110000001</v>
      </c>
      <c r="AE373">
        <f t="shared" si="116"/>
        <v>2456</v>
      </c>
      <c r="AF373">
        <f t="shared" si="117"/>
        <v>2568</v>
      </c>
      <c r="AG373" s="5">
        <v>102087</v>
      </c>
      <c r="AH373" s="31">
        <v>260</v>
      </c>
      <c r="AI373" s="31">
        <v>279</v>
      </c>
      <c r="AJ373" s="37">
        <v>-19</v>
      </c>
      <c r="AK373" s="37">
        <v>-6.8100358422939076</v>
      </c>
      <c r="AL373" s="36">
        <v>52</v>
      </c>
      <c r="AM373" s="36">
        <v>75</v>
      </c>
      <c r="AN373" s="37">
        <v>-23</v>
      </c>
      <c r="AO373" s="37">
        <v>-30.666666666666664</v>
      </c>
      <c r="AP373" s="38">
        <v>3200</v>
      </c>
      <c r="AQ373" s="39">
        <v>2868.5</v>
      </c>
      <c r="AR373" s="37">
        <v>331.5</v>
      </c>
      <c r="AS373" s="37">
        <v>11.556562663412933</v>
      </c>
      <c r="AT373" s="36">
        <v>642</v>
      </c>
      <c r="AU373" s="36">
        <v>989.5</v>
      </c>
      <c r="AV373" s="37">
        <v>-347.5</v>
      </c>
      <c r="AW373" s="37">
        <v>-35.118746841839311</v>
      </c>
      <c r="AX373" s="9">
        <v>41057001</v>
      </c>
      <c r="AY373" t="str">
        <f t="shared" si="118"/>
        <v>GYMKHANA</v>
      </c>
      <c r="AZ373" t="str">
        <f t="shared" si="119"/>
        <v>Lutyens</v>
      </c>
      <c r="BC373" s="5">
        <v>102087</v>
      </c>
      <c r="BD373" s="5" t="s">
        <v>581</v>
      </c>
      <c r="BE373" s="46" t="s">
        <v>907</v>
      </c>
      <c r="BF373" s="13" t="s">
        <v>908</v>
      </c>
      <c r="BG373" s="6" t="s">
        <v>103</v>
      </c>
      <c r="BH373" s="6" t="s">
        <v>181</v>
      </c>
      <c r="BI373" s="12" t="s">
        <v>181</v>
      </c>
      <c r="BJ373" s="51" t="s">
        <v>105</v>
      </c>
    </row>
    <row r="374" spans="1:62" ht="48.5" x14ac:dyDescent="0.35">
      <c r="A374">
        <v>106366</v>
      </c>
      <c r="B374" s="84">
        <f t="shared" si="100"/>
        <v>517.5</v>
      </c>
      <c r="C374" s="84">
        <f t="shared" si="101"/>
        <v>594</v>
      </c>
      <c r="E374" s="9">
        <v>41056530</v>
      </c>
      <c r="F374" s="85">
        <v>80.5</v>
      </c>
      <c r="G374" s="87">
        <v>86.5</v>
      </c>
      <c r="H374" s="20">
        <v>76</v>
      </c>
      <c r="I374" s="20">
        <v>84</v>
      </c>
      <c r="J374" s="20">
        <v>26</v>
      </c>
      <c r="K374" s="20">
        <v>35</v>
      </c>
      <c r="L374" s="85">
        <v>26.5</v>
      </c>
      <c r="M374" s="87">
        <v>35.5</v>
      </c>
      <c r="N374" s="5">
        <v>254694</v>
      </c>
      <c r="O374">
        <f t="shared" si="102"/>
        <v>101</v>
      </c>
      <c r="P374">
        <f t="shared" si="103"/>
        <v>100</v>
      </c>
      <c r="Q374">
        <f t="shared" si="104"/>
        <v>73</v>
      </c>
      <c r="R374">
        <f t="shared" si="105"/>
        <v>56</v>
      </c>
      <c r="S374">
        <f t="shared" si="106"/>
        <v>88</v>
      </c>
      <c r="T374">
        <f t="shared" si="107"/>
        <v>84.5</v>
      </c>
      <c r="U374">
        <f t="shared" si="108"/>
        <v>56</v>
      </c>
      <c r="V374">
        <f t="shared" si="109"/>
        <v>65.5</v>
      </c>
      <c r="X374" s="5">
        <v>231764</v>
      </c>
      <c r="Y374">
        <f t="shared" si="110"/>
        <v>188</v>
      </c>
      <c r="Z374">
        <f t="shared" si="111"/>
        <v>204</v>
      </c>
      <c r="AA374">
        <f t="shared" si="112"/>
        <v>218</v>
      </c>
      <c r="AB374">
        <f t="shared" si="113"/>
        <v>120</v>
      </c>
      <c r="AC374">
        <f t="shared" si="114"/>
        <v>2469.5</v>
      </c>
      <c r="AD374">
        <f t="shared" si="115"/>
        <v>1903</v>
      </c>
      <c r="AE374">
        <f t="shared" si="116"/>
        <v>2154.5</v>
      </c>
      <c r="AF374">
        <f t="shared" si="117"/>
        <v>1645</v>
      </c>
      <c r="AG374" s="5">
        <v>254694</v>
      </c>
      <c r="AH374" s="31">
        <v>101</v>
      </c>
      <c r="AI374" s="31">
        <v>100</v>
      </c>
      <c r="AJ374" s="37">
        <v>1</v>
      </c>
      <c r="AK374" s="37">
        <v>1</v>
      </c>
      <c r="AL374" s="36">
        <v>73</v>
      </c>
      <c r="AM374" s="36">
        <v>56</v>
      </c>
      <c r="AN374" s="37">
        <v>17</v>
      </c>
      <c r="AO374" s="37">
        <v>30.357142857142854</v>
      </c>
      <c r="AP374" s="38">
        <v>1049</v>
      </c>
      <c r="AQ374" s="39">
        <v>1016.5</v>
      </c>
      <c r="AR374" s="37">
        <v>32.5</v>
      </c>
      <c r="AS374" s="37">
        <v>3.1972454500737824</v>
      </c>
      <c r="AT374" s="36">
        <v>799</v>
      </c>
      <c r="AU374" s="36">
        <v>889</v>
      </c>
      <c r="AV374" s="37">
        <v>-90</v>
      </c>
      <c r="AW374" s="37">
        <v>-10.123734533183352</v>
      </c>
      <c r="AX374" s="9">
        <v>41056530</v>
      </c>
      <c r="AY374" t="str">
        <f t="shared" si="118"/>
        <v>BCC_KAMLA_NATIONAL_MODERN_SONDHI</v>
      </c>
      <c r="AZ374" t="str">
        <f t="shared" si="119"/>
        <v>Lutyens</v>
      </c>
      <c r="BC374" s="5">
        <v>254694</v>
      </c>
      <c r="BD374" s="5" t="s">
        <v>581</v>
      </c>
      <c r="BE374" s="46" t="s">
        <v>909</v>
      </c>
      <c r="BF374" s="13" t="s">
        <v>591</v>
      </c>
      <c r="BG374" s="6" t="s">
        <v>89</v>
      </c>
      <c r="BH374" s="6" t="s">
        <v>294</v>
      </c>
      <c r="BI374" s="12" t="s">
        <v>294</v>
      </c>
      <c r="BJ374" s="51" t="s">
        <v>91</v>
      </c>
    </row>
    <row r="375" spans="1:62" ht="36.5" x14ac:dyDescent="0.35">
      <c r="A375">
        <v>175977</v>
      </c>
      <c r="B375" s="84">
        <f t="shared" si="100"/>
        <v>108.5</v>
      </c>
      <c r="C375" s="84">
        <f t="shared" si="101"/>
        <v>120</v>
      </c>
      <c r="E375" s="9">
        <v>41057005</v>
      </c>
      <c r="F375" s="85">
        <v>581</v>
      </c>
      <c r="G375" s="87">
        <v>665</v>
      </c>
      <c r="H375" s="20">
        <v>570</v>
      </c>
      <c r="I375" s="20">
        <v>650</v>
      </c>
      <c r="J375" s="20">
        <v>190</v>
      </c>
      <c r="K375" s="20">
        <v>185</v>
      </c>
      <c r="L375" s="85">
        <v>164</v>
      </c>
      <c r="M375" s="87">
        <v>155</v>
      </c>
      <c r="N375" s="5">
        <v>234809</v>
      </c>
      <c r="O375">
        <f t="shared" si="102"/>
        <v>80</v>
      </c>
      <c r="P375">
        <f t="shared" si="103"/>
        <v>77</v>
      </c>
      <c r="Q375">
        <f t="shared" si="104"/>
        <v>136</v>
      </c>
      <c r="R375">
        <f t="shared" si="105"/>
        <v>73</v>
      </c>
      <c r="S375">
        <f t="shared" si="106"/>
        <v>72</v>
      </c>
      <c r="T375">
        <f t="shared" si="107"/>
        <v>64</v>
      </c>
      <c r="U375">
        <f t="shared" si="108"/>
        <v>60</v>
      </c>
      <c r="V375">
        <f t="shared" si="109"/>
        <v>68</v>
      </c>
      <c r="X375" s="9">
        <v>41019253</v>
      </c>
      <c r="Y375">
        <f t="shared" si="110"/>
        <v>70</v>
      </c>
      <c r="Z375">
        <f t="shared" si="111"/>
        <v>88</v>
      </c>
      <c r="AA375">
        <f t="shared" si="112"/>
        <v>30</v>
      </c>
      <c r="AB375">
        <f t="shared" si="113"/>
        <v>44</v>
      </c>
      <c r="AC375">
        <f t="shared" si="114"/>
        <v>936.5</v>
      </c>
      <c r="AD375">
        <f t="shared" si="115"/>
        <v>764.5</v>
      </c>
      <c r="AE375">
        <f t="shared" si="116"/>
        <v>360.5</v>
      </c>
      <c r="AF375">
        <f t="shared" si="117"/>
        <v>399.5</v>
      </c>
      <c r="AG375" s="5">
        <v>234809</v>
      </c>
      <c r="AH375" s="31">
        <v>80</v>
      </c>
      <c r="AI375" s="31">
        <v>77</v>
      </c>
      <c r="AJ375" s="37">
        <v>3</v>
      </c>
      <c r="AK375" s="37">
        <v>3.8961038961038961</v>
      </c>
      <c r="AL375" s="36">
        <v>136</v>
      </c>
      <c r="AM375" s="36">
        <v>73</v>
      </c>
      <c r="AN375" s="37">
        <v>63</v>
      </c>
      <c r="AO375" s="37">
        <v>86.301369863013704</v>
      </c>
      <c r="AP375" s="38">
        <v>952</v>
      </c>
      <c r="AQ375" s="39">
        <v>782.5</v>
      </c>
      <c r="AR375" s="37">
        <v>169.5</v>
      </c>
      <c r="AS375" s="37">
        <v>21.661341853035143</v>
      </c>
      <c r="AT375" s="36">
        <v>1028</v>
      </c>
      <c r="AU375" s="36">
        <v>984.5</v>
      </c>
      <c r="AV375" s="37">
        <v>43.5</v>
      </c>
      <c r="AW375" s="37">
        <v>4.4184865413915686</v>
      </c>
      <c r="AX375" s="9">
        <v>41057005</v>
      </c>
      <c r="AY375" t="str">
        <f t="shared" si="118"/>
        <v>BP GREENPARK</v>
      </c>
      <c r="AZ375" t="str">
        <f t="shared" si="119"/>
        <v>Hauj Khas-Saket-Vasant Kunj</v>
      </c>
      <c r="BC375" s="5">
        <v>234809</v>
      </c>
      <c r="BD375" s="5" t="s">
        <v>581</v>
      </c>
      <c r="BE375" s="46" t="s">
        <v>910</v>
      </c>
      <c r="BF375" s="13" t="s">
        <v>911</v>
      </c>
      <c r="BG375" s="6" t="s">
        <v>89</v>
      </c>
      <c r="BH375" s="6" t="s">
        <v>90</v>
      </c>
      <c r="BI375" s="12" t="s">
        <v>90</v>
      </c>
      <c r="BJ375" s="51" t="s">
        <v>1004</v>
      </c>
    </row>
    <row r="376" spans="1:62" ht="36.5" x14ac:dyDescent="0.35">
      <c r="A376">
        <v>41056491</v>
      </c>
      <c r="B376" s="84">
        <f t="shared" si="100"/>
        <v>565.5</v>
      </c>
      <c r="C376" s="84">
        <f t="shared" si="101"/>
        <v>601</v>
      </c>
      <c r="E376" s="9">
        <v>41056845</v>
      </c>
      <c r="F376" s="85">
        <v>425</v>
      </c>
      <c r="G376" s="87">
        <v>456.5</v>
      </c>
      <c r="H376" s="20">
        <v>406.5</v>
      </c>
      <c r="I376" s="20">
        <v>449.5</v>
      </c>
      <c r="J376" s="20">
        <v>303.5</v>
      </c>
      <c r="K376" s="20">
        <v>331.5</v>
      </c>
      <c r="L376" s="85">
        <v>278</v>
      </c>
      <c r="M376" s="87">
        <v>267.5</v>
      </c>
      <c r="N376" s="5">
        <v>106353</v>
      </c>
      <c r="O376">
        <f t="shared" si="102"/>
        <v>526.5</v>
      </c>
      <c r="P376">
        <f t="shared" si="103"/>
        <v>468</v>
      </c>
      <c r="Q376">
        <f t="shared" si="104"/>
        <v>67.5</v>
      </c>
      <c r="R376">
        <f t="shared" si="105"/>
        <v>72</v>
      </c>
      <c r="S376">
        <f t="shared" si="106"/>
        <v>450</v>
      </c>
      <c r="T376">
        <f t="shared" si="107"/>
        <v>406.5</v>
      </c>
      <c r="U376">
        <f t="shared" si="108"/>
        <v>54</v>
      </c>
      <c r="V376">
        <f t="shared" si="109"/>
        <v>63.5</v>
      </c>
      <c r="X376" s="9">
        <v>41056845</v>
      </c>
      <c r="Y376">
        <f t="shared" si="110"/>
        <v>456.5</v>
      </c>
      <c r="Z376">
        <f t="shared" si="111"/>
        <v>449.5</v>
      </c>
      <c r="AA376">
        <f t="shared" si="112"/>
        <v>267.5</v>
      </c>
      <c r="AB376">
        <f t="shared" si="113"/>
        <v>331.5</v>
      </c>
      <c r="AC376">
        <f t="shared" si="114"/>
        <v>5495</v>
      </c>
      <c r="AD376">
        <f t="shared" si="115"/>
        <v>4412.5</v>
      </c>
      <c r="AE376">
        <f t="shared" si="116"/>
        <v>3588</v>
      </c>
      <c r="AF376">
        <f t="shared" si="117"/>
        <v>4141.5</v>
      </c>
      <c r="AG376" s="5">
        <v>106353</v>
      </c>
      <c r="AH376" s="31">
        <v>526.5</v>
      </c>
      <c r="AI376" s="31">
        <v>468</v>
      </c>
      <c r="AJ376" s="37">
        <v>58.5</v>
      </c>
      <c r="AK376" s="37">
        <v>12.5</v>
      </c>
      <c r="AL376" s="36">
        <v>67.5</v>
      </c>
      <c r="AM376" s="36">
        <v>72</v>
      </c>
      <c r="AN376" s="37">
        <v>-4.5</v>
      </c>
      <c r="AO376" s="37">
        <v>-6.25</v>
      </c>
      <c r="AP376" s="38">
        <v>5832.5</v>
      </c>
      <c r="AQ376" s="39">
        <v>4636.5</v>
      </c>
      <c r="AR376" s="37">
        <v>1196</v>
      </c>
      <c r="AS376" s="37">
        <v>25.795319745497679</v>
      </c>
      <c r="AT376" s="36">
        <v>733.5</v>
      </c>
      <c r="AU376" s="36">
        <v>837</v>
      </c>
      <c r="AV376" s="37">
        <v>-103.5</v>
      </c>
      <c r="AW376" s="37">
        <v>-12.365591397849462</v>
      </c>
      <c r="AX376" s="9">
        <v>41056845</v>
      </c>
      <c r="AY376" t="str">
        <f t="shared" si="118"/>
        <v>DEEPAK AUTOMOBILES</v>
      </c>
      <c r="AZ376" t="str">
        <f t="shared" si="119"/>
        <v>Old GT Road (NH1)</v>
      </c>
      <c r="BC376" s="5">
        <v>106353</v>
      </c>
      <c r="BD376" s="5" t="s">
        <v>581</v>
      </c>
      <c r="BE376" s="46" t="s">
        <v>912</v>
      </c>
      <c r="BF376" s="13" t="s">
        <v>913</v>
      </c>
      <c r="BG376" s="6" t="s">
        <v>81</v>
      </c>
      <c r="BH376" s="6" t="s">
        <v>195</v>
      </c>
      <c r="BI376" s="12" t="s">
        <v>195</v>
      </c>
      <c r="BJ376" s="51" t="s">
        <v>135</v>
      </c>
    </row>
    <row r="377" spans="1:62" ht="60.5" x14ac:dyDescent="0.35">
      <c r="A377">
        <v>112457</v>
      </c>
      <c r="B377" s="84">
        <f t="shared" si="100"/>
        <v>265</v>
      </c>
      <c r="C377" s="84">
        <f t="shared" si="101"/>
        <v>270.5</v>
      </c>
      <c r="E377" s="9">
        <v>41056820</v>
      </c>
      <c r="F377" s="85">
        <v>114</v>
      </c>
      <c r="G377" s="87">
        <v>131</v>
      </c>
      <c r="H377" s="20">
        <v>93.5</v>
      </c>
      <c r="I377" s="20">
        <v>101</v>
      </c>
      <c r="J377" s="20">
        <v>377.5</v>
      </c>
      <c r="K377" s="20">
        <v>405</v>
      </c>
      <c r="L377" s="85">
        <v>238</v>
      </c>
      <c r="M377" s="87">
        <v>221</v>
      </c>
      <c r="N377" s="5">
        <v>102107</v>
      </c>
      <c r="O377">
        <f t="shared" si="102"/>
        <v>425.5</v>
      </c>
      <c r="P377">
        <f t="shared" si="103"/>
        <v>414</v>
      </c>
      <c r="Q377">
        <f t="shared" si="104"/>
        <v>76.5</v>
      </c>
      <c r="R377">
        <f t="shared" si="105"/>
        <v>90</v>
      </c>
      <c r="S377">
        <f t="shared" si="106"/>
        <v>420.5</v>
      </c>
      <c r="T377">
        <f t="shared" si="107"/>
        <v>307.5</v>
      </c>
      <c r="U377">
        <f t="shared" si="108"/>
        <v>67.5</v>
      </c>
      <c r="V377">
        <f t="shared" si="109"/>
        <v>72.5</v>
      </c>
      <c r="X377" s="5">
        <v>106276</v>
      </c>
      <c r="Y377">
        <f t="shared" si="110"/>
        <v>400</v>
      </c>
      <c r="Z377">
        <f t="shared" si="111"/>
        <v>420</v>
      </c>
      <c r="AA377">
        <f t="shared" si="112"/>
        <v>80</v>
      </c>
      <c r="AB377">
        <f t="shared" si="113"/>
        <v>100</v>
      </c>
      <c r="AC377">
        <f t="shared" si="114"/>
        <v>4878</v>
      </c>
      <c r="AD377">
        <f t="shared" si="115"/>
        <v>4034.5</v>
      </c>
      <c r="AE377">
        <f t="shared" si="116"/>
        <v>1060</v>
      </c>
      <c r="AF377">
        <f t="shared" si="117"/>
        <v>1256</v>
      </c>
      <c r="AG377" s="5">
        <v>102107</v>
      </c>
      <c r="AH377" s="31">
        <v>425.5</v>
      </c>
      <c r="AI377" s="31">
        <v>414</v>
      </c>
      <c r="AJ377" s="37">
        <v>11.5</v>
      </c>
      <c r="AK377" s="37">
        <v>2.7777777777777777</v>
      </c>
      <c r="AL377" s="36">
        <v>76.5</v>
      </c>
      <c r="AM377" s="36">
        <v>90</v>
      </c>
      <c r="AN377" s="37">
        <v>-13.5</v>
      </c>
      <c r="AO377" s="37">
        <v>-15</v>
      </c>
      <c r="AP377" s="38">
        <v>4995</v>
      </c>
      <c r="AQ377" s="39">
        <v>3372</v>
      </c>
      <c r="AR377" s="37">
        <v>1623</v>
      </c>
      <c r="AS377" s="37">
        <v>48.131672597864764</v>
      </c>
      <c r="AT377" s="36">
        <v>983</v>
      </c>
      <c r="AU377" s="36">
        <v>980.5</v>
      </c>
      <c r="AV377" s="37">
        <v>2.5</v>
      </c>
      <c r="AW377" s="37">
        <v>0.25497195308516063</v>
      </c>
      <c r="AX377" s="9">
        <v>41056820</v>
      </c>
      <c r="AY377" t="str">
        <f t="shared" si="118"/>
        <v>KANWAR</v>
      </c>
      <c r="AZ377" t="str">
        <f t="shared" si="119"/>
        <v>Old GT Road (NH1)</v>
      </c>
      <c r="BC377" s="5">
        <v>102107</v>
      </c>
      <c r="BD377" s="5" t="s">
        <v>581</v>
      </c>
      <c r="BE377" s="46" t="s">
        <v>914</v>
      </c>
      <c r="BF377" s="13" t="s">
        <v>666</v>
      </c>
      <c r="BG377" s="6" t="s">
        <v>75</v>
      </c>
      <c r="BH377" s="6" t="s">
        <v>667</v>
      </c>
      <c r="BI377" s="12" t="s">
        <v>667</v>
      </c>
      <c r="BJ377" s="51" t="s">
        <v>77</v>
      </c>
    </row>
    <row r="378" spans="1:62" ht="36.5" x14ac:dyDescent="0.35">
      <c r="A378">
        <v>203544</v>
      </c>
      <c r="B378" s="84">
        <f t="shared" si="100"/>
        <v>324</v>
      </c>
      <c r="C378" s="84">
        <f t="shared" si="101"/>
        <v>360</v>
      </c>
      <c r="E378" s="11">
        <v>41056842</v>
      </c>
      <c r="F378" s="85">
        <v>333.53694999999999</v>
      </c>
      <c r="G378" s="87">
        <v>378.92469</v>
      </c>
      <c r="H378" s="20">
        <v>321.56400000000002</v>
      </c>
      <c r="I378" s="20">
        <v>359.99400000000009</v>
      </c>
      <c r="J378" s="20">
        <v>117.36999999999999</v>
      </c>
      <c r="K378" s="20">
        <v>136.75899999999999</v>
      </c>
      <c r="L378" s="85">
        <v>115.17472999999998</v>
      </c>
      <c r="M378" s="87">
        <v>118.82</v>
      </c>
      <c r="N378" s="5">
        <v>106354</v>
      </c>
      <c r="O378">
        <f t="shared" si="102"/>
        <v>653.5</v>
      </c>
      <c r="P378">
        <f t="shared" si="103"/>
        <v>605.5</v>
      </c>
      <c r="Q378">
        <f t="shared" si="104"/>
        <v>94.5</v>
      </c>
      <c r="R378">
        <f t="shared" si="105"/>
        <v>118.5</v>
      </c>
      <c r="S378">
        <f t="shared" si="106"/>
        <v>630</v>
      </c>
      <c r="T378">
        <f t="shared" si="107"/>
        <v>600</v>
      </c>
      <c r="U378">
        <f t="shared" si="108"/>
        <v>104</v>
      </c>
      <c r="V378">
        <f t="shared" si="109"/>
        <v>104</v>
      </c>
      <c r="X378" s="7">
        <v>142929</v>
      </c>
      <c r="Y378">
        <f t="shared" si="110"/>
        <v>72.5</v>
      </c>
      <c r="Z378">
        <f t="shared" si="111"/>
        <v>65</v>
      </c>
      <c r="AA378">
        <f t="shared" si="112"/>
        <v>65.5</v>
      </c>
      <c r="AB378">
        <f t="shared" si="113"/>
        <v>91</v>
      </c>
      <c r="AC378">
        <f t="shared" si="114"/>
        <v>802</v>
      </c>
      <c r="AD378">
        <f t="shared" si="115"/>
        <v>667.5</v>
      </c>
      <c r="AE378">
        <f t="shared" si="116"/>
        <v>550</v>
      </c>
      <c r="AF378">
        <f t="shared" si="117"/>
        <v>692</v>
      </c>
      <c r="AG378" s="5">
        <v>106354</v>
      </c>
      <c r="AH378" s="31">
        <v>653.5</v>
      </c>
      <c r="AI378" s="31">
        <v>605.5</v>
      </c>
      <c r="AJ378" s="37">
        <v>48</v>
      </c>
      <c r="AK378" s="37">
        <v>7.927332782824112</v>
      </c>
      <c r="AL378" s="36">
        <v>94.5</v>
      </c>
      <c r="AM378" s="36">
        <v>118.5</v>
      </c>
      <c r="AN378" s="37">
        <v>-24</v>
      </c>
      <c r="AO378" s="37">
        <v>-20.253164556962027</v>
      </c>
      <c r="AP378" s="38">
        <v>8053.5</v>
      </c>
      <c r="AQ378" s="39">
        <v>6585</v>
      </c>
      <c r="AR378" s="37">
        <v>1468.5</v>
      </c>
      <c r="AS378" s="37">
        <v>22.300683371298405</v>
      </c>
      <c r="AT378" s="36">
        <v>1380.5</v>
      </c>
      <c r="AU378" s="36">
        <v>1627.5</v>
      </c>
      <c r="AV378" s="37">
        <v>-247</v>
      </c>
      <c r="AW378" s="37">
        <v>-15.176651305683563</v>
      </c>
      <c r="AX378" s="11">
        <v>41056842</v>
      </c>
      <c r="AY378" t="str">
        <f t="shared" si="118"/>
        <v>GYMKHANA</v>
      </c>
      <c r="AZ378" t="str">
        <f t="shared" si="119"/>
        <v>Lutyens</v>
      </c>
      <c r="BC378" s="5">
        <v>106354</v>
      </c>
      <c r="BD378" s="5" t="s">
        <v>581</v>
      </c>
      <c r="BE378" s="46" t="s">
        <v>915</v>
      </c>
      <c r="BF378" s="13" t="s">
        <v>916</v>
      </c>
      <c r="BG378" s="6" t="s">
        <v>94</v>
      </c>
      <c r="BH378" s="6" t="s">
        <v>166</v>
      </c>
      <c r="BI378" s="12" t="s">
        <v>166</v>
      </c>
      <c r="BJ378" s="51" t="s">
        <v>120</v>
      </c>
    </row>
    <row r="379" spans="1:62" ht="36.5" x14ac:dyDescent="0.35">
      <c r="A379">
        <v>231764</v>
      </c>
      <c r="B379" s="84">
        <f t="shared" si="100"/>
        <v>182</v>
      </c>
      <c r="C379" s="84">
        <f t="shared" si="101"/>
        <v>188</v>
      </c>
      <c r="E379" s="9">
        <v>41019306</v>
      </c>
      <c r="F379" s="85">
        <v>68.5</v>
      </c>
      <c r="G379" s="87">
        <v>81.5</v>
      </c>
      <c r="H379" s="20">
        <v>61.5</v>
      </c>
      <c r="I379" s="20">
        <v>71</v>
      </c>
      <c r="J379" s="20">
        <v>16.5</v>
      </c>
      <c r="K379" s="20">
        <v>13</v>
      </c>
      <c r="L379" s="85">
        <v>9.5</v>
      </c>
      <c r="M379" s="87">
        <v>22.5</v>
      </c>
      <c r="N379" s="5">
        <v>182561</v>
      </c>
      <c r="O379">
        <f t="shared" si="102"/>
        <v>313.5</v>
      </c>
      <c r="P379">
        <f t="shared" si="103"/>
        <v>272</v>
      </c>
      <c r="Q379">
        <f t="shared" si="104"/>
        <v>260.5</v>
      </c>
      <c r="R379">
        <f t="shared" si="105"/>
        <v>260</v>
      </c>
      <c r="S379">
        <f t="shared" si="106"/>
        <v>298.5</v>
      </c>
      <c r="T379">
        <f t="shared" si="107"/>
        <v>309</v>
      </c>
      <c r="U379">
        <f t="shared" si="108"/>
        <v>235.5</v>
      </c>
      <c r="V379">
        <f t="shared" si="109"/>
        <v>187</v>
      </c>
      <c r="X379" s="3">
        <v>112442</v>
      </c>
      <c r="Y379">
        <f t="shared" si="110"/>
        <v>234.5</v>
      </c>
      <c r="Z379">
        <f t="shared" si="111"/>
        <v>252</v>
      </c>
      <c r="AA379">
        <f t="shared" si="112"/>
        <v>1003.5</v>
      </c>
      <c r="AB379">
        <f t="shared" si="113"/>
        <v>874</v>
      </c>
      <c r="AC379">
        <f t="shared" si="114"/>
        <v>3138</v>
      </c>
      <c r="AD379">
        <f t="shared" si="115"/>
        <v>2941.5</v>
      </c>
      <c r="AE379">
        <f t="shared" si="116"/>
        <v>9254</v>
      </c>
      <c r="AF379">
        <f t="shared" si="117"/>
        <v>9569</v>
      </c>
      <c r="AG379" s="5">
        <v>182561</v>
      </c>
      <c r="AH379" s="31">
        <v>313.5</v>
      </c>
      <c r="AI379" s="31">
        <v>272</v>
      </c>
      <c r="AJ379" s="37">
        <v>41.5</v>
      </c>
      <c r="AK379" s="37">
        <v>15.257352941176471</v>
      </c>
      <c r="AL379" s="36">
        <v>260.5</v>
      </c>
      <c r="AM379" s="36">
        <v>260</v>
      </c>
      <c r="AN379" s="37">
        <v>0.5</v>
      </c>
      <c r="AO379" s="37">
        <v>0.19230769230769232</v>
      </c>
      <c r="AP379" s="38">
        <v>3650.5</v>
      </c>
      <c r="AQ379" s="39">
        <v>2891.5</v>
      </c>
      <c r="AR379" s="37">
        <v>759</v>
      </c>
      <c r="AS379" s="37">
        <v>26.249351547639634</v>
      </c>
      <c r="AT379" s="36">
        <v>3011.5</v>
      </c>
      <c r="AU379" s="36">
        <v>2959.5</v>
      </c>
      <c r="AV379" s="37">
        <v>52</v>
      </c>
      <c r="AW379" s="37">
        <v>1.7570535563439769</v>
      </c>
      <c r="AX379" s="9">
        <v>41019306</v>
      </c>
      <c r="AY379" t="str">
        <f t="shared" si="118"/>
        <v>GYMKHANA</v>
      </c>
      <c r="AZ379" t="str">
        <f t="shared" si="119"/>
        <v>Lutyens</v>
      </c>
      <c r="BC379" s="5">
        <v>182561</v>
      </c>
      <c r="BD379" s="5" t="s">
        <v>581</v>
      </c>
      <c r="BE379" s="46" t="s">
        <v>917</v>
      </c>
      <c r="BF379" s="13" t="s">
        <v>918</v>
      </c>
      <c r="BG379" s="6" t="s">
        <v>94</v>
      </c>
      <c r="BH379" s="6" t="s">
        <v>919</v>
      </c>
      <c r="BI379" s="12" t="s">
        <v>919</v>
      </c>
      <c r="BJ379" s="51" t="s">
        <v>920</v>
      </c>
    </row>
    <row r="380" spans="1:62" ht="48.5" x14ac:dyDescent="0.35">
      <c r="A380">
        <v>41032884</v>
      </c>
      <c r="B380" s="84">
        <f t="shared" si="100"/>
        <v>646.5</v>
      </c>
      <c r="C380" s="84">
        <f t="shared" si="101"/>
        <v>682</v>
      </c>
      <c r="E380" s="9">
        <v>41056817</v>
      </c>
      <c r="F380" s="85">
        <v>275</v>
      </c>
      <c r="G380" s="87">
        <v>309</v>
      </c>
      <c r="H380" s="20">
        <v>258</v>
      </c>
      <c r="I380" s="20">
        <v>283</v>
      </c>
      <c r="J380" s="20">
        <v>74</v>
      </c>
      <c r="K380" s="20">
        <v>74</v>
      </c>
      <c r="L380" s="85">
        <v>65</v>
      </c>
      <c r="M380" s="87">
        <v>60</v>
      </c>
      <c r="N380" s="5">
        <v>202456</v>
      </c>
      <c r="O380">
        <f t="shared" si="102"/>
        <v>80</v>
      </c>
      <c r="P380">
        <f t="shared" si="103"/>
        <v>99</v>
      </c>
      <c r="Q380">
        <f t="shared" si="104"/>
        <v>4</v>
      </c>
      <c r="R380">
        <f t="shared" si="105"/>
        <v>17</v>
      </c>
      <c r="S380">
        <f t="shared" si="106"/>
        <v>72</v>
      </c>
      <c r="T380">
        <f t="shared" si="107"/>
        <v>76</v>
      </c>
      <c r="U380">
        <f t="shared" si="108"/>
        <v>0</v>
      </c>
      <c r="V380">
        <f t="shared" si="109"/>
        <v>20</v>
      </c>
      <c r="X380" s="5">
        <v>102100</v>
      </c>
      <c r="Y380">
        <f t="shared" si="110"/>
        <v>371</v>
      </c>
      <c r="Z380">
        <f t="shared" si="111"/>
        <v>281.5</v>
      </c>
      <c r="AA380">
        <f t="shared" si="112"/>
        <v>116.5</v>
      </c>
      <c r="AB380">
        <f t="shared" si="113"/>
        <v>58.5</v>
      </c>
      <c r="AC380">
        <f t="shared" si="114"/>
        <v>4106.5</v>
      </c>
      <c r="AD380">
        <f t="shared" si="115"/>
        <v>3310.5</v>
      </c>
      <c r="AE380">
        <f t="shared" si="116"/>
        <v>1029.5</v>
      </c>
      <c r="AF380">
        <f t="shared" si="117"/>
        <v>734</v>
      </c>
      <c r="AG380" s="5">
        <v>202456</v>
      </c>
      <c r="AH380" s="31">
        <v>80</v>
      </c>
      <c r="AI380" s="31">
        <v>99</v>
      </c>
      <c r="AJ380" s="37">
        <v>-19</v>
      </c>
      <c r="AK380" s="37">
        <v>-19.19191919191919</v>
      </c>
      <c r="AL380" s="36">
        <v>4</v>
      </c>
      <c r="AM380" s="36">
        <v>17</v>
      </c>
      <c r="AN380" s="37">
        <v>-13</v>
      </c>
      <c r="AO380" s="37">
        <v>-76.470588235294116</v>
      </c>
      <c r="AP380" s="38">
        <v>911.5</v>
      </c>
      <c r="AQ380" s="39">
        <v>786</v>
      </c>
      <c r="AR380" s="37">
        <v>125.5</v>
      </c>
      <c r="AS380" s="37">
        <v>15.966921119592875</v>
      </c>
      <c r="AT380" s="36">
        <v>84.5</v>
      </c>
      <c r="AU380" s="36">
        <v>263</v>
      </c>
      <c r="AV380" s="37">
        <v>-178.5</v>
      </c>
      <c r="AW380" s="37">
        <v>-67.870722433460074</v>
      </c>
      <c r="AX380" s="9">
        <v>41056817</v>
      </c>
      <c r="AY380" t="str">
        <f t="shared" si="118"/>
        <v>SYALL SS</v>
      </c>
      <c r="AZ380" t="str">
        <f t="shared" si="119"/>
        <v>Punjabi Bagh</v>
      </c>
      <c r="BC380" s="5">
        <v>202456</v>
      </c>
      <c r="BD380" s="5" t="s">
        <v>581</v>
      </c>
      <c r="BE380" s="46" t="s">
        <v>921</v>
      </c>
      <c r="BF380" s="13" t="s">
        <v>922</v>
      </c>
      <c r="BG380" s="6" t="s">
        <v>200</v>
      </c>
      <c r="BH380" s="6" t="s">
        <v>814</v>
      </c>
      <c r="BI380" s="12" t="s">
        <v>814</v>
      </c>
      <c r="BJ380" s="51" t="s">
        <v>91</v>
      </c>
    </row>
    <row r="381" spans="1:62" ht="48.5" x14ac:dyDescent="0.35">
      <c r="A381">
        <v>112458</v>
      </c>
      <c r="B381" s="84">
        <f t="shared" si="100"/>
        <v>805</v>
      </c>
      <c r="C381" s="84">
        <f t="shared" si="101"/>
        <v>860</v>
      </c>
      <c r="E381" s="9">
        <v>41028209</v>
      </c>
      <c r="F381" s="85">
        <v>228</v>
      </c>
      <c r="G381" s="87">
        <v>242</v>
      </c>
      <c r="H381" s="20">
        <v>222</v>
      </c>
      <c r="I381" s="20">
        <v>272</v>
      </c>
      <c r="J381" s="20">
        <v>45</v>
      </c>
      <c r="K381" s="20">
        <v>39</v>
      </c>
      <c r="L381" s="85">
        <v>43</v>
      </c>
      <c r="M381" s="87">
        <v>45</v>
      </c>
      <c r="N381" s="5">
        <v>107653</v>
      </c>
      <c r="O381">
        <f t="shared" si="102"/>
        <v>199</v>
      </c>
      <c r="P381">
        <f t="shared" si="103"/>
        <v>218</v>
      </c>
      <c r="Q381">
        <f t="shared" si="104"/>
        <v>49</v>
      </c>
      <c r="R381">
        <f t="shared" si="105"/>
        <v>64</v>
      </c>
      <c r="S381">
        <f t="shared" si="106"/>
        <v>180</v>
      </c>
      <c r="T381">
        <f t="shared" si="107"/>
        <v>170</v>
      </c>
      <c r="U381">
        <f t="shared" si="108"/>
        <v>36</v>
      </c>
      <c r="V381">
        <f t="shared" si="109"/>
        <v>52</v>
      </c>
      <c r="X381" s="5">
        <v>186861</v>
      </c>
      <c r="Y381">
        <f t="shared" si="110"/>
        <v>152</v>
      </c>
      <c r="Z381">
        <f t="shared" si="111"/>
        <v>156</v>
      </c>
      <c r="AA381">
        <f t="shared" si="112"/>
        <v>140</v>
      </c>
      <c r="AB381">
        <f t="shared" si="113"/>
        <v>108</v>
      </c>
      <c r="AC381">
        <f t="shared" si="114"/>
        <v>1820</v>
      </c>
      <c r="AD381">
        <f t="shared" si="115"/>
        <v>1507</v>
      </c>
      <c r="AE381">
        <f t="shared" si="116"/>
        <v>1436</v>
      </c>
      <c r="AF381">
        <f t="shared" si="117"/>
        <v>1501</v>
      </c>
      <c r="AG381" s="5">
        <v>107653</v>
      </c>
      <c r="AH381" s="31">
        <v>199</v>
      </c>
      <c r="AI381" s="31">
        <v>218</v>
      </c>
      <c r="AJ381" s="37">
        <v>-19</v>
      </c>
      <c r="AK381" s="37">
        <v>-8.7155963302752291</v>
      </c>
      <c r="AL381" s="36">
        <v>49</v>
      </c>
      <c r="AM381" s="36">
        <v>64</v>
      </c>
      <c r="AN381" s="37">
        <v>-15</v>
      </c>
      <c r="AO381" s="37">
        <v>-23.4375</v>
      </c>
      <c r="AP381" s="38">
        <v>2350</v>
      </c>
      <c r="AQ381" s="39">
        <v>1992</v>
      </c>
      <c r="AR381" s="37">
        <v>358</v>
      </c>
      <c r="AS381" s="37">
        <v>17.971887550200801</v>
      </c>
      <c r="AT381" s="36">
        <v>584</v>
      </c>
      <c r="AU381" s="36">
        <v>786</v>
      </c>
      <c r="AV381" s="37">
        <v>-202</v>
      </c>
      <c r="AW381" s="37">
        <v>-25.699745547073793</v>
      </c>
      <c r="AX381" s="9">
        <v>41028209</v>
      </c>
      <c r="AY381" t="str">
        <f t="shared" si="118"/>
        <v>SAHAS FS</v>
      </c>
      <c r="AZ381" t="str">
        <f t="shared" si="119"/>
        <v>Punjabi Bagh</v>
      </c>
      <c r="BC381" s="5">
        <v>107653</v>
      </c>
      <c r="BD381" s="5" t="s">
        <v>581</v>
      </c>
      <c r="BE381" s="46" t="s">
        <v>923</v>
      </c>
      <c r="BF381" s="13" t="s">
        <v>611</v>
      </c>
      <c r="BG381" s="6" t="s">
        <v>89</v>
      </c>
      <c r="BH381" s="6" t="s">
        <v>906</v>
      </c>
      <c r="BI381" s="12" t="s">
        <v>906</v>
      </c>
      <c r="BJ381" s="51" t="s">
        <v>1007</v>
      </c>
    </row>
    <row r="382" spans="1:62" ht="24.5" x14ac:dyDescent="0.35">
      <c r="A382">
        <v>106369</v>
      </c>
      <c r="B382" s="84">
        <f t="shared" si="100"/>
        <v>185</v>
      </c>
      <c r="C382" s="84">
        <f t="shared" si="101"/>
        <v>214.5</v>
      </c>
      <c r="E382" s="9">
        <v>41056533</v>
      </c>
      <c r="F382" s="85">
        <v>300</v>
      </c>
      <c r="G382" s="87">
        <v>323.5</v>
      </c>
      <c r="H382" s="20">
        <v>234</v>
      </c>
      <c r="I382" s="20">
        <v>276.5</v>
      </c>
      <c r="J382" s="20">
        <v>184</v>
      </c>
      <c r="K382" s="20">
        <v>196.5</v>
      </c>
      <c r="L382" s="85">
        <v>182</v>
      </c>
      <c r="M382" s="87">
        <v>198.5</v>
      </c>
      <c r="N382" s="5">
        <v>186837</v>
      </c>
      <c r="O382">
        <f t="shared" si="102"/>
        <v>414</v>
      </c>
      <c r="P382">
        <f t="shared" si="103"/>
        <v>365</v>
      </c>
      <c r="Q382">
        <f t="shared" si="104"/>
        <v>96</v>
      </c>
      <c r="R382">
        <f t="shared" si="105"/>
        <v>89</v>
      </c>
      <c r="S382">
        <f t="shared" si="106"/>
        <v>376</v>
      </c>
      <c r="T382">
        <f t="shared" si="107"/>
        <v>350.5</v>
      </c>
      <c r="U382">
        <f t="shared" si="108"/>
        <v>104</v>
      </c>
      <c r="V382">
        <f t="shared" si="109"/>
        <v>93.5</v>
      </c>
      <c r="X382" s="9">
        <v>41032884</v>
      </c>
      <c r="Y382">
        <f t="shared" si="110"/>
        <v>682</v>
      </c>
      <c r="Z382">
        <f t="shared" si="111"/>
        <v>769</v>
      </c>
      <c r="AA382">
        <f t="shared" si="112"/>
        <v>191</v>
      </c>
      <c r="AB382">
        <f t="shared" si="113"/>
        <v>238</v>
      </c>
      <c r="AC382">
        <f t="shared" si="114"/>
        <v>8522.5</v>
      </c>
      <c r="AD382">
        <f t="shared" si="115"/>
        <v>7553.5</v>
      </c>
      <c r="AE382">
        <f t="shared" si="116"/>
        <v>2480.5</v>
      </c>
      <c r="AF382">
        <f t="shared" si="117"/>
        <v>3233</v>
      </c>
      <c r="AG382" s="5">
        <v>186837</v>
      </c>
      <c r="AH382" s="31">
        <v>414</v>
      </c>
      <c r="AI382" s="31">
        <v>365</v>
      </c>
      <c r="AJ382" s="37">
        <v>49</v>
      </c>
      <c r="AK382" s="37">
        <v>13.424657534246576</v>
      </c>
      <c r="AL382" s="36">
        <v>96</v>
      </c>
      <c r="AM382" s="36">
        <v>89</v>
      </c>
      <c r="AN382" s="37">
        <v>7</v>
      </c>
      <c r="AO382" s="37">
        <v>7.8651685393258424</v>
      </c>
      <c r="AP382" s="38">
        <v>4658.5</v>
      </c>
      <c r="AQ382" s="39">
        <v>4892.5</v>
      </c>
      <c r="AR382" s="37">
        <v>-234</v>
      </c>
      <c r="AS382" s="37">
        <v>-4.7828308635666836</v>
      </c>
      <c r="AT382" s="36">
        <v>1133.5</v>
      </c>
      <c r="AU382" s="36">
        <v>1480</v>
      </c>
      <c r="AV382" s="37">
        <v>-346.5</v>
      </c>
      <c r="AW382" s="37">
        <v>-23.412162162162161</v>
      </c>
      <c r="AX382" s="9">
        <v>41056533</v>
      </c>
      <c r="AY382" t="str">
        <f t="shared" si="118"/>
        <v>ARAVALI</v>
      </c>
      <c r="AZ382" t="str">
        <f t="shared" si="119"/>
        <v>Dwarka</v>
      </c>
      <c r="BC382" s="5">
        <v>186837</v>
      </c>
      <c r="BD382" s="5" t="s">
        <v>581</v>
      </c>
      <c r="BE382" s="46" t="s">
        <v>924</v>
      </c>
      <c r="BF382" s="13" t="s">
        <v>402</v>
      </c>
      <c r="BG382" s="6" t="s">
        <v>187</v>
      </c>
      <c r="BH382" s="6" t="s">
        <v>370</v>
      </c>
      <c r="BI382" s="12" t="s">
        <v>370</v>
      </c>
      <c r="BJ382" s="51" t="s">
        <v>189</v>
      </c>
    </row>
    <row r="383" spans="1:62" ht="36.5" x14ac:dyDescent="0.35">
      <c r="A383">
        <v>112459</v>
      </c>
      <c r="B383" s="84">
        <f t="shared" si="100"/>
        <v>398</v>
      </c>
      <c r="C383" s="84">
        <f t="shared" si="101"/>
        <v>416</v>
      </c>
      <c r="E383" s="9">
        <v>41056992</v>
      </c>
      <c r="F383" s="85">
        <v>256.5</v>
      </c>
      <c r="G383" s="87">
        <v>270</v>
      </c>
      <c r="H383" s="20">
        <v>261</v>
      </c>
      <c r="I383" s="20">
        <v>274.5</v>
      </c>
      <c r="J383" s="20">
        <v>81</v>
      </c>
      <c r="K383" s="20">
        <v>81</v>
      </c>
      <c r="L383" s="85">
        <v>49.5</v>
      </c>
      <c r="M383" s="87">
        <v>54</v>
      </c>
      <c r="N383" s="5">
        <v>107630</v>
      </c>
      <c r="O383">
        <f t="shared" si="102"/>
        <v>214.5</v>
      </c>
      <c r="P383">
        <f t="shared" si="103"/>
        <v>200.5</v>
      </c>
      <c r="Q383">
        <f t="shared" si="104"/>
        <v>49.5</v>
      </c>
      <c r="R383">
        <f t="shared" si="105"/>
        <v>53.5</v>
      </c>
      <c r="S383">
        <f t="shared" si="106"/>
        <v>173</v>
      </c>
      <c r="T383">
        <f t="shared" si="107"/>
        <v>175.5</v>
      </c>
      <c r="U383">
        <f t="shared" si="108"/>
        <v>31</v>
      </c>
      <c r="V383">
        <f t="shared" si="109"/>
        <v>58.5</v>
      </c>
      <c r="X383" s="5">
        <v>524842</v>
      </c>
      <c r="Y383">
        <f t="shared" si="110"/>
        <v>256</v>
      </c>
      <c r="Z383">
        <f t="shared" si="111"/>
        <v>302</v>
      </c>
      <c r="AA383">
        <f t="shared" si="112"/>
        <v>182</v>
      </c>
      <c r="AB383">
        <f t="shared" si="113"/>
        <v>160</v>
      </c>
      <c r="AC383">
        <f t="shared" si="114"/>
        <v>3960</v>
      </c>
      <c r="AD383">
        <f t="shared" si="115"/>
        <v>3032</v>
      </c>
      <c r="AE383">
        <f t="shared" si="116"/>
        <v>1952</v>
      </c>
      <c r="AF383">
        <f t="shared" si="117"/>
        <v>1964</v>
      </c>
      <c r="AG383" s="5">
        <v>107630</v>
      </c>
      <c r="AH383" s="31">
        <v>214.5</v>
      </c>
      <c r="AI383" s="31">
        <v>200.5</v>
      </c>
      <c r="AJ383" s="37">
        <v>14</v>
      </c>
      <c r="AK383" s="37">
        <v>6.982543640897755</v>
      </c>
      <c r="AL383" s="36">
        <v>49.5</v>
      </c>
      <c r="AM383" s="36">
        <v>53.5</v>
      </c>
      <c r="AN383" s="37">
        <v>-4</v>
      </c>
      <c r="AO383" s="37">
        <v>-7.4766355140186906</v>
      </c>
      <c r="AP383" s="38">
        <v>2445</v>
      </c>
      <c r="AQ383" s="39">
        <v>2040</v>
      </c>
      <c r="AR383" s="37">
        <v>405</v>
      </c>
      <c r="AS383" s="37">
        <v>19.852941176470587</v>
      </c>
      <c r="AT383" s="36">
        <v>527</v>
      </c>
      <c r="AU383" s="36">
        <v>782</v>
      </c>
      <c r="AV383" s="37">
        <v>-255</v>
      </c>
      <c r="AW383" s="37">
        <v>-32.608695652173914</v>
      </c>
      <c r="AX383" s="9">
        <v>41056992</v>
      </c>
      <c r="AY383" t="str">
        <f t="shared" si="118"/>
        <v>FAST TRACK-VEEJAY</v>
      </c>
      <c r="AZ383" t="str">
        <f t="shared" si="119"/>
        <v>Ashok Vihar</v>
      </c>
      <c r="BC383" s="5">
        <v>107630</v>
      </c>
      <c r="BD383" s="5" t="s">
        <v>581</v>
      </c>
      <c r="BE383" s="46" t="s">
        <v>925</v>
      </c>
      <c r="BF383" s="13" t="s">
        <v>550</v>
      </c>
      <c r="BG383" s="6" t="s">
        <v>85</v>
      </c>
      <c r="BH383" s="6" t="s">
        <v>303</v>
      </c>
      <c r="BI383" s="12" t="s">
        <v>303</v>
      </c>
      <c r="BJ383" s="51" t="s">
        <v>304</v>
      </c>
    </row>
    <row r="384" spans="1:62" ht="36.5" x14ac:dyDescent="0.35">
      <c r="A384">
        <v>112460</v>
      </c>
      <c r="B384" s="84">
        <f t="shared" si="100"/>
        <v>153</v>
      </c>
      <c r="C384" s="84">
        <f t="shared" si="101"/>
        <v>190</v>
      </c>
      <c r="E384" s="9">
        <v>41019264</v>
      </c>
      <c r="F384" s="85">
        <v>11.782550000000001</v>
      </c>
      <c r="G384" s="87">
        <v>14.345780000000001</v>
      </c>
      <c r="H384" s="20">
        <v>12.796999999999997</v>
      </c>
      <c r="I384" s="20">
        <v>16.082999999999998</v>
      </c>
      <c r="J384" s="20">
        <v>451.15800000000007</v>
      </c>
      <c r="K384" s="20">
        <v>504.44900000000007</v>
      </c>
      <c r="L384" s="85">
        <v>416.11876000000001</v>
      </c>
      <c r="M384" s="87">
        <v>486.50895999999995</v>
      </c>
      <c r="N384" s="5">
        <v>186872</v>
      </c>
      <c r="O384">
        <f t="shared" si="102"/>
        <v>58.5</v>
      </c>
      <c r="P384">
        <f t="shared" si="103"/>
        <v>62</v>
      </c>
      <c r="Q384">
        <f t="shared" si="104"/>
        <v>627.5</v>
      </c>
      <c r="R384">
        <f t="shared" si="105"/>
        <v>744</v>
      </c>
      <c r="S384">
        <f t="shared" si="106"/>
        <v>63</v>
      </c>
      <c r="T384">
        <f t="shared" si="107"/>
        <v>40.5</v>
      </c>
      <c r="U384">
        <f t="shared" si="108"/>
        <v>753</v>
      </c>
      <c r="V384">
        <f t="shared" si="109"/>
        <v>575.5</v>
      </c>
      <c r="X384" s="9">
        <v>41056993</v>
      </c>
      <c r="Y384">
        <f t="shared" si="110"/>
        <v>312</v>
      </c>
      <c r="Z384">
        <f t="shared" si="111"/>
        <v>307</v>
      </c>
      <c r="AA384">
        <f t="shared" si="112"/>
        <v>396</v>
      </c>
      <c r="AB384">
        <f t="shared" si="113"/>
        <v>339</v>
      </c>
      <c r="AC384">
        <f t="shared" si="114"/>
        <v>3894</v>
      </c>
      <c r="AD384">
        <f t="shared" si="115"/>
        <v>2734</v>
      </c>
      <c r="AE384">
        <f t="shared" si="116"/>
        <v>4522</v>
      </c>
      <c r="AF384">
        <f t="shared" si="117"/>
        <v>3927</v>
      </c>
      <c r="AG384" s="5">
        <v>186872</v>
      </c>
      <c r="AH384" s="31">
        <v>58.5</v>
      </c>
      <c r="AI384" s="31">
        <v>62</v>
      </c>
      <c r="AJ384" s="37">
        <v>-3.5</v>
      </c>
      <c r="AK384" s="37">
        <v>-5.6451612903225801</v>
      </c>
      <c r="AL384" s="36">
        <v>627.5</v>
      </c>
      <c r="AM384" s="36">
        <v>744</v>
      </c>
      <c r="AN384" s="37">
        <v>-116.5</v>
      </c>
      <c r="AO384" s="37">
        <v>-15.658602150537634</v>
      </c>
      <c r="AP384" s="38">
        <v>693</v>
      </c>
      <c r="AQ384" s="39">
        <v>640</v>
      </c>
      <c r="AR384" s="37">
        <v>53</v>
      </c>
      <c r="AS384" s="37">
        <v>8.28125</v>
      </c>
      <c r="AT384" s="36">
        <v>8187</v>
      </c>
      <c r="AU384" s="36">
        <v>6305.5</v>
      </c>
      <c r="AV384" s="37">
        <v>1881.5</v>
      </c>
      <c r="AW384" s="37">
        <v>29.839029418761399</v>
      </c>
      <c r="AX384" s="9">
        <v>41019264</v>
      </c>
      <c r="AY384" t="str">
        <f t="shared" si="118"/>
        <v>White Patch_IGI Airport</v>
      </c>
      <c r="AZ384" t="str">
        <f t="shared" si="119"/>
        <v>Dwarka</v>
      </c>
      <c r="BC384" s="5">
        <v>186872</v>
      </c>
      <c r="BD384" s="5" t="s">
        <v>581</v>
      </c>
      <c r="BE384" s="46" t="s">
        <v>926</v>
      </c>
      <c r="BF384" s="13" t="s">
        <v>927</v>
      </c>
      <c r="BG384" s="6" t="s">
        <v>200</v>
      </c>
      <c r="BH384" s="6" t="s">
        <v>856</v>
      </c>
      <c r="BI384" s="12" t="s">
        <v>856</v>
      </c>
      <c r="BJ384" s="51" t="s">
        <v>205</v>
      </c>
    </row>
    <row r="385" spans="1:62" ht="36.5" x14ac:dyDescent="0.35">
      <c r="A385">
        <v>112461</v>
      </c>
      <c r="B385" s="84">
        <f t="shared" si="100"/>
        <v>298</v>
      </c>
      <c r="C385" s="84">
        <f t="shared" si="101"/>
        <v>313</v>
      </c>
      <c r="E385" s="9">
        <v>41056548</v>
      </c>
      <c r="F385" s="85">
        <v>241</v>
      </c>
      <c r="G385" s="87">
        <v>222</v>
      </c>
      <c r="H385" s="20">
        <v>207.5</v>
      </c>
      <c r="I385" s="20">
        <v>240</v>
      </c>
      <c r="J385" s="20">
        <v>43.5</v>
      </c>
      <c r="K385" s="20">
        <v>56</v>
      </c>
      <c r="L385" s="85">
        <v>49</v>
      </c>
      <c r="M385" s="87">
        <v>61</v>
      </c>
      <c r="N385" s="5">
        <v>186865</v>
      </c>
      <c r="O385">
        <f t="shared" si="102"/>
        <v>325</v>
      </c>
      <c r="P385">
        <f t="shared" si="103"/>
        <v>330.5</v>
      </c>
      <c r="Q385">
        <f t="shared" si="104"/>
        <v>35</v>
      </c>
      <c r="R385">
        <f t="shared" si="105"/>
        <v>31.5</v>
      </c>
      <c r="S385">
        <f t="shared" si="106"/>
        <v>317</v>
      </c>
      <c r="T385">
        <f t="shared" si="107"/>
        <v>310.5</v>
      </c>
      <c r="U385">
        <f t="shared" si="108"/>
        <v>35</v>
      </c>
      <c r="V385">
        <f t="shared" si="109"/>
        <v>31.5</v>
      </c>
      <c r="X385" s="9">
        <v>41019261</v>
      </c>
      <c r="Y385">
        <f t="shared" si="110"/>
        <v>318</v>
      </c>
      <c r="Z385">
        <f t="shared" si="111"/>
        <v>297.5</v>
      </c>
      <c r="AA385">
        <f t="shared" si="112"/>
        <v>112</v>
      </c>
      <c r="AB385">
        <f t="shared" si="113"/>
        <v>92.5</v>
      </c>
      <c r="AC385">
        <f t="shared" si="114"/>
        <v>3765</v>
      </c>
      <c r="AD385">
        <f t="shared" si="115"/>
        <v>2781</v>
      </c>
      <c r="AE385">
        <f t="shared" si="116"/>
        <v>1154</v>
      </c>
      <c r="AF385">
        <f t="shared" si="117"/>
        <v>1155.5</v>
      </c>
      <c r="AG385" s="5">
        <v>186865</v>
      </c>
      <c r="AH385" s="31">
        <v>325</v>
      </c>
      <c r="AI385" s="31">
        <v>330.5</v>
      </c>
      <c r="AJ385" s="37">
        <v>-5.5</v>
      </c>
      <c r="AK385" s="37">
        <v>-1.6641452344931922</v>
      </c>
      <c r="AL385" s="36">
        <v>35</v>
      </c>
      <c r="AM385" s="36">
        <v>31.5</v>
      </c>
      <c r="AN385" s="37">
        <v>3.5</v>
      </c>
      <c r="AO385" s="37">
        <v>11.111111111111111</v>
      </c>
      <c r="AP385" s="38">
        <v>4084.5</v>
      </c>
      <c r="AQ385" s="39">
        <v>3248</v>
      </c>
      <c r="AR385" s="37">
        <v>836.5</v>
      </c>
      <c r="AS385" s="37">
        <v>25.754310344827587</v>
      </c>
      <c r="AT385" s="36">
        <v>403.5</v>
      </c>
      <c r="AU385" s="36">
        <v>383</v>
      </c>
      <c r="AV385" s="37">
        <v>20.5</v>
      </c>
      <c r="AW385" s="37">
        <v>5.3524804177545686</v>
      </c>
      <c r="AX385" s="9">
        <v>41056548</v>
      </c>
      <c r="AY385" t="str">
        <f t="shared" si="118"/>
        <v>GYMKHANA</v>
      </c>
      <c r="AZ385" t="str">
        <f t="shared" si="119"/>
        <v>Lutyens</v>
      </c>
      <c r="BC385" s="5">
        <v>186865</v>
      </c>
      <c r="BD385" s="5" t="s">
        <v>581</v>
      </c>
      <c r="BE385" s="46" t="s">
        <v>928</v>
      </c>
      <c r="BF385" s="13" t="s">
        <v>478</v>
      </c>
      <c r="BG385" s="6" t="s">
        <v>228</v>
      </c>
      <c r="BH385" s="6" t="s">
        <v>462</v>
      </c>
      <c r="BI385" s="12" t="s">
        <v>462</v>
      </c>
      <c r="BJ385" s="51" t="s">
        <v>230</v>
      </c>
    </row>
    <row r="386" spans="1:62" ht="36.5" x14ac:dyDescent="0.35">
      <c r="A386">
        <v>236924</v>
      </c>
      <c r="B386" s="84">
        <f t="shared" si="100"/>
        <v>0</v>
      </c>
      <c r="C386" s="84">
        <f t="shared" si="101"/>
        <v>0</v>
      </c>
      <c r="E386" s="9">
        <v>41019258</v>
      </c>
      <c r="F386" s="85">
        <v>127.5</v>
      </c>
      <c r="G386" s="87">
        <v>145.5</v>
      </c>
      <c r="H386" s="20">
        <v>108.5</v>
      </c>
      <c r="I386" s="20">
        <v>123.5</v>
      </c>
      <c r="J386" s="20">
        <v>222.5</v>
      </c>
      <c r="K386" s="20">
        <v>219.5</v>
      </c>
      <c r="L386" s="85">
        <v>166.5</v>
      </c>
      <c r="M386" s="87">
        <v>181.5</v>
      </c>
      <c r="N386" s="5">
        <v>102120</v>
      </c>
      <c r="O386">
        <f t="shared" si="102"/>
        <v>405</v>
      </c>
      <c r="P386">
        <f t="shared" si="103"/>
        <v>319.5</v>
      </c>
      <c r="Q386">
        <f t="shared" si="104"/>
        <v>59</v>
      </c>
      <c r="R386">
        <f t="shared" si="105"/>
        <v>58.5</v>
      </c>
      <c r="S386">
        <f t="shared" si="106"/>
        <v>306</v>
      </c>
      <c r="T386">
        <f t="shared" si="107"/>
        <v>270</v>
      </c>
      <c r="U386">
        <f t="shared" si="108"/>
        <v>54</v>
      </c>
      <c r="V386">
        <f t="shared" si="109"/>
        <v>54</v>
      </c>
      <c r="X386" s="9">
        <v>41057007</v>
      </c>
      <c r="Y386">
        <f t="shared" si="110"/>
        <v>342</v>
      </c>
      <c r="Z386">
        <f t="shared" si="111"/>
        <v>367</v>
      </c>
      <c r="AA386">
        <f t="shared" si="112"/>
        <v>85</v>
      </c>
      <c r="AB386">
        <f t="shared" si="113"/>
        <v>102</v>
      </c>
      <c r="AC386">
        <f t="shared" si="114"/>
        <v>4483</v>
      </c>
      <c r="AD386">
        <f t="shared" si="115"/>
        <v>3563</v>
      </c>
      <c r="AE386">
        <f t="shared" si="116"/>
        <v>1160</v>
      </c>
      <c r="AF386">
        <f t="shared" si="117"/>
        <v>1267</v>
      </c>
      <c r="AG386" s="5">
        <v>102120</v>
      </c>
      <c r="AH386" s="31">
        <v>405</v>
      </c>
      <c r="AI386" s="31">
        <v>319.5</v>
      </c>
      <c r="AJ386" s="37">
        <v>85.5</v>
      </c>
      <c r="AK386" s="37">
        <v>26.760563380281688</v>
      </c>
      <c r="AL386" s="36">
        <v>59</v>
      </c>
      <c r="AM386" s="36">
        <v>58.5</v>
      </c>
      <c r="AN386" s="37">
        <v>0.5</v>
      </c>
      <c r="AO386" s="37">
        <v>0.85470085470085477</v>
      </c>
      <c r="AP386" s="38">
        <v>4259</v>
      </c>
      <c r="AQ386" s="39">
        <v>3199.5</v>
      </c>
      <c r="AR386" s="37">
        <v>1059.5</v>
      </c>
      <c r="AS386" s="37">
        <v>33.11454914830442</v>
      </c>
      <c r="AT386" s="36">
        <v>685</v>
      </c>
      <c r="AU386" s="36">
        <v>855</v>
      </c>
      <c r="AV386" s="37">
        <v>-170</v>
      </c>
      <c r="AW386" s="37">
        <v>-19.883040935672515</v>
      </c>
      <c r="AX386" s="9">
        <v>41019258</v>
      </c>
      <c r="AY386" t="str">
        <f t="shared" si="118"/>
        <v>SIDHU</v>
      </c>
      <c r="AZ386" t="str">
        <f t="shared" si="119"/>
        <v>Old GT Road (NH1)</v>
      </c>
      <c r="BC386" s="5">
        <v>102120</v>
      </c>
      <c r="BD386" s="5" t="s">
        <v>581</v>
      </c>
      <c r="BE386" s="46" t="s">
        <v>929</v>
      </c>
      <c r="BF386" s="13" t="s">
        <v>930</v>
      </c>
      <c r="BG386" s="6" t="s">
        <v>200</v>
      </c>
      <c r="BH386" s="6" t="s">
        <v>223</v>
      </c>
      <c r="BI386" s="12" t="s">
        <v>223</v>
      </c>
      <c r="BJ386" s="51" t="s">
        <v>172</v>
      </c>
    </row>
    <row r="387" spans="1:62" ht="36.5" x14ac:dyDescent="0.35">
      <c r="A387">
        <v>102106</v>
      </c>
      <c r="B387" s="84">
        <f t="shared" ref="B387:B398" si="120">VLOOKUP(A387,E$2:G$399,2,FALSE)</f>
        <v>369.5</v>
      </c>
      <c r="C387" s="84">
        <f t="shared" ref="C387:C398" si="121">VLOOKUP(A387,E$2:G$399,3,FALSE)</f>
        <v>396</v>
      </c>
      <c r="E387" s="9">
        <v>41056538</v>
      </c>
      <c r="F387" s="85">
        <v>14</v>
      </c>
      <c r="G387" s="87">
        <v>0</v>
      </c>
      <c r="H387" s="20">
        <v>9</v>
      </c>
      <c r="I387" s="20">
        <v>13.5</v>
      </c>
      <c r="J387" s="20">
        <v>39</v>
      </c>
      <c r="K387" s="20">
        <v>34.5</v>
      </c>
      <c r="L387" s="85">
        <v>36</v>
      </c>
      <c r="M387" s="87">
        <v>32</v>
      </c>
      <c r="N387" s="5">
        <v>206614</v>
      </c>
      <c r="O387">
        <f t="shared" ref="O387:O398" si="122">VLOOKUP(N387,E$2:M$399,3,FALSE)</f>
        <v>244</v>
      </c>
      <c r="P387">
        <f t="shared" ref="P387:P398" si="123">VLOOKUP(N387,E$2:M$399,5,FALSE)</f>
        <v>191</v>
      </c>
      <c r="Q387">
        <f t="shared" ref="Q387:Q398" si="124">VLOOKUP(N387,E$2:M$399,9,FALSE)</f>
        <v>98</v>
      </c>
      <c r="R387">
        <f t="shared" ref="R387:R398" si="125">VLOOKUP(N387,E$2:M$399,7,FALSE)</f>
        <v>67</v>
      </c>
      <c r="S387">
        <f t="shared" ref="S387:S398" si="126">VLOOKUP(N387,E$2:M$399,2,FALSE)</f>
        <v>221</v>
      </c>
      <c r="T387">
        <f t="shared" ref="T387:T398" si="127">VLOOKUP(N387,E$2:M$399,4,FALSE)</f>
        <v>186.5</v>
      </c>
      <c r="U387">
        <f t="shared" ref="U387:U398" si="128">VLOOKUP(N387,E$2:M$399,8,FALSE)</f>
        <v>81</v>
      </c>
      <c r="V387">
        <f t="shared" ref="V387:V398" si="129">VLOOKUP(N387,E$2:M$399,6,FALSE)</f>
        <v>69.5</v>
      </c>
      <c r="X387" s="5">
        <v>254695</v>
      </c>
      <c r="Y387">
        <f t="shared" ref="Y387:Y398" si="130">VLOOKUP(X387,AG$2:AI$398,2,FALSE)</f>
        <v>12</v>
      </c>
      <c r="Z387">
        <f t="shared" ref="Z387:Z398" si="131">VLOOKUP(X387,AG$2:AI$398,3,FALSE)</f>
        <v>17.5</v>
      </c>
      <c r="AA387">
        <f t="shared" ref="AA387:AA398" si="132">VLOOKUP(X387,AG$2:AM$398,6,FALSE)</f>
        <v>24</v>
      </c>
      <c r="AB387">
        <f t="shared" ref="AB387:AB398" si="133">VLOOKUP(X387,AG$2:AM$398,7,FALSE)</f>
        <v>56.5</v>
      </c>
      <c r="AC387">
        <f t="shared" ref="AC387:AC398" si="134">VLOOKUP(X387,AG$2:AU$398,10,FALSE)</f>
        <v>178.5</v>
      </c>
      <c r="AD387">
        <f t="shared" ref="AD387:AD398" si="135">VLOOKUP(X387,AG$2:AU$398,11,FALSE)</f>
        <v>222.5</v>
      </c>
      <c r="AE387">
        <f t="shared" ref="AE387:AE398" si="136">VLOOKUP(X387,AG$2:AU$398,14,FALSE)</f>
        <v>477.5</v>
      </c>
      <c r="AF387">
        <f t="shared" ref="AF387:AF398" si="137">VLOOKUP(X387,AG$2:AU$398,15,FALSE)</f>
        <v>657.5</v>
      </c>
      <c r="AG387" s="5">
        <v>206614</v>
      </c>
      <c r="AH387" s="31">
        <v>244</v>
      </c>
      <c r="AI387" s="31">
        <v>191</v>
      </c>
      <c r="AJ387" s="37">
        <v>53</v>
      </c>
      <c r="AK387" s="37">
        <v>27.748691099476442</v>
      </c>
      <c r="AL387" s="36">
        <v>98</v>
      </c>
      <c r="AM387" s="36">
        <v>67</v>
      </c>
      <c r="AN387" s="37">
        <v>31</v>
      </c>
      <c r="AO387" s="37">
        <v>46.268656716417908</v>
      </c>
      <c r="AP387" s="38">
        <v>2693.5</v>
      </c>
      <c r="AQ387" s="39">
        <v>1893</v>
      </c>
      <c r="AR387" s="37">
        <v>800.5</v>
      </c>
      <c r="AS387" s="37">
        <v>42.287374537770731</v>
      </c>
      <c r="AT387" s="36">
        <v>950.5</v>
      </c>
      <c r="AU387" s="36">
        <v>869.5</v>
      </c>
      <c r="AV387" s="37">
        <v>81</v>
      </c>
      <c r="AW387" s="37">
        <v>9.315698677400805</v>
      </c>
      <c r="AX387" s="9">
        <v>41056538</v>
      </c>
      <c r="AY387" t="str">
        <f t="shared" ref="AY387:AY399" si="138">VLOOKUP(AX387,BC$2:BJ$398,6,FALSE)</f>
        <v>MOOLCHAND</v>
      </c>
      <c r="AZ387" t="str">
        <f t="shared" ref="AZ387:AZ399" si="139">VLOOKUP(AX387,BC$2:BJ$398,8,FALSE)</f>
        <v>New GT Road (NH44)</v>
      </c>
      <c r="BC387" s="5">
        <v>206614</v>
      </c>
      <c r="BD387" s="5" t="s">
        <v>581</v>
      </c>
      <c r="BE387" s="46" t="s">
        <v>931</v>
      </c>
      <c r="BF387" s="13" t="s">
        <v>932</v>
      </c>
      <c r="BG387" s="6" t="s">
        <v>81</v>
      </c>
      <c r="BH387" s="6" t="s">
        <v>933</v>
      </c>
      <c r="BI387" s="12" t="s">
        <v>933</v>
      </c>
      <c r="BJ387" s="51" t="s">
        <v>141</v>
      </c>
    </row>
    <row r="388" spans="1:62" ht="36.5" x14ac:dyDescent="0.35">
      <c r="A388">
        <v>41019270</v>
      </c>
      <c r="B388" s="84">
        <f t="shared" si="120"/>
        <v>237</v>
      </c>
      <c r="C388" s="84">
        <f t="shared" si="121"/>
        <v>232</v>
      </c>
      <c r="E388" s="9">
        <v>41027003</v>
      </c>
      <c r="F388" s="85">
        <v>162</v>
      </c>
      <c r="G388" s="87">
        <v>155</v>
      </c>
      <c r="H388" s="20">
        <v>130</v>
      </c>
      <c r="I388" s="20">
        <v>165.5</v>
      </c>
      <c r="J388" s="20">
        <v>60</v>
      </c>
      <c r="K388" s="20">
        <v>82.5</v>
      </c>
      <c r="L388" s="85">
        <v>74</v>
      </c>
      <c r="M388" s="87">
        <v>65</v>
      </c>
      <c r="N388" s="5">
        <v>102083</v>
      </c>
      <c r="O388">
        <f t="shared" si="122"/>
        <v>222.5</v>
      </c>
      <c r="P388">
        <f t="shared" si="123"/>
        <v>264.5</v>
      </c>
      <c r="Q388">
        <f t="shared" si="124"/>
        <v>49.5</v>
      </c>
      <c r="R388">
        <f t="shared" si="125"/>
        <v>51.5</v>
      </c>
      <c r="S388">
        <f t="shared" si="126"/>
        <v>243</v>
      </c>
      <c r="T388">
        <f t="shared" si="127"/>
        <v>237</v>
      </c>
      <c r="U388">
        <f t="shared" si="128"/>
        <v>63</v>
      </c>
      <c r="V388">
        <f t="shared" si="129"/>
        <v>55</v>
      </c>
      <c r="X388" s="5">
        <v>102104</v>
      </c>
      <c r="Y388">
        <f t="shared" si="130"/>
        <v>368</v>
      </c>
      <c r="Z388">
        <f t="shared" si="131"/>
        <v>57.5</v>
      </c>
      <c r="AA388">
        <f t="shared" si="132"/>
        <v>40</v>
      </c>
      <c r="AB388">
        <f t="shared" si="133"/>
        <v>8.5</v>
      </c>
      <c r="AC388">
        <f t="shared" si="134"/>
        <v>4261</v>
      </c>
      <c r="AD388">
        <f t="shared" si="135"/>
        <v>3299</v>
      </c>
      <c r="AE388">
        <f t="shared" si="136"/>
        <v>449</v>
      </c>
      <c r="AF388">
        <f t="shared" si="137"/>
        <v>425.5</v>
      </c>
      <c r="AG388" s="5">
        <v>102083</v>
      </c>
      <c r="AH388" s="31">
        <v>222.5</v>
      </c>
      <c r="AI388" s="31">
        <v>264.5</v>
      </c>
      <c r="AJ388" s="37">
        <v>-42</v>
      </c>
      <c r="AK388" s="37">
        <v>-15.879017013232513</v>
      </c>
      <c r="AL388" s="36">
        <v>49.5</v>
      </c>
      <c r="AM388" s="36">
        <v>51.5</v>
      </c>
      <c r="AN388" s="37">
        <v>-2</v>
      </c>
      <c r="AO388" s="37">
        <v>-3.8834951456310676</v>
      </c>
      <c r="AP388" s="38">
        <v>3008</v>
      </c>
      <c r="AQ388" s="39">
        <v>2513.5</v>
      </c>
      <c r="AR388" s="37">
        <v>494.5</v>
      </c>
      <c r="AS388" s="37">
        <v>19.673761686890789</v>
      </c>
      <c r="AT388" s="36">
        <v>618</v>
      </c>
      <c r="AU388" s="36">
        <v>703</v>
      </c>
      <c r="AV388" s="37">
        <v>-85</v>
      </c>
      <c r="AW388" s="37">
        <v>-12.091038406827881</v>
      </c>
      <c r="AX388" s="9">
        <v>41027003</v>
      </c>
      <c r="AY388" t="str">
        <f t="shared" si="138"/>
        <v>SAKSHAM</v>
      </c>
      <c r="AZ388" t="str">
        <f t="shared" si="139"/>
        <v>Punjabi Bagh</v>
      </c>
      <c r="BC388" s="5">
        <v>102083</v>
      </c>
      <c r="BD388" s="5" t="s">
        <v>581</v>
      </c>
      <c r="BE388" s="46" t="s">
        <v>934</v>
      </c>
      <c r="BF388" s="13" t="s">
        <v>935</v>
      </c>
      <c r="BG388" s="6" t="s">
        <v>111</v>
      </c>
      <c r="BH388" s="6" t="s">
        <v>247</v>
      </c>
      <c r="BI388" s="12" t="s">
        <v>247</v>
      </c>
      <c r="BJ388" s="51" t="s">
        <v>248</v>
      </c>
    </row>
    <row r="389" spans="1:62" ht="36.5" x14ac:dyDescent="0.35">
      <c r="A389">
        <v>41056845</v>
      </c>
      <c r="B389" s="84">
        <f t="shared" si="120"/>
        <v>425</v>
      </c>
      <c r="C389" s="84">
        <f t="shared" si="121"/>
        <v>456.5</v>
      </c>
      <c r="E389" s="9">
        <v>41057002</v>
      </c>
      <c r="F389" s="85">
        <v>235</v>
      </c>
      <c r="G389" s="87">
        <v>217.5</v>
      </c>
      <c r="H389" s="20">
        <v>235.5</v>
      </c>
      <c r="I389" s="20">
        <v>246</v>
      </c>
      <c r="J389" s="20">
        <v>101.5</v>
      </c>
      <c r="K389" s="20">
        <v>99</v>
      </c>
      <c r="L389" s="85">
        <v>80</v>
      </c>
      <c r="M389" s="87">
        <v>90.5</v>
      </c>
      <c r="N389" s="5">
        <v>106364</v>
      </c>
      <c r="O389">
        <f t="shared" si="122"/>
        <v>403</v>
      </c>
      <c r="P389">
        <f t="shared" si="123"/>
        <v>410.5</v>
      </c>
      <c r="Q389">
        <f t="shared" si="124"/>
        <v>51</v>
      </c>
      <c r="R389">
        <f t="shared" si="125"/>
        <v>57.5</v>
      </c>
      <c r="S389">
        <f t="shared" si="126"/>
        <v>364</v>
      </c>
      <c r="T389">
        <f t="shared" si="127"/>
        <v>328</v>
      </c>
      <c r="U389">
        <f t="shared" si="128"/>
        <v>48</v>
      </c>
      <c r="V389">
        <f t="shared" si="129"/>
        <v>42</v>
      </c>
      <c r="X389" s="5">
        <v>106242</v>
      </c>
      <c r="Y389">
        <f t="shared" si="130"/>
        <v>531</v>
      </c>
      <c r="Z389">
        <f t="shared" si="131"/>
        <v>517.5</v>
      </c>
      <c r="AA389">
        <f t="shared" si="132"/>
        <v>45</v>
      </c>
      <c r="AB389">
        <f t="shared" si="133"/>
        <v>76.5</v>
      </c>
      <c r="AC389">
        <f t="shared" si="134"/>
        <v>6449</v>
      </c>
      <c r="AD389">
        <f t="shared" si="135"/>
        <v>5333</v>
      </c>
      <c r="AE389">
        <f t="shared" si="136"/>
        <v>716</v>
      </c>
      <c r="AF389">
        <f t="shared" si="137"/>
        <v>926.5</v>
      </c>
      <c r="AG389" s="5">
        <v>106364</v>
      </c>
      <c r="AH389" s="31">
        <v>403</v>
      </c>
      <c r="AI389" s="31">
        <v>410.5</v>
      </c>
      <c r="AJ389" s="37">
        <v>-7.5</v>
      </c>
      <c r="AK389" s="37">
        <v>-1.8270401948842874</v>
      </c>
      <c r="AL389" s="36">
        <v>51</v>
      </c>
      <c r="AM389" s="36">
        <v>57.5</v>
      </c>
      <c r="AN389" s="37">
        <v>-6.5</v>
      </c>
      <c r="AO389" s="37">
        <v>-11.304347826086957</v>
      </c>
      <c r="AP389" s="38">
        <v>4922.5</v>
      </c>
      <c r="AQ389" s="39">
        <v>4003.5</v>
      </c>
      <c r="AR389" s="37">
        <v>919</v>
      </c>
      <c r="AS389" s="37">
        <v>22.954914449856375</v>
      </c>
      <c r="AT389" s="36">
        <v>609.5</v>
      </c>
      <c r="AU389" s="36">
        <v>684</v>
      </c>
      <c r="AV389" s="37">
        <v>-74.5</v>
      </c>
      <c r="AW389" s="37">
        <v>-10.891812865497077</v>
      </c>
      <c r="AX389" s="9">
        <v>41057002</v>
      </c>
      <c r="AY389" t="str">
        <f t="shared" si="138"/>
        <v>GS BHASIN</v>
      </c>
      <c r="AZ389" t="str">
        <f t="shared" si="139"/>
        <v>Mathura Road</v>
      </c>
      <c r="BC389" s="5">
        <v>106364</v>
      </c>
      <c r="BD389" s="5" t="s">
        <v>581</v>
      </c>
      <c r="BE389" s="46" t="s">
        <v>936</v>
      </c>
      <c r="BF389" s="13" t="s">
        <v>937</v>
      </c>
      <c r="BG389" s="6" t="s">
        <v>81</v>
      </c>
      <c r="BH389" s="6" t="s">
        <v>195</v>
      </c>
      <c r="BI389" s="12" t="s">
        <v>195</v>
      </c>
      <c r="BJ389" s="51" t="s">
        <v>135</v>
      </c>
    </row>
    <row r="390" spans="1:62" ht="60.5" x14ac:dyDescent="0.35">
      <c r="A390">
        <v>112462</v>
      </c>
      <c r="B390" s="84">
        <f t="shared" si="120"/>
        <v>254</v>
      </c>
      <c r="C390" s="84">
        <f t="shared" si="121"/>
        <v>267</v>
      </c>
      <c r="E390" s="9">
        <v>41056524</v>
      </c>
      <c r="F390" s="85">
        <v>174</v>
      </c>
      <c r="G390" s="87">
        <v>185.5</v>
      </c>
      <c r="H390" s="20">
        <v>134</v>
      </c>
      <c r="I390" s="20">
        <v>169.5</v>
      </c>
      <c r="J390" s="20">
        <v>449</v>
      </c>
      <c r="K390" s="20">
        <v>445.5</v>
      </c>
      <c r="L390" s="85">
        <v>328</v>
      </c>
      <c r="M390" s="87">
        <v>379.5</v>
      </c>
      <c r="N390" s="5">
        <v>102118</v>
      </c>
      <c r="O390">
        <f t="shared" si="122"/>
        <v>567</v>
      </c>
      <c r="P390">
        <f t="shared" si="123"/>
        <v>574</v>
      </c>
      <c r="Q390">
        <f t="shared" si="124"/>
        <v>227</v>
      </c>
      <c r="R390">
        <f t="shared" si="125"/>
        <v>208</v>
      </c>
      <c r="S390">
        <f t="shared" si="126"/>
        <v>535</v>
      </c>
      <c r="T390">
        <f t="shared" si="127"/>
        <v>544</v>
      </c>
      <c r="U390">
        <f t="shared" si="128"/>
        <v>175</v>
      </c>
      <c r="V390">
        <f t="shared" si="129"/>
        <v>190</v>
      </c>
      <c r="X390" s="5">
        <v>186836</v>
      </c>
      <c r="Y390">
        <f t="shared" si="130"/>
        <v>151.5</v>
      </c>
      <c r="Z390">
        <f t="shared" si="131"/>
        <v>156</v>
      </c>
      <c r="AA390">
        <f t="shared" si="132"/>
        <v>166.5</v>
      </c>
      <c r="AB390">
        <f t="shared" si="133"/>
        <v>160</v>
      </c>
      <c r="AC390">
        <f t="shared" si="134"/>
        <v>1994</v>
      </c>
      <c r="AD390">
        <f t="shared" si="135"/>
        <v>1476.5</v>
      </c>
      <c r="AE390">
        <f t="shared" si="136"/>
        <v>2018</v>
      </c>
      <c r="AF390">
        <f t="shared" si="137"/>
        <v>1965</v>
      </c>
      <c r="AG390" s="5">
        <v>102118</v>
      </c>
      <c r="AH390" s="31">
        <v>567</v>
      </c>
      <c r="AI390" s="31">
        <v>574</v>
      </c>
      <c r="AJ390" s="37">
        <v>-7</v>
      </c>
      <c r="AK390" s="37">
        <v>-1.2195121951219512</v>
      </c>
      <c r="AL390" s="36">
        <v>227</v>
      </c>
      <c r="AM390" s="36">
        <v>208</v>
      </c>
      <c r="AN390" s="37">
        <v>19</v>
      </c>
      <c r="AO390" s="37">
        <v>9.1346153846153832</v>
      </c>
      <c r="AP390" s="38">
        <v>6959</v>
      </c>
      <c r="AQ390" s="39">
        <v>5825.5</v>
      </c>
      <c r="AR390" s="37">
        <v>1133.5</v>
      </c>
      <c r="AS390" s="37">
        <v>19.457557291219636</v>
      </c>
      <c r="AT390" s="36">
        <v>2461</v>
      </c>
      <c r="AU390" s="36">
        <v>2758.5</v>
      </c>
      <c r="AV390" s="37">
        <v>-297.5</v>
      </c>
      <c r="AW390" s="37">
        <v>-10.784846837049122</v>
      </c>
      <c r="AX390" s="9">
        <v>41056524</v>
      </c>
      <c r="AY390" t="str">
        <f t="shared" si="138"/>
        <v>RAJINDER-RS BHOLA</v>
      </c>
      <c r="AZ390" t="str">
        <f t="shared" si="139"/>
        <v>Old Delhi</v>
      </c>
      <c r="BC390" s="5">
        <v>102118</v>
      </c>
      <c r="BD390" s="5" t="s">
        <v>581</v>
      </c>
      <c r="BE390" s="46" t="s">
        <v>938</v>
      </c>
      <c r="BF390" s="13" t="s">
        <v>939</v>
      </c>
      <c r="BG390" s="6" t="s">
        <v>75</v>
      </c>
      <c r="BH390" s="6" t="s">
        <v>76</v>
      </c>
      <c r="BI390" s="12" t="s">
        <v>76</v>
      </c>
      <c r="BJ390" s="51" t="s">
        <v>77</v>
      </c>
    </row>
    <row r="391" spans="1:62" ht="60.5" x14ac:dyDescent="0.35">
      <c r="A391">
        <v>131712</v>
      </c>
      <c r="B391" s="84">
        <f t="shared" si="120"/>
        <v>108</v>
      </c>
      <c r="C391" s="84">
        <f t="shared" si="121"/>
        <v>140.5</v>
      </c>
      <c r="E391" s="9">
        <v>41019253</v>
      </c>
      <c r="F391" s="85">
        <v>67</v>
      </c>
      <c r="G391" s="87">
        <v>70</v>
      </c>
      <c r="H391" s="20">
        <v>67</v>
      </c>
      <c r="I391" s="20">
        <v>88</v>
      </c>
      <c r="J391" s="20">
        <v>21</v>
      </c>
      <c r="K391" s="20">
        <v>44</v>
      </c>
      <c r="L391" s="85">
        <v>21</v>
      </c>
      <c r="M391" s="87">
        <v>30</v>
      </c>
      <c r="N391" s="5">
        <v>106299</v>
      </c>
      <c r="O391">
        <f t="shared" si="122"/>
        <v>78</v>
      </c>
      <c r="P391">
        <f t="shared" si="123"/>
        <v>80</v>
      </c>
      <c r="Q391">
        <f t="shared" si="124"/>
        <v>16</v>
      </c>
      <c r="R391">
        <f t="shared" si="125"/>
        <v>16.5</v>
      </c>
      <c r="S391">
        <f t="shared" si="126"/>
        <v>72</v>
      </c>
      <c r="T391">
        <f t="shared" si="127"/>
        <v>78</v>
      </c>
      <c r="U391">
        <f t="shared" si="128"/>
        <v>16</v>
      </c>
      <c r="V391">
        <f t="shared" si="129"/>
        <v>17</v>
      </c>
      <c r="X391" s="9">
        <v>41056990</v>
      </c>
      <c r="Y391">
        <f t="shared" si="130"/>
        <v>389</v>
      </c>
      <c r="Z391">
        <f t="shared" si="131"/>
        <v>320</v>
      </c>
      <c r="AA391">
        <f t="shared" si="132"/>
        <v>109</v>
      </c>
      <c r="AB391">
        <f t="shared" si="133"/>
        <v>118</v>
      </c>
      <c r="AC391">
        <f t="shared" si="134"/>
        <v>4004</v>
      </c>
      <c r="AD391">
        <f t="shared" si="135"/>
        <v>3458</v>
      </c>
      <c r="AE391">
        <f t="shared" si="136"/>
        <v>1199</v>
      </c>
      <c r="AF391">
        <f t="shared" si="137"/>
        <v>1336</v>
      </c>
      <c r="AG391" s="5">
        <v>106299</v>
      </c>
      <c r="AH391" s="31">
        <v>78</v>
      </c>
      <c r="AI391" s="31">
        <v>80</v>
      </c>
      <c r="AJ391" s="37">
        <v>-2</v>
      </c>
      <c r="AK391" s="37">
        <v>-2.5</v>
      </c>
      <c r="AL391" s="36">
        <v>16</v>
      </c>
      <c r="AM391" s="36">
        <v>16.5</v>
      </c>
      <c r="AN391" s="37">
        <v>-0.5</v>
      </c>
      <c r="AO391" s="37">
        <v>-3.0303030303030303</v>
      </c>
      <c r="AP391" s="38">
        <v>984</v>
      </c>
      <c r="AQ391" s="39">
        <v>827</v>
      </c>
      <c r="AR391" s="37">
        <v>157</v>
      </c>
      <c r="AS391" s="37">
        <v>18.984280532043531</v>
      </c>
      <c r="AT391" s="36">
        <v>180.5</v>
      </c>
      <c r="AU391" s="36">
        <v>205.5</v>
      </c>
      <c r="AV391" s="37">
        <v>-25</v>
      </c>
      <c r="AW391" s="37">
        <v>-12.165450121654501</v>
      </c>
      <c r="AX391" s="9">
        <v>41019253</v>
      </c>
      <c r="AY391" t="str">
        <f t="shared" si="138"/>
        <v>SHOKEEN_JAI SHREEKRISHNA_SHANTI</v>
      </c>
      <c r="AZ391" t="str">
        <f t="shared" si="139"/>
        <v>Nazafgarh-Kapashera</v>
      </c>
      <c r="BC391" s="5">
        <v>106299</v>
      </c>
      <c r="BD391" s="5" t="s">
        <v>581</v>
      </c>
      <c r="BE391" s="46" t="s">
        <v>940</v>
      </c>
      <c r="BF391" s="13" t="s">
        <v>659</v>
      </c>
      <c r="BG391" s="6" t="s">
        <v>103</v>
      </c>
      <c r="BH391" s="6" t="s">
        <v>208</v>
      </c>
      <c r="BI391" s="12" t="s">
        <v>208</v>
      </c>
      <c r="BJ391" s="51" t="s">
        <v>105</v>
      </c>
    </row>
    <row r="392" spans="1:62" ht="48.5" x14ac:dyDescent="0.35">
      <c r="A392">
        <v>186851</v>
      </c>
      <c r="B392" s="84">
        <f t="shared" si="120"/>
        <v>56</v>
      </c>
      <c r="C392" s="84">
        <f t="shared" si="121"/>
        <v>72</v>
      </c>
      <c r="E392" s="9">
        <v>41056983</v>
      </c>
      <c r="F392" s="85">
        <v>251</v>
      </c>
      <c r="G392" s="87">
        <v>266</v>
      </c>
      <c r="H392" s="20">
        <v>244</v>
      </c>
      <c r="I392" s="20">
        <v>297</v>
      </c>
      <c r="J392" s="20">
        <v>40</v>
      </c>
      <c r="K392" s="20">
        <v>48.5</v>
      </c>
      <c r="L392" s="85">
        <v>21</v>
      </c>
      <c r="M392" s="87">
        <v>28</v>
      </c>
      <c r="N392" s="5">
        <v>106332</v>
      </c>
      <c r="O392">
        <f t="shared" si="122"/>
        <v>316</v>
      </c>
      <c r="P392">
        <f t="shared" si="123"/>
        <v>384</v>
      </c>
      <c r="Q392">
        <f t="shared" si="124"/>
        <v>56</v>
      </c>
      <c r="R392">
        <f t="shared" si="125"/>
        <v>72</v>
      </c>
      <c r="S392">
        <f t="shared" si="126"/>
        <v>261.5</v>
      </c>
      <c r="T392">
        <f t="shared" si="127"/>
        <v>312</v>
      </c>
      <c r="U392">
        <f t="shared" si="128"/>
        <v>44.5</v>
      </c>
      <c r="V392">
        <f t="shared" si="129"/>
        <v>60</v>
      </c>
      <c r="X392" s="9">
        <v>41026624</v>
      </c>
      <c r="Y392">
        <f t="shared" si="130"/>
        <v>397</v>
      </c>
      <c r="Z392">
        <f t="shared" si="131"/>
        <v>391.5</v>
      </c>
      <c r="AA392">
        <f t="shared" si="132"/>
        <v>27</v>
      </c>
      <c r="AB392">
        <f t="shared" si="133"/>
        <v>59.5</v>
      </c>
      <c r="AC392">
        <f t="shared" si="134"/>
        <v>4537.5</v>
      </c>
      <c r="AD392">
        <f t="shared" si="135"/>
        <v>3484</v>
      </c>
      <c r="AE392">
        <f t="shared" si="136"/>
        <v>530.5</v>
      </c>
      <c r="AF392">
        <f t="shared" si="137"/>
        <v>652.5</v>
      </c>
      <c r="AG392" s="5">
        <v>106332</v>
      </c>
      <c r="AH392" s="31">
        <v>316</v>
      </c>
      <c r="AI392" s="31">
        <v>384</v>
      </c>
      <c r="AJ392" s="37">
        <v>-68</v>
      </c>
      <c r="AK392" s="37">
        <v>-17.708333333333336</v>
      </c>
      <c r="AL392" s="36">
        <v>56</v>
      </c>
      <c r="AM392" s="36">
        <v>72</v>
      </c>
      <c r="AN392" s="37">
        <v>-16</v>
      </c>
      <c r="AO392" s="37">
        <v>-22.222222222222221</v>
      </c>
      <c r="AP392" s="38">
        <v>3601.5</v>
      </c>
      <c r="AQ392" s="39">
        <v>3720</v>
      </c>
      <c r="AR392" s="37">
        <v>-118.5</v>
      </c>
      <c r="AS392" s="37">
        <v>-3.1854838709677415</v>
      </c>
      <c r="AT392" s="36">
        <v>624.5</v>
      </c>
      <c r="AU392" s="36">
        <v>828</v>
      </c>
      <c r="AV392" s="37">
        <v>-203.5</v>
      </c>
      <c r="AW392" s="37">
        <v>-24.577294685990339</v>
      </c>
      <c r="AX392" s="9">
        <v>41056983</v>
      </c>
      <c r="AY392" t="str">
        <f t="shared" si="138"/>
        <v>FAST TRACK-VEEJAY</v>
      </c>
      <c r="AZ392" t="str">
        <f t="shared" si="139"/>
        <v>Ashok Vihar</v>
      </c>
      <c r="BC392" s="5">
        <v>106332</v>
      </c>
      <c r="BD392" s="5" t="s">
        <v>581</v>
      </c>
      <c r="BE392" s="46" t="s">
        <v>941</v>
      </c>
      <c r="BF392" s="13" t="s">
        <v>942</v>
      </c>
      <c r="BG392" s="6" t="s">
        <v>89</v>
      </c>
      <c r="BH392" s="6" t="s">
        <v>237</v>
      </c>
      <c r="BI392" s="12" t="s">
        <v>237</v>
      </c>
      <c r="BJ392" s="51" t="s">
        <v>205</v>
      </c>
    </row>
    <row r="393" spans="1:62" ht="48.5" x14ac:dyDescent="0.35">
      <c r="A393">
        <v>198666</v>
      </c>
      <c r="B393" s="84">
        <f t="shared" si="120"/>
        <v>145.5</v>
      </c>
      <c r="C393" s="84">
        <f t="shared" si="121"/>
        <v>170</v>
      </c>
      <c r="E393" s="9">
        <v>41032462</v>
      </c>
      <c r="F393" s="85">
        <v>347</v>
      </c>
      <c r="G393" s="87">
        <v>402</v>
      </c>
      <c r="H393" s="20">
        <v>279.5</v>
      </c>
      <c r="I393" s="20">
        <v>334</v>
      </c>
      <c r="J393" s="20">
        <v>60.5</v>
      </c>
      <c r="K393" s="20">
        <v>90</v>
      </c>
      <c r="L393" s="85">
        <v>93</v>
      </c>
      <c r="M393" s="87">
        <v>104</v>
      </c>
      <c r="N393" s="5">
        <v>203544</v>
      </c>
      <c r="O393">
        <f t="shared" si="122"/>
        <v>360</v>
      </c>
      <c r="P393">
        <f t="shared" si="123"/>
        <v>306</v>
      </c>
      <c r="Q393">
        <f t="shared" si="124"/>
        <v>90</v>
      </c>
      <c r="R393">
        <f t="shared" si="125"/>
        <v>90</v>
      </c>
      <c r="S393">
        <f t="shared" si="126"/>
        <v>324</v>
      </c>
      <c r="T393">
        <f t="shared" si="127"/>
        <v>297</v>
      </c>
      <c r="U393">
        <f t="shared" si="128"/>
        <v>90</v>
      </c>
      <c r="V393">
        <f t="shared" si="129"/>
        <v>81</v>
      </c>
      <c r="X393" s="3">
        <v>168009</v>
      </c>
      <c r="Y393">
        <f t="shared" si="130"/>
        <v>67</v>
      </c>
      <c r="Z393">
        <f t="shared" si="131"/>
        <v>74</v>
      </c>
      <c r="AA393">
        <f t="shared" si="132"/>
        <v>29</v>
      </c>
      <c r="AB393">
        <f t="shared" si="133"/>
        <v>42</v>
      </c>
      <c r="AC393">
        <f t="shared" si="134"/>
        <v>824</v>
      </c>
      <c r="AD393">
        <f t="shared" si="135"/>
        <v>678.5</v>
      </c>
      <c r="AE393">
        <f t="shared" si="136"/>
        <v>388</v>
      </c>
      <c r="AF393">
        <f t="shared" si="137"/>
        <v>391</v>
      </c>
      <c r="AG393" s="5">
        <v>203544</v>
      </c>
      <c r="AH393" s="31">
        <v>360</v>
      </c>
      <c r="AI393" s="31">
        <v>306</v>
      </c>
      <c r="AJ393" s="37">
        <v>54</v>
      </c>
      <c r="AK393" s="37">
        <v>17.647058823529413</v>
      </c>
      <c r="AL393" s="36">
        <v>90</v>
      </c>
      <c r="AM393" s="36">
        <v>90</v>
      </c>
      <c r="AN393" s="37">
        <v>0</v>
      </c>
      <c r="AO393" s="37">
        <v>0</v>
      </c>
      <c r="AP393" s="38">
        <v>4009.5</v>
      </c>
      <c r="AQ393" s="39">
        <v>3339</v>
      </c>
      <c r="AR393" s="37">
        <v>670.5</v>
      </c>
      <c r="AS393" s="37">
        <v>20.080862533692724</v>
      </c>
      <c r="AT393" s="36">
        <v>1030.5</v>
      </c>
      <c r="AU393" s="36">
        <v>1278</v>
      </c>
      <c r="AV393" s="37">
        <v>-247.5</v>
      </c>
      <c r="AW393" s="37">
        <v>-19.366197183098592</v>
      </c>
      <c r="AX393" s="9">
        <v>41032462</v>
      </c>
      <c r="AY393" t="str">
        <f t="shared" si="138"/>
        <v>SHAURYABHUSHAN_JAGDISH</v>
      </c>
      <c r="AZ393" t="str">
        <f t="shared" si="139"/>
        <v>Rohini</v>
      </c>
      <c r="BC393" s="5">
        <v>203544</v>
      </c>
      <c r="BD393" s="5" t="s">
        <v>581</v>
      </c>
      <c r="BE393" s="46" t="s">
        <v>943</v>
      </c>
      <c r="BF393" s="13" t="s">
        <v>533</v>
      </c>
      <c r="BG393" s="6" t="s">
        <v>111</v>
      </c>
      <c r="BH393" s="6" t="s">
        <v>125</v>
      </c>
      <c r="BI393" s="12" t="s">
        <v>125</v>
      </c>
      <c r="BJ393" s="51" t="s">
        <v>120</v>
      </c>
    </row>
    <row r="394" spans="1:62" ht="48.5" x14ac:dyDescent="0.35">
      <c r="A394">
        <v>41056826</v>
      </c>
      <c r="B394" s="84">
        <f t="shared" si="120"/>
        <v>291</v>
      </c>
      <c r="C394" s="84">
        <f t="shared" si="121"/>
        <v>291</v>
      </c>
      <c r="E394" s="9">
        <v>41019316</v>
      </c>
      <c r="F394" s="85">
        <v>746</v>
      </c>
      <c r="G394" s="87">
        <v>824</v>
      </c>
      <c r="H394" s="20">
        <v>667.5</v>
      </c>
      <c r="I394" s="20">
        <v>770</v>
      </c>
      <c r="J394" s="20">
        <v>142.5</v>
      </c>
      <c r="K394" s="20">
        <v>165</v>
      </c>
      <c r="L394" s="85">
        <v>145</v>
      </c>
      <c r="M394" s="87">
        <v>113</v>
      </c>
      <c r="N394" s="5">
        <v>106369</v>
      </c>
      <c r="O394">
        <f t="shared" si="122"/>
        <v>214.5</v>
      </c>
      <c r="P394">
        <f t="shared" si="123"/>
        <v>182.5</v>
      </c>
      <c r="Q394">
        <f t="shared" si="124"/>
        <v>147.5</v>
      </c>
      <c r="R394">
        <f t="shared" si="125"/>
        <v>165.5</v>
      </c>
      <c r="S394">
        <f t="shared" si="126"/>
        <v>185</v>
      </c>
      <c r="T394">
        <f t="shared" si="127"/>
        <v>168.5</v>
      </c>
      <c r="U394">
        <f t="shared" si="128"/>
        <v>145</v>
      </c>
      <c r="V394">
        <f t="shared" si="129"/>
        <v>143.5</v>
      </c>
      <c r="X394" s="3">
        <v>112401</v>
      </c>
      <c r="Y394">
        <f t="shared" si="130"/>
        <v>133</v>
      </c>
      <c r="Z394">
        <f t="shared" si="131"/>
        <v>147</v>
      </c>
      <c r="AA394">
        <f t="shared" si="132"/>
        <v>21</v>
      </c>
      <c r="AB394">
        <f t="shared" si="133"/>
        <v>33</v>
      </c>
      <c r="AC394">
        <f t="shared" si="134"/>
        <v>1621</v>
      </c>
      <c r="AD394">
        <f t="shared" si="135"/>
        <v>1316</v>
      </c>
      <c r="AE394">
        <f t="shared" si="136"/>
        <v>297</v>
      </c>
      <c r="AF394">
        <f t="shared" si="137"/>
        <v>394</v>
      </c>
      <c r="AG394" s="5">
        <v>106369</v>
      </c>
      <c r="AH394" s="31">
        <v>214.5</v>
      </c>
      <c r="AI394" s="31">
        <v>182.5</v>
      </c>
      <c r="AJ394" s="37">
        <v>32</v>
      </c>
      <c r="AK394" s="37">
        <v>17.534246575342465</v>
      </c>
      <c r="AL394" s="36">
        <v>147.5</v>
      </c>
      <c r="AM394" s="36">
        <v>165.5</v>
      </c>
      <c r="AN394" s="37">
        <v>-18</v>
      </c>
      <c r="AO394" s="37">
        <v>-10.876132930513595</v>
      </c>
      <c r="AP394" s="38">
        <v>2333</v>
      </c>
      <c r="AQ394" s="39">
        <v>1937.5</v>
      </c>
      <c r="AR394" s="37">
        <v>395.5</v>
      </c>
      <c r="AS394" s="37">
        <v>20.412903225806449</v>
      </c>
      <c r="AT394" s="36">
        <v>1603</v>
      </c>
      <c r="AU394" s="36">
        <v>1415.5</v>
      </c>
      <c r="AV394" s="37">
        <v>187.5</v>
      </c>
      <c r="AW394" s="37">
        <v>13.246202755210174</v>
      </c>
      <c r="AX394" s="9">
        <v>41019316</v>
      </c>
      <c r="AY394" t="str">
        <f t="shared" si="138"/>
        <v>White Patch Lutyens</v>
      </c>
      <c r="AZ394" t="str">
        <f t="shared" si="139"/>
        <v>Lutyens</v>
      </c>
      <c r="BC394" s="5">
        <v>106369</v>
      </c>
      <c r="BD394" s="5" t="s">
        <v>581</v>
      </c>
      <c r="BE394" s="46" t="s">
        <v>944</v>
      </c>
      <c r="BF394" s="13" t="s">
        <v>945</v>
      </c>
      <c r="BG394" s="6" t="s">
        <v>81</v>
      </c>
      <c r="BH394" s="6" t="s">
        <v>946</v>
      </c>
      <c r="BI394" s="12" t="s">
        <v>946</v>
      </c>
      <c r="BJ394" s="51" t="s">
        <v>141</v>
      </c>
    </row>
    <row r="395" spans="1:62" ht="48.5" x14ac:dyDescent="0.35">
      <c r="A395">
        <v>186841</v>
      </c>
      <c r="B395" s="84">
        <f t="shared" si="120"/>
        <v>783</v>
      </c>
      <c r="C395" s="84">
        <f t="shared" si="121"/>
        <v>904</v>
      </c>
      <c r="E395" s="9">
        <v>41056991</v>
      </c>
      <c r="F395" s="85">
        <v>396</v>
      </c>
      <c r="G395" s="87">
        <v>436</v>
      </c>
      <c r="H395" s="20">
        <v>365</v>
      </c>
      <c r="I395" s="20">
        <v>414</v>
      </c>
      <c r="J395" s="20">
        <v>56</v>
      </c>
      <c r="K395" s="20">
        <v>58</v>
      </c>
      <c r="L395" s="85">
        <v>44</v>
      </c>
      <c r="M395" s="87">
        <v>44</v>
      </c>
      <c r="N395" s="5">
        <v>175977</v>
      </c>
      <c r="O395">
        <f t="shared" si="122"/>
        <v>120</v>
      </c>
      <c r="P395">
        <f t="shared" si="123"/>
        <v>135</v>
      </c>
      <c r="Q395">
        <f t="shared" si="124"/>
        <v>286</v>
      </c>
      <c r="R395">
        <f t="shared" si="125"/>
        <v>225</v>
      </c>
      <c r="S395">
        <f t="shared" si="126"/>
        <v>108.5</v>
      </c>
      <c r="T395">
        <f t="shared" si="127"/>
        <v>143</v>
      </c>
      <c r="U395">
        <f t="shared" si="128"/>
        <v>199.5</v>
      </c>
      <c r="V395">
        <f t="shared" si="129"/>
        <v>229</v>
      </c>
      <c r="X395" s="5">
        <v>106332</v>
      </c>
      <c r="Y395">
        <f t="shared" si="130"/>
        <v>316</v>
      </c>
      <c r="Z395">
        <f t="shared" si="131"/>
        <v>384</v>
      </c>
      <c r="AA395">
        <f t="shared" si="132"/>
        <v>56</v>
      </c>
      <c r="AB395">
        <f t="shared" si="133"/>
        <v>72</v>
      </c>
      <c r="AC395">
        <f t="shared" si="134"/>
        <v>3601.5</v>
      </c>
      <c r="AD395">
        <f t="shared" si="135"/>
        <v>3720</v>
      </c>
      <c r="AE395">
        <f t="shared" si="136"/>
        <v>624.5</v>
      </c>
      <c r="AF395">
        <f t="shared" si="137"/>
        <v>828</v>
      </c>
      <c r="AG395" s="5">
        <v>175977</v>
      </c>
      <c r="AH395" s="31">
        <v>120</v>
      </c>
      <c r="AI395" s="31">
        <v>135</v>
      </c>
      <c r="AJ395" s="37">
        <v>-15</v>
      </c>
      <c r="AK395" s="37">
        <v>-11.111111111111111</v>
      </c>
      <c r="AL395" s="36">
        <v>286</v>
      </c>
      <c r="AM395" s="36">
        <v>225</v>
      </c>
      <c r="AN395" s="37">
        <v>61</v>
      </c>
      <c r="AO395" s="37">
        <v>27.111111111111114</v>
      </c>
      <c r="AP395" s="38">
        <v>1420</v>
      </c>
      <c r="AQ395" s="39">
        <v>1388</v>
      </c>
      <c r="AR395" s="37">
        <v>32</v>
      </c>
      <c r="AS395" s="37">
        <v>2.3054755043227666</v>
      </c>
      <c r="AT395" s="36">
        <v>2562</v>
      </c>
      <c r="AU395" s="36">
        <v>2576</v>
      </c>
      <c r="AV395" s="37">
        <v>-14</v>
      </c>
      <c r="AW395" s="37">
        <v>-0.54347826086956519</v>
      </c>
      <c r="AX395" s="9">
        <v>41056991</v>
      </c>
      <c r="AY395" t="str">
        <f t="shared" si="138"/>
        <v>White Patch_Wazirabad</v>
      </c>
      <c r="AZ395" t="str">
        <f t="shared" si="139"/>
        <v>Old GT Road (NH1)</v>
      </c>
      <c r="BC395" s="5">
        <v>175977</v>
      </c>
      <c r="BD395" s="5" t="s">
        <v>581</v>
      </c>
      <c r="BE395" s="46" t="s">
        <v>947</v>
      </c>
      <c r="BF395" s="13" t="s">
        <v>948</v>
      </c>
      <c r="BG395" s="6" t="s">
        <v>85</v>
      </c>
      <c r="BH395" s="6" t="s">
        <v>192</v>
      </c>
      <c r="BI395" s="12" t="s">
        <v>192</v>
      </c>
      <c r="BJ395" s="51" t="s">
        <v>178</v>
      </c>
    </row>
    <row r="396" spans="1:62" ht="48.5" x14ac:dyDescent="0.35">
      <c r="A396">
        <v>41057006</v>
      </c>
      <c r="B396" s="84">
        <f t="shared" si="120"/>
        <v>452</v>
      </c>
      <c r="C396" s="84">
        <f t="shared" si="121"/>
        <v>476</v>
      </c>
      <c r="E396" s="9">
        <v>41057006</v>
      </c>
      <c r="F396" s="85">
        <v>452</v>
      </c>
      <c r="G396" s="87">
        <v>476</v>
      </c>
      <c r="H396" s="20">
        <v>395</v>
      </c>
      <c r="I396" s="20">
        <v>473</v>
      </c>
      <c r="J396" s="20">
        <v>89</v>
      </c>
      <c r="K396" s="20">
        <v>77</v>
      </c>
      <c r="L396" s="85">
        <v>72</v>
      </c>
      <c r="M396" s="87">
        <v>52</v>
      </c>
      <c r="N396" s="5">
        <v>254695</v>
      </c>
      <c r="O396">
        <f t="shared" si="122"/>
        <v>12</v>
      </c>
      <c r="P396">
        <f t="shared" si="123"/>
        <v>17.5</v>
      </c>
      <c r="Q396">
        <f t="shared" si="124"/>
        <v>24</v>
      </c>
      <c r="R396">
        <f t="shared" si="125"/>
        <v>56.5</v>
      </c>
      <c r="S396">
        <f t="shared" si="126"/>
        <v>12</v>
      </c>
      <c r="T396">
        <f t="shared" si="127"/>
        <v>18.5</v>
      </c>
      <c r="U396">
        <f t="shared" si="128"/>
        <v>48</v>
      </c>
      <c r="V396">
        <f t="shared" si="129"/>
        <v>51.5</v>
      </c>
      <c r="X396" s="5">
        <v>106308</v>
      </c>
      <c r="Y396">
        <f t="shared" si="130"/>
        <v>0</v>
      </c>
      <c r="Z396">
        <f t="shared" si="131"/>
        <v>25.5</v>
      </c>
      <c r="AA396">
        <f t="shared" si="132"/>
        <v>0</v>
      </c>
      <c r="AB396">
        <f t="shared" si="133"/>
        <v>16.5</v>
      </c>
      <c r="AC396">
        <f t="shared" si="134"/>
        <v>88</v>
      </c>
      <c r="AD396">
        <f t="shared" si="135"/>
        <v>195.5</v>
      </c>
      <c r="AE396">
        <f t="shared" si="136"/>
        <v>74</v>
      </c>
      <c r="AF396">
        <f t="shared" si="137"/>
        <v>239</v>
      </c>
      <c r="AG396" s="5">
        <v>254695</v>
      </c>
      <c r="AH396" s="31">
        <v>12</v>
      </c>
      <c r="AI396" s="31">
        <v>17.5</v>
      </c>
      <c r="AJ396" s="37">
        <v>-5.5</v>
      </c>
      <c r="AK396" s="37">
        <v>-31.428571428571427</v>
      </c>
      <c r="AL396" s="36">
        <v>24</v>
      </c>
      <c r="AM396" s="36">
        <v>56.5</v>
      </c>
      <c r="AN396" s="37">
        <v>-32.5</v>
      </c>
      <c r="AO396" s="37">
        <v>-57.522123893805308</v>
      </c>
      <c r="AP396" s="38">
        <v>178.5</v>
      </c>
      <c r="AQ396" s="39">
        <v>222.5</v>
      </c>
      <c r="AR396" s="37">
        <v>-44</v>
      </c>
      <c r="AS396" s="37">
        <v>-19.775280898876403</v>
      </c>
      <c r="AT396" s="36">
        <v>477.5</v>
      </c>
      <c r="AU396" s="36">
        <v>657.5</v>
      </c>
      <c r="AV396" s="37">
        <v>-180</v>
      </c>
      <c r="AW396" s="37">
        <v>-27.376425855513308</v>
      </c>
      <c r="AX396" s="9">
        <v>41057006</v>
      </c>
      <c r="AY396" t="str">
        <f t="shared" si="138"/>
        <v>SHOKEEN_JAI SHREEKRISHNA_SHANTI</v>
      </c>
      <c r="AZ396" t="str">
        <f t="shared" si="139"/>
        <v>Nazafgarh-Kapashera</v>
      </c>
      <c r="BC396" s="5">
        <v>254695</v>
      </c>
      <c r="BD396" s="5" t="s">
        <v>581</v>
      </c>
      <c r="BE396" s="46" t="s">
        <v>949</v>
      </c>
      <c r="BF396" s="13" t="s">
        <v>950</v>
      </c>
      <c r="BG396" s="6" t="s">
        <v>89</v>
      </c>
      <c r="BH396" s="6" t="s">
        <v>294</v>
      </c>
      <c r="BI396" s="12" t="s">
        <v>294</v>
      </c>
      <c r="BJ396" s="51" t="s">
        <v>91</v>
      </c>
    </row>
    <row r="397" spans="1:62" ht="48.5" x14ac:dyDescent="0.35">
      <c r="A397">
        <v>106373</v>
      </c>
      <c r="B397" s="84">
        <f t="shared" si="120"/>
        <v>95</v>
      </c>
      <c r="C397" s="84">
        <f t="shared" si="121"/>
        <v>110</v>
      </c>
      <c r="E397" s="9">
        <v>41056990</v>
      </c>
      <c r="F397" s="85">
        <v>320</v>
      </c>
      <c r="G397" s="87">
        <v>389</v>
      </c>
      <c r="H397" s="20">
        <v>300</v>
      </c>
      <c r="I397" s="20">
        <v>320</v>
      </c>
      <c r="J397" s="20">
        <v>100</v>
      </c>
      <c r="K397" s="20">
        <v>118</v>
      </c>
      <c r="L397" s="85">
        <v>100</v>
      </c>
      <c r="M397" s="87">
        <v>109</v>
      </c>
      <c r="N397" s="5">
        <v>186841</v>
      </c>
      <c r="O397">
        <f t="shared" si="122"/>
        <v>904</v>
      </c>
      <c r="P397">
        <f t="shared" si="123"/>
        <v>810</v>
      </c>
      <c r="Q397">
        <f t="shared" si="124"/>
        <v>126</v>
      </c>
      <c r="R397">
        <f t="shared" si="125"/>
        <v>144</v>
      </c>
      <c r="S397">
        <f t="shared" si="126"/>
        <v>783</v>
      </c>
      <c r="T397">
        <f t="shared" si="127"/>
        <v>743.5</v>
      </c>
      <c r="U397">
        <f t="shared" si="128"/>
        <v>135</v>
      </c>
      <c r="V397">
        <f t="shared" si="129"/>
        <v>130.5</v>
      </c>
      <c r="X397" s="5">
        <v>102107</v>
      </c>
      <c r="Y397">
        <f t="shared" si="130"/>
        <v>425.5</v>
      </c>
      <c r="Z397">
        <f t="shared" si="131"/>
        <v>414</v>
      </c>
      <c r="AA397">
        <f t="shared" si="132"/>
        <v>76.5</v>
      </c>
      <c r="AB397">
        <f t="shared" si="133"/>
        <v>90</v>
      </c>
      <c r="AC397">
        <f t="shared" si="134"/>
        <v>4995</v>
      </c>
      <c r="AD397">
        <f t="shared" si="135"/>
        <v>3372</v>
      </c>
      <c r="AE397">
        <f t="shared" si="136"/>
        <v>983</v>
      </c>
      <c r="AF397">
        <f t="shared" si="137"/>
        <v>980.5</v>
      </c>
      <c r="AG397" s="5">
        <v>186841</v>
      </c>
      <c r="AH397" s="31">
        <v>904</v>
      </c>
      <c r="AI397" s="31">
        <v>810</v>
      </c>
      <c r="AJ397" s="37">
        <v>94</v>
      </c>
      <c r="AK397" s="37">
        <v>11.604938271604938</v>
      </c>
      <c r="AL397" s="36">
        <v>126</v>
      </c>
      <c r="AM397" s="36">
        <v>144</v>
      </c>
      <c r="AN397" s="37">
        <v>-18</v>
      </c>
      <c r="AO397" s="37">
        <v>-12.5</v>
      </c>
      <c r="AP397" s="38">
        <v>10678.5</v>
      </c>
      <c r="AQ397" s="39">
        <v>9078</v>
      </c>
      <c r="AR397" s="37">
        <v>1600.5</v>
      </c>
      <c r="AS397" s="37">
        <v>17.6305353602115</v>
      </c>
      <c r="AT397" s="36">
        <v>1709.5</v>
      </c>
      <c r="AU397" s="36">
        <v>1964.5</v>
      </c>
      <c r="AV397" s="37">
        <v>-255</v>
      </c>
      <c r="AW397" s="37">
        <v>-12.980402137948587</v>
      </c>
      <c r="AX397" s="9">
        <v>41056990</v>
      </c>
      <c r="AY397" t="str">
        <f t="shared" si="138"/>
        <v>HARICHAND</v>
      </c>
      <c r="AZ397" t="str">
        <f t="shared" si="139"/>
        <v>Wazirabad-Loni</v>
      </c>
      <c r="BC397" s="5">
        <v>186841</v>
      </c>
      <c r="BD397" s="5" t="s">
        <v>581</v>
      </c>
      <c r="BE397" s="46" t="s">
        <v>951</v>
      </c>
      <c r="BF397" s="13" t="s">
        <v>952</v>
      </c>
      <c r="BG397" s="6" t="s">
        <v>94</v>
      </c>
      <c r="BH397" s="6" t="s">
        <v>953</v>
      </c>
      <c r="BI397" s="12" t="s">
        <v>953</v>
      </c>
      <c r="BJ397" s="51" t="s">
        <v>96</v>
      </c>
    </row>
    <row r="398" spans="1:62" ht="48.5" x14ac:dyDescent="0.35">
      <c r="A398">
        <v>112466</v>
      </c>
      <c r="B398" s="84">
        <f t="shared" si="120"/>
        <v>49.5</v>
      </c>
      <c r="C398" s="84">
        <f t="shared" si="121"/>
        <v>59</v>
      </c>
      <c r="E398" s="9">
        <v>41084274</v>
      </c>
      <c r="F398" s="85">
        <v>518</v>
      </c>
      <c r="G398" s="87">
        <v>606</v>
      </c>
      <c r="H398" s="20">
        <v>387</v>
      </c>
      <c r="I398" s="20">
        <v>533</v>
      </c>
      <c r="J398" s="20">
        <v>67.900000000000006</v>
      </c>
      <c r="K398" s="20">
        <v>91</v>
      </c>
      <c r="L398" s="85">
        <v>82</v>
      </c>
      <c r="M398" s="87">
        <v>97</v>
      </c>
      <c r="N398" s="5">
        <v>106308</v>
      </c>
      <c r="O398">
        <f t="shared" si="122"/>
        <v>0</v>
      </c>
      <c r="P398">
        <f t="shared" si="123"/>
        <v>25.5</v>
      </c>
      <c r="Q398">
        <f t="shared" si="124"/>
        <v>0</v>
      </c>
      <c r="R398">
        <f t="shared" si="125"/>
        <v>16.5</v>
      </c>
      <c r="S398">
        <f t="shared" si="126"/>
        <v>0</v>
      </c>
      <c r="T398">
        <f t="shared" si="127"/>
        <v>26</v>
      </c>
      <c r="U398">
        <f t="shared" si="128"/>
        <v>0</v>
      </c>
      <c r="V398">
        <f t="shared" si="129"/>
        <v>22</v>
      </c>
      <c r="X398" s="3">
        <v>112461</v>
      </c>
      <c r="Y398">
        <f t="shared" si="130"/>
        <v>313</v>
      </c>
      <c r="Z398">
        <f t="shared" si="131"/>
        <v>319</v>
      </c>
      <c r="AA398">
        <f t="shared" si="132"/>
        <v>347</v>
      </c>
      <c r="AB398">
        <f t="shared" si="133"/>
        <v>361</v>
      </c>
      <c r="AC398">
        <f t="shared" si="134"/>
        <v>3617</v>
      </c>
      <c r="AD398">
        <f t="shared" si="135"/>
        <v>3260.0000109999996</v>
      </c>
      <c r="AE398">
        <f t="shared" si="136"/>
        <v>3336</v>
      </c>
      <c r="AF398">
        <f t="shared" si="137"/>
        <v>6519</v>
      </c>
      <c r="AG398" s="5">
        <v>106308</v>
      </c>
      <c r="AH398" s="31">
        <v>0</v>
      </c>
      <c r="AI398" s="31">
        <v>25.5</v>
      </c>
      <c r="AJ398" s="37">
        <v>-25.5</v>
      </c>
      <c r="AK398" s="37">
        <v>-100</v>
      </c>
      <c r="AL398" s="36">
        <v>0</v>
      </c>
      <c r="AM398" s="36">
        <v>16.5</v>
      </c>
      <c r="AN398" s="37">
        <v>-16.5</v>
      </c>
      <c r="AO398" s="37">
        <v>-100</v>
      </c>
      <c r="AP398" s="38">
        <v>88</v>
      </c>
      <c r="AQ398" s="39">
        <v>195.5</v>
      </c>
      <c r="AR398" s="37">
        <v>-107.5</v>
      </c>
      <c r="AS398" s="37">
        <v>-54.987212276214834</v>
      </c>
      <c r="AT398" s="36">
        <v>74</v>
      </c>
      <c r="AU398" s="36">
        <v>239</v>
      </c>
      <c r="AV398" s="37">
        <v>-165</v>
      </c>
      <c r="AW398" s="37">
        <v>-69.037656903765694</v>
      </c>
      <c r="AX398" s="9">
        <v>41084274</v>
      </c>
      <c r="AY398" t="str">
        <f t="shared" si="138"/>
        <v>ALLIED_MASIH</v>
      </c>
      <c r="AZ398" t="str">
        <f t="shared" si="139"/>
        <v>Mayur Vihar -Anand Vihar -Preet Vihar</v>
      </c>
      <c r="BC398" s="5">
        <v>106308</v>
      </c>
      <c r="BD398" s="5" t="s">
        <v>581</v>
      </c>
      <c r="BE398" s="46" t="s">
        <v>954</v>
      </c>
      <c r="BF398" s="13" t="s">
        <v>955</v>
      </c>
      <c r="BG398" s="6" t="s">
        <v>85</v>
      </c>
      <c r="BH398" s="6" t="s">
        <v>192</v>
      </c>
      <c r="BI398" s="12" t="s">
        <v>192</v>
      </c>
      <c r="BJ398" s="51" t="s">
        <v>178</v>
      </c>
    </row>
    <row r="399" spans="1:62" x14ac:dyDescent="0.35">
      <c r="A399" s="9"/>
      <c r="B399" s="85"/>
      <c r="C399" s="85"/>
      <c r="E399" s="9">
        <v>41076270</v>
      </c>
      <c r="F399" s="85">
        <v>96</v>
      </c>
      <c r="G399" s="87">
        <v>112</v>
      </c>
      <c r="H399" s="20"/>
      <c r="I399" s="20">
        <v>18</v>
      </c>
      <c r="J399" s="20"/>
      <c r="K399" s="20">
        <v>4</v>
      </c>
      <c r="L399" s="85">
        <v>42</v>
      </c>
      <c r="M399" s="87">
        <v>68</v>
      </c>
      <c r="AX399" s="9">
        <v>41076270</v>
      </c>
      <c r="AY399" t="str">
        <f t="shared" si="138"/>
        <v>White Patch Nazfgarh</v>
      </c>
      <c r="AZ399" t="str">
        <f t="shared" si="139"/>
        <v>Nazafgarh-Kapashera</v>
      </c>
    </row>
  </sheetData>
  <autoFilter ref="AX1:AZ399" xr:uid="{29EE19D3-200D-4857-84A5-7022F0ABA98E}"/>
  <conditionalFormatting sqref="A2:A109">
    <cfRule type="duplicateValues" dxfId="20" priority="18" stopIfTrue="1"/>
  </conditionalFormatting>
  <conditionalFormatting sqref="A162">
    <cfRule type="duplicateValues" dxfId="19" priority="19" stopIfTrue="1"/>
  </conditionalFormatting>
  <conditionalFormatting sqref="A185:A301 A163">
    <cfRule type="duplicateValues" dxfId="18" priority="21" stopIfTrue="1"/>
  </conditionalFormatting>
  <conditionalFormatting sqref="A204:A206">
    <cfRule type="duplicateValues" dxfId="17" priority="16" stopIfTrue="1"/>
  </conditionalFormatting>
  <conditionalFormatting sqref="A205:A206">
    <cfRule type="duplicateValues" dxfId="16" priority="15" stopIfTrue="1"/>
    <cfRule type="duplicateValues" dxfId="15" priority="17" stopIfTrue="1"/>
  </conditionalFormatting>
  <conditionalFormatting sqref="A206">
    <cfRule type="duplicateValues" dxfId="14" priority="20" stopIfTrue="1"/>
  </conditionalFormatting>
  <conditionalFormatting sqref="E2:E109">
    <cfRule type="duplicateValues" dxfId="13" priority="11" stopIfTrue="1"/>
  </conditionalFormatting>
  <conditionalFormatting sqref="E162">
    <cfRule type="duplicateValues" dxfId="12" priority="12" stopIfTrue="1"/>
  </conditionalFormatting>
  <conditionalFormatting sqref="E185:E301 E163">
    <cfRule type="duplicateValues" dxfId="11" priority="14" stopIfTrue="1"/>
  </conditionalFormatting>
  <conditionalFormatting sqref="E204:E206">
    <cfRule type="duplicateValues" dxfId="10" priority="9" stopIfTrue="1"/>
  </conditionalFormatting>
  <conditionalFormatting sqref="E205:E206">
    <cfRule type="duplicateValues" dxfId="9" priority="8" stopIfTrue="1"/>
    <cfRule type="duplicateValues" dxfId="8" priority="10" stopIfTrue="1"/>
  </conditionalFormatting>
  <conditionalFormatting sqref="E206">
    <cfRule type="duplicateValues" dxfId="7" priority="13" stopIfTrue="1"/>
  </conditionalFormatting>
  <conditionalFormatting sqref="AX2:AX109">
    <cfRule type="duplicateValues" dxfId="6" priority="4" stopIfTrue="1"/>
  </conditionalFormatting>
  <conditionalFormatting sqref="AX162">
    <cfRule type="duplicateValues" dxfId="5" priority="5" stopIfTrue="1"/>
  </conditionalFormatting>
  <conditionalFormatting sqref="AX185:AX301 AX163">
    <cfRule type="duplicateValues" dxfId="4" priority="7" stopIfTrue="1"/>
  </conditionalFormatting>
  <conditionalFormatting sqref="AX204:AX206">
    <cfRule type="duplicateValues" dxfId="3" priority="2" stopIfTrue="1"/>
  </conditionalFormatting>
  <conditionalFormatting sqref="AX205:AX206">
    <cfRule type="duplicateValues" dxfId="2" priority="1" stopIfTrue="1"/>
    <cfRule type="duplicateValues" dxfId="1" priority="3" stopIfTrue="1"/>
  </conditionalFormatting>
  <conditionalFormatting sqref="AX206">
    <cfRule type="duplicateValues" dxfId="0" priority="6" stopIfTrue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C667-0F6D-486A-8EBB-71C11C1B1DEC}">
  <sheetPr>
    <pageSetUpPr fitToPage="1"/>
  </sheetPr>
  <dimension ref="A1:AA398"/>
  <sheetViews>
    <sheetView workbookViewId="0">
      <pane xSplit="6" ySplit="1" topLeftCell="R56" activePane="bottomRight" state="frozen"/>
      <selection pane="topRight" activeCell="G1" sqref="G1"/>
      <selection pane="bottomLeft" activeCell="A2" sqref="A2"/>
      <selection pane="bottomRight" activeCell="R1" sqref="C1:R1048576"/>
    </sheetView>
  </sheetViews>
  <sheetFormatPr defaultRowHeight="15.5" x14ac:dyDescent="0.35"/>
  <cols>
    <col min="3" max="3" width="22.26953125" style="16" customWidth="1"/>
    <col min="4" max="4" width="13.08984375" style="16" hidden="1" customWidth="1"/>
    <col min="5" max="6" width="13.08984375" hidden="1" customWidth="1"/>
    <col min="7" max="7" width="13.6328125" style="16" hidden="1" customWidth="1"/>
    <col min="8" max="8" width="17.1796875" style="16" hidden="1" customWidth="1"/>
    <col min="9" max="9" width="9.81640625" hidden="1" customWidth="1"/>
    <col min="10" max="10" width="8.90625" style="28" hidden="1" customWidth="1"/>
    <col min="11" max="11" width="8.90625" style="29" hidden="1" customWidth="1"/>
    <col min="12" max="12" width="10.54296875" style="30" hidden="1" customWidth="1"/>
    <col min="13" max="13" width="14.1796875" style="30" hidden="1" customWidth="1"/>
    <col min="14" max="15" width="8.90625" style="27" hidden="1" customWidth="1"/>
    <col min="16" max="17" width="9.36328125" style="30" hidden="1" customWidth="1"/>
    <col min="18" max="18" width="17" customWidth="1"/>
    <col min="19" max="19" width="22" customWidth="1"/>
    <col min="20" max="20" width="10.08984375" bestFit="1" customWidth="1"/>
    <col min="21" max="24" width="7.08984375" customWidth="1"/>
  </cols>
  <sheetData>
    <row r="1" spans="1:27" ht="64.5" customHeight="1" x14ac:dyDescent="0.35">
      <c r="A1" s="10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1009</v>
      </c>
      <c r="I1" s="22" t="s">
        <v>49</v>
      </c>
      <c r="J1" s="33" t="s">
        <v>60</v>
      </c>
      <c r="K1" s="33" t="s">
        <v>61</v>
      </c>
      <c r="L1" s="32" t="s">
        <v>62</v>
      </c>
      <c r="M1" s="32" t="s">
        <v>63</v>
      </c>
      <c r="N1" s="35" t="s">
        <v>64</v>
      </c>
      <c r="O1" s="35" t="s">
        <v>65</v>
      </c>
      <c r="P1" s="32" t="s">
        <v>66</v>
      </c>
      <c r="Q1" s="32" t="s">
        <v>67</v>
      </c>
      <c r="R1" s="93" t="s">
        <v>1036</v>
      </c>
      <c r="S1" s="93" t="s">
        <v>1037</v>
      </c>
      <c r="T1" s="93" t="s">
        <v>1040</v>
      </c>
      <c r="U1" s="93" t="s">
        <v>966</v>
      </c>
      <c r="V1" s="93" t="s">
        <v>1041</v>
      </c>
      <c r="W1" s="93" t="s">
        <v>967</v>
      </c>
      <c r="X1" s="93" t="s">
        <v>1067</v>
      </c>
      <c r="Y1" s="93" t="s">
        <v>1035</v>
      </c>
      <c r="Z1" s="93" t="s">
        <v>1076</v>
      </c>
      <c r="AA1" s="93" t="s">
        <v>1077</v>
      </c>
    </row>
    <row r="2" spans="1:27" ht="24.5" hidden="1" x14ac:dyDescent="0.35">
      <c r="A2" s="102">
        <v>256507</v>
      </c>
      <c r="B2" s="3" t="s">
        <v>72</v>
      </c>
      <c r="C2" s="43" t="s">
        <v>79</v>
      </c>
      <c r="D2" s="12" t="s">
        <v>80</v>
      </c>
      <c r="E2" s="4" t="s">
        <v>81</v>
      </c>
      <c r="F2" s="4" t="s">
        <v>81</v>
      </c>
      <c r="G2" s="12" t="s">
        <v>81</v>
      </c>
      <c r="H2" s="51" t="s">
        <v>82</v>
      </c>
      <c r="I2" s="23" t="s">
        <v>83</v>
      </c>
      <c r="J2" s="38">
        <v>0</v>
      </c>
      <c r="K2" s="39">
        <v>0</v>
      </c>
      <c r="L2" s="37">
        <f t="shared" ref="L2:L65" si="0">(J2-K2)</f>
        <v>0</v>
      </c>
      <c r="M2" s="37" t="e">
        <f t="shared" ref="M2:M65" si="1">(L2)/K2*100</f>
        <v>#DIV/0!</v>
      </c>
      <c r="N2" s="36">
        <v>114</v>
      </c>
      <c r="O2" s="36">
        <v>6</v>
      </c>
      <c r="P2" s="37">
        <f t="shared" ref="P2:P65" si="2">(N2-O2)</f>
        <v>108</v>
      </c>
      <c r="Q2" s="37">
        <f t="shared" ref="Q2:Q65" si="3">(P2)/O2*100</f>
        <v>1800</v>
      </c>
      <c r="R2" s="131"/>
      <c r="S2" s="131"/>
      <c r="T2" s="131"/>
      <c r="U2" s="131"/>
      <c r="V2" s="131"/>
      <c r="W2" s="131"/>
      <c r="X2" s="131"/>
      <c r="Y2" s="131"/>
      <c r="Z2" s="131"/>
      <c r="AA2" s="131"/>
    </row>
    <row r="3" spans="1:27" ht="24.5" hidden="1" x14ac:dyDescent="0.35">
      <c r="A3" s="102">
        <v>255872</v>
      </c>
      <c r="B3" s="3" t="s">
        <v>72</v>
      </c>
      <c r="C3" s="43" t="s">
        <v>84</v>
      </c>
      <c r="D3" s="12" t="s">
        <v>80</v>
      </c>
      <c r="E3" s="4" t="s">
        <v>85</v>
      </c>
      <c r="F3" s="4" t="s">
        <v>85</v>
      </c>
      <c r="G3" s="12" t="s">
        <v>85</v>
      </c>
      <c r="H3" s="51" t="s">
        <v>82</v>
      </c>
      <c r="I3" s="23" t="s">
        <v>86</v>
      </c>
      <c r="J3" s="38">
        <v>0</v>
      </c>
      <c r="K3" s="39">
        <v>0</v>
      </c>
      <c r="L3" s="37">
        <f t="shared" si="0"/>
        <v>0</v>
      </c>
      <c r="M3" s="37" t="e">
        <f t="shared" si="1"/>
        <v>#DIV/0!</v>
      </c>
      <c r="N3" s="36">
        <v>12</v>
      </c>
      <c r="O3" s="36">
        <v>4</v>
      </c>
      <c r="P3" s="37">
        <f t="shared" si="2"/>
        <v>8</v>
      </c>
      <c r="Q3" s="37">
        <f t="shared" si="3"/>
        <v>200</v>
      </c>
      <c r="R3" s="37"/>
      <c r="S3" s="37"/>
      <c r="T3" s="37"/>
      <c r="U3" s="37"/>
      <c r="V3" s="37"/>
      <c r="W3" s="37"/>
      <c r="X3" s="37"/>
      <c r="Y3" s="37"/>
      <c r="Z3" s="37"/>
      <c r="AA3" s="37"/>
    </row>
    <row r="4" spans="1:27" ht="24.5" hidden="1" x14ac:dyDescent="0.35">
      <c r="A4" s="102">
        <v>250828</v>
      </c>
      <c r="B4" s="3" t="s">
        <v>72</v>
      </c>
      <c r="C4" s="43" t="s">
        <v>97</v>
      </c>
      <c r="D4" s="12" t="s">
        <v>74</v>
      </c>
      <c r="E4" s="4" t="s">
        <v>75</v>
      </c>
      <c r="F4" s="4" t="s">
        <v>76</v>
      </c>
      <c r="G4" s="12" t="s">
        <v>76</v>
      </c>
      <c r="H4" s="51" t="s">
        <v>77</v>
      </c>
      <c r="I4" s="23" t="s">
        <v>78</v>
      </c>
      <c r="J4" s="38">
        <v>4467</v>
      </c>
      <c r="K4" s="39">
        <v>2480.6109999999999</v>
      </c>
      <c r="L4" s="37">
        <f t="shared" si="0"/>
        <v>1986.3890000000001</v>
      </c>
      <c r="M4" s="37">
        <f t="shared" si="1"/>
        <v>80.076602095209608</v>
      </c>
      <c r="N4" s="36">
        <v>3265</v>
      </c>
      <c r="O4" s="36">
        <v>2204.1190000000001</v>
      </c>
      <c r="P4" s="37">
        <f t="shared" si="2"/>
        <v>1060.8809999999999</v>
      </c>
      <c r="Q4" s="37">
        <f t="shared" si="3"/>
        <v>48.131747877496622</v>
      </c>
      <c r="R4" s="37"/>
      <c r="S4" s="37"/>
      <c r="T4" s="37"/>
      <c r="U4" s="37"/>
      <c r="V4" s="37"/>
      <c r="W4" s="37"/>
      <c r="X4" s="37"/>
      <c r="Y4" s="37"/>
      <c r="Z4" s="37"/>
      <c r="AA4" s="37"/>
    </row>
    <row r="5" spans="1:27" ht="46.5" hidden="1" x14ac:dyDescent="0.35">
      <c r="A5" s="102">
        <v>112385</v>
      </c>
      <c r="B5" s="3" t="s">
        <v>72</v>
      </c>
      <c r="C5" s="40" t="s">
        <v>351</v>
      </c>
      <c r="D5" s="12" t="s">
        <v>352</v>
      </c>
      <c r="E5" s="4" t="s">
        <v>187</v>
      </c>
      <c r="F5" s="4" t="s">
        <v>353</v>
      </c>
      <c r="G5" s="12" t="s">
        <v>353</v>
      </c>
      <c r="H5" s="51" t="s">
        <v>189</v>
      </c>
      <c r="I5" s="23" t="s">
        <v>86</v>
      </c>
      <c r="J5" s="38">
        <v>4975</v>
      </c>
      <c r="K5" s="39">
        <v>4905</v>
      </c>
      <c r="L5" s="37">
        <f t="shared" si="0"/>
        <v>70</v>
      </c>
      <c r="M5" s="37">
        <f t="shared" si="1"/>
        <v>1.4271151885830784</v>
      </c>
      <c r="N5" s="36">
        <v>685</v>
      </c>
      <c r="O5" s="36">
        <v>800</v>
      </c>
      <c r="P5" s="37">
        <f t="shared" si="2"/>
        <v>-115</v>
      </c>
      <c r="Q5" s="37">
        <f t="shared" si="3"/>
        <v>-14.374999999999998</v>
      </c>
      <c r="R5" s="137" t="s">
        <v>1056</v>
      </c>
      <c r="S5" s="37" t="s">
        <v>1057</v>
      </c>
      <c r="T5" s="37"/>
      <c r="U5" s="134"/>
      <c r="V5" s="134">
        <v>10</v>
      </c>
      <c r="W5" s="134"/>
      <c r="X5" s="134"/>
      <c r="Y5" s="37"/>
      <c r="Z5" s="37"/>
      <c r="AA5" s="37"/>
    </row>
    <row r="6" spans="1:27" ht="24.5" hidden="1" x14ac:dyDescent="0.35">
      <c r="A6" s="102">
        <v>152706</v>
      </c>
      <c r="B6" s="3" t="s">
        <v>72</v>
      </c>
      <c r="C6" s="40" t="s">
        <v>276</v>
      </c>
      <c r="D6" s="12" t="s">
        <v>277</v>
      </c>
      <c r="E6" s="4" t="s">
        <v>200</v>
      </c>
      <c r="F6" s="4" t="s">
        <v>260</v>
      </c>
      <c r="G6" s="12" t="s">
        <v>260</v>
      </c>
      <c r="H6" s="51" t="s">
        <v>261</v>
      </c>
      <c r="I6" s="23" t="s">
        <v>83</v>
      </c>
      <c r="J6" s="38">
        <v>1535</v>
      </c>
      <c r="K6" s="39">
        <v>1259.5</v>
      </c>
      <c r="L6" s="37">
        <f t="shared" si="0"/>
        <v>275.5</v>
      </c>
      <c r="M6" s="37">
        <f t="shared" si="1"/>
        <v>21.873759428344581</v>
      </c>
      <c r="N6" s="36">
        <v>1565</v>
      </c>
      <c r="O6" s="36">
        <v>1511.5</v>
      </c>
      <c r="P6" s="37">
        <f t="shared" si="2"/>
        <v>53.5</v>
      </c>
      <c r="Q6" s="37">
        <f t="shared" si="3"/>
        <v>3.5395302679457492</v>
      </c>
      <c r="R6" s="37"/>
      <c r="S6" s="37"/>
      <c r="T6" s="37"/>
      <c r="U6" s="37"/>
      <c r="V6" s="37"/>
      <c r="W6" s="37"/>
      <c r="X6" s="37"/>
      <c r="Y6" s="37"/>
      <c r="Z6" s="37"/>
      <c r="AA6" s="37"/>
    </row>
    <row r="7" spans="1:27" ht="24.5" hidden="1" x14ac:dyDescent="0.35">
      <c r="A7" s="102">
        <v>148414</v>
      </c>
      <c r="B7" s="3" t="s">
        <v>72</v>
      </c>
      <c r="C7" s="41" t="s">
        <v>262</v>
      </c>
      <c r="D7" s="12" t="s">
        <v>263</v>
      </c>
      <c r="E7" s="4" t="s">
        <v>200</v>
      </c>
      <c r="F7" s="4" t="s">
        <v>260</v>
      </c>
      <c r="G7" s="12" t="s">
        <v>260</v>
      </c>
      <c r="H7" s="51" t="s">
        <v>261</v>
      </c>
      <c r="I7" s="23" t="s">
        <v>83</v>
      </c>
      <c r="J7" s="38">
        <v>2632</v>
      </c>
      <c r="K7" s="39">
        <v>2312</v>
      </c>
      <c r="L7" s="37">
        <f t="shared" si="0"/>
        <v>320</v>
      </c>
      <c r="M7" s="37">
        <f t="shared" si="1"/>
        <v>13.84083044982699</v>
      </c>
      <c r="N7" s="36">
        <v>4276</v>
      </c>
      <c r="O7" s="36">
        <v>3886</v>
      </c>
      <c r="P7" s="37">
        <f t="shared" si="2"/>
        <v>390</v>
      </c>
      <c r="Q7" s="37">
        <f t="shared" si="3"/>
        <v>10.036026762738034</v>
      </c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27" hidden="1" x14ac:dyDescent="0.35">
      <c r="A8" s="102">
        <v>157172</v>
      </c>
      <c r="B8" s="3" t="s">
        <v>72</v>
      </c>
      <c r="C8" s="42" t="s">
        <v>272</v>
      </c>
      <c r="D8" s="12" t="s">
        <v>273</v>
      </c>
      <c r="E8" s="4" t="s">
        <v>111</v>
      </c>
      <c r="F8" s="4" t="s">
        <v>274</v>
      </c>
      <c r="G8" s="12" t="s">
        <v>274</v>
      </c>
      <c r="H8" s="51" t="s">
        <v>275</v>
      </c>
      <c r="I8" s="23" t="s">
        <v>78</v>
      </c>
      <c r="J8" s="38">
        <v>1498.5</v>
      </c>
      <c r="K8" s="39">
        <v>1425</v>
      </c>
      <c r="L8" s="37">
        <f t="shared" si="0"/>
        <v>73.5</v>
      </c>
      <c r="M8" s="37">
        <f t="shared" si="1"/>
        <v>5.1578947368421053</v>
      </c>
      <c r="N8" s="36">
        <v>1689.5</v>
      </c>
      <c r="O8" s="36">
        <v>1325</v>
      </c>
      <c r="P8" s="37">
        <f t="shared" si="2"/>
        <v>364.5</v>
      </c>
      <c r="Q8" s="37">
        <f t="shared" si="3"/>
        <v>27.509433962264151</v>
      </c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27" ht="24.5" hidden="1" x14ac:dyDescent="0.35">
      <c r="A9" s="102">
        <v>112430</v>
      </c>
      <c r="B9" s="3" t="s">
        <v>72</v>
      </c>
      <c r="C9" s="40" t="s">
        <v>264</v>
      </c>
      <c r="D9" s="12" t="s">
        <v>243</v>
      </c>
      <c r="E9" s="4" t="s">
        <v>200</v>
      </c>
      <c r="F9" s="4" t="s">
        <v>265</v>
      </c>
      <c r="G9" s="12" t="s">
        <v>265</v>
      </c>
      <c r="H9" s="51" t="s">
        <v>172</v>
      </c>
      <c r="I9" s="23" t="s">
        <v>83</v>
      </c>
      <c r="J9" s="38">
        <v>2030</v>
      </c>
      <c r="K9" s="39">
        <v>1801</v>
      </c>
      <c r="L9" s="37">
        <f t="shared" si="0"/>
        <v>229</v>
      </c>
      <c r="M9" s="37">
        <f t="shared" si="1"/>
        <v>12.715158245419211</v>
      </c>
      <c r="N9" s="36">
        <v>2750</v>
      </c>
      <c r="O9" s="36">
        <v>3093</v>
      </c>
      <c r="P9" s="37">
        <f t="shared" si="2"/>
        <v>-343</v>
      </c>
      <c r="Q9" s="37">
        <f t="shared" si="3"/>
        <v>-11.08955706433883</v>
      </c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spans="1:27" ht="34" hidden="1" customHeight="1" x14ac:dyDescent="0.35">
      <c r="A10" s="102">
        <v>112386</v>
      </c>
      <c r="B10" s="3" t="s">
        <v>72</v>
      </c>
      <c r="C10" s="40" t="s">
        <v>330</v>
      </c>
      <c r="D10" s="12" t="s">
        <v>331</v>
      </c>
      <c r="E10" s="4" t="s">
        <v>85</v>
      </c>
      <c r="F10" s="4" t="s">
        <v>332</v>
      </c>
      <c r="G10" s="12" t="s">
        <v>332</v>
      </c>
      <c r="H10" s="51" t="s">
        <v>304</v>
      </c>
      <c r="I10" s="23" t="s">
        <v>86</v>
      </c>
      <c r="J10" s="38">
        <v>4940.5</v>
      </c>
      <c r="K10" s="39">
        <v>4790</v>
      </c>
      <c r="L10" s="37">
        <f t="shared" si="0"/>
        <v>150.5</v>
      </c>
      <c r="M10" s="37">
        <f t="shared" si="1"/>
        <v>3.1419624217118995</v>
      </c>
      <c r="N10" s="36">
        <v>709.5</v>
      </c>
      <c r="O10" s="36">
        <v>792</v>
      </c>
      <c r="P10" s="37">
        <f t="shared" si="2"/>
        <v>-82.5</v>
      </c>
      <c r="Q10" s="37">
        <f t="shared" si="3"/>
        <v>-10.416666666666668</v>
      </c>
      <c r="R10" s="136" t="s">
        <v>1063</v>
      </c>
      <c r="S10" s="37" t="s">
        <v>1070</v>
      </c>
      <c r="T10" s="37"/>
      <c r="U10" s="134"/>
      <c r="V10" s="134"/>
      <c r="W10" s="134"/>
      <c r="X10" s="134"/>
      <c r="Y10" s="37"/>
      <c r="Z10" s="37"/>
      <c r="AA10" s="37"/>
    </row>
    <row r="11" spans="1:27" ht="24.5" x14ac:dyDescent="0.35">
      <c r="A11" s="102">
        <v>112390</v>
      </c>
      <c r="B11" s="3" t="s">
        <v>72</v>
      </c>
      <c r="C11" s="40" t="s">
        <v>338</v>
      </c>
      <c r="D11" s="12" t="s">
        <v>339</v>
      </c>
      <c r="E11" s="4" t="s">
        <v>85</v>
      </c>
      <c r="F11" s="4" t="s">
        <v>337</v>
      </c>
      <c r="G11" s="12" t="s">
        <v>337</v>
      </c>
      <c r="H11" s="51" t="s">
        <v>304</v>
      </c>
      <c r="I11" s="23" t="s">
        <v>86</v>
      </c>
      <c r="J11" s="38">
        <v>8045</v>
      </c>
      <c r="K11" s="39">
        <v>7634.5000140000002</v>
      </c>
      <c r="L11" s="37">
        <f t="shared" si="0"/>
        <v>410.49998599999981</v>
      </c>
      <c r="M11" s="37">
        <f t="shared" si="1"/>
        <v>5.3769072663204245</v>
      </c>
      <c r="N11" s="36">
        <v>1115</v>
      </c>
      <c r="O11" s="36">
        <v>1285.5</v>
      </c>
      <c r="P11" s="37">
        <f t="shared" si="2"/>
        <v>-170.5</v>
      </c>
      <c r="Q11" s="37">
        <f t="shared" si="3"/>
        <v>-13.263321664721897</v>
      </c>
      <c r="R11" s="37" t="s">
        <v>1075</v>
      </c>
      <c r="S11" s="37"/>
      <c r="T11" s="37"/>
      <c r="U11" s="134">
        <v>50</v>
      </c>
      <c r="V11" s="134"/>
      <c r="W11" s="134"/>
      <c r="X11" s="134"/>
      <c r="Y11" s="37"/>
      <c r="Z11" s="37" t="s">
        <v>964</v>
      </c>
      <c r="AA11" s="37" t="s">
        <v>1078</v>
      </c>
    </row>
    <row r="12" spans="1:27" ht="24.5" x14ac:dyDescent="0.35">
      <c r="A12" s="102">
        <v>198868</v>
      </c>
      <c r="B12" s="3" t="s">
        <v>72</v>
      </c>
      <c r="C12" s="41" t="s">
        <v>1006</v>
      </c>
      <c r="D12" s="12" t="s">
        <v>176</v>
      </c>
      <c r="E12" s="4" t="s">
        <v>89</v>
      </c>
      <c r="F12" s="4" t="s">
        <v>177</v>
      </c>
      <c r="G12" s="12" t="s">
        <v>177</v>
      </c>
      <c r="H12" s="51" t="s">
        <v>178</v>
      </c>
      <c r="I12" s="23" t="s">
        <v>86</v>
      </c>
      <c r="J12" s="38">
        <v>1315</v>
      </c>
      <c r="K12" s="39">
        <v>1140</v>
      </c>
      <c r="L12" s="37">
        <f t="shared" si="0"/>
        <v>175</v>
      </c>
      <c r="M12" s="37">
        <f t="shared" si="1"/>
        <v>15.350877192982457</v>
      </c>
      <c r="N12" s="36">
        <v>2337</v>
      </c>
      <c r="O12" s="36">
        <v>3010</v>
      </c>
      <c r="P12" s="37">
        <f t="shared" si="2"/>
        <v>-673</v>
      </c>
      <c r="Q12" s="37">
        <f t="shared" si="3"/>
        <v>-22.358803986710964</v>
      </c>
      <c r="R12" s="136" t="s">
        <v>1046</v>
      </c>
      <c r="S12" s="37"/>
      <c r="T12" s="37"/>
      <c r="U12" s="135"/>
      <c r="V12" s="135"/>
      <c r="W12" s="135"/>
      <c r="X12" s="135"/>
      <c r="Y12" s="37"/>
      <c r="Z12" s="37" t="s">
        <v>963</v>
      </c>
      <c r="AA12" s="37"/>
    </row>
    <row r="13" spans="1:27" ht="24.5" x14ac:dyDescent="0.35">
      <c r="A13" s="102">
        <v>112402</v>
      </c>
      <c r="B13" s="3" t="s">
        <v>72</v>
      </c>
      <c r="C13" s="41" t="s">
        <v>235</v>
      </c>
      <c r="D13" s="12" t="s">
        <v>236</v>
      </c>
      <c r="E13" s="4" t="s">
        <v>89</v>
      </c>
      <c r="F13" s="4" t="s">
        <v>237</v>
      </c>
      <c r="G13" s="12" t="s">
        <v>237</v>
      </c>
      <c r="H13" s="51" t="s">
        <v>205</v>
      </c>
      <c r="I13" s="23" t="s">
        <v>86</v>
      </c>
      <c r="J13" s="38">
        <v>2430.5</v>
      </c>
      <c r="K13" s="39">
        <v>2039.5</v>
      </c>
      <c r="L13" s="37">
        <f t="shared" si="0"/>
        <v>391</v>
      </c>
      <c r="M13" s="37">
        <f t="shared" si="1"/>
        <v>19.171365530767346</v>
      </c>
      <c r="N13" s="36">
        <v>3641.5</v>
      </c>
      <c r="O13" s="36">
        <v>3966.5</v>
      </c>
      <c r="P13" s="37">
        <f t="shared" si="2"/>
        <v>-325</v>
      </c>
      <c r="Q13" s="37">
        <f t="shared" si="3"/>
        <v>-8.1936215807386859</v>
      </c>
      <c r="R13" s="136" t="s">
        <v>1038</v>
      </c>
      <c r="S13" s="37" t="s">
        <v>1039</v>
      </c>
      <c r="T13" s="37"/>
      <c r="U13" s="135"/>
      <c r="V13" s="135">
        <v>20</v>
      </c>
      <c r="W13" s="135"/>
      <c r="X13" s="135"/>
      <c r="Y13" s="37"/>
      <c r="Z13" s="37" t="s">
        <v>964</v>
      </c>
      <c r="AA13" s="37"/>
    </row>
    <row r="14" spans="1:27" ht="24.5" hidden="1" x14ac:dyDescent="0.35">
      <c r="A14" s="102">
        <v>112435</v>
      </c>
      <c r="B14" s="3" t="s">
        <v>72</v>
      </c>
      <c r="C14" s="43" t="s">
        <v>239</v>
      </c>
      <c r="D14" s="12" t="s">
        <v>240</v>
      </c>
      <c r="E14" s="4" t="s">
        <v>228</v>
      </c>
      <c r="F14" s="4" t="s">
        <v>241</v>
      </c>
      <c r="G14" s="12" t="s">
        <v>241</v>
      </c>
      <c r="H14" s="51" t="s">
        <v>230</v>
      </c>
      <c r="I14" s="23" t="s">
        <v>78</v>
      </c>
      <c r="J14" s="38">
        <v>5668</v>
      </c>
      <c r="K14" s="39">
        <v>5283</v>
      </c>
      <c r="L14" s="37">
        <f t="shared" si="0"/>
        <v>385</v>
      </c>
      <c r="M14" s="37">
        <f t="shared" si="1"/>
        <v>7.287526026878667</v>
      </c>
      <c r="N14" s="36">
        <v>362</v>
      </c>
      <c r="O14" s="36">
        <v>319</v>
      </c>
      <c r="P14" s="37">
        <f t="shared" si="2"/>
        <v>43</v>
      </c>
      <c r="Q14" s="37">
        <f t="shared" si="3"/>
        <v>13.479623824451412</v>
      </c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spans="1:27" ht="24.5" hidden="1" x14ac:dyDescent="0.35">
      <c r="A15" s="102">
        <v>129151</v>
      </c>
      <c r="B15" s="3" t="s">
        <v>72</v>
      </c>
      <c r="C15" s="40" t="s">
        <v>98</v>
      </c>
      <c r="D15" s="12" t="s">
        <v>99</v>
      </c>
      <c r="E15" s="4" t="s">
        <v>75</v>
      </c>
      <c r="F15" s="4" t="s">
        <v>100</v>
      </c>
      <c r="G15" s="12" t="s">
        <v>100</v>
      </c>
      <c r="H15" s="51" t="s">
        <v>77</v>
      </c>
      <c r="I15" s="23" t="s">
        <v>78</v>
      </c>
      <c r="J15" s="38">
        <v>13654</v>
      </c>
      <c r="K15" s="39">
        <v>12205.500077000001</v>
      </c>
      <c r="L15" s="37">
        <f t="shared" si="0"/>
        <v>1448.4999229999994</v>
      </c>
      <c r="M15" s="37">
        <f t="shared" si="1"/>
        <v>11.867599966096821</v>
      </c>
      <c r="N15" s="36">
        <v>1974</v>
      </c>
      <c r="O15" s="36">
        <v>2138.5</v>
      </c>
      <c r="P15" s="37">
        <f t="shared" si="2"/>
        <v>-164.5</v>
      </c>
      <c r="Q15" s="37">
        <f t="shared" si="3"/>
        <v>-7.6923076923076925</v>
      </c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1:27" ht="45" customHeight="1" x14ac:dyDescent="0.35">
      <c r="A16" s="102">
        <v>144329</v>
      </c>
      <c r="B16" s="3" t="s">
        <v>72</v>
      </c>
      <c r="C16" s="41" t="s">
        <v>190</v>
      </c>
      <c r="D16" s="12" t="s">
        <v>191</v>
      </c>
      <c r="E16" s="4" t="s">
        <v>85</v>
      </c>
      <c r="F16" s="4" t="s">
        <v>192</v>
      </c>
      <c r="G16" s="12" t="s">
        <v>192</v>
      </c>
      <c r="H16" s="51" t="s">
        <v>178</v>
      </c>
      <c r="I16" s="23" t="s">
        <v>86</v>
      </c>
      <c r="J16" s="38">
        <v>3824</v>
      </c>
      <c r="K16" s="39">
        <v>3416.5</v>
      </c>
      <c r="L16" s="37">
        <f t="shared" si="0"/>
        <v>407.5</v>
      </c>
      <c r="M16" s="37">
        <f t="shared" si="1"/>
        <v>11.927411093224059</v>
      </c>
      <c r="N16" s="36">
        <v>4092</v>
      </c>
      <c r="O16" s="36">
        <v>4807.5</v>
      </c>
      <c r="P16" s="37">
        <f t="shared" si="2"/>
        <v>-715.5</v>
      </c>
      <c r="Q16" s="37">
        <f t="shared" si="3"/>
        <v>-14.882995319812792</v>
      </c>
      <c r="R16" s="137" t="s">
        <v>1042</v>
      </c>
      <c r="S16" s="37" t="s">
        <v>1043</v>
      </c>
      <c r="T16" s="37"/>
      <c r="U16" s="135">
        <v>50</v>
      </c>
      <c r="V16" s="135"/>
      <c r="W16" s="135"/>
      <c r="X16" s="135"/>
      <c r="Y16" s="37"/>
      <c r="Z16" s="37" t="s">
        <v>963</v>
      </c>
      <c r="AA16" s="133" t="s">
        <v>1080</v>
      </c>
    </row>
    <row r="17" spans="1:27" ht="24.5" hidden="1" x14ac:dyDescent="0.35">
      <c r="A17" s="102">
        <v>123784</v>
      </c>
      <c r="B17" s="3" t="s">
        <v>72</v>
      </c>
      <c r="C17" s="41" t="s">
        <v>130</v>
      </c>
      <c r="D17" s="12" t="s">
        <v>131</v>
      </c>
      <c r="E17" s="4" t="s">
        <v>103</v>
      </c>
      <c r="F17" s="4" t="s">
        <v>130</v>
      </c>
      <c r="G17" s="12" t="s">
        <v>130</v>
      </c>
      <c r="H17" s="51" t="s">
        <v>105</v>
      </c>
      <c r="I17" s="23" t="s">
        <v>78</v>
      </c>
      <c r="J17" s="38">
        <v>4999.549</v>
      </c>
      <c r="K17" s="39">
        <v>4627.9160000000011</v>
      </c>
      <c r="L17" s="37">
        <f t="shared" si="0"/>
        <v>371.6329999999989</v>
      </c>
      <c r="M17" s="37">
        <f t="shared" si="1"/>
        <v>8.0302451470596878</v>
      </c>
      <c r="N17" s="36">
        <v>1278.0179999999998</v>
      </c>
      <c r="O17" s="36">
        <v>1397.1799900000001</v>
      </c>
      <c r="P17" s="37">
        <f t="shared" si="2"/>
        <v>-119.16199000000029</v>
      </c>
      <c r="Q17" s="37">
        <f t="shared" si="3"/>
        <v>-8.5287501147221754</v>
      </c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spans="1:27" ht="24.5" hidden="1" x14ac:dyDescent="0.35">
      <c r="A18" s="102">
        <v>112452</v>
      </c>
      <c r="B18" s="3" t="s">
        <v>72</v>
      </c>
      <c r="C18" s="43" t="s">
        <v>242</v>
      </c>
      <c r="D18" s="12" t="s">
        <v>243</v>
      </c>
      <c r="E18" s="4" t="s">
        <v>200</v>
      </c>
      <c r="F18" s="4" t="s">
        <v>244</v>
      </c>
      <c r="G18" s="12" t="s">
        <v>244</v>
      </c>
      <c r="H18" s="51" t="s">
        <v>172</v>
      </c>
      <c r="I18" s="23" t="s">
        <v>83</v>
      </c>
      <c r="J18" s="38">
        <v>5650</v>
      </c>
      <c r="K18" s="39">
        <v>5266.5</v>
      </c>
      <c r="L18" s="37">
        <f t="shared" si="0"/>
        <v>383.5</v>
      </c>
      <c r="M18" s="37">
        <f t="shared" si="1"/>
        <v>7.2818760087344527</v>
      </c>
      <c r="N18" s="36">
        <v>24537</v>
      </c>
      <c r="O18" s="36">
        <v>23813.5</v>
      </c>
      <c r="P18" s="37">
        <f t="shared" si="2"/>
        <v>723.5</v>
      </c>
      <c r="Q18" s="37">
        <f t="shared" si="3"/>
        <v>3.0381926218321542</v>
      </c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spans="1:27" ht="36.5" x14ac:dyDescent="0.35">
      <c r="A19" s="102">
        <v>168006</v>
      </c>
      <c r="B19" s="3" t="s">
        <v>72</v>
      </c>
      <c r="C19" s="41" t="s">
        <v>357</v>
      </c>
      <c r="D19" s="12" t="s">
        <v>358</v>
      </c>
      <c r="E19" s="4" t="s">
        <v>89</v>
      </c>
      <c r="F19" s="4" t="s">
        <v>294</v>
      </c>
      <c r="G19" s="12" t="s">
        <v>294</v>
      </c>
      <c r="H19" s="51" t="s">
        <v>91</v>
      </c>
      <c r="I19" s="23" t="s">
        <v>86</v>
      </c>
      <c r="J19" s="38">
        <v>629.5</v>
      </c>
      <c r="K19" s="39">
        <v>593.5</v>
      </c>
      <c r="L19" s="37">
        <f t="shared" si="0"/>
        <v>36</v>
      </c>
      <c r="M19" s="37">
        <f t="shared" si="1"/>
        <v>6.0657118786857627</v>
      </c>
      <c r="N19" s="36">
        <v>242.5</v>
      </c>
      <c r="O19" s="36">
        <v>286.5</v>
      </c>
      <c r="P19" s="37">
        <f t="shared" si="2"/>
        <v>-44</v>
      </c>
      <c r="Q19" s="37">
        <f t="shared" si="3"/>
        <v>-15.357766143106458</v>
      </c>
      <c r="R19" s="136" t="s">
        <v>1046</v>
      </c>
      <c r="S19" s="37"/>
      <c r="T19" s="37"/>
      <c r="U19" s="135"/>
      <c r="V19" s="135"/>
      <c r="W19" s="135"/>
      <c r="X19" s="135"/>
      <c r="Y19" s="37"/>
      <c r="Z19" s="37" t="s">
        <v>964</v>
      </c>
      <c r="AA19" s="37"/>
    </row>
    <row r="20" spans="1:27" ht="24.5" x14ac:dyDescent="0.35">
      <c r="A20" s="102">
        <v>112424</v>
      </c>
      <c r="B20" s="3" t="s">
        <v>72</v>
      </c>
      <c r="C20" s="40" t="s">
        <v>185</v>
      </c>
      <c r="D20" s="12" t="s">
        <v>186</v>
      </c>
      <c r="E20" s="4" t="s">
        <v>187</v>
      </c>
      <c r="F20" s="4" t="s">
        <v>188</v>
      </c>
      <c r="G20" s="12" t="s">
        <v>188</v>
      </c>
      <c r="H20" s="51" t="s">
        <v>189</v>
      </c>
      <c r="I20" s="23" t="s">
        <v>86</v>
      </c>
      <c r="J20" s="38">
        <v>1788</v>
      </c>
      <c r="K20" s="39">
        <v>1618</v>
      </c>
      <c r="L20" s="37">
        <f t="shared" si="0"/>
        <v>170</v>
      </c>
      <c r="M20" s="37">
        <f t="shared" si="1"/>
        <v>10.506798516687269</v>
      </c>
      <c r="N20" s="36">
        <v>3622</v>
      </c>
      <c r="O20" s="36">
        <v>3668</v>
      </c>
      <c r="P20" s="37">
        <f t="shared" si="2"/>
        <v>-46</v>
      </c>
      <c r="Q20" s="37">
        <f t="shared" si="3"/>
        <v>-1.2540894220283534</v>
      </c>
      <c r="R20" s="37"/>
      <c r="S20" s="37"/>
      <c r="T20" s="37"/>
      <c r="U20" s="37"/>
      <c r="V20" s="37"/>
      <c r="W20" s="37"/>
      <c r="X20" s="37"/>
      <c r="Y20" s="37"/>
      <c r="Z20" s="37" t="s">
        <v>964</v>
      </c>
      <c r="AA20" s="37" t="s">
        <v>1081</v>
      </c>
    </row>
    <row r="21" spans="1:27" ht="24.5" hidden="1" x14ac:dyDescent="0.35">
      <c r="A21" s="102">
        <v>112389</v>
      </c>
      <c r="B21" s="3" t="s">
        <v>72</v>
      </c>
      <c r="C21" s="40" t="s">
        <v>209</v>
      </c>
      <c r="D21" s="12" t="s">
        <v>210</v>
      </c>
      <c r="E21" s="4" t="s">
        <v>103</v>
      </c>
      <c r="F21" s="4" t="s">
        <v>211</v>
      </c>
      <c r="G21" s="12" t="s">
        <v>211</v>
      </c>
      <c r="H21" s="51" t="s">
        <v>135</v>
      </c>
      <c r="I21" s="23" t="s">
        <v>83</v>
      </c>
      <c r="J21" s="38">
        <v>2029</v>
      </c>
      <c r="K21" s="39">
        <v>1706.000002</v>
      </c>
      <c r="L21" s="37">
        <f t="shared" si="0"/>
        <v>322.99999800000001</v>
      </c>
      <c r="M21" s="37">
        <f t="shared" si="1"/>
        <v>18.933176882845046</v>
      </c>
      <c r="N21" s="36">
        <v>735</v>
      </c>
      <c r="O21" s="36">
        <v>718</v>
      </c>
      <c r="P21" s="37">
        <f t="shared" si="2"/>
        <v>17</v>
      </c>
      <c r="Q21" s="37">
        <f t="shared" si="3"/>
        <v>2.3676880222841223</v>
      </c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27" x14ac:dyDescent="0.35">
      <c r="A22" s="102">
        <v>244458</v>
      </c>
      <c r="B22" s="3" t="s">
        <v>72</v>
      </c>
      <c r="C22" s="43" t="s">
        <v>214</v>
      </c>
      <c r="D22" s="12" t="s">
        <v>215</v>
      </c>
      <c r="E22" s="4" t="s">
        <v>200</v>
      </c>
      <c r="F22" s="4" t="s">
        <v>216</v>
      </c>
      <c r="G22" s="12" t="s">
        <v>216</v>
      </c>
      <c r="H22" s="51" t="s">
        <v>217</v>
      </c>
      <c r="I22" s="23" t="s">
        <v>86</v>
      </c>
      <c r="J22" s="38">
        <v>2745.5</v>
      </c>
      <c r="K22" s="39">
        <v>2484</v>
      </c>
      <c r="L22" s="37">
        <f t="shared" si="0"/>
        <v>261.5</v>
      </c>
      <c r="M22" s="37">
        <f t="shared" si="1"/>
        <v>10.527375201288244</v>
      </c>
      <c r="N22" s="36">
        <v>768.5</v>
      </c>
      <c r="O22" s="36">
        <v>826</v>
      </c>
      <c r="P22" s="37">
        <f t="shared" si="2"/>
        <v>-57.5</v>
      </c>
      <c r="Q22" s="37">
        <f t="shared" si="3"/>
        <v>-6.9612590799031482</v>
      </c>
      <c r="R22" s="136" t="s">
        <v>1062</v>
      </c>
      <c r="S22" s="37" t="s">
        <v>1070</v>
      </c>
      <c r="T22" s="37"/>
      <c r="U22" s="134"/>
      <c r="V22" s="134"/>
      <c r="W22" s="134"/>
      <c r="X22" s="134"/>
      <c r="Y22" s="37"/>
      <c r="Z22" s="37" t="s">
        <v>964</v>
      </c>
      <c r="AA22" s="37"/>
    </row>
    <row r="23" spans="1:27" ht="36.5" hidden="1" x14ac:dyDescent="0.35">
      <c r="A23" s="102">
        <v>112443</v>
      </c>
      <c r="B23" s="3" t="s">
        <v>72</v>
      </c>
      <c r="C23" s="43" t="s">
        <v>147</v>
      </c>
      <c r="D23" s="12" t="s">
        <v>148</v>
      </c>
      <c r="E23" s="4" t="s">
        <v>103</v>
      </c>
      <c r="F23" s="4" t="s">
        <v>149</v>
      </c>
      <c r="G23" s="12" t="s">
        <v>149</v>
      </c>
      <c r="H23" s="51" t="s">
        <v>105</v>
      </c>
      <c r="I23" s="23" t="s">
        <v>78</v>
      </c>
      <c r="J23" s="38">
        <v>3993</v>
      </c>
      <c r="K23" s="39">
        <v>3712.5000140000002</v>
      </c>
      <c r="L23" s="37">
        <f t="shared" si="0"/>
        <v>280.49998599999981</v>
      </c>
      <c r="M23" s="37">
        <f t="shared" si="1"/>
        <v>7.5555551499588436</v>
      </c>
      <c r="N23" s="36">
        <v>1257</v>
      </c>
      <c r="O23" s="36">
        <v>1217.5</v>
      </c>
      <c r="P23" s="37">
        <f t="shared" si="2"/>
        <v>39.5</v>
      </c>
      <c r="Q23" s="37">
        <f t="shared" si="3"/>
        <v>3.2443531827515399</v>
      </c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spans="1:27" ht="24.5" hidden="1" x14ac:dyDescent="0.35">
      <c r="A24" s="102">
        <v>112404</v>
      </c>
      <c r="B24" s="3" t="s">
        <v>72</v>
      </c>
      <c r="C24" s="41" t="s">
        <v>231</v>
      </c>
      <c r="D24" s="12" t="s">
        <v>227</v>
      </c>
      <c r="E24" s="4" t="s">
        <v>228</v>
      </c>
      <c r="F24" s="4" t="s">
        <v>232</v>
      </c>
      <c r="G24" s="12" t="s">
        <v>232</v>
      </c>
      <c r="H24" s="51" t="s">
        <v>230</v>
      </c>
      <c r="I24" s="23" t="s">
        <v>78</v>
      </c>
      <c r="J24" s="38">
        <v>5152.5</v>
      </c>
      <c r="K24" s="39">
        <v>5130.0000089999994</v>
      </c>
      <c r="L24" s="37">
        <f t="shared" si="0"/>
        <v>22.499991000000591</v>
      </c>
      <c r="M24" s="37">
        <f t="shared" si="1"/>
        <v>0.438596315020018</v>
      </c>
      <c r="N24" s="36">
        <v>3555.5</v>
      </c>
      <c r="O24" s="36">
        <v>3369</v>
      </c>
      <c r="P24" s="37">
        <f t="shared" si="2"/>
        <v>186.5</v>
      </c>
      <c r="Q24" s="37">
        <f t="shared" si="3"/>
        <v>5.5357672899970316</v>
      </c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spans="1:27" ht="24.5" hidden="1" x14ac:dyDescent="0.35">
      <c r="A25" s="102">
        <v>112411</v>
      </c>
      <c r="B25" s="3" t="s">
        <v>72</v>
      </c>
      <c r="C25" s="41" t="s">
        <v>142</v>
      </c>
      <c r="D25" s="12" t="s">
        <v>143</v>
      </c>
      <c r="E25" s="4" t="s">
        <v>103</v>
      </c>
      <c r="F25" s="4" t="s">
        <v>144</v>
      </c>
      <c r="G25" s="12" t="s">
        <v>144</v>
      </c>
      <c r="H25" s="51" t="s">
        <v>105</v>
      </c>
      <c r="I25" s="23" t="s">
        <v>78</v>
      </c>
      <c r="J25" s="38">
        <v>3514</v>
      </c>
      <c r="K25" s="39">
        <v>3288.5000110000001</v>
      </c>
      <c r="L25" s="37">
        <f t="shared" si="0"/>
        <v>225.49998899999991</v>
      </c>
      <c r="M25" s="37">
        <f t="shared" si="1"/>
        <v>6.8572293825666621</v>
      </c>
      <c r="N25" s="36">
        <v>938</v>
      </c>
      <c r="O25" s="36">
        <v>939.5</v>
      </c>
      <c r="P25" s="37">
        <f t="shared" si="2"/>
        <v>-1.5</v>
      </c>
      <c r="Q25" s="37">
        <f t="shared" si="3"/>
        <v>-0.15965939329430548</v>
      </c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spans="1:27" ht="24.5" x14ac:dyDescent="0.35">
      <c r="A26" s="102">
        <v>112414</v>
      </c>
      <c r="B26" s="3" t="s">
        <v>72</v>
      </c>
      <c r="C26" s="41" t="s">
        <v>346</v>
      </c>
      <c r="D26" s="12" t="s">
        <v>328</v>
      </c>
      <c r="E26" s="4" t="s">
        <v>85</v>
      </c>
      <c r="F26" s="4" t="s">
        <v>326</v>
      </c>
      <c r="G26" s="12" t="s">
        <v>326</v>
      </c>
      <c r="H26" s="51" t="s">
        <v>304</v>
      </c>
      <c r="I26" s="23" t="s">
        <v>86</v>
      </c>
      <c r="J26" s="38">
        <v>7427</v>
      </c>
      <c r="K26" s="39">
        <v>7226.5000449999998</v>
      </c>
      <c r="L26" s="37">
        <f t="shared" si="0"/>
        <v>200.49995500000023</v>
      </c>
      <c r="M26" s="37">
        <f t="shared" si="1"/>
        <v>2.7745098422676371</v>
      </c>
      <c r="N26" s="36">
        <v>1125</v>
      </c>
      <c r="O26" s="36">
        <v>1283.5</v>
      </c>
      <c r="P26" s="37">
        <f t="shared" si="2"/>
        <v>-158.5</v>
      </c>
      <c r="Q26" s="37">
        <f t="shared" si="3"/>
        <v>-12.3490455784963</v>
      </c>
      <c r="R26" s="136" t="s">
        <v>1053</v>
      </c>
      <c r="S26" s="37" t="s">
        <v>1043</v>
      </c>
      <c r="T26" s="138">
        <v>46137</v>
      </c>
      <c r="U26" s="134">
        <v>30</v>
      </c>
      <c r="V26" s="134"/>
      <c r="W26" s="134"/>
      <c r="X26" s="134"/>
      <c r="Y26" s="37"/>
      <c r="Z26" s="37" t="s">
        <v>964</v>
      </c>
      <c r="AA26" s="37"/>
    </row>
    <row r="27" spans="1:27" ht="36.5" hidden="1" x14ac:dyDescent="0.35">
      <c r="A27" s="102">
        <v>112412</v>
      </c>
      <c r="B27" s="3" t="s">
        <v>72</v>
      </c>
      <c r="C27" s="41" t="s">
        <v>284</v>
      </c>
      <c r="D27" s="12" t="s">
        <v>285</v>
      </c>
      <c r="E27" s="4" t="s">
        <v>103</v>
      </c>
      <c r="F27" s="4" t="s">
        <v>208</v>
      </c>
      <c r="G27" s="12" t="s">
        <v>208</v>
      </c>
      <c r="H27" s="51" t="s">
        <v>105</v>
      </c>
      <c r="I27" s="23" t="s">
        <v>83</v>
      </c>
      <c r="J27" s="38">
        <v>1168</v>
      </c>
      <c r="K27" s="39">
        <v>1019</v>
      </c>
      <c r="L27" s="37">
        <f t="shared" si="0"/>
        <v>149</v>
      </c>
      <c r="M27" s="37">
        <f t="shared" si="1"/>
        <v>14.622178606476938</v>
      </c>
      <c r="N27" s="36">
        <v>256</v>
      </c>
      <c r="O27" s="36">
        <v>265</v>
      </c>
      <c r="P27" s="37">
        <f t="shared" si="2"/>
        <v>-9</v>
      </c>
      <c r="Q27" s="37">
        <f t="shared" si="3"/>
        <v>-3.3962264150943398</v>
      </c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spans="1:27" ht="24.5" hidden="1" x14ac:dyDescent="0.35">
      <c r="A28" s="102">
        <v>112462</v>
      </c>
      <c r="B28" s="3" t="s">
        <v>72</v>
      </c>
      <c r="C28" s="43" t="s">
        <v>218</v>
      </c>
      <c r="D28" s="12" t="s">
        <v>219</v>
      </c>
      <c r="E28" s="4" t="s">
        <v>75</v>
      </c>
      <c r="F28" s="4" t="s">
        <v>220</v>
      </c>
      <c r="G28" s="12" t="s">
        <v>220</v>
      </c>
      <c r="H28" s="51" t="s">
        <v>77</v>
      </c>
      <c r="I28" s="23" t="s">
        <v>78</v>
      </c>
      <c r="J28" s="38">
        <v>3257</v>
      </c>
      <c r="K28" s="39">
        <v>2978.5000169999998</v>
      </c>
      <c r="L28" s="37">
        <f t="shared" si="0"/>
        <v>278.49998300000016</v>
      </c>
      <c r="M28" s="37">
        <f t="shared" si="1"/>
        <v>9.3503435088279936</v>
      </c>
      <c r="N28" s="36">
        <v>381</v>
      </c>
      <c r="O28" s="36">
        <v>385.5</v>
      </c>
      <c r="P28" s="37">
        <f t="shared" si="2"/>
        <v>-4.5</v>
      </c>
      <c r="Q28" s="37">
        <f t="shared" si="3"/>
        <v>-1.1673151750972763</v>
      </c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1:27" ht="24.5" x14ac:dyDescent="0.35">
      <c r="A29" s="102">
        <v>112415</v>
      </c>
      <c r="B29" s="3" t="s">
        <v>72</v>
      </c>
      <c r="C29" s="41" t="s">
        <v>308</v>
      </c>
      <c r="D29" s="12" t="s">
        <v>309</v>
      </c>
      <c r="E29" s="4" t="s">
        <v>89</v>
      </c>
      <c r="F29" s="4" t="s">
        <v>310</v>
      </c>
      <c r="G29" s="12" t="s">
        <v>310</v>
      </c>
      <c r="H29" s="51" t="s">
        <v>205</v>
      </c>
      <c r="I29" s="23" t="s">
        <v>86</v>
      </c>
      <c r="J29" s="38">
        <v>2490.5</v>
      </c>
      <c r="K29" s="39">
        <v>2326.5</v>
      </c>
      <c r="L29" s="37">
        <f t="shared" si="0"/>
        <v>164</v>
      </c>
      <c r="M29" s="37">
        <f t="shared" si="1"/>
        <v>7.0492155598538577</v>
      </c>
      <c r="N29" s="36">
        <v>429.5</v>
      </c>
      <c r="O29" s="36">
        <v>487.5</v>
      </c>
      <c r="P29" s="37">
        <f t="shared" si="2"/>
        <v>-58</v>
      </c>
      <c r="Q29" s="37">
        <f t="shared" si="3"/>
        <v>-11.897435897435898</v>
      </c>
      <c r="R29" s="37" t="s">
        <v>1046</v>
      </c>
      <c r="S29" s="37"/>
      <c r="T29" s="37"/>
      <c r="U29" s="135"/>
      <c r="V29" s="135"/>
      <c r="W29" s="135"/>
      <c r="X29" s="135"/>
      <c r="Y29" s="37"/>
      <c r="Z29" s="37" t="s">
        <v>964</v>
      </c>
      <c r="AA29" s="37"/>
    </row>
    <row r="30" spans="1:27" ht="24.5" x14ac:dyDescent="0.35">
      <c r="A30" s="102">
        <v>167171</v>
      </c>
      <c r="B30" s="3" t="s">
        <v>72</v>
      </c>
      <c r="C30" s="42" t="s">
        <v>333</v>
      </c>
      <c r="D30" s="12" t="s">
        <v>334</v>
      </c>
      <c r="E30" s="4" t="s">
        <v>187</v>
      </c>
      <c r="F30" s="4" t="s">
        <v>321</v>
      </c>
      <c r="G30" s="12" t="s">
        <v>321</v>
      </c>
      <c r="H30" s="51" t="s">
        <v>189</v>
      </c>
      <c r="I30" s="23" t="s">
        <v>86</v>
      </c>
      <c r="J30" s="38">
        <v>1131</v>
      </c>
      <c r="K30" s="39">
        <v>1129.5</v>
      </c>
      <c r="L30" s="37">
        <f t="shared" si="0"/>
        <v>1.5</v>
      </c>
      <c r="M30" s="37">
        <f t="shared" si="1"/>
        <v>0.13280212483399734</v>
      </c>
      <c r="N30" s="36">
        <v>403</v>
      </c>
      <c r="O30" s="36">
        <v>333.5</v>
      </c>
      <c r="P30" s="37">
        <f t="shared" si="2"/>
        <v>69.5</v>
      </c>
      <c r="Q30" s="37">
        <f t="shared" si="3"/>
        <v>20.839580209895054</v>
      </c>
      <c r="R30" s="136" t="s">
        <v>1061</v>
      </c>
      <c r="S30" s="37" t="s">
        <v>1072</v>
      </c>
      <c r="T30" s="37"/>
      <c r="U30" s="134"/>
      <c r="V30" s="134"/>
      <c r="W30" s="134"/>
      <c r="X30" s="134"/>
      <c r="Y30" s="37" t="s">
        <v>1071</v>
      </c>
      <c r="Z30" s="37" t="s">
        <v>964</v>
      </c>
      <c r="AA30" s="37"/>
    </row>
    <row r="31" spans="1:27" ht="24.5" hidden="1" x14ac:dyDescent="0.35">
      <c r="A31" s="102">
        <v>112387</v>
      </c>
      <c r="B31" s="3" t="s">
        <v>72</v>
      </c>
      <c r="C31" s="40" t="s">
        <v>123</v>
      </c>
      <c r="D31" s="12" t="s">
        <v>124</v>
      </c>
      <c r="E31" s="4" t="s">
        <v>111</v>
      </c>
      <c r="F31" s="4" t="s">
        <v>125</v>
      </c>
      <c r="G31" s="12" t="s">
        <v>125</v>
      </c>
      <c r="H31" s="51" t="s">
        <v>126</v>
      </c>
      <c r="I31" s="23" t="s">
        <v>78</v>
      </c>
      <c r="J31" s="38">
        <v>6595.5</v>
      </c>
      <c r="K31" s="39">
        <v>6303.0000389999996</v>
      </c>
      <c r="L31" s="37">
        <f t="shared" si="0"/>
        <v>292.49996100000044</v>
      </c>
      <c r="M31" s="37">
        <f t="shared" si="1"/>
        <v>4.6406466633372725</v>
      </c>
      <c r="N31" s="36">
        <v>976.5</v>
      </c>
      <c r="O31" s="36">
        <v>1199</v>
      </c>
      <c r="P31" s="37">
        <f t="shared" si="2"/>
        <v>-222.5</v>
      </c>
      <c r="Q31" s="37">
        <f t="shared" si="3"/>
        <v>-18.557130942452044</v>
      </c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24.5" hidden="1" x14ac:dyDescent="0.35">
      <c r="A32" s="102">
        <v>112397</v>
      </c>
      <c r="B32" s="3" t="s">
        <v>72</v>
      </c>
      <c r="C32" s="42" t="s">
        <v>92</v>
      </c>
      <c r="D32" s="12" t="s">
        <v>93</v>
      </c>
      <c r="E32" s="4" t="s">
        <v>94</v>
      </c>
      <c r="F32" s="4" t="s">
        <v>95</v>
      </c>
      <c r="G32" s="12" t="s">
        <v>95</v>
      </c>
      <c r="H32" s="51" t="s">
        <v>96</v>
      </c>
      <c r="I32" s="23" t="s">
        <v>83</v>
      </c>
      <c r="J32" s="38">
        <v>8268.5</v>
      </c>
      <c r="K32" s="39">
        <v>7796.0000059999993</v>
      </c>
      <c r="L32" s="37">
        <f t="shared" si="0"/>
        <v>472.4999940000007</v>
      </c>
      <c r="M32" s="37">
        <f t="shared" si="1"/>
        <v>6.0608003288398242</v>
      </c>
      <c r="N32" s="36">
        <v>2225.5</v>
      </c>
      <c r="O32" s="36">
        <v>2448</v>
      </c>
      <c r="P32" s="37">
        <f t="shared" si="2"/>
        <v>-222.5</v>
      </c>
      <c r="Q32" s="37">
        <f t="shared" si="3"/>
        <v>-9.0890522875816995</v>
      </c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24.5" hidden="1" x14ac:dyDescent="0.35">
      <c r="A33" s="102">
        <v>112398</v>
      </c>
      <c r="B33" s="3" t="s">
        <v>72</v>
      </c>
      <c r="C33" s="41" t="s">
        <v>114</v>
      </c>
      <c r="D33" s="12" t="s">
        <v>115</v>
      </c>
      <c r="E33" s="4" t="s">
        <v>111</v>
      </c>
      <c r="F33" s="4" t="s">
        <v>116</v>
      </c>
      <c r="G33" s="12" t="s">
        <v>116</v>
      </c>
      <c r="H33" s="51" t="s">
        <v>105</v>
      </c>
      <c r="I33" s="23" t="s">
        <v>78</v>
      </c>
      <c r="J33" s="38">
        <v>2605.5</v>
      </c>
      <c r="K33" s="39">
        <v>2574.5000099999997</v>
      </c>
      <c r="L33" s="37">
        <f t="shared" si="0"/>
        <v>30.999990000000253</v>
      </c>
      <c r="M33" s="37">
        <f t="shared" si="1"/>
        <v>1.2041169112289207</v>
      </c>
      <c r="N33" s="36">
        <v>666.5</v>
      </c>
      <c r="O33" s="36">
        <v>697.5</v>
      </c>
      <c r="P33" s="37">
        <f t="shared" si="2"/>
        <v>-31</v>
      </c>
      <c r="Q33" s="37">
        <f t="shared" si="3"/>
        <v>-4.4444444444444446</v>
      </c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24.5" hidden="1" x14ac:dyDescent="0.35">
      <c r="A34" s="102">
        <v>112393</v>
      </c>
      <c r="B34" s="3" t="s">
        <v>72</v>
      </c>
      <c r="C34" s="41" t="s">
        <v>121</v>
      </c>
      <c r="D34" s="12" t="s">
        <v>122</v>
      </c>
      <c r="E34" s="4" t="s">
        <v>111</v>
      </c>
      <c r="F34" s="4" t="s">
        <v>112</v>
      </c>
      <c r="G34" s="12" t="s">
        <v>112</v>
      </c>
      <c r="H34" s="51" t="s">
        <v>113</v>
      </c>
      <c r="I34" s="23" t="s">
        <v>78</v>
      </c>
      <c r="J34" s="38">
        <v>3485</v>
      </c>
      <c r="K34" s="39">
        <v>3226.5000190000001</v>
      </c>
      <c r="L34" s="37">
        <f t="shared" si="0"/>
        <v>258.49998099999993</v>
      </c>
      <c r="M34" s="37">
        <f t="shared" si="1"/>
        <v>8.0117768317917974</v>
      </c>
      <c r="N34" s="36">
        <v>421</v>
      </c>
      <c r="O34" s="36">
        <v>373.5</v>
      </c>
      <c r="P34" s="37">
        <f t="shared" si="2"/>
        <v>47.5</v>
      </c>
      <c r="Q34" s="37">
        <f t="shared" si="3"/>
        <v>12.717536813922356</v>
      </c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spans="1:27" ht="36.5" hidden="1" x14ac:dyDescent="0.35">
      <c r="A35" s="102">
        <v>146411</v>
      </c>
      <c r="B35" s="3" t="s">
        <v>72</v>
      </c>
      <c r="C35" s="43" t="s">
        <v>196</v>
      </c>
      <c r="D35" s="12" t="s">
        <v>197</v>
      </c>
      <c r="E35" s="4" t="s">
        <v>81</v>
      </c>
      <c r="F35" s="4" t="s">
        <v>184</v>
      </c>
      <c r="G35" s="12" t="s">
        <v>184</v>
      </c>
      <c r="H35" s="51" t="s">
        <v>141</v>
      </c>
      <c r="I35" s="23" t="s">
        <v>83</v>
      </c>
      <c r="J35" s="38">
        <v>985</v>
      </c>
      <c r="K35" s="39">
        <v>983.00000399999999</v>
      </c>
      <c r="L35" s="37">
        <f t="shared" si="0"/>
        <v>1.9999960000000101</v>
      </c>
      <c r="M35" s="37">
        <f t="shared" si="1"/>
        <v>0.20345839184757625</v>
      </c>
      <c r="N35" s="36">
        <v>595</v>
      </c>
      <c r="O35" s="36">
        <v>599</v>
      </c>
      <c r="P35" s="37">
        <f t="shared" si="2"/>
        <v>-4</v>
      </c>
      <c r="Q35" s="37">
        <f t="shared" si="3"/>
        <v>-0.667779632721202</v>
      </c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spans="1:27" ht="24.5" x14ac:dyDescent="0.35">
      <c r="A36" s="102">
        <v>112417</v>
      </c>
      <c r="B36" s="3" t="s">
        <v>72</v>
      </c>
      <c r="C36" s="41" t="s">
        <v>324</v>
      </c>
      <c r="D36" s="12" t="s">
        <v>325</v>
      </c>
      <c r="E36" s="4" t="s">
        <v>85</v>
      </c>
      <c r="F36" s="4" t="s">
        <v>326</v>
      </c>
      <c r="G36" s="12" t="s">
        <v>326</v>
      </c>
      <c r="H36" s="51" t="s">
        <v>304</v>
      </c>
      <c r="I36" s="23" t="s">
        <v>86</v>
      </c>
      <c r="J36" s="38">
        <v>5415.5</v>
      </c>
      <c r="K36" s="39">
        <v>5124.5000330000003</v>
      </c>
      <c r="L36" s="37">
        <f t="shared" si="0"/>
        <v>290.99996699999974</v>
      </c>
      <c r="M36" s="37">
        <f t="shared" si="1"/>
        <v>5.6786021099826529</v>
      </c>
      <c r="N36" s="36">
        <v>439</v>
      </c>
      <c r="O36" s="36">
        <v>493.5</v>
      </c>
      <c r="P36" s="37">
        <f t="shared" si="2"/>
        <v>-54.5</v>
      </c>
      <c r="Q36" s="37">
        <f t="shared" si="3"/>
        <v>-11.043566362715298</v>
      </c>
      <c r="R36" s="37" t="s">
        <v>1052</v>
      </c>
      <c r="S36" s="37" t="s">
        <v>1051</v>
      </c>
      <c r="T36" s="37"/>
      <c r="U36" s="134"/>
      <c r="V36" s="134"/>
      <c r="W36" s="134"/>
      <c r="X36" s="134"/>
      <c r="Y36" s="37"/>
      <c r="Z36" s="37" t="s">
        <v>964</v>
      </c>
      <c r="AA36" s="37" t="s">
        <v>1077</v>
      </c>
    </row>
    <row r="37" spans="1:27" ht="36.5" x14ac:dyDescent="0.35">
      <c r="A37" s="102">
        <v>112418</v>
      </c>
      <c r="B37" s="3" t="s">
        <v>72</v>
      </c>
      <c r="C37" s="41" t="s">
        <v>313</v>
      </c>
      <c r="D37" s="12" t="s">
        <v>314</v>
      </c>
      <c r="E37" s="4" t="s">
        <v>103</v>
      </c>
      <c r="F37" s="4" t="s">
        <v>315</v>
      </c>
      <c r="G37" s="12" t="s">
        <v>315</v>
      </c>
      <c r="H37" s="51" t="s">
        <v>189</v>
      </c>
      <c r="I37" s="23" t="s">
        <v>86</v>
      </c>
      <c r="J37" s="38">
        <v>3600</v>
      </c>
      <c r="K37" s="39">
        <v>3248.0000110000001</v>
      </c>
      <c r="L37" s="37">
        <f t="shared" si="0"/>
        <v>351.99998899999991</v>
      </c>
      <c r="M37" s="37">
        <f t="shared" si="1"/>
        <v>10.837438048272221</v>
      </c>
      <c r="N37" s="36">
        <v>2456</v>
      </c>
      <c r="O37" s="36">
        <v>2568</v>
      </c>
      <c r="P37" s="37">
        <f t="shared" si="2"/>
        <v>-112</v>
      </c>
      <c r="Q37" s="37">
        <f t="shared" si="3"/>
        <v>-4.361370716510903</v>
      </c>
      <c r="R37" s="136" t="s">
        <v>1047</v>
      </c>
      <c r="S37" s="37" t="s">
        <v>1043</v>
      </c>
      <c r="T37" s="37"/>
      <c r="U37" s="135"/>
      <c r="V37" s="135"/>
      <c r="W37" s="135"/>
      <c r="X37" s="135">
        <v>150</v>
      </c>
      <c r="Y37" s="37"/>
      <c r="Z37" s="37" t="s">
        <v>963</v>
      </c>
      <c r="AA37" s="37"/>
    </row>
    <row r="38" spans="1:27" ht="24.5" hidden="1" x14ac:dyDescent="0.35">
      <c r="A38" s="102">
        <v>112434</v>
      </c>
      <c r="B38" s="3" t="s">
        <v>72</v>
      </c>
      <c r="C38" s="43" t="s">
        <v>109</v>
      </c>
      <c r="D38" s="12" t="s">
        <v>110</v>
      </c>
      <c r="E38" s="4" t="s">
        <v>111</v>
      </c>
      <c r="F38" s="4" t="s">
        <v>112</v>
      </c>
      <c r="G38" s="12" t="s">
        <v>112</v>
      </c>
      <c r="H38" s="51" t="s">
        <v>113</v>
      </c>
      <c r="I38" s="23" t="s">
        <v>78</v>
      </c>
      <c r="J38" s="38">
        <v>4062</v>
      </c>
      <c r="K38" s="39">
        <v>3834.0000199999999</v>
      </c>
      <c r="L38" s="37">
        <f t="shared" si="0"/>
        <v>227.99998000000005</v>
      </c>
      <c r="M38" s="37">
        <f t="shared" si="1"/>
        <v>5.9467913096150706</v>
      </c>
      <c r="N38" s="36">
        <v>1426</v>
      </c>
      <c r="O38" s="36">
        <v>1728</v>
      </c>
      <c r="P38" s="37">
        <f t="shared" si="2"/>
        <v>-302</v>
      </c>
      <c r="Q38" s="37">
        <f t="shared" si="3"/>
        <v>-17.476851851851851</v>
      </c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1:27" ht="36.5" x14ac:dyDescent="0.35">
      <c r="A39" s="102">
        <v>112450</v>
      </c>
      <c r="B39" s="3" t="s">
        <v>72</v>
      </c>
      <c r="C39" s="43" t="s">
        <v>347</v>
      </c>
      <c r="D39" s="12" t="s">
        <v>348</v>
      </c>
      <c r="E39" s="4" t="s">
        <v>85</v>
      </c>
      <c r="F39" s="4" t="s">
        <v>332</v>
      </c>
      <c r="G39" s="12" t="s">
        <v>332</v>
      </c>
      <c r="H39" s="51" t="s">
        <v>304</v>
      </c>
      <c r="I39" s="23" t="s">
        <v>86</v>
      </c>
      <c r="J39" s="38">
        <v>6251</v>
      </c>
      <c r="K39" s="39">
        <v>5943</v>
      </c>
      <c r="L39" s="37">
        <f t="shared" si="0"/>
        <v>308</v>
      </c>
      <c r="M39" s="37">
        <f t="shared" si="1"/>
        <v>5.1825677267373385</v>
      </c>
      <c r="N39" s="36">
        <v>1065</v>
      </c>
      <c r="O39" s="36">
        <v>1087</v>
      </c>
      <c r="P39" s="37">
        <f t="shared" si="2"/>
        <v>-22</v>
      </c>
      <c r="Q39" s="37">
        <f t="shared" si="3"/>
        <v>-2.0239190432382701</v>
      </c>
      <c r="R39" s="37"/>
      <c r="S39" s="37"/>
      <c r="T39" s="37"/>
      <c r="U39" s="37"/>
      <c r="V39" s="37"/>
      <c r="W39" s="37"/>
      <c r="X39" s="37"/>
      <c r="Y39" s="37"/>
      <c r="Z39" s="37" t="s">
        <v>964</v>
      </c>
      <c r="AA39" s="37"/>
    </row>
    <row r="40" spans="1:27" ht="24.5" hidden="1" x14ac:dyDescent="0.35">
      <c r="A40" s="102">
        <v>112453</v>
      </c>
      <c r="B40" s="3" t="s">
        <v>72</v>
      </c>
      <c r="C40" s="43" t="s">
        <v>162</v>
      </c>
      <c r="D40" s="12" t="s">
        <v>163</v>
      </c>
      <c r="E40" s="4" t="s">
        <v>94</v>
      </c>
      <c r="F40" s="4" t="s">
        <v>125</v>
      </c>
      <c r="G40" s="12" t="s">
        <v>125</v>
      </c>
      <c r="H40" s="51" t="s">
        <v>126</v>
      </c>
      <c r="I40" s="23" t="s">
        <v>83</v>
      </c>
      <c r="J40" s="38">
        <v>7304</v>
      </c>
      <c r="K40" s="39">
        <v>7086.5000280000004</v>
      </c>
      <c r="L40" s="37">
        <f t="shared" si="0"/>
        <v>217.49997199999962</v>
      </c>
      <c r="M40" s="37">
        <f t="shared" si="1"/>
        <v>3.0692157079040316</v>
      </c>
      <c r="N40" s="36">
        <v>1346</v>
      </c>
      <c r="O40" s="36">
        <v>1601.5</v>
      </c>
      <c r="P40" s="37">
        <f t="shared" si="2"/>
        <v>-255.5</v>
      </c>
      <c r="Q40" s="37">
        <f t="shared" si="3"/>
        <v>-15.95379331876366</v>
      </c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1:27" ht="24.5" hidden="1" x14ac:dyDescent="0.35">
      <c r="A41" s="102">
        <v>112437</v>
      </c>
      <c r="B41" s="3" t="s">
        <v>72</v>
      </c>
      <c r="C41" s="43" t="s">
        <v>145</v>
      </c>
      <c r="D41" s="12" t="s">
        <v>146</v>
      </c>
      <c r="E41" s="4" t="s">
        <v>103</v>
      </c>
      <c r="F41" s="4" t="s">
        <v>145</v>
      </c>
      <c r="G41" s="12" t="s">
        <v>145</v>
      </c>
      <c r="H41" s="51" t="s">
        <v>96</v>
      </c>
      <c r="I41" s="23" t="s">
        <v>83</v>
      </c>
      <c r="J41" s="38">
        <v>7471</v>
      </c>
      <c r="K41" s="39">
        <v>7156.5000120000004</v>
      </c>
      <c r="L41" s="37">
        <f t="shared" si="0"/>
        <v>314.49998799999958</v>
      </c>
      <c r="M41" s="37">
        <f t="shared" si="1"/>
        <v>4.3946061269146481</v>
      </c>
      <c r="N41" s="36">
        <v>2485</v>
      </c>
      <c r="O41" s="36">
        <v>2993.5</v>
      </c>
      <c r="P41" s="37">
        <f t="shared" si="2"/>
        <v>-508.5</v>
      </c>
      <c r="Q41" s="37">
        <f t="shared" si="3"/>
        <v>-16.98680474361116</v>
      </c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1:27" ht="24.5" x14ac:dyDescent="0.35">
      <c r="A42" s="102">
        <v>112419</v>
      </c>
      <c r="B42" s="3" t="s">
        <v>72</v>
      </c>
      <c r="C42" s="41" t="s">
        <v>322</v>
      </c>
      <c r="D42" s="12" t="s">
        <v>323</v>
      </c>
      <c r="E42" s="4" t="s">
        <v>187</v>
      </c>
      <c r="F42" s="4" t="s">
        <v>315</v>
      </c>
      <c r="G42" s="12" t="s">
        <v>315</v>
      </c>
      <c r="H42" s="51" t="s">
        <v>189</v>
      </c>
      <c r="I42" s="23" t="s">
        <v>86</v>
      </c>
      <c r="J42" s="38">
        <v>4640.5</v>
      </c>
      <c r="K42" s="39">
        <v>4382.0000060000002</v>
      </c>
      <c r="L42" s="37">
        <f t="shared" si="0"/>
        <v>258.49999399999979</v>
      </c>
      <c r="M42" s="37">
        <f t="shared" si="1"/>
        <v>5.8991326710646241</v>
      </c>
      <c r="N42" s="36">
        <v>1801.5</v>
      </c>
      <c r="O42" s="36">
        <v>2062</v>
      </c>
      <c r="P42" s="37">
        <f t="shared" si="2"/>
        <v>-260.5</v>
      </c>
      <c r="Q42" s="37">
        <f t="shared" si="3"/>
        <v>-12.633365664403492</v>
      </c>
      <c r="R42" s="136" t="s">
        <v>1060</v>
      </c>
      <c r="S42" s="37" t="s">
        <v>1068</v>
      </c>
      <c r="T42" s="37"/>
      <c r="U42" s="134"/>
      <c r="V42" s="134"/>
      <c r="W42" s="134"/>
      <c r="X42" s="134"/>
      <c r="Y42" s="37"/>
      <c r="Z42" s="37" t="s">
        <v>963</v>
      </c>
      <c r="AA42" s="37" t="s">
        <v>1082</v>
      </c>
    </row>
    <row r="43" spans="1:27" ht="24.5" hidden="1" x14ac:dyDescent="0.35">
      <c r="A43" s="102">
        <v>163741</v>
      </c>
      <c r="B43" s="3" t="s">
        <v>72</v>
      </c>
      <c r="C43" s="41" t="s">
        <v>152</v>
      </c>
      <c r="D43" s="12" t="s">
        <v>153</v>
      </c>
      <c r="E43" s="4" t="s">
        <v>81</v>
      </c>
      <c r="F43" s="4" t="s">
        <v>154</v>
      </c>
      <c r="G43" s="12" t="s">
        <v>154</v>
      </c>
      <c r="H43" s="51" t="s">
        <v>135</v>
      </c>
      <c r="I43" s="23" t="s">
        <v>83</v>
      </c>
      <c r="J43" s="38">
        <v>5216</v>
      </c>
      <c r="K43" s="39">
        <v>4724</v>
      </c>
      <c r="L43" s="37">
        <f t="shared" si="0"/>
        <v>492</v>
      </c>
      <c r="M43" s="37">
        <f t="shared" si="1"/>
        <v>10.414902624894157</v>
      </c>
      <c r="N43" s="36">
        <v>976</v>
      </c>
      <c r="O43" s="36">
        <v>1084</v>
      </c>
      <c r="P43" s="37">
        <f t="shared" si="2"/>
        <v>-108</v>
      </c>
      <c r="Q43" s="37">
        <f t="shared" si="3"/>
        <v>-9.9630996309963091</v>
      </c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1:27" ht="24.5" hidden="1" x14ac:dyDescent="0.35">
      <c r="A44" s="102">
        <v>112460</v>
      </c>
      <c r="B44" s="3" t="s">
        <v>72</v>
      </c>
      <c r="C44" s="45" t="s">
        <v>224</v>
      </c>
      <c r="D44" s="12" t="s">
        <v>225</v>
      </c>
      <c r="E44" s="4" t="s">
        <v>75</v>
      </c>
      <c r="F44" s="4" t="s">
        <v>220</v>
      </c>
      <c r="G44" s="12" t="s">
        <v>220</v>
      </c>
      <c r="H44" s="51" t="s">
        <v>77</v>
      </c>
      <c r="I44" s="23" t="s">
        <v>78</v>
      </c>
      <c r="J44" s="38">
        <v>2025</v>
      </c>
      <c r="K44" s="39">
        <v>1909.0000009999999</v>
      </c>
      <c r="L44" s="37">
        <f t="shared" si="0"/>
        <v>115.99999900000012</v>
      </c>
      <c r="M44" s="37">
        <f t="shared" si="1"/>
        <v>6.07647977680646</v>
      </c>
      <c r="N44" s="36">
        <v>369</v>
      </c>
      <c r="O44" s="36">
        <v>441</v>
      </c>
      <c r="P44" s="37">
        <f t="shared" si="2"/>
        <v>-72</v>
      </c>
      <c r="Q44" s="37">
        <f t="shared" si="3"/>
        <v>-16.326530612244898</v>
      </c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1:27" ht="24.5" x14ac:dyDescent="0.35">
      <c r="A45" s="102">
        <v>112420</v>
      </c>
      <c r="B45" s="3" t="s">
        <v>72</v>
      </c>
      <c r="C45" s="41" t="s">
        <v>202</v>
      </c>
      <c r="D45" s="12" t="s">
        <v>203</v>
      </c>
      <c r="E45" s="4" t="s">
        <v>89</v>
      </c>
      <c r="F45" s="4" t="s">
        <v>204</v>
      </c>
      <c r="G45" s="12" t="s">
        <v>204</v>
      </c>
      <c r="H45" s="51" t="s">
        <v>205</v>
      </c>
      <c r="I45" s="23" t="s">
        <v>86</v>
      </c>
      <c r="J45" s="38">
        <v>5334.5</v>
      </c>
      <c r="K45" s="39">
        <v>4575.5000030000001</v>
      </c>
      <c r="L45" s="37">
        <f t="shared" si="0"/>
        <v>758.99999699999989</v>
      </c>
      <c r="M45" s="37">
        <f t="shared" si="1"/>
        <v>16.588350923447695</v>
      </c>
      <c r="N45" s="36">
        <v>1253.5</v>
      </c>
      <c r="O45" s="36">
        <v>1192.5</v>
      </c>
      <c r="P45" s="37">
        <f t="shared" si="2"/>
        <v>61</v>
      </c>
      <c r="Q45" s="37">
        <f t="shared" si="3"/>
        <v>5.115303983228511</v>
      </c>
      <c r="R45" s="136" t="s">
        <v>1048</v>
      </c>
      <c r="S45" s="37" t="s">
        <v>1043</v>
      </c>
      <c r="T45" s="37"/>
      <c r="U45" s="135">
        <v>50</v>
      </c>
      <c r="V45" s="135"/>
      <c r="W45" s="135"/>
      <c r="X45" s="135"/>
      <c r="Y45" s="37"/>
      <c r="Z45" s="37" t="s">
        <v>964</v>
      </c>
      <c r="AA45" s="37" t="s">
        <v>1079</v>
      </c>
    </row>
    <row r="46" spans="1:27" x14ac:dyDescent="0.35">
      <c r="A46" s="102">
        <v>198751</v>
      </c>
      <c r="B46" s="3" t="s">
        <v>72</v>
      </c>
      <c r="C46" s="41" t="s">
        <v>1005</v>
      </c>
      <c r="D46" s="12" t="s">
        <v>88</v>
      </c>
      <c r="E46" s="4" t="s">
        <v>89</v>
      </c>
      <c r="F46" s="4" t="s">
        <v>90</v>
      </c>
      <c r="G46" s="12" t="s">
        <v>90</v>
      </c>
      <c r="H46" s="51" t="s">
        <v>1004</v>
      </c>
      <c r="I46" s="23" t="s">
        <v>86</v>
      </c>
      <c r="J46" s="38">
        <v>338.5</v>
      </c>
      <c r="K46" s="39">
        <v>309.5</v>
      </c>
      <c r="L46" s="37">
        <f t="shared" si="0"/>
        <v>29</v>
      </c>
      <c r="M46" s="37">
        <f t="shared" si="1"/>
        <v>9.3699515347334401</v>
      </c>
      <c r="N46" s="36">
        <v>195.5</v>
      </c>
      <c r="O46" s="36">
        <v>248.5</v>
      </c>
      <c r="P46" s="37">
        <f t="shared" si="2"/>
        <v>-53</v>
      </c>
      <c r="Q46" s="37">
        <f t="shared" si="3"/>
        <v>-21.327967806841048</v>
      </c>
      <c r="R46" s="37" t="s">
        <v>1044</v>
      </c>
      <c r="S46" s="37" t="s">
        <v>1045</v>
      </c>
      <c r="T46" s="37"/>
      <c r="U46" s="135"/>
      <c r="V46" s="135"/>
      <c r="W46" s="135"/>
      <c r="X46" s="135"/>
      <c r="Y46" s="37"/>
      <c r="Z46" s="37" t="s">
        <v>964</v>
      </c>
      <c r="AA46" s="37"/>
    </row>
    <row r="47" spans="1:27" ht="24.5" hidden="1" x14ac:dyDescent="0.35">
      <c r="A47" s="102">
        <v>147087</v>
      </c>
      <c r="B47" s="3" t="s">
        <v>72</v>
      </c>
      <c r="C47" s="41" t="s">
        <v>278</v>
      </c>
      <c r="D47" s="12" t="s">
        <v>279</v>
      </c>
      <c r="E47" s="4" t="s">
        <v>81</v>
      </c>
      <c r="F47" s="4" t="s">
        <v>140</v>
      </c>
      <c r="G47" s="12" t="s">
        <v>140</v>
      </c>
      <c r="H47" s="51" t="s">
        <v>141</v>
      </c>
      <c r="I47" s="23" t="s">
        <v>83</v>
      </c>
      <c r="J47" s="38">
        <v>1558.5</v>
      </c>
      <c r="K47" s="39">
        <v>1465.5</v>
      </c>
      <c r="L47" s="37">
        <f t="shared" si="0"/>
        <v>93</v>
      </c>
      <c r="M47" s="37">
        <f t="shared" si="1"/>
        <v>6.3459570112589558</v>
      </c>
      <c r="N47" s="36">
        <v>1935.5</v>
      </c>
      <c r="O47" s="36">
        <v>2504.5</v>
      </c>
      <c r="P47" s="37">
        <f t="shared" si="2"/>
        <v>-569</v>
      </c>
      <c r="Q47" s="37">
        <f t="shared" si="3"/>
        <v>-22.719105609902176</v>
      </c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1:27" ht="36.5" hidden="1" x14ac:dyDescent="0.35">
      <c r="A48" s="102">
        <v>112429</v>
      </c>
      <c r="B48" s="3" t="s">
        <v>72</v>
      </c>
      <c r="C48" s="40" t="s">
        <v>136</v>
      </c>
      <c r="D48" s="12" t="s">
        <v>137</v>
      </c>
      <c r="E48" s="4" t="s">
        <v>94</v>
      </c>
      <c r="F48" s="4" t="s">
        <v>129</v>
      </c>
      <c r="G48" s="12" t="s">
        <v>129</v>
      </c>
      <c r="H48" s="51" t="s">
        <v>126</v>
      </c>
      <c r="I48" s="23" t="s">
        <v>83</v>
      </c>
      <c r="J48" s="38">
        <v>5988</v>
      </c>
      <c r="K48" s="39">
        <v>5737.5000190000001</v>
      </c>
      <c r="L48" s="37">
        <f t="shared" si="0"/>
        <v>250.49998099999993</v>
      </c>
      <c r="M48" s="37">
        <f t="shared" si="1"/>
        <v>4.3660127262824835</v>
      </c>
      <c r="N48" s="36">
        <v>1422</v>
      </c>
      <c r="O48" s="36">
        <v>1552.5</v>
      </c>
      <c r="P48" s="37">
        <f t="shared" si="2"/>
        <v>-130.5</v>
      </c>
      <c r="Q48" s="37">
        <f t="shared" si="3"/>
        <v>-8.4057971014492754</v>
      </c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1:27" ht="24.5" hidden="1" x14ac:dyDescent="0.35">
      <c r="A49" s="102">
        <v>112401</v>
      </c>
      <c r="B49" s="3" t="s">
        <v>72</v>
      </c>
      <c r="C49" s="41" t="s">
        <v>269</v>
      </c>
      <c r="D49" s="12" t="s">
        <v>270</v>
      </c>
      <c r="E49" s="4" t="s">
        <v>111</v>
      </c>
      <c r="F49" s="4" t="s">
        <v>271</v>
      </c>
      <c r="G49" s="12" t="s">
        <v>271</v>
      </c>
      <c r="H49" s="51" t="s">
        <v>113</v>
      </c>
      <c r="I49" s="23" t="s">
        <v>78</v>
      </c>
      <c r="J49" s="38">
        <v>1621</v>
      </c>
      <c r="K49" s="39">
        <v>1584</v>
      </c>
      <c r="L49" s="37">
        <f t="shared" si="0"/>
        <v>37</v>
      </c>
      <c r="M49" s="37">
        <f t="shared" si="1"/>
        <v>2.3358585858585861</v>
      </c>
      <c r="N49" s="36">
        <v>297</v>
      </c>
      <c r="O49" s="36">
        <v>394</v>
      </c>
      <c r="P49" s="37">
        <f t="shared" si="2"/>
        <v>-97</v>
      </c>
      <c r="Q49" s="37">
        <f t="shared" si="3"/>
        <v>-24.61928934010152</v>
      </c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1:27" ht="24.5" hidden="1" x14ac:dyDescent="0.35">
      <c r="A50" s="102">
        <v>112399</v>
      </c>
      <c r="B50" s="3" t="s">
        <v>72</v>
      </c>
      <c r="C50" s="42" t="s">
        <v>198</v>
      </c>
      <c r="D50" s="12" t="s">
        <v>199</v>
      </c>
      <c r="E50" s="4" t="s">
        <v>200</v>
      </c>
      <c r="F50" s="4" t="s">
        <v>201</v>
      </c>
      <c r="G50" s="12" t="s">
        <v>201</v>
      </c>
      <c r="H50" s="51" t="s">
        <v>91</v>
      </c>
      <c r="I50" s="23" t="s">
        <v>83</v>
      </c>
      <c r="J50" s="38">
        <v>910</v>
      </c>
      <c r="K50" s="39">
        <v>896</v>
      </c>
      <c r="L50" s="37">
        <f t="shared" si="0"/>
        <v>14</v>
      </c>
      <c r="M50" s="37">
        <f t="shared" si="1"/>
        <v>1.5625</v>
      </c>
      <c r="N50" s="36">
        <v>1118</v>
      </c>
      <c r="O50" s="36">
        <v>1138</v>
      </c>
      <c r="P50" s="37">
        <f t="shared" si="2"/>
        <v>-20</v>
      </c>
      <c r="Q50" s="37">
        <f t="shared" si="3"/>
        <v>-1.7574692442882252</v>
      </c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1:27" ht="24.5" x14ac:dyDescent="0.35">
      <c r="A51" s="102">
        <v>112431</v>
      </c>
      <c r="B51" s="3" t="s">
        <v>72</v>
      </c>
      <c r="C51" s="40" t="s">
        <v>212</v>
      </c>
      <c r="D51" s="12" t="s">
        <v>213</v>
      </c>
      <c r="E51" s="4" t="s">
        <v>85</v>
      </c>
      <c r="F51" s="4" t="s">
        <v>192</v>
      </c>
      <c r="G51" s="12" t="s">
        <v>192</v>
      </c>
      <c r="H51" s="51" t="s">
        <v>178</v>
      </c>
      <c r="I51" s="23" t="s">
        <v>86</v>
      </c>
      <c r="J51" s="38">
        <v>328.5</v>
      </c>
      <c r="K51" s="39">
        <v>256.5</v>
      </c>
      <c r="L51" s="37">
        <f t="shared" si="0"/>
        <v>72</v>
      </c>
      <c r="M51" s="37">
        <f t="shared" si="1"/>
        <v>28.07017543859649</v>
      </c>
      <c r="N51" s="36">
        <v>409.5</v>
      </c>
      <c r="O51" s="36">
        <v>373.5</v>
      </c>
      <c r="P51" s="37">
        <f t="shared" si="2"/>
        <v>36</v>
      </c>
      <c r="Q51" s="37">
        <f t="shared" si="3"/>
        <v>9.6385542168674707</v>
      </c>
      <c r="R51" s="136" t="s">
        <v>1050</v>
      </c>
      <c r="S51" s="37" t="s">
        <v>1073</v>
      </c>
      <c r="T51" s="37"/>
      <c r="U51" s="134">
        <v>10</v>
      </c>
      <c r="V51" s="134"/>
      <c r="W51" s="134"/>
      <c r="X51" s="134"/>
      <c r="Y51" s="37"/>
      <c r="Z51" s="37" t="s">
        <v>964</v>
      </c>
      <c r="AA51" s="37"/>
    </row>
    <row r="52" spans="1:27" ht="36.5" hidden="1" x14ac:dyDescent="0.35">
      <c r="A52" s="102">
        <v>112391</v>
      </c>
      <c r="B52" s="3" t="s">
        <v>72</v>
      </c>
      <c r="C52" s="40" t="s">
        <v>150</v>
      </c>
      <c r="D52" s="12" t="s">
        <v>151</v>
      </c>
      <c r="E52" s="4" t="s">
        <v>111</v>
      </c>
      <c r="F52" s="4" t="s">
        <v>129</v>
      </c>
      <c r="G52" s="12" t="s">
        <v>129</v>
      </c>
      <c r="H52" s="51" t="s">
        <v>126</v>
      </c>
      <c r="I52" s="23" t="s">
        <v>78</v>
      </c>
      <c r="J52" s="38">
        <v>7661</v>
      </c>
      <c r="K52" s="39">
        <v>7400.5000120000004</v>
      </c>
      <c r="L52" s="37">
        <f t="shared" si="0"/>
        <v>260.49998799999958</v>
      </c>
      <c r="M52" s="37">
        <f t="shared" si="1"/>
        <v>3.5200322623822133</v>
      </c>
      <c r="N52" s="36">
        <v>1603</v>
      </c>
      <c r="O52" s="36">
        <v>1887.5</v>
      </c>
      <c r="P52" s="37">
        <f t="shared" si="2"/>
        <v>-284.5</v>
      </c>
      <c r="Q52" s="37">
        <f t="shared" si="3"/>
        <v>-15.072847682119207</v>
      </c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1:27" ht="24.5" x14ac:dyDescent="0.35">
      <c r="A53" s="102">
        <v>112438</v>
      </c>
      <c r="B53" s="3" t="s">
        <v>72</v>
      </c>
      <c r="C53" s="43" t="s">
        <v>371</v>
      </c>
      <c r="D53" s="12" t="s">
        <v>372</v>
      </c>
      <c r="E53" s="4" t="s">
        <v>85</v>
      </c>
      <c r="F53" s="4" t="s">
        <v>373</v>
      </c>
      <c r="G53" s="12" t="s">
        <v>373</v>
      </c>
      <c r="H53" s="51" t="s">
        <v>120</v>
      </c>
      <c r="I53" s="23" t="s">
        <v>86</v>
      </c>
      <c r="J53" s="38">
        <v>3676.5</v>
      </c>
      <c r="K53" s="39">
        <v>3682.0000090000003</v>
      </c>
      <c r="L53" s="37">
        <f t="shared" si="0"/>
        <v>-5.5000090000003183</v>
      </c>
      <c r="M53" s="37">
        <f t="shared" si="1"/>
        <v>-0.149375583556668</v>
      </c>
      <c r="N53" s="36">
        <v>756</v>
      </c>
      <c r="O53" s="36">
        <v>943</v>
      </c>
      <c r="P53" s="37">
        <f t="shared" si="2"/>
        <v>-187</v>
      </c>
      <c r="Q53" s="37">
        <f t="shared" si="3"/>
        <v>-19.830328738069987</v>
      </c>
      <c r="R53" s="136" t="s">
        <v>1058</v>
      </c>
      <c r="S53" s="37"/>
      <c r="T53" s="37"/>
      <c r="U53" s="134"/>
      <c r="V53" s="134"/>
      <c r="W53" s="134"/>
      <c r="X53" s="134"/>
      <c r="Y53" s="37"/>
      <c r="Z53" s="37" t="s">
        <v>964</v>
      </c>
      <c r="AA53" s="37"/>
    </row>
    <row r="54" spans="1:27" ht="24.5" x14ac:dyDescent="0.35">
      <c r="A54" s="102">
        <v>112407</v>
      </c>
      <c r="B54" s="3" t="s">
        <v>72</v>
      </c>
      <c r="C54" s="41" t="s">
        <v>349</v>
      </c>
      <c r="D54" s="12" t="s">
        <v>350</v>
      </c>
      <c r="E54" s="4" t="s">
        <v>89</v>
      </c>
      <c r="F54" s="4" t="s">
        <v>342</v>
      </c>
      <c r="G54" s="12" t="s">
        <v>342</v>
      </c>
      <c r="H54" s="51" t="s">
        <v>205</v>
      </c>
      <c r="I54" s="23" t="s">
        <v>86</v>
      </c>
      <c r="J54" s="38">
        <v>1929.5</v>
      </c>
      <c r="K54" s="39">
        <v>1906.0000009999999</v>
      </c>
      <c r="L54" s="37">
        <f t="shared" si="0"/>
        <v>23.499999000000116</v>
      </c>
      <c r="M54" s="37">
        <f t="shared" si="1"/>
        <v>1.2329485303080079</v>
      </c>
      <c r="N54" s="36">
        <v>240.5</v>
      </c>
      <c r="O54" s="36">
        <v>198</v>
      </c>
      <c r="P54" s="37">
        <f t="shared" si="2"/>
        <v>42.5</v>
      </c>
      <c r="Q54" s="37">
        <f t="shared" si="3"/>
        <v>21.464646464646464</v>
      </c>
      <c r="R54" s="37"/>
      <c r="S54" s="37"/>
      <c r="T54" s="37"/>
      <c r="U54" s="37"/>
      <c r="V54" s="37"/>
      <c r="W54" s="37"/>
      <c r="X54" s="37"/>
      <c r="Y54" s="37"/>
      <c r="Z54" s="37" t="s">
        <v>964</v>
      </c>
      <c r="AA54" s="37"/>
    </row>
    <row r="55" spans="1:27" ht="24.5" x14ac:dyDescent="0.35">
      <c r="A55" s="102">
        <v>128472</v>
      </c>
      <c r="B55" s="3" t="s">
        <v>72</v>
      </c>
      <c r="C55" s="43" t="s">
        <v>340</v>
      </c>
      <c r="D55" s="12" t="s">
        <v>341</v>
      </c>
      <c r="E55" s="4" t="s">
        <v>89</v>
      </c>
      <c r="F55" s="4" t="s">
        <v>342</v>
      </c>
      <c r="G55" s="12" t="s">
        <v>342</v>
      </c>
      <c r="H55" s="51" t="s">
        <v>205</v>
      </c>
      <c r="I55" s="23" t="s">
        <v>86</v>
      </c>
      <c r="J55" s="38">
        <v>3810</v>
      </c>
      <c r="K55" s="39">
        <v>3717.5</v>
      </c>
      <c r="L55" s="37">
        <f t="shared" si="0"/>
        <v>92.5</v>
      </c>
      <c r="M55" s="37">
        <f t="shared" si="1"/>
        <v>2.488231338264963</v>
      </c>
      <c r="N55" s="36">
        <v>730</v>
      </c>
      <c r="O55" s="36">
        <v>768.5</v>
      </c>
      <c r="P55" s="37">
        <f t="shared" si="2"/>
        <v>-38.5</v>
      </c>
      <c r="Q55" s="37">
        <f t="shared" si="3"/>
        <v>-5.0097592713077423</v>
      </c>
      <c r="R55" s="37"/>
      <c r="S55" s="37"/>
      <c r="T55" s="37"/>
      <c r="U55" s="37"/>
      <c r="V55" s="37"/>
      <c r="W55" s="37"/>
      <c r="X55" s="37"/>
      <c r="Y55" s="37"/>
      <c r="Z55" s="37" t="s">
        <v>964</v>
      </c>
      <c r="AA55" s="37"/>
    </row>
    <row r="56" spans="1:27" ht="24.5" x14ac:dyDescent="0.35">
      <c r="A56" s="102">
        <v>112439</v>
      </c>
      <c r="B56" s="3" t="s">
        <v>72</v>
      </c>
      <c r="C56" s="43" t="s">
        <v>354</v>
      </c>
      <c r="D56" s="12" t="s">
        <v>355</v>
      </c>
      <c r="E56" s="4" t="s">
        <v>187</v>
      </c>
      <c r="F56" s="4" t="s">
        <v>356</v>
      </c>
      <c r="G56" s="12" t="s">
        <v>356</v>
      </c>
      <c r="H56" s="51" t="s">
        <v>189</v>
      </c>
      <c r="I56" s="23" t="s">
        <v>86</v>
      </c>
      <c r="J56" s="38">
        <v>3692</v>
      </c>
      <c r="K56" s="39">
        <v>3701.500008</v>
      </c>
      <c r="L56" s="37">
        <f t="shared" si="0"/>
        <v>-9.5000079999999798</v>
      </c>
      <c r="M56" s="37">
        <f t="shared" si="1"/>
        <v>-0.25665292393537065</v>
      </c>
      <c r="N56" s="36">
        <v>3052</v>
      </c>
      <c r="O56" s="36">
        <v>2928.5</v>
      </c>
      <c r="P56" s="37">
        <f t="shared" si="2"/>
        <v>123.5</v>
      </c>
      <c r="Q56" s="37">
        <f t="shared" si="3"/>
        <v>4.2171760286836264</v>
      </c>
      <c r="R56" s="37" t="s">
        <v>1066</v>
      </c>
      <c r="S56" s="37" t="s">
        <v>1074</v>
      </c>
      <c r="T56" s="37"/>
      <c r="U56" s="134"/>
      <c r="V56" s="134"/>
      <c r="W56" s="134"/>
      <c r="X56" s="134"/>
      <c r="Y56" s="37"/>
      <c r="Z56" s="37" t="s">
        <v>964</v>
      </c>
      <c r="AA56" s="37"/>
    </row>
    <row r="57" spans="1:27" ht="24.5" hidden="1" x14ac:dyDescent="0.35">
      <c r="A57" s="102">
        <v>112427</v>
      </c>
      <c r="B57" s="3" t="s">
        <v>72</v>
      </c>
      <c r="C57" s="40" t="s">
        <v>226</v>
      </c>
      <c r="D57" s="12" t="s">
        <v>227</v>
      </c>
      <c r="E57" s="4" t="s">
        <v>228</v>
      </c>
      <c r="F57" s="4" t="s">
        <v>229</v>
      </c>
      <c r="G57" s="12" t="s">
        <v>229</v>
      </c>
      <c r="H57" s="51" t="s">
        <v>230</v>
      </c>
      <c r="I57" s="23" t="s">
        <v>78</v>
      </c>
      <c r="J57" s="38">
        <v>4499.5</v>
      </c>
      <c r="K57" s="39">
        <v>4076.5</v>
      </c>
      <c r="L57" s="37">
        <f t="shared" si="0"/>
        <v>423</v>
      </c>
      <c r="M57" s="37">
        <f t="shared" si="1"/>
        <v>10.376548509751011</v>
      </c>
      <c r="N57" s="36">
        <v>1344.5</v>
      </c>
      <c r="O57" s="36">
        <v>1137.5</v>
      </c>
      <c r="P57" s="37">
        <f t="shared" si="2"/>
        <v>207</v>
      </c>
      <c r="Q57" s="37">
        <f t="shared" si="3"/>
        <v>18.197802197802197</v>
      </c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1:27" ht="24.5" hidden="1" x14ac:dyDescent="0.35">
      <c r="A58" s="102">
        <v>112457</v>
      </c>
      <c r="B58" s="3" t="s">
        <v>72</v>
      </c>
      <c r="C58" s="45" t="s">
        <v>106</v>
      </c>
      <c r="D58" s="12" t="s">
        <v>107</v>
      </c>
      <c r="E58" s="4" t="s">
        <v>75</v>
      </c>
      <c r="F58" s="4" t="s">
        <v>108</v>
      </c>
      <c r="G58" s="12" t="s">
        <v>108</v>
      </c>
      <c r="H58" s="51" t="s">
        <v>77</v>
      </c>
      <c r="I58" s="23" t="s">
        <v>78</v>
      </c>
      <c r="J58" s="38">
        <v>3181.5</v>
      </c>
      <c r="K58" s="39">
        <v>2977.000016</v>
      </c>
      <c r="L58" s="37">
        <f t="shared" si="0"/>
        <v>204.49998400000004</v>
      </c>
      <c r="M58" s="37">
        <f t="shared" si="1"/>
        <v>6.8693309674473317</v>
      </c>
      <c r="N58" s="36">
        <v>394.5</v>
      </c>
      <c r="O58" s="36">
        <v>391</v>
      </c>
      <c r="P58" s="37">
        <f t="shared" si="2"/>
        <v>3.5</v>
      </c>
      <c r="Q58" s="37">
        <f t="shared" si="3"/>
        <v>0.8951406649616368</v>
      </c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1:27" ht="24.5" hidden="1" x14ac:dyDescent="0.35">
      <c r="A59" s="102">
        <v>112454</v>
      </c>
      <c r="B59" s="3" t="s">
        <v>72</v>
      </c>
      <c r="C59" s="43" t="s">
        <v>164</v>
      </c>
      <c r="D59" s="12" t="s">
        <v>165</v>
      </c>
      <c r="E59" s="4" t="s">
        <v>94</v>
      </c>
      <c r="F59" s="4" t="s">
        <v>166</v>
      </c>
      <c r="G59" s="12" t="s">
        <v>166</v>
      </c>
      <c r="H59" s="51" t="s">
        <v>120</v>
      </c>
      <c r="I59" s="23" t="s">
        <v>83</v>
      </c>
      <c r="J59" s="38">
        <v>5457.5</v>
      </c>
      <c r="K59" s="39">
        <v>5214.0000110000001</v>
      </c>
      <c r="L59" s="37">
        <f t="shared" si="0"/>
        <v>243.49998899999991</v>
      </c>
      <c r="M59" s="37">
        <f t="shared" si="1"/>
        <v>4.6701186898022033</v>
      </c>
      <c r="N59" s="36">
        <v>1058.5</v>
      </c>
      <c r="O59" s="36">
        <v>1288</v>
      </c>
      <c r="P59" s="37">
        <f t="shared" si="2"/>
        <v>-229.5</v>
      </c>
      <c r="Q59" s="37">
        <f t="shared" si="3"/>
        <v>-17.81832298136646</v>
      </c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spans="1:27" ht="24.5" x14ac:dyDescent="0.35">
      <c r="A60" s="102">
        <v>112446</v>
      </c>
      <c r="B60" s="3" t="s">
        <v>72</v>
      </c>
      <c r="C60" s="43" t="s">
        <v>362</v>
      </c>
      <c r="D60" s="12" t="s">
        <v>363</v>
      </c>
      <c r="E60" s="4" t="s">
        <v>89</v>
      </c>
      <c r="F60" s="4" t="s">
        <v>345</v>
      </c>
      <c r="G60" s="12" t="s">
        <v>345</v>
      </c>
      <c r="H60" s="51" t="s">
        <v>205</v>
      </c>
      <c r="I60" s="23" t="s">
        <v>86</v>
      </c>
      <c r="J60" s="38">
        <v>2964</v>
      </c>
      <c r="K60" s="39">
        <v>3022.5</v>
      </c>
      <c r="L60" s="37">
        <f t="shared" si="0"/>
        <v>-58.5</v>
      </c>
      <c r="M60" s="37">
        <f t="shared" si="1"/>
        <v>-1.935483870967742</v>
      </c>
      <c r="N60" s="36">
        <v>396</v>
      </c>
      <c r="O60" s="36">
        <v>500.5</v>
      </c>
      <c r="P60" s="37">
        <f t="shared" si="2"/>
        <v>-104.5</v>
      </c>
      <c r="Q60" s="37">
        <f t="shared" si="3"/>
        <v>-20.87912087912088</v>
      </c>
      <c r="R60" s="136" t="s">
        <v>1064</v>
      </c>
      <c r="S60" s="37" t="s">
        <v>1065</v>
      </c>
      <c r="T60" s="37"/>
      <c r="U60" s="134"/>
      <c r="V60" s="134"/>
      <c r="W60" s="134"/>
      <c r="X60" s="134"/>
      <c r="Y60" s="37"/>
      <c r="Z60" s="37" t="s">
        <v>964</v>
      </c>
      <c r="AA60" s="37"/>
    </row>
    <row r="61" spans="1:27" ht="36.5" x14ac:dyDescent="0.35">
      <c r="A61" s="102">
        <v>127090</v>
      </c>
      <c r="B61" s="3" t="s">
        <v>72</v>
      </c>
      <c r="C61" s="43" t="s">
        <v>316</v>
      </c>
      <c r="D61" s="12" t="s">
        <v>317</v>
      </c>
      <c r="E61" s="4" t="s">
        <v>85</v>
      </c>
      <c r="F61" s="4" t="s">
        <v>318</v>
      </c>
      <c r="G61" s="12" t="s">
        <v>318</v>
      </c>
      <c r="H61" s="51" t="s">
        <v>304</v>
      </c>
      <c r="I61" s="23" t="s">
        <v>86</v>
      </c>
      <c r="J61" s="38">
        <v>5755</v>
      </c>
      <c r="K61" s="39">
        <v>5635.5</v>
      </c>
      <c r="L61" s="37">
        <f t="shared" si="0"/>
        <v>119.5</v>
      </c>
      <c r="M61" s="37">
        <f t="shared" si="1"/>
        <v>2.1204862035311862</v>
      </c>
      <c r="N61" s="36">
        <v>925</v>
      </c>
      <c r="O61" s="36">
        <v>1098.5</v>
      </c>
      <c r="P61" s="37">
        <f t="shared" si="2"/>
        <v>-173.5</v>
      </c>
      <c r="Q61" s="37">
        <f t="shared" si="3"/>
        <v>-15.794264906690941</v>
      </c>
      <c r="R61" s="37" t="s">
        <v>1053</v>
      </c>
      <c r="S61" s="37" t="s">
        <v>1043</v>
      </c>
      <c r="T61" s="138">
        <v>46137</v>
      </c>
      <c r="U61" s="134">
        <v>30</v>
      </c>
      <c r="V61" s="134"/>
      <c r="W61" s="134"/>
      <c r="X61" s="134"/>
      <c r="Y61" s="37"/>
      <c r="Z61" s="37" t="s">
        <v>964</v>
      </c>
      <c r="AA61" s="37"/>
    </row>
    <row r="62" spans="1:27" ht="36.5" hidden="1" x14ac:dyDescent="0.35">
      <c r="A62" s="102">
        <v>112455</v>
      </c>
      <c r="B62" s="3" t="s">
        <v>72</v>
      </c>
      <c r="C62" s="43" t="s">
        <v>282</v>
      </c>
      <c r="D62" s="12" t="s">
        <v>283</v>
      </c>
      <c r="E62" s="4" t="s">
        <v>103</v>
      </c>
      <c r="F62" s="4" t="s">
        <v>208</v>
      </c>
      <c r="G62" s="12" t="s">
        <v>208</v>
      </c>
      <c r="H62" s="51" t="s">
        <v>105</v>
      </c>
      <c r="I62" s="23" t="s">
        <v>83</v>
      </c>
      <c r="J62" s="38">
        <v>1201</v>
      </c>
      <c r="K62" s="39">
        <v>1170</v>
      </c>
      <c r="L62" s="37">
        <f t="shared" si="0"/>
        <v>31</v>
      </c>
      <c r="M62" s="37">
        <f t="shared" si="1"/>
        <v>2.6495726495726495</v>
      </c>
      <c r="N62" s="36">
        <v>185</v>
      </c>
      <c r="O62" s="36">
        <v>209</v>
      </c>
      <c r="P62" s="37">
        <f t="shared" si="2"/>
        <v>-24</v>
      </c>
      <c r="Q62" s="37">
        <f t="shared" si="3"/>
        <v>-11.483253588516746</v>
      </c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1:27" x14ac:dyDescent="0.35">
      <c r="A63" s="102">
        <v>163708</v>
      </c>
      <c r="B63" s="3" t="s">
        <v>72</v>
      </c>
      <c r="C63" s="43" t="s">
        <v>286</v>
      </c>
      <c r="D63" s="12" t="s">
        <v>287</v>
      </c>
      <c r="E63" s="4" t="s">
        <v>187</v>
      </c>
      <c r="F63" s="4" t="s">
        <v>216</v>
      </c>
      <c r="G63" s="12" t="s">
        <v>216</v>
      </c>
      <c r="H63" s="51" t="s">
        <v>217</v>
      </c>
      <c r="I63" s="23" t="s">
        <v>86</v>
      </c>
      <c r="J63" s="38">
        <v>6406</v>
      </c>
      <c r="K63" s="39">
        <v>5510.000016</v>
      </c>
      <c r="L63" s="37">
        <f t="shared" si="0"/>
        <v>895.99998400000004</v>
      </c>
      <c r="M63" s="37">
        <f t="shared" si="1"/>
        <v>16.26134267510318</v>
      </c>
      <c r="N63" s="36">
        <v>1030</v>
      </c>
      <c r="O63" s="36">
        <v>1114</v>
      </c>
      <c r="P63" s="37">
        <f t="shared" si="2"/>
        <v>-84</v>
      </c>
      <c r="Q63" s="37">
        <f t="shared" si="3"/>
        <v>-7.5403949730700175</v>
      </c>
      <c r="R63" s="136" t="s">
        <v>1049</v>
      </c>
      <c r="S63" s="37" t="s">
        <v>1043</v>
      </c>
      <c r="T63" s="37"/>
      <c r="U63" s="134"/>
      <c r="V63" s="134"/>
      <c r="W63" s="134"/>
      <c r="X63" s="134"/>
      <c r="Y63" s="37"/>
      <c r="Z63" s="37" t="s">
        <v>964</v>
      </c>
      <c r="AA63" s="37"/>
    </row>
    <row r="64" spans="1:27" ht="24.5" hidden="1" x14ac:dyDescent="0.35">
      <c r="A64" s="102">
        <v>112392</v>
      </c>
      <c r="B64" s="3" t="s">
        <v>72</v>
      </c>
      <c r="C64" s="40" t="s">
        <v>156</v>
      </c>
      <c r="D64" s="12" t="s">
        <v>157</v>
      </c>
      <c r="E64" s="4" t="s">
        <v>111</v>
      </c>
      <c r="F64" s="4" t="s">
        <v>156</v>
      </c>
      <c r="G64" s="12" t="s">
        <v>156</v>
      </c>
      <c r="H64" s="51" t="s">
        <v>158</v>
      </c>
      <c r="I64" s="23" t="s">
        <v>78</v>
      </c>
      <c r="J64" s="38">
        <v>4735</v>
      </c>
      <c r="K64" s="39">
        <v>4860.0000359999995</v>
      </c>
      <c r="L64" s="37">
        <f t="shared" si="0"/>
        <v>-125.00003599999945</v>
      </c>
      <c r="M64" s="37">
        <f t="shared" si="1"/>
        <v>-2.5720171825941005</v>
      </c>
      <c r="N64" s="36">
        <v>2373</v>
      </c>
      <c r="O64" s="36">
        <v>2808</v>
      </c>
      <c r="P64" s="37">
        <f t="shared" si="2"/>
        <v>-435</v>
      </c>
      <c r="Q64" s="37">
        <f t="shared" si="3"/>
        <v>-15.491452991452991</v>
      </c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1:27" ht="24.5" x14ac:dyDescent="0.35">
      <c r="A65" s="102">
        <v>148413</v>
      </c>
      <c r="B65" s="3" t="s">
        <v>72</v>
      </c>
      <c r="C65" s="41" t="s">
        <v>305</v>
      </c>
      <c r="D65" s="12" t="s">
        <v>306</v>
      </c>
      <c r="E65" s="4" t="s">
        <v>89</v>
      </c>
      <c r="F65" s="4" t="s">
        <v>307</v>
      </c>
      <c r="G65" s="12" t="s">
        <v>307</v>
      </c>
      <c r="H65" s="51" t="s">
        <v>205</v>
      </c>
      <c r="I65" s="23" t="s">
        <v>86</v>
      </c>
      <c r="J65" s="38">
        <v>4545</v>
      </c>
      <c r="K65" s="39">
        <v>4316</v>
      </c>
      <c r="L65" s="37">
        <f t="shared" si="0"/>
        <v>229</v>
      </c>
      <c r="M65" s="37">
        <f t="shared" si="1"/>
        <v>5.3058387395736792</v>
      </c>
      <c r="N65" s="36">
        <v>555</v>
      </c>
      <c r="O65" s="36">
        <v>640</v>
      </c>
      <c r="P65" s="37">
        <f t="shared" si="2"/>
        <v>-85</v>
      </c>
      <c r="Q65" s="37">
        <f t="shared" si="3"/>
        <v>-13.28125</v>
      </c>
      <c r="R65" s="37"/>
      <c r="S65" s="37"/>
      <c r="T65" s="37"/>
      <c r="U65" s="37"/>
      <c r="V65" s="37"/>
      <c r="W65" s="37"/>
      <c r="X65" s="37"/>
      <c r="Y65" s="37"/>
      <c r="Z65" s="37" t="s">
        <v>963</v>
      </c>
      <c r="AA65" s="37"/>
    </row>
    <row r="66" spans="1:27" ht="24.5" x14ac:dyDescent="0.35">
      <c r="A66" s="102">
        <v>112448</v>
      </c>
      <c r="B66" s="3" t="s">
        <v>72</v>
      </c>
      <c r="C66" s="43" t="s">
        <v>301</v>
      </c>
      <c r="D66" s="12" t="s">
        <v>302</v>
      </c>
      <c r="E66" s="4" t="s">
        <v>85</v>
      </c>
      <c r="F66" s="4" t="s">
        <v>303</v>
      </c>
      <c r="G66" s="12" t="s">
        <v>303</v>
      </c>
      <c r="H66" s="51" t="s">
        <v>304</v>
      </c>
      <c r="I66" s="23" t="s">
        <v>86</v>
      </c>
      <c r="J66" s="38">
        <v>3123.5</v>
      </c>
      <c r="K66" s="39">
        <v>2908.0000150000001</v>
      </c>
      <c r="L66" s="37">
        <f t="shared" ref="L66:L129" si="4">(J66-K66)</f>
        <v>215.49998499999992</v>
      </c>
      <c r="M66" s="37">
        <f t="shared" ref="M66:M129" si="5">(L66)/K66*100</f>
        <v>7.4105909177582969</v>
      </c>
      <c r="N66" s="36">
        <v>822.5</v>
      </c>
      <c r="O66" s="36">
        <v>581</v>
      </c>
      <c r="P66" s="37">
        <f t="shared" ref="P66:P129" si="6">(N66-O66)</f>
        <v>241.5</v>
      </c>
      <c r="Q66" s="37">
        <f t="shared" ref="Q66:Q129" si="7">(P66)/O66*100</f>
        <v>41.566265060240966</v>
      </c>
      <c r="R66" s="136" t="s">
        <v>1054</v>
      </c>
      <c r="S66" s="37"/>
      <c r="T66" s="37"/>
      <c r="U66" s="134"/>
      <c r="V66" s="134"/>
      <c r="W66" s="134"/>
      <c r="X66" s="134">
        <v>30</v>
      </c>
      <c r="Y66" s="37"/>
      <c r="Z66" s="37" t="s">
        <v>964</v>
      </c>
      <c r="AA66" s="37"/>
    </row>
    <row r="67" spans="1:27" ht="36.5" hidden="1" x14ac:dyDescent="0.35">
      <c r="A67" s="102">
        <v>112395</v>
      </c>
      <c r="B67" s="3" t="s">
        <v>72</v>
      </c>
      <c r="C67" s="41" t="s">
        <v>288</v>
      </c>
      <c r="D67" s="12" t="s">
        <v>289</v>
      </c>
      <c r="E67" s="4" t="s">
        <v>103</v>
      </c>
      <c r="F67" s="4" t="s">
        <v>208</v>
      </c>
      <c r="G67" s="12" t="s">
        <v>208</v>
      </c>
      <c r="H67" s="51" t="s">
        <v>105</v>
      </c>
      <c r="I67" s="23" t="s">
        <v>83</v>
      </c>
      <c r="J67" s="38">
        <v>881</v>
      </c>
      <c r="K67" s="39">
        <v>893.5</v>
      </c>
      <c r="L67" s="37">
        <f t="shared" si="4"/>
        <v>-12.5</v>
      </c>
      <c r="M67" s="37">
        <f t="shared" si="5"/>
        <v>-1.3989927252378287</v>
      </c>
      <c r="N67" s="36">
        <v>303</v>
      </c>
      <c r="O67" s="36">
        <v>330.5</v>
      </c>
      <c r="P67" s="37">
        <f t="shared" si="6"/>
        <v>-27.5</v>
      </c>
      <c r="Q67" s="37">
        <f t="shared" si="7"/>
        <v>-8.3207261724659602</v>
      </c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1:27" ht="24.5" x14ac:dyDescent="0.35">
      <c r="A68" s="102">
        <v>136152</v>
      </c>
      <c r="B68" s="3" t="s">
        <v>72</v>
      </c>
      <c r="C68" s="43" t="s">
        <v>343</v>
      </c>
      <c r="D68" s="12" t="s">
        <v>344</v>
      </c>
      <c r="E68" s="4" t="s">
        <v>89</v>
      </c>
      <c r="F68" s="4" t="s">
        <v>345</v>
      </c>
      <c r="G68" s="12" t="s">
        <v>345</v>
      </c>
      <c r="H68" s="51" t="s">
        <v>205</v>
      </c>
      <c r="I68" s="23" t="s">
        <v>86</v>
      </c>
      <c r="J68" s="38">
        <v>3878</v>
      </c>
      <c r="K68" s="39">
        <v>3703.500008</v>
      </c>
      <c r="L68" s="37">
        <f t="shared" si="4"/>
        <v>174.49999200000002</v>
      </c>
      <c r="M68" s="37">
        <f t="shared" si="5"/>
        <v>4.7117589205632324</v>
      </c>
      <c r="N68" s="36">
        <v>838</v>
      </c>
      <c r="O68" s="36">
        <v>977.5</v>
      </c>
      <c r="P68" s="37">
        <f t="shared" si="6"/>
        <v>-139.5</v>
      </c>
      <c r="Q68" s="37">
        <f t="shared" si="7"/>
        <v>-14.271099744245525</v>
      </c>
      <c r="R68" s="37" t="s">
        <v>1059</v>
      </c>
      <c r="S68" s="37" t="s">
        <v>1043</v>
      </c>
      <c r="T68" s="37"/>
      <c r="U68" s="134"/>
      <c r="V68" s="134"/>
      <c r="W68" s="134"/>
      <c r="X68" s="134"/>
      <c r="Y68" s="37"/>
      <c r="Z68" s="37" t="s">
        <v>963</v>
      </c>
      <c r="AA68" s="37"/>
    </row>
    <row r="69" spans="1:27" ht="36.5" hidden="1" x14ac:dyDescent="0.35">
      <c r="A69" s="102">
        <v>112426</v>
      </c>
      <c r="B69" s="3" t="s">
        <v>72</v>
      </c>
      <c r="C69" s="40" t="s">
        <v>298</v>
      </c>
      <c r="D69" s="12" t="s">
        <v>299</v>
      </c>
      <c r="E69" s="4" t="s">
        <v>200</v>
      </c>
      <c r="F69" s="4" t="s">
        <v>300</v>
      </c>
      <c r="G69" s="12" t="s">
        <v>300</v>
      </c>
      <c r="H69" s="51" t="s">
        <v>261</v>
      </c>
      <c r="I69" s="23" t="s">
        <v>83</v>
      </c>
      <c r="J69" s="38">
        <v>153</v>
      </c>
      <c r="K69" s="39">
        <v>171.5</v>
      </c>
      <c r="L69" s="37">
        <f t="shared" si="4"/>
        <v>-18.5</v>
      </c>
      <c r="M69" s="37">
        <f t="shared" si="5"/>
        <v>-10.787172011661808</v>
      </c>
      <c r="N69" s="36">
        <v>173</v>
      </c>
      <c r="O69" s="36">
        <v>172.5</v>
      </c>
      <c r="P69" s="37">
        <f t="shared" si="6"/>
        <v>0.5</v>
      </c>
      <c r="Q69" s="37">
        <f t="shared" si="7"/>
        <v>0.28985507246376813</v>
      </c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spans="1:27" ht="24.5" hidden="1" x14ac:dyDescent="0.35">
      <c r="A70" s="102">
        <v>112441</v>
      </c>
      <c r="B70" s="3" t="s">
        <v>72</v>
      </c>
      <c r="C70" s="43" t="s">
        <v>238</v>
      </c>
      <c r="D70" s="12" t="s">
        <v>171</v>
      </c>
      <c r="E70" s="4" t="s">
        <v>75</v>
      </c>
      <c r="F70" s="4" t="s">
        <v>76</v>
      </c>
      <c r="G70" s="12" t="s">
        <v>76</v>
      </c>
      <c r="H70" s="51" t="s">
        <v>77</v>
      </c>
      <c r="I70" s="23" t="s">
        <v>78</v>
      </c>
      <c r="J70" s="38">
        <v>8205</v>
      </c>
      <c r="K70" s="39">
        <v>7982.5</v>
      </c>
      <c r="L70" s="37">
        <f t="shared" si="4"/>
        <v>222.5</v>
      </c>
      <c r="M70" s="37">
        <f t="shared" si="5"/>
        <v>2.7873473222674598</v>
      </c>
      <c r="N70" s="36">
        <v>3683</v>
      </c>
      <c r="O70" s="36">
        <v>3965.5</v>
      </c>
      <c r="P70" s="37">
        <f t="shared" si="6"/>
        <v>-282.5</v>
      </c>
      <c r="Q70" s="37">
        <f t="shared" si="7"/>
        <v>-7.1239440171479016</v>
      </c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spans="1:27" ht="24.5" hidden="1" x14ac:dyDescent="0.35">
      <c r="A71" s="102">
        <v>112451</v>
      </c>
      <c r="B71" s="3" t="s">
        <v>72</v>
      </c>
      <c r="C71" s="43" t="s">
        <v>193</v>
      </c>
      <c r="D71" s="12" t="s">
        <v>194</v>
      </c>
      <c r="E71" s="4" t="s">
        <v>81</v>
      </c>
      <c r="F71" s="4" t="s">
        <v>195</v>
      </c>
      <c r="G71" s="12" t="s">
        <v>195</v>
      </c>
      <c r="H71" s="51" t="s">
        <v>135</v>
      </c>
      <c r="I71" s="23" t="s">
        <v>83</v>
      </c>
      <c r="J71" s="38">
        <v>11478</v>
      </c>
      <c r="K71" s="39">
        <v>11461.500028</v>
      </c>
      <c r="L71" s="37">
        <f t="shared" si="4"/>
        <v>16.499971999999616</v>
      </c>
      <c r="M71" s="37">
        <f t="shared" si="5"/>
        <v>0.14395996998377894</v>
      </c>
      <c r="N71" s="36">
        <v>1324</v>
      </c>
      <c r="O71" s="36">
        <v>1564.5</v>
      </c>
      <c r="P71" s="37">
        <f t="shared" si="6"/>
        <v>-240.5</v>
      </c>
      <c r="Q71" s="37">
        <f t="shared" si="7"/>
        <v>-15.372323426014701</v>
      </c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spans="1:27" ht="36.5" hidden="1" x14ac:dyDescent="0.35">
      <c r="A72" s="102">
        <v>112720</v>
      </c>
      <c r="B72" s="3" t="s">
        <v>72</v>
      </c>
      <c r="C72" s="40" t="s">
        <v>167</v>
      </c>
      <c r="D72" s="12" t="s">
        <v>168</v>
      </c>
      <c r="E72" s="4" t="s">
        <v>169</v>
      </c>
      <c r="F72" s="4" t="s">
        <v>100</v>
      </c>
      <c r="G72" s="12" t="s">
        <v>100</v>
      </c>
      <c r="H72" s="51" t="s">
        <v>77</v>
      </c>
      <c r="I72" s="23" t="s">
        <v>78</v>
      </c>
      <c r="J72" s="38">
        <v>8822.5</v>
      </c>
      <c r="K72" s="39">
        <v>8590.000003000001</v>
      </c>
      <c r="L72" s="37">
        <f t="shared" si="4"/>
        <v>232.49999699999898</v>
      </c>
      <c r="M72" s="37">
        <f t="shared" si="5"/>
        <v>2.7066355869476122</v>
      </c>
      <c r="N72" s="36">
        <v>2085.5</v>
      </c>
      <c r="O72" s="36">
        <v>2300</v>
      </c>
      <c r="P72" s="37">
        <f t="shared" si="6"/>
        <v>-214.5</v>
      </c>
      <c r="Q72" s="37">
        <f t="shared" si="7"/>
        <v>-9.3260869565217401</v>
      </c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spans="1:27" ht="24.5" hidden="1" x14ac:dyDescent="0.35">
      <c r="A73" s="102">
        <v>112383</v>
      </c>
      <c r="B73" s="3" t="s">
        <v>72</v>
      </c>
      <c r="C73" s="40" t="s">
        <v>173</v>
      </c>
      <c r="D73" s="12" t="s">
        <v>174</v>
      </c>
      <c r="E73" s="4" t="s">
        <v>111</v>
      </c>
      <c r="F73" s="4" t="s">
        <v>125</v>
      </c>
      <c r="G73" s="12" t="s">
        <v>125</v>
      </c>
      <c r="H73" s="51" t="s">
        <v>120</v>
      </c>
      <c r="I73" s="23" t="s">
        <v>78</v>
      </c>
      <c r="J73" s="38">
        <v>5728.5</v>
      </c>
      <c r="K73" s="39">
        <v>5769.0000010000003</v>
      </c>
      <c r="L73" s="37">
        <f t="shared" si="4"/>
        <v>-40.500001000000339</v>
      </c>
      <c r="M73" s="37">
        <f t="shared" si="5"/>
        <v>-0.70202809833558766</v>
      </c>
      <c r="N73" s="36">
        <v>1093.5</v>
      </c>
      <c r="O73" s="36">
        <v>1341</v>
      </c>
      <c r="P73" s="37">
        <f t="shared" si="6"/>
        <v>-247.5</v>
      </c>
      <c r="Q73" s="37">
        <f t="shared" si="7"/>
        <v>-18.456375838926174</v>
      </c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spans="1:27" ht="24.5" hidden="1" x14ac:dyDescent="0.35">
      <c r="A74" s="102">
        <v>112403</v>
      </c>
      <c r="B74" s="3" t="s">
        <v>72</v>
      </c>
      <c r="C74" s="41" t="s">
        <v>101</v>
      </c>
      <c r="D74" s="12" t="s">
        <v>102</v>
      </c>
      <c r="E74" s="4" t="s">
        <v>103</v>
      </c>
      <c r="F74" s="4" t="s">
        <v>104</v>
      </c>
      <c r="G74" s="12" t="s">
        <v>104</v>
      </c>
      <c r="H74" s="51" t="s">
        <v>105</v>
      </c>
      <c r="I74" s="23" t="s">
        <v>78</v>
      </c>
      <c r="J74" s="38">
        <v>3801.808</v>
      </c>
      <c r="K74" s="39">
        <v>3817.0000019999998</v>
      </c>
      <c r="L74" s="37">
        <f t="shared" si="4"/>
        <v>-15.192001999999775</v>
      </c>
      <c r="M74" s="37">
        <f t="shared" si="5"/>
        <v>-0.39800895970761324</v>
      </c>
      <c r="N74" s="36">
        <v>887</v>
      </c>
      <c r="O74" s="36">
        <v>1091</v>
      </c>
      <c r="P74" s="37">
        <f t="shared" si="6"/>
        <v>-204</v>
      </c>
      <c r="Q74" s="37">
        <f t="shared" si="7"/>
        <v>-18.698441796516956</v>
      </c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spans="1:27" ht="24.5" hidden="1" x14ac:dyDescent="0.35">
      <c r="A75" s="102">
        <v>112459</v>
      </c>
      <c r="B75" s="3" t="s">
        <v>72</v>
      </c>
      <c r="C75" s="43" t="s">
        <v>155</v>
      </c>
      <c r="D75" s="12" t="s">
        <v>146</v>
      </c>
      <c r="E75" s="4" t="s">
        <v>103</v>
      </c>
      <c r="F75" s="4" t="s">
        <v>145</v>
      </c>
      <c r="G75" s="12" t="s">
        <v>145</v>
      </c>
      <c r="H75" s="51" t="s">
        <v>96</v>
      </c>
      <c r="I75" s="23" t="s">
        <v>83</v>
      </c>
      <c r="J75" s="38">
        <v>4560.5</v>
      </c>
      <c r="K75" s="39">
        <v>4511.500008</v>
      </c>
      <c r="L75" s="37">
        <f t="shared" si="4"/>
        <v>48.99999200000002</v>
      </c>
      <c r="M75" s="37">
        <f t="shared" si="5"/>
        <v>1.0861130868471898</v>
      </c>
      <c r="N75" s="36">
        <v>1073.5</v>
      </c>
      <c r="O75" s="36">
        <v>1024.5</v>
      </c>
      <c r="P75" s="37">
        <f t="shared" si="6"/>
        <v>49</v>
      </c>
      <c r="Q75" s="37">
        <f t="shared" si="7"/>
        <v>4.7828208882381649</v>
      </c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spans="1:27" ht="24.5" hidden="1" x14ac:dyDescent="0.35">
      <c r="A76" s="102">
        <v>168009</v>
      </c>
      <c r="B76" s="3" t="s">
        <v>72</v>
      </c>
      <c r="C76" s="42" t="s">
        <v>290</v>
      </c>
      <c r="D76" s="12" t="s">
        <v>291</v>
      </c>
      <c r="E76" s="4" t="s">
        <v>200</v>
      </c>
      <c r="F76" s="4" t="s">
        <v>268</v>
      </c>
      <c r="G76" s="12" t="s">
        <v>268</v>
      </c>
      <c r="H76" s="51" t="s">
        <v>91</v>
      </c>
      <c r="I76" s="23" t="s">
        <v>83</v>
      </c>
      <c r="J76" s="38">
        <v>824</v>
      </c>
      <c r="K76" s="39">
        <v>817</v>
      </c>
      <c r="L76" s="37">
        <f t="shared" si="4"/>
        <v>7</v>
      </c>
      <c r="M76" s="37">
        <f t="shared" si="5"/>
        <v>0.85679314565483466</v>
      </c>
      <c r="N76" s="36">
        <v>388</v>
      </c>
      <c r="O76" s="36">
        <v>391</v>
      </c>
      <c r="P76" s="37">
        <f t="shared" si="6"/>
        <v>-3</v>
      </c>
      <c r="Q76" s="37">
        <f t="shared" si="7"/>
        <v>-0.76726342710997442</v>
      </c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spans="1:27" ht="36.5" x14ac:dyDescent="0.35">
      <c r="A77" s="102">
        <v>244099</v>
      </c>
      <c r="B77" s="3" t="s">
        <v>72</v>
      </c>
      <c r="C77" s="43" t="s">
        <v>335</v>
      </c>
      <c r="D77" s="12" t="s">
        <v>336</v>
      </c>
      <c r="E77" s="4" t="s">
        <v>85</v>
      </c>
      <c r="F77" s="4" t="s">
        <v>337</v>
      </c>
      <c r="G77" s="12" t="s">
        <v>337</v>
      </c>
      <c r="H77" s="51" t="s">
        <v>304</v>
      </c>
      <c r="I77" s="23" t="s">
        <v>86</v>
      </c>
      <c r="J77" s="38">
        <v>5025.5</v>
      </c>
      <c r="K77" s="39">
        <v>5052.5</v>
      </c>
      <c r="L77" s="37">
        <f t="shared" si="4"/>
        <v>-27</v>
      </c>
      <c r="M77" s="37">
        <f t="shared" si="5"/>
        <v>-0.53438891637803076</v>
      </c>
      <c r="N77" s="36">
        <v>591.5</v>
      </c>
      <c r="O77" s="36">
        <v>717.5</v>
      </c>
      <c r="P77" s="37">
        <f t="shared" si="6"/>
        <v>-126</v>
      </c>
      <c r="Q77" s="37">
        <f t="shared" si="7"/>
        <v>-17.560975609756095</v>
      </c>
      <c r="R77" s="37"/>
      <c r="S77" s="37"/>
      <c r="T77" s="37"/>
      <c r="U77" s="37"/>
      <c r="V77" s="37"/>
      <c r="W77" s="37"/>
      <c r="X77" s="37"/>
      <c r="Y77" s="37"/>
      <c r="Z77" s="37" t="s">
        <v>964</v>
      </c>
      <c r="AA77" s="37"/>
    </row>
    <row r="78" spans="1:27" ht="24.5" x14ac:dyDescent="0.35">
      <c r="A78" s="102">
        <v>112456</v>
      </c>
      <c r="B78" s="3" t="s">
        <v>72</v>
      </c>
      <c r="C78" s="43" t="s">
        <v>359</v>
      </c>
      <c r="D78" s="12" t="s">
        <v>360</v>
      </c>
      <c r="E78" s="4" t="s">
        <v>85</v>
      </c>
      <c r="F78" s="4" t="s">
        <v>361</v>
      </c>
      <c r="G78" s="12" t="s">
        <v>361</v>
      </c>
      <c r="H78" s="51" t="s">
        <v>304</v>
      </c>
      <c r="I78" s="23" t="s">
        <v>86</v>
      </c>
      <c r="J78" s="38">
        <v>4343</v>
      </c>
      <c r="K78" s="39">
        <v>4325.0000149999996</v>
      </c>
      <c r="L78" s="37">
        <f t="shared" si="4"/>
        <v>17.999985000000379</v>
      </c>
      <c r="M78" s="37">
        <f t="shared" si="5"/>
        <v>0.41618462283405055</v>
      </c>
      <c r="N78" s="36">
        <v>1893</v>
      </c>
      <c r="O78" s="36">
        <v>2064</v>
      </c>
      <c r="P78" s="37">
        <f t="shared" si="6"/>
        <v>-171</v>
      </c>
      <c r="Q78" s="37">
        <f t="shared" si="7"/>
        <v>-8.2848837209302317</v>
      </c>
      <c r="R78" s="37" t="s">
        <v>1055</v>
      </c>
      <c r="S78" s="37"/>
      <c r="T78" s="37"/>
      <c r="U78" s="134"/>
      <c r="V78" s="134"/>
      <c r="W78" s="134"/>
      <c r="X78" s="134">
        <v>100</v>
      </c>
      <c r="Y78" s="37"/>
      <c r="Z78" s="37" t="s">
        <v>963</v>
      </c>
      <c r="AA78" s="37"/>
    </row>
    <row r="79" spans="1:27" ht="24.5" x14ac:dyDescent="0.35">
      <c r="A79" s="102">
        <v>112458</v>
      </c>
      <c r="B79" s="3" t="s">
        <v>72</v>
      </c>
      <c r="C79" s="43" t="s">
        <v>327</v>
      </c>
      <c r="D79" s="12" t="s">
        <v>328</v>
      </c>
      <c r="E79" s="4" t="s">
        <v>85</v>
      </c>
      <c r="F79" s="4" t="s">
        <v>326</v>
      </c>
      <c r="G79" s="12" t="s">
        <v>326</v>
      </c>
      <c r="H79" s="51" t="s">
        <v>304</v>
      </c>
      <c r="I79" s="23" t="s">
        <v>86</v>
      </c>
      <c r="J79" s="38">
        <v>10228</v>
      </c>
      <c r="K79" s="39">
        <v>9884</v>
      </c>
      <c r="L79" s="37">
        <f t="shared" si="4"/>
        <v>344</v>
      </c>
      <c r="M79" s="37">
        <f t="shared" si="5"/>
        <v>3.480372318899231</v>
      </c>
      <c r="N79" s="36">
        <v>1190</v>
      </c>
      <c r="O79" s="36">
        <v>1310</v>
      </c>
      <c r="P79" s="37">
        <f t="shared" si="6"/>
        <v>-120</v>
      </c>
      <c r="Q79" s="37">
        <f t="shared" si="7"/>
        <v>-9.1603053435114496</v>
      </c>
      <c r="R79" s="37" t="s">
        <v>1052</v>
      </c>
      <c r="S79" s="37" t="s">
        <v>1051</v>
      </c>
      <c r="T79" s="37"/>
      <c r="U79" s="134">
        <v>100</v>
      </c>
      <c r="V79" s="134"/>
      <c r="W79" s="134"/>
      <c r="X79" s="134"/>
      <c r="Y79" s="37"/>
      <c r="Z79" s="37" t="s">
        <v>963</v>
      </c>
      <c r="AA79" s="37"/>
    </row>
    <row r="80" spans="1:27" ht="36.5" x14ac:dyDescent="0.35">
      <c r="A80" s="102">
        <v>151186</v>
      </c>
      <c r="B80" s="3" t="s">
        <v>72</v>
      </c>
      <c r="C80" s="41" t="s">
        <v>378</v>
      </c>
      <c r="D80" s="12" t="s">
        <v>379</v>
      </c>
      <c r="E80" s="4" t="s">
        <v>89</v>
      </c>
      <c r="F80" s="4" t="s">
        <v>294</v>
      </c>
      <c r="G80" s="12" t="s">
        <v>294</v>
      </c>
      <c r="H80" s="51" t="s">
        <v>91</v>
      </c>
      <c r="I80" s="23" t="s">
        <v>86</v>
      </c>
      <c r="J80" s="38">
        <v>633</v>
      </c>
      <c r="K80" s="39">
        <v>733.5</v>
      </c>
      <c r="L80" s="37">
        <f t="shared" si="4"/>
        <v>-100.5</v>
      </c>
      <c r="M80" s="37">
        <f t="shared" si="5"/>
        <v>-13.701431492842536</v>
      </c>
      <c r="N80" s="36">
        <v>171</v>
      </c>
      <c r="O80" s="36">
        <v>258.5</v>
      </c>
      <c r="P80" s="37">
        <f t="shared" si="6"/>
        <v>-87.5</v>
      </c>
      <c r="Q80" s="37">
        <f t="shared" si="7"/>
        <v>-33.849129593810446</v>
      </c>
      <c r="R80" s="37"/>
      <c r="S80" s="37"/>
      <c r="T80" s="37"/>
      <c r="U80" s="37"/>
      <c r="V80" s="37"/>
      <c r="W80" s="37"/>
      <c r="X80" s="37"/>
      <c r="Y80" s="37"/>
      <c r="Z80" s="37" t="s">
        <v>964</v>
      </c>
      <c r="AA80" s="37"/>
    </row>
    <row r="81" spans="1:27" ht="24.5" x14ac:dyDescent="0.35">
      <c r="A81" s="102">
        <v>112440</v>
      </c>
      <c r="B81" s="3" t="s">
        <v>72</v>
      </c>
      <c r="C81" s="45" t="s">
        <v>319</v>
      </c>
      <c r="D81" s="12" t="s">
        <v>320</v>
      </c>
      <c r="E81" s="4" t="s">
        <v>187</v>
      </c>
      <c r="F81" s="4" t="s">
        <v>321</v>
      </c>
      <c r="G81" s="12" t="s">
        <v>321</v>
      </c>
      <c r="H81" s="51" t="s">
        <v>189</v>
      </c>
      <c r="I81" s="23" t="s">
        <v>86</v>
      </c>
      <c r="J81" s="38">
        <v>2397</v>
      </c>
      <c r="K81" s="39">
        <v>2439.0000009999999</v>
      </c>
      <c r="L81" s="37">
        <f t="shared" si="4"/>
        <v>-42.000000999999884</v>
      </c>
      <c r="M81" s="37">
        <f t="shared" si="5"/>
        <v>-1.7220172604665729</v>
      </c>
      <c r="N81" s="36">
        <v>319</v>
      </c>
      <c r="O81" s="36">
        <v>341</v>
      </c>
      <c r="P81" s="37">
        <f t="shared" si="6"/>
        <v>-22</v>
      </c>
      <c r="Q81" s="37">
        <f t="shared" si="7"/>
        <v>-6.4516129032258061</v>
      </c>
      <c r="R81" s="37"/>
      <c r="S81" s="37"/>
      <c r="T81" s="37"/>
      <c r="U81" s="37"/>
      <c r="V81" s="37"/>
      <c r="W81" s="37"/>
      <c r="X81" s="37"/>
      <c r="Y81" s="37"/>
      <c r="Z81" s="37" t="s">
        <v>964</v>
      </c>
      <c r="AA81" s="37"/>
    </row>
    <row r="82" spans="1:27" ht="36.5" hidden="1" x14ac:dyDescent="0.35">
      <c r="A82" s="102">
        <v>112436</v>
      </c>
      <c r="B82" s="3" t="s">
        <v>72</v>
      </c>
      <c r="C82" s="43" t="s">
        <v>127</v>
      </c>
      <c r="D82" s="12" t="s">
        <v>128</v>
      </c>
      <c r="E82" s="4" t="s">
        <v>94</v>
      </c>
      <c r="F82" s="4" t="s">
        <v>129</v>
      </c>
      <c r="G82" s="12" t="s">
        <v>129</v>
      </c>
      <c r="H82" s="51" t="s">
        <v>126</v>
      </c>
      <c r="I82" s="23" t="s">
        <v>83</v>
      </c>
      <c r="J82" s="38">
        <v>7082.5</v>
      </c>
      <c r="K82" s="39">
        <v>7265.0000139999993</v>
      </c>
      <c r="L82" s="37">
        <f t="shared" si="4"/>
        <v>-182.50001399999928</v>
      </c>
      <c r="M82" s="37">
        <f t="shared" si="5"/>
        <v>-2.5120442346636356</v>
      </c>
      <c r="N82" s="36">
        <v>2583.5</v>
      </c>
      <c r="O82" s="36">
        <v>2721</v>
      </c>
      <c r="P82" s="37">
        <f t="shared" si="6"/>
        <v>-137.5</v>
      </c>
      <c r="Q82" s="37">
        <f t="shared" si="7"/>
        <v>-5.0532892319000373</v>
      </c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spans="1:27" ht="24.5" hidden="1" x14ac:dyDescent="0.35">
      <c r="A83" s="102">
        <v>112400</v>
      </c>
      <c r="B83" s="3" t="s">
        <v>72</v>
      </c>
      <c r="C83" s="41" t="s">
        <v>170</v>
      </c>
      <c r="D83" s="12" t="s">
        <v>171</v>
      </c>
      <c r="E83" s="4" t="s">
        <v>169</v>
      </c>
      <c r="F83" s="4" t="s">
        <v>170</v>
      </c>
      <c r="G83" s="12" t="s">
        <v>170</v>
      </c>
      <c r="H83" s="51" t="s">
        <v>172</v>
      </c>
      <c r="I83" s="23" t="s">
        <v>78</v>
      </c>
      <c r="J83" s="38">
        <v>5043</v>
      </c>
      <c r="K83" s="39">
        <v>5102</v>
      </c>
      <c r="L83" s="37">
        <f t="shared" si="4"/>
        <v>-59</v>
      </c>
      <c r="M83" s="37">
        <f t="shared" si="5"/>
        <v>-1.1564092512740103</v>
      </c>
      <c r="N83" s="36">
        <v>4642</v>
      </c>
      <c r="O83" s="36">
        <v>4687</v>
      </c>
      <c r="P83" s="37">
        <f t="shared" si="6"/>
        <v>-45</v>
      </c>
      <c r="Q83" s="37">
        <f t="shared" si="7"/>
        <v>-0.96010241092383197</v>
      </c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spans="1:27" ht="24.5" x14ac:dyDescent="0.35">
      <c r="A84" s="102">
        <v>112461</v>
      </c>
      <c r="B84" s="3" t="s">
        <v>72</v>
      </c>
      <c r="C84" s="43" t="s">
        <v>364</v>
      </c>
      <c r="D84" s="12" t="s">
        <v>365</v>
      </c>
      <c r="E84" s="4" t="s">
        <v>187</v>
      </c>
      <c r="F84" s="4" t="s">
        <v>366</v>
      </c>
      <c r="G84" s="12" t="s">
        <v>366</v>
      </c>
      <c r="H84" s="51" t="s">
        <v>367</v>
      </c>
      <c r="I84" s="23" t="s">
        <v>86</v>
      </c>
      <c r="J84" s="38">
        <v>3617</v>
      </c>
      <c r="K84" s="39">
        <v>3875.0000109999996</v>
      </c>
      <c r="L84" s="37">
        <f t="shared" si="4"/>
        <v>-258.00001099999963</v>
      </c>
      <c r="M84" s="37">
        <f t="shared" si="5"/>
        <v>-6.6580647810996778</v>
      </c>
      <c r="N84" s="36">
        <v>3336</v>
      </c>
      <c r="O84" s="36">
        <v>6519</v>
      </c>
      <c r="P84" s="37">
        <f t="shared" si="6"/>
        <v>-3183</v>
      </c>
      <c r="Q84" s="37">
        <f t="shared" si="7"/>
        <v>-48.826507132995857</v>
      </c>
      <c r="R84" s="37"/>
      <c r="S84" s="37"/>
      <c r="T84" s="37"/>
      <c r="U84" s="37"/>
      <c r="V84" s="37"/>
      <c r="W84" s="37"/>
      <c r="X84" s="37"/>
      <c r="Y84" s="37"/>
      <c r="Z84" s="37" t="s">
        <v>963</v>
      </c>
      <c r="AA84" s="37"/>
    </row>
    <row r="85" spans="1:27" ht="24.5" hidden="1" x14ac:dyDescent="0.35">
      <c r="A85" s="102">
        <v>112384</v>
      </c>
      <c r="B85" s="3" t="s">
        <v>72</v>
      </c>
      <c r="C85" s="40" t="s">
        <v>179</v>
      </c>
      <c r="D85" s="12" t="s">
        <v>180</v>
      </c>
      <c r="E85" s="4" t="s">
        <v>103</v>
      </c>
      <c r="F85" s="4" t="s">
        <v>181</v>
      </c>
      <c r="G85" s="12" t="s">
        <v>181</v>
      </c>
      <c r="H85" s="51" t="s">
        <v>105</v>
      </c>
      <c r="I85" s="23" t="s">
        <v>83</v>
      </c>
      <c r="J85" s="38">
        <v>2685</v>
      </c>
      <c r="K85" s="39">
        <v>2843.0000009999999</v>
      </c>
      <c r="L85" s="37">
        <f t="shared" si="4"/>
        <v>-158.00000099999988</v>
      </c>
      <c r="M85" s="37">
        <f t="shared" si="5"/>
        <v>-5.5575097061000633</v>
      </c>
      <c r="N85" s="36">
        <v>633</v>
      </c>
      <c r="O85" s="36">
        <v>830</v>
      </c>
      <c r="P85" s="37">
        <f t="shared" si="6"/>
        <v>-197</v>
      </c>
      <c r="Q85" s="37">
        <f t="shared" si="7"/>
        <v>-23.734939759036145</v>
      </c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spans="1:27" ht="24.5" hidden="1" x14ac:dyDescent="0.35">
      <c r="A86" s="102">
        <v>142009</v>
      </c>
      <c r="B86" s="3" t="s">
        <v>72</v>
      </c>
      <c r="C86" s="40" t="s">
        <v>280</v>
      </c>
      <c r="D86" s="12" t="s">
        <v>281</v>
      </c>
      <c r="E86" s="4" t="s">
        <v>200</v>
      </c>
      <c r="F86" s="4" t="s">
        <v>244</v>
      </c>
      <c r="G86" s="12" t="s">
        <v>244</v>
      </c>
      <c r="H86" s="51" t="s">
        <v>172</v>
      </c>
      <c r="I86" s="23" t="s">
        <v>83</v>
      </c>
      <c r="J86" s="38">
        <v>1444</v>
      </c>
      <c r="K86" s="39">
        <v>1493.5</v>
      </c>
      <c r="L86" s="37">
        <f t="shared" si="4"/>
        <v>-49.5</v>
      </c>
      <c r="M86" s="37">
        <f t="shared" si="5"/>
        <v>-3.3143622363575496</v>
      </c>
      <c r="N86" s="36">
        <v>686</v>
      </c>
      <c r="O86" s="36">
        <v>813</v>
      </c>
      <c r="P86" s="37">
        <f t="shared" si="6"/>
        <v>-127</v>
      </c>
      <c r="Q86" s="37">
        <f t="shared" si="7"/>
        <v>-15.621156211562115</v>
      </c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spans="1:27" ht="24.5" x14ac:dyDescent="0.35">
      <c r="A87" s="102">
        <v>147286</v>
      </c>
      <c r="B87" s="3" t="s">
        <v>72</v>
      </c>
      <c r="C87" s="41" t="s">
        <v>376</v>
      </c>
      <c r="D87" s="12" t="s">
        <v>377</v>
      </c>
      <c r="E87" s="4" t="s">
        <v>187</v>
      </c>
      <c r="F87" s="4" t="s">
        <v>366</v>
      </c>
      <c r="G87" s="12" t="s">
        <v>366</v>
      </c>
      <c r="H87" s="51" t="s">
        <v>367</v>
      </c>
      <c r="I87" s="23" t="s">
        <v>86</v>
      </c>
      <c r="J87" s="38">
        <v>4079.5</v>
      </c>
      <c r="K87" s="39">
        <v>4326.0000039999995</v>
      </c>
      <c r="L87" s="37">
        <f t="shared" si="4"/>
        <v>-246.50000399999954</v>
      </c>
      <c r="M87" s="37">
        <f t="shared" si="5"/>
        <v>-5.6981045717077068</v>
      </c>
      <c r="N87" s="36">
        <v>460.5</v>
      </c>
      <c r="O87" s="36">
        <v>600</v>
      </c>
      <c r="P87" s="37">
        <f t="shared" si="6"/>
        <v>-139.5</v>
      </c>
      <c r="Q87" s="37">
        <f t="shared" si="7"/>
        <v>-23.25</v>
      </c>
      <c r="R87" s="37"/>
      <c r="S87" s="37"/>
      <c r="T87" s="37"/>
      <c r="U87" s="37"/>
      <c r="V87" s="37"/>
      <c r="W87" s="37"/>
      <c r="X87" s="37"/>
      <c r="Y87" s="37"/>
      <c r="Z87" s="37" t="s">
        <v>964</v>
      </c>
      <c r="AA87" s="37"/>
    </row>
    <row r="88" spans="1:27" ht="36.5" hidden="1" x14ac:dyDescent="0.35">
      <c r="A88" s="102">
        <v>181987</v>
      </c>
      <c r="B88" s="3" t="s">
        <v>72</v>
      </c>
      <c r="C88" s="45" t="s">
        <v>292</v>
      </c>
      <c r="D88" s="12" t="s">
        <v>293</v>
      </c>
      <c r="E88" s="4" t="s">
        <v>200</v>
      </c>
      <c r="F88" s="4" t="s">
        <v>294</v>
      </c>
      <c r="G88" s="12" t="s">
        <v>294</v>
      </c>
      <c r="H88" s="51" t="s">
        <v>91</v>
      </c>
      <c r="I88" s="23" t="s">
        <v>83</v>
      </c>
      <c r="J88" s="38">
        <v>734.5</v>
      </c>
      <c r="K88" s="39">
        <v>853.5</v>
      </c>
      <c r="L88" s="37">
        <f t="shared" si="4"/>
        <v>-119</v>
      </c>
      <c r="M88" s="37">
        <f t="shared" si="5"/>
        <v>-13.942589338019918</v>
      </c>
      <c r="N88" s="36">
        <v>2369.5</v>
      </c>
      <c r="O88" s="36">
        <v>1924.5</v>
      </c>
      <c r="P88" s="37">
        <f t="shared" si="6"/>
        <v>445</v>
      </c>
      <c r="Q88" s="37">
        <f t="shared" si="7"/>
        <v>23.12288906209405</v>
      </c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spans="1:27" ht="24.5" x14ac:dyDescent="0.35">
      <c r="A89" s="102">
        <v>200922</v>
      </c>
      <c r="B89" s="3" t="s">
        <v>72</v>
      </c>
      <c r="C89" s="41" t="s">
        <v>329</v>
      </c>
      <c r="D89" s="12" t="s">
        <v>213</v>
      </c>
      <c r="E89" s="4" t="s">
        <v>85</v>
      </c>
      <c r="F89" s="4" t="s">
        <v>177</v>
      </c>
      <c r="G89" s="12" t="s">
        <v>177</v>
      </c>
      <c r="H89" s="51" t="s">
        <v>178</v>
      </c>
      <c r="I89" s="23" t="s">
        <v>86</v>
      </c>
      <c r="J89" s="38">
        <v>3549.6149999999998</v>
      </c>
      <c r="K89" s="39">
        <v>3327.6889999999999</v>
      </c>
      <c r="L89" s="37">
        <f t="shared" si="4"/>
        <v>221.92599999999993</v>
      </c>
      <c r="M89" s="37">
        <f t="shared" si="5"/>
        <v>6.6690727408721173</v>
      </c>
      <c r="N89" s="36">
        <v>742.101</v>
      </c>
      <c r="O89" s="36">
        <v>929.32600000000025</v>
      </c>
      <c r="P89" s="37">
        <f t="shared" si="6"/>
        <v>-187.22500000000025</v>
      </c>
      <c r="Q89" s="37">
        <f t="shared" si="7"/>
        <v>-20.146321097225321</v>
      </c>
      <c r="R89" s="37"/>
      <c r="S89" s="37"/>
      <c r="T89" s="37"/>
      <c r="U89" s="37"/>
      <c r="V89" s="37"/>
      <c r="W89" s="37"/>
      <c r="X89" s="37"/>
      <c r="Y89" s="37"/>
      <c r="Z89" s="37" t="s">
        <v>964</v>
      </c>
      <c r="AA89" s="37"/>
    </row>
    <row r="90" spans="1:27" ht="36.5" hidden="1" x14ac:dyDescent="0.35">
      <c r="A90" s="102">
        <v>112428</v>
      </c>
      <c r="B90" s="3" t="s">
        <v>72</v>
      </c>
      <c r="C90" s="44" t="s">
        <v>252</v>
      </c>
      <c r="D90" s="12" t="s">
        <v>253</v>
      </c>
      <c r="E90" s="4" t="s">
        <v>103</v>
      </c>
      <c r="F90" s="4" t="s">
        <v>208</v>
      </c>
      <c r="G90" s="12" t="s">
        <v>208</v>
      </c>
      <c r="H90" s="51" t="s">
        <v>105</v>
      </c>
      <c r="I90" s="23" t="s">
        <v>83</v>
      </c>
      <c r="J90" s="38">
        <v>3197</v>
      </c>
      <c r="K90" s="39">
        <v>3136.5</v>
      </c>
      <c r="L90" s="37">
        <f t="shared" si="4"/>
        <v>60.5</v>
      </c>
      <c r="M90" s="37">
        <f t="shared" si="5"/>
        <v>1.9289016419575959</v>
      </c>
      <c r="N90" s="36">
        <v>647</v>
      </c>
      <c r="O90" s="36">
        <v>746.5</v>
      </c>
      <c r="P90" s="37">
        <f t="shared" si="6"/>
        <v>-99.5</v>
      </c>
      <c r="Q90" s="37">
        <f t="shared" si="7"/>
        <v>-13.328868050904219</v>
      </c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spans="1:27" ht="36.5" hidden="1" x14ac:dyDescent="0.35">
      <c r="A91" s="102">
        <v>112425</v>
      </c>
      <c r="B91" s="3" t="s">
        <v>72</v>
      </c>
      <c r="C91" s="40" t="s">
        <v>206</v>
      </c>
      <c r="D91" s="12" t="s">
        <v>207</v>
      </c>
      <c r="E91" s="4" t="s">
        <v>103</v>
      </c>
      <c r="F91" s="4" t="s">
        <v>208</v>
      </c>
      <c r="G91" s="12" t="s">
        <v>208</v>
      </c>
      <c r="H91" s="51" t="s">
        <v>105</v>
      </c>
      <c r="I91" s="23" t="s">
        <v>83</v>
      </c>
      <c r="J91" s="38">
        <v>3229.5</v>
      </c>
      <c r="K91" s="39">
        <v>3208.5000239999999</v>
      </c>
      <c r="L91" s="37">
        <f t="shared" si="4"/>
        <v>20.999976000000061</v>
      </c>
      <c r="M91" s="37">
        <f t="shared" si="5"/>
        <v>0.65451070104153009</v>
      </c>
      <c r="N91" s="36">
        <v>1228.5</v>
      </c>
      <c r="O91" s="36">
        <v>1461.5</v>
      </c>
      <c r="P91" s="37">
        <f t="shared" si="6"/>
        <v>-233</v>
      </c>
      <c r="Q91" s="37">
        <f t="shared" si="7"/>
        <v>-15.942524803284297</v>
      </c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ht="36.5" hidden="1" x14ac:dyDescent="0.35">
      <c r="A92" s="102">
        <v>144348</v>
      </c>
      <c r="B92" s="3" t="s">
        <v>72</v>
      </c>
      <c r="C92" s="41" t="s">
        <v>233</v>
      </c>
      <c r="D92" s="12" t="s">
        <v>234</v>
      </c>
      <c r="E92" s="4" t="s">
        <v>81</v>
      </c>
      <c r="F92" s="4" t="s">
        <v>184</v>
      </c>
      <c r="G92" s="12" t="s">
        <v>184</v>
      </c>
      <c r="H92" s="51" t="s">
        <v>141</v>
      </c>
      <c r="I92" s="23" t="s">
        <v>83</v>
      </c>
      <c r="J92" s="38">
        <v>3390</v>
      </c>
      <c r="K92" s="39">
        <v>3680</v>
      </c>
      <c r="L92" s="37">
        <f t="shared" si="4"/>
        <v>-290</v>
      </c>
      <c r="M92" s="37">
        <f t="shared" si="5"/>
        <v>-7.8804347826086962</v>
      </c>
      <c r="N92" s="36">
        <v>710</v>
      </c>
      <c r="O92" s="36">
        <v>980</v>
      </c>
      <c r="P92" s="37">
        <f t="shared" si="6"/>
        <v>-270</v>
      </c>
      <c r="Q92" s="37">
        <f t="shared" si="7"/>
        <v>-27.551020408163261</v>
      </c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spans="1:27" ht="24.5" hidden="1" x14ac:dyDescent="0.35">
      <c r="A93" s="102">
        <v>112466</v>
      </c>
      <c r="B93" s="3" t="s">
        <v>72</v>
      </c>
      <c r="C93" s="43" t="s">
        <v>295</v>
      </c>
      <c r="D93" s="12" t="s">
        <v>296</v>
      </c>
      <c r="E93" s="4" t="s">
        <v>103</v>
      </c>
      <c r="F93" s="4" t="s">
        <v>297</v>
      </c>
      <c r="G93" s="12" t="s">
        <v>297</v>
      </c>
      <c r="H93" s="51" t="s">
        <v>105</v>
      </c>
      <c r="I93" s="23" t="s">
        <v>78</v>
      </c>
      <c r="J93" s="38">
        <v>432</v>
      </c>
      <c r="K93" s="39">
        <v>413.5</v>
      </c>
      <c r="L93" s="37">
        <f t="shared" si="4"/>
        <v>18.5</v>
      </c>
      <c r="M93" s="37">
        <f t="shared" si="5"/>
        <v>4.4740024183796852</v>
      </c>
      <c r="N93" s="36">
        <v>152</v>
      </c>
      <c r="O93" s="36">
        <v>174.5</v>
      </c>
      <c r="P93" s="37">
        <f t="shared" si="6"/>
        <v>-22.5</v>
      </c>
      <c r="Q93" s="37">
        <f t="shared" si="7"/>
        <v>-12.893982808022923</v>
      </c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spans="1:27" ht="24.5" x14ac:dyDescent="0.35">
      <c r="A94" s="102">
        <v>131712</v>
      </c>
      <c r="B94" s="3" t="s">
        <v>72</v>
      </c>
      <c r="C94" s="43" t="s">
        <v>311</v>
      </c>
      <c r="D94" s="12" t="s">
        <v>312</v>
      </c>
      <c r="E94" s="4" t="s">
        <v>85</v>
      </c>
      <c r="F94" s="4" t="s">
        <v>192</v>
      </c>
      <c r="G94" s="12" t="s">
        <v>192</v>
      </c>
      <c r="H94" s="51" t="s">
        <v>178</v>
      </c>
      <c r="I94" s="23" t="s">
        <v>86</v>
      </c>
      <c r="J94" s="38">
        <v>1612</v>
      </c>
      <c r="K94" s="39">
        <v>1642.5</v>
      </c>
      <c r="L94" s="37">
        <f t="shared" si="4"/>
        <v>-30.5</v>
      </c>
      <c r="M94" s="37">
        <f t="shared" si="5"/>
        <v>-1.8569254185692541</v>
      </c>
      <c r="N94" s="36">
        <v>1274</v>
      </c>
      <c r="O94" s="36">
        <v>1319.5</v>
      </c>
      <c r="P94" s="37">
        <f t="shared" si="6"/>
        <v>-45.5</v>
      </c>
      <c r="Q94" s="37">
        <f t="shared" si="7"/>
        <v>-3.4482758620689653</v>
      </c>
      <c r="R94" s="136" t="s">
        <v>1069</v>
      </c>
      <c r="S94" s="37" t="s">
        <v>1070</v>
      </c>
      <c r="T94" s="37"/>
      <c r="U94" s="134"/>
      <c r="V94" s="134"/>
      <c r="W94" s="134"/>
      <c r="X94" s="134"/>
      <c r="Y94" s="37"/>
      <c r="Z94" s="37" t="s">
        <v>964</v>
      </c>
      <c r="AA94" s="37"/>
    </row>
    <row r="95" spans="1:27" ht="24.5" hidden="1" x14ac:dyDescent="0.35">
      <c r="A95" s="102">
        <v>112410</v>
      </c>
      <c r="B95" s="3" t="s">
        <v>72</v>
      </c>
      <c r="C95" s="41" t="s">
        <v>138</v>
      </c>
      <c r="D95" s="12" t="s">
        <v>139</v>
      </c>
      <c r="E95" s="4" t="s">
        <v>81</v>
      </c>
      <c r="F95" s="4" t="s">
        <v>140</v>
      </c>
      <c r="G95" s="12" t="s">
        <v>140</v>
      </c>
      <c r="H95" s="51" t="s">
        <v>141</v>
      </c>
      <c r="I95" s="23" t="s">
        <v>83</v>
      </c>
      <c r="J95" s="38">
        <v>1130</v>
      </c>
      <c r="K95" s="39">
        <v>1212.0000009999999</v>
      </c>
      <c r="L95" s="37">
        <f t="shared" si="4"/>
        <v>-82.000000999999884</v>
      </c>
      <c r="M95" s="37">
        <f t="shared" si="5"/>
        <v>-6.7656766445827659</v>
      </c>
      <c r="N95" s="36">
        <v>360</v>
      </c>
      <c r="O95" s="36">
        <v>542</v>
      </c>
      <c r="P95" s="37">
        <f t="shared" si="6"/>
        <v>-182</v>
      </c>
      <c r="Q95" s="37">
        <f t="shared" si="7"/>
        <v>-33.579335793357934</v>
      </c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spans="1:27" ht="36.5" hidden="1" x14ac:dyDescent="0.35">
      <c r="A96" s="102">
        <v>112413</v>
      </c>
      <c r="B96" s="3" t="s">
        <v>72</v>
      </c>
      <c r="C96" s="41" t="s">
        <v>221</v>
      </c>
      <c r="D96" s="12" t="s">
        <v>222</v>
      </c>
      <c r="E96" s="4" t="s">
        <v>200</v>
      </c>
      <c r="F96" s="4" t="s">
        <v>223</v>
      </c>
      <c r="G96" s="12" t="s">
        <v>223</v>
      </c>
      <c r="H96" s="51" t="s">
        <v>172</v>
      </c>
      <c r="I96" s="23" t="s">
        <v>83</v>
      </c>
      <c r="J96" s="38">
        <v>1234</v>
      </c>
      <c r="K96" s="39">
        <v>1227.5</v>
      </c>
      <c r="L96" s="37">
        <f t="shared" si="4"/>
        <v>6.5</v>
      </c>
      <c r="M96" s="37">
        <f t="shared" si="5"/>
        <v>0.52953156822810588</v>
      </c>
      <c r="N96" s="36">
        <v>162</v>
      </c>
      <c r="O96" s="36">
        <v>244.5</v>
      </c>
      <c r="P96" s="37">
        <f t="shared" si="6"/>
        <v>-82.5</v>
      </c>
      <c r="Q96" s="37">
        <f t="shared" si="7"/>
        <v>-33.742331288343557</v>
      </c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spans="1:27" ht="24.5" hidden="1" x14ac:dyDescent="0.35">
      <c r="A97" s="102">
        <v>198666</v>
      </c>
      <c r="B97" s="3" t="s">
        <v>72</v>
      </c>
      <c r="C97" s="43" t="s">
        <v>266</v>
      </c>
      <c r="D97" s="12" t="s">
        <v>267</v>
      </c>
      <c r="E97" s="4" t="s">
        <v>200</v>
      </c>
      <c r="F97" s="4" t="s">
        <v>268</v>
      </c>
      <c r="G97" s="12" t="s">
        <v>268</v>
      </c>
      <c r="H97" s="51" t="s">
        <v>91</v>
      </c>
      <c r="I97" s="23" t="s">
        <v>83</v>
      </c>
      <c r="J97" s="38">
        <v>1881</v>
      </c>
      <c r="K97" s="39">
        <v>1820</v>
      </c>
      <c r="L97" s="37">
        <f t="shared" si="4"/>
        <v>61</v>
      </c>
      <c r="M97" s="37">
        <f t="shared" si="5"/>
        <v>3.3516483516483517</v>
      </c>
      <c r="N97" s="36">
        <v>633</v>
      </c>
      <c r="O97" s="36">
        <v>614</v>
      </c>
      <c r="P97" s="37">
        <f t="shared" si="6"/>
        <v>19</v>
      </c>
      <c r="Q97" s="37">
        <f t="shared" si="7"/>
        <v>3.0944625407166124</v>
      </c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spans="1:27" ht="24.5" hidden="1" x14ac:dyDescent="0.35">
      <c r="A98" s="102">
        <v>112416</v>
      </c>
      <c r="B98" s="3" t="s">
        <v>72</v>
      </c>
      <c r="C98" s="41" t="s">
        <v>254</v>
      </c>
      <c r="D98" s="12" t="s">
        <v>255</v>
      </c>
      <c r="E98" s="4" t="s">
        <v>103</v>
      </c>
      <c r="F98" s="4" t="s">
        <v>256</v>
      </c>
      <c r="G98" s="12" t="s">
        <v>256</v>
      </c>
      <c r="H98" s="51" t="s">
        <v>257</v>
      </c>
      <c r="I98" s="23" t="s">
        <v>83</v>
      </c>
      <c r="J98" s="38">
        <v>2980</v>
      </c>
      <c r="K98" s="39">
        <v>2971.5</v>
      </c>
      <c r="L98" s="37">
        <f t="shared" si="4"/>
        <v>8.5</v>
      </c>
      <c r="M98" s="37">
        <f t="shared" si="5"/>
        <v>0.28605081608615174</v>
      </c>
      <c r="N98" s="36">
        <v>274</v>
      </c>
      <c r="O98" s="36">
        <v>293.5</v>
      </c>
      <c r="P98" s="37">
        <f t="shared" si="6"/>
        <v>-19.5</v>
      </c>
      <c r="Q98" s="37">
        <f t="shared" si="7"/>
        <v>-6.6439522998296416</v>
      </c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spans="1:27" ht="36.5" hidden="1" x14ac:dyDescent="0.35">
      <c r="A99" s="102">
        <v>149412</v>
      </c>
      <c r="B99" s="3" t="s">
        <v>72</v>
      </c>
      <c r="C99" s="43" t="s">
        <v>182</v>
      </c>
      <c r="D99" s="12" t="s">
        <v>183</v>
      </c>
      <c r="E99" s="4" t="s">
        <v>81</v>
      </c>
      <c r="F99" s="4" t="s">
        <v>184</v>
      </c>
      <c r="G99" s="12" t="s">
        <v>184</v>
      </c>
      <c r="H99" s="51" t="s">
        <v>141</v>
      </c>
      <c r="I99" s="23" t="s">
        <v>83</v>
      </c>
      <c r="J99" s="38">
        <v>1724</v>
      </c>
      <c r="K99" s="39">
        <v>2144.0000069999996</v>
      </c>
      <c r="L99" s="37">
        <f t="shared" si="4"/>
        <v>-420.00000699999964</v>
      </c>
      <c r="M99" s="37">
        <f t="shared" si="5"/>
        <v>-19.589552501340066</v>
      </c>
      <c r="N99" s="36">
        <v>492</v>
      </c>
      <c r="O99" s="36">
        <v>712</v>
      </c>
      <c r="P99" s="37">
        <f t="shared" si="6"/>
        <v>-220</v>
      </c>
      <c r="Q99" s="37">
        <f t="shared" si="7"/>
        <v>-30.898876404494381</v>
      </c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spans="1:27" ht="24.5" hidden="1" x14ac:dyDescent="0.35">
      <c r="A100" s="102">
        <v>149238</v>
      </c>
      <c r="B100" s="3" t="s">
        <v>72</v>
      </c>
      <c r="C100" s="41" t="s">
        <v>117</v>
      </c>
      <c r="D100" s="12" t="s">
        <v>118</v>
      </c>
      <c r="E100" s="4" t="s">
        <v>103</v>
      </c>
      <c r="F100" s="4" t="s">
        <v>119</v>
      </c>
      <c r="G100" s="12" t="s">
        <v>119</v>
      </c>
      <c r="H100" s="51" t="s">
        <v>120</v>
      </c>
      <c r="I100" s="23" t="s">
        <v>83</v>
      </c>
      <c r="J100" s="38">
        <v>4623.8450000000003</v>
      </c>
      <c r="K100" s="39">
        <v>4680.8180000000002</v>
      </c>
      <c r="L100" s="37">
        <f t="shared" si="4"/>
        <v>-56.972999999999956</v>
      </c>
      <c r="M100" s="37">
        <f t="shared" si="5"/>
        <v>-1.2171590521143942</v>
      </c>
      <c r="N100" s="36">
        <v>1212.248</v>
      </c>
      <c r="O100" s="36">
        <v>1604.5340000000001</v>
      </c>
      <c r="P100" s="37">
        <f t="shared" si="6"/>
        <v>-392.28600000000006</v>
      </c>
      <c r="Q100" s="37">
        <f t="shared" si="7"/>
        <v>-24.448593797326826</v>
      </c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ht="24.5" x14ac:dyDescent="0.35">
      <c r="A101" s="102">
        <v>112422</v>
      </c>
      <c r="B101" s="3" t="s">
        <v>72</v>
      </c>
      <c r="C101" s="42" t="s">
        <v>368</v>
      </c>
      <c r="D101" s="12" t="s">
        <v>369</v>
      </c>
      <c r="E101" s="4" t="s">
        <v>187</v>
      </c>
      <c r="F101" s="4" t="s">
        <v>370</v>
      </c>
      <c r="G101" s="12" t="s">
        <v>370</v>
      </c>
      <c r="H101" s="51" t="s">
        <v>189</v>
      </c>
      <c r="I101" s="23" t="s">
        <v>86</v>
      </c>
      <c r="J101" s="38">
        <v>7147</v>
      </c>
      <c r="K101" s="39">
        <v>7428.500016</v>
      </c>
      <c r="L101" s="37">
        <f t="shared" si="4"/>
        <v>-281.50001599999996</v>
      </c>
      <c r="M101" s="37">
        <f t="shared" si="5"/>
        <v>-3.7894597212584826</v>
      </c>
      <c r="N101" s="36">
        <v>927</v>
      </c>
      <c r="O101" s="36">
        <v>1185.5</v>
      </c>
      <c r="P101" s="37">
        <f t="shared" si="6"/>
        <v>-258.5</v>
      </c>
      <c r="Q101" s="37">
        <f t="shared" si="7"/>
        <v>-21.805145508224378</v>
      </c>
      <c r="R101" s="37"/>
      <c r="S101" s="37"/>
      <c r="T101" s="37"/>
      <c r="U101" s="37"/>
      <c r="V101" s="37"/>
      <c r="W101" s="37"/>
      <c r="X101" s="37"/>
      <c r="Y101" s="37"/>
      <c r="Z101" s="37" t="s">
        <v>963</v>
      </c>
      <c r="AA101" s="37"/>
    </row>
    <row r="102" spans="1:27" hidden="1" x14ac:dyDescent="0.35">
      <c r="A102" s="102">
        <v>112408</v>
      </c>
      <c r="B102" s="3" t="s">
        <v>72</v>
      </c>
      <c r="C102" s="41" t="s">
        <v>132</v>
      </c>
      <c r="D102" s="12" t="s">
        <v>133</v>
      </c>
      <c r="E102" s="4" t="s">
        <v>81</v>
      </c>
      <c r="F102" s="4" t="s">
        <v>134</v>
      </c>
      <c r="G102" s="12" t="s">
        <v>134</v>
      </c>
      <c r="H102" s="51" t="s">
        <v>135</v>
      </c>
      <c r="I102" s="23" t="s">
        <v>83</v>
      </c>
      <c r="J102" s="38">
        <v>3216.5</v>
      </c>
      <c r="K102" s="39">
        <v>2836.5000099999997</v>
      </c>
      <c r="L102" s="37">
        <f t="shared" si="4"/>
        <v>379.99999000000025</v>
      </c>
      <c r="M102" s="37">
        <f t="shared" si="5"/>
        <v>13.396791421128896</v>
      </c>
      <c r="N102" s="36">
        <v>823.5</v>
      </c>
      <c r="O102" s="36">
        <v>827.5</v>
      </c>
      <c r="P102" s="37">
        <f t="shared" si="6"/>
        <v>-4</v>
      </c>
      <c r="Q102" s="37">
        <f t="shared" si="7"/>
        <v>-0.4833836858006042</v>
      </c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spans="1:27" ht="24.5" hidden="1" x14ac:dyDescent="0.35">
      <c r="A103" s="102">
        <v>156837</v>
      </c>
      <c r="B103" s="3" t="s">
        <v>72</v>
      </c>
      <c r="C103" s="41" t="s">
        <v>159</v>
      </c>
      <c r="D103" s="12" t="s">
        <v>160</v>
      </c>
      <c r="E103" s="4" t="s">
        <v>94</v>
      </c>
      <c r="F103" s="4" t="s">
        <v>161</v>
      </c>
      <c r="G103" s="12" t="s">
        <v>161</v>
      </c>
      <c r="H103" s="51" t="s">
        <v>96</v>
      </c>
      <c r="I103" s="23" t="s">
        <v>83</v>
      </c>
      <c r="J103" s="38">
        <v>5713.7920000000004</v>
      </c>
      <c r="K103" s="39">
        <v>6154.2590000000018</v>
      </c>
      <c r="L103" s="37">
        <f t="shared" si="4"/>
        <v>-440.46700000000146</v>
      </c>
      <c r="M103" s="37">
        <f t="shared" si="5"/>
        <v>-7.1571085974769879</v>
      </c>
      <c r="N103" s="36">
        <v>1135.011</v>
      </c>
      <c r="O103" s="36">
        <v>1512.7919999999997</v>
      </c>
      <c r="P103" s="37">
        <f t="shared" si="6"/>
        <v>-377.78099999999972</v>
      </c>
      <c r="Q103" s="37">
        <f t="shared" si="7"/>
        <v>-24.972435073691546</v>
      </c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spans="1:27" ht="24.5" hidden="1" x14ac:dyDescent="0.35">
      <c r="A104" s="102">
        <v>142283</v>
      </c>
      <c r="B104" s="3" t="s">
        <v>72</v>
      </c>
      <c r="C104" s="43" t="s">
        <v>258</v>
      </c>
      <c r="D104" s="12" t="s">
        <v>259</v>
      </c>
      <c r="E104" s="4" t="s">
        <v>200</v>
      </c>
      <c r="F104" s="4" t="s">
        <v>260</v>
      </c>
      <c r="G104" s="12" t="s">
        <v>260</v>
      </c>
      <c r="H104" s="51" t="s">
        <v>261</v>
      </c>
      <c r="I104" s="23" t="s">
        <v>83</v>
      </c>
      <c r="J104" s="38">
        <v>2310</v>
      </c>
      <c r="K104" s="39">
        <v>2444</v>
      </c>
      <c r="L104" s="37">
        <f t="shared" si="4"/>
        <v>-134</v>
      </c>
      <c r="M104" s="37">
        <f t="shared" si="5"/>
        <v>-5.4828150572831431</v>
      </c>
      <c r="N104" s="36">
        <v>2180</v>
      </c>
      <c r="O104" s="36">
        <v>2365</v>
      </c>
      <c r="P104" s="37">
        <f t="shared" si="6"/>
        <v>-185</v>
      </c>
      <c r="Q104" s="37">
        <f t="shared" si="7"/>
        <v>-7.8224101479915431</v>
      </c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spans="1:27" ht="24.5" x14ac:dyDescent="0.35">
      <c r="A105" s="102">
        <v>112442</v>
      </c>
      <c r="B105" s="3" t="s">
        <v>72</v>
      </c>
      <c r="C105" s="43" t="s">
        <v>374</v>
      </c>
      <c r="D105" s="12" t="s">
        <v>375</v>
      </c>
      <c r="E105" s="4" t="s">
        <v>187</v>
      </c>
      <c r="F105" s="4" t="s">
        <v>356</v>
      </c>
      <c r="G105" s="12" t="s">
        <v>356</v>
      </c>
      <c r="H105" s="51" t="s">
        <v>189</v>
      </c>
      <c r="I105" s="23" t="s">
        <v>86</v>
      </c>
      <c r="J105" s="38">
        <v>3138</v>
      </c>
      <c r="K105" s="39">
        <v>3426</v>
      </c>
      <c r="L105" s="37">
        <f t="shared" si="4"/>
        <v>-288</v>
      </c>
      <c r="M105" s="37">
        <f t="shared" si="5"/>
        <v>-8.4063047285464094</v>
      </c>
      <c r="N105" s="36">
        <v>9254</v>
      </c>
      <c r="O105" s="36">
        <v>9569</v>
      </c>
      <c r="P105" s="37">
        <f t="shared" si="6"/>
        <v>-315</v>
      </c>
      <c r="Q105" s="37">
        <f t="shared" si="7"/>
        <v>-3.2918800292611556</v>
      </c>
      <c r="R105" s="37"/>
      <c r="S105" s="37"/>
      <c r="T105" s="37"/>
      <c r="U105" s="37"/>
      <c r="V105" s="37"/>
      <c r="W105" s="37"/>
      <c r="X105" s="37"/>
      <c r="Y105" s="37"/>
      <c r="Z105" s="37" t="s">
        <v>963</v>
      </c>
      <c r="AA105" s="37"/>
    </row>
    <row r="106" spans="1:27" ht="24.5" hidden="1" x14ac:dyDescent="0.35">
      <c r="A106" s="102">
        <v>236924</v>
      </c>
      <c r="B106" s="3" t="s">
        <v>72</v>
      </c>
      <c r="C106" s="43" t="s">
        <v>73</v>
      </c>
      <c r="D106" s="12" t="s">
        <v>74</v>
      </c>
      <c r="E106" s="4" t="s">
        <v>75</v>
      </c>
      <c r="F106" s="4" t="s">
        <v>76</v>
      </c>
      <c r="G106" s="12" t="s">
        <v>76</v>
      </c>
      <c r="H106" s="51" t="s">
        <v>77</v>
      </c>
      <c r="I106" s="23" t="s">
        <v>78</v>
      </c>
      <c r="J106" s="38">
        <v>353</v>
      </c>
      <c r="K106" s="39">
        <v>1905.3889999999999</v>
      </c>
      <c r="L106" s="37">
        <f t="shared" si="4"/>
        <v>-1552.3889999999999</v>
      </c>
      <c r="M106" s="37">
        <f t="shared" si="5"/>
        <v>-81.473599354252585</v>
      </c>
      <c r="N106" s="36">
        <v>308</v>
      </c>
      <c r="O106" s="36">
        <v>1693.8810000000001</v>
      </c>
      <c r="P106" s="37">
        <f t="shared" si="6"/>
        <v>-1385.8810000000001</v>
      </c>
      <c r="Q106" s="37">
        <f t="shared" si="7"/>
        <v>-81.816904493290849</v>
      </c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spans="1:27" ht="24.5" hidden="1" x14ac:dyDescent="0.35">
      <c r="A107" s="102">
        <v>112445</v>
      </c>
      <c r="B107" s="3" t="s">
        <v>72</v>
      </c>
      <c r="C107" s="43" t="s">
        <v>245</v>
      </c>
      <c r="D107" s="12" t="s">
        <v>246</v>
      </c>
      <c r="E107" s="4" t="s">
        <v>111</v>
      </c>
      <c r="F107" s="4" t="s">
        <v>247</v>
      </c>
      <c r="G107" s="12" t="s">
        <v>247</v>
      </c>
      <c r="H107" s="51" t="s">
        <v>248</v>
      </c>
      <c r="I107" s="23" t="s">
        <v>78</v>
      </c>
      <c r="J107" s="38">
        <v>3450.5</v>
      </c>
      <c r="K107" s="39">
        <v>5240</v>
      </c>
      <c r="L107" s="37">
        <f t="shared" si="4"/>
        <v>-1789.5</v>
      </c>
      <c r="M107" s="37">
        <f t="shared" si="5"/>
        <v>-34.150763358778626</v>
      </c>
      <c r="N107" s="36">
        <v>1133.5</v>
      </c>
      <c r="O107" s="36">
        <v>2024</v>
      </c>
      <c r="P107" s="37">
        <f t="shared" si="6"/>
        <v>-890.5</v>
      </c>
      <c r="Q107" s="37">
        <f t="shared" si="7"/>
        <v>-43.997035573122531</v>
      </c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spans="1:27" ht="24.5" hidden="1" x14ac:dyDescent="0.35">
      <c r="A108" s="102">
        <v>112444</v>
      </c>
      <c r="B108" s="3" t="s">
        <v>72</v>
      </c>
      <c r="C108" s="43" t="s">
        <v>249</v>
      </c>
      <c r="D108" s="12" t="s">
        <v>250</v>
      </c>
      <c r="E108" s="4" t="s">
        <v>94</v>
      </c>
      <c r="F108" s="4" t="s">
        <v>251</v>
      </c>
      <c r="G108" s="12" t="s">
        <v>251</v>
      </c>
      <c r="H108" s="51" t="s">
        <v>96</v>
      </c>
      <c r="I108" s="23" t="s">
        <v>83</v>
      </c>
      <c r="J108" s="38">
        <v>4684</v>
      </c>
      <c r="K108" s="39">
        <v>4628</v>
      </c>
      <c r="L108" s="37">
        <f t="shared" si="4"/>
        <v>56</v>
      </c>
      <c r="M108" s="37">
        <f t="shared" si="5"/>
        <v>1.2100259291270528</v>
      </c>
      <c r="N108" s="36">
        <v>402</v>
      </c>
      <c r="O108" s="36">
        <v>404</v>
      </c>
      <c r="P108" s="37">
        <f t="shared" si="6"/>
        <v>-2</v>
      </c>
      <c r="Q108" s="37">
        <f t="shared" si="7"/>
        <v>-0.49504950495049505</v>
      </c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spans="1:27" ht="24.5" hidden="1" x14ac:dyDescent="0.35">
      <c r="A109" s="103">
        <v>41076270</v>
      </c>
      <c r="B109" s="9" t="s">
        <v>380</v>
      </c>
      <c r="C109" s="47" t="s">
        <v>381</v>
      </c>
      <c r="D109" s="14" t="s">
        <v>382</v>
      </c>
      <c r="E109" s="10" t="s">
        <v>85</v>
      </c>
      <c r="F109" s="10" t="s">
        <v>383</v>
      </c>
      <c r="G109" s="12" t="s">
        <v>383</v>
      </c>
      <c r="H109" s="51" t="s">
        <v>141</v>
      </c>
      <c r="I109" s="25" t="s">
        <v>83</v>
      </c>
      <c r="J109" s="38">
        <v>1146</v>
      </c>
      <c r="K109" s="39">
        <v>18</v>
      </c>
      <c r="L109" s="37">
        <f t="shared" si="4"/>
        <v>1128</v>
      </c>
      <c r="M109" s="37">
        <f t="shared" si="5"/>
        <v>6266.6666666666661</v>
      </c>
      <c r="N109" s="36">
        <v>629</v>
      </c>
      <c r="O109" s="36">
        <v>7</v>
      </c>
      <c r="P109" s="37">
        <f t="shared" si="6"/>
        <v>622</v>
      </c>
      <c r="Q109" s="37">
        <f t="shared" si="7"/>
        <v>8885.7142857142862</v>
      </c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spans="1:27" ht="24.5" hidden="1" x14ac:dyDescent="0.35">
      <c r="A110" s="103">
        <v>41056524</v>
      </c>
      <c r="B110" s="9" t="s">
        <v>380</v>
      </c>
      <c r="C110" s="48" t="s">
        <v>384</v>
      </c>
      <c r="D110" s="14" t="s">
        <v>385</v>
      </c>
      <c r="E110" s="10" t="s">
        <v>187</v>
      </c>
      <c r="F110" s="12" t="s">
        <v>356</v>
      </c>
      <c r="G110" s="12" t="s">
        <v>356</v>
      </c>
      <c r="H110" s="51" t="s">
        <v>189</v>
      </c>
      <c r="I110" s="25" t="s">
        <v>86</v>
      </c>
      <c r="J110" s="38">
        <v>2205</v>
      </c>
      <c r="K110" s="39">
        <v>1617.5</v>
      </c>
      <c r="L110" s="37">
        <f t="shared" si="4"/>
        <v>587.5</v>
      </c>
      <c r="M110" s="37">
        <f t="shared" si="5"/>
        <v>36.321483771251934</v>
      </c>
      <c r="N110" s="36">
        <v>4223</v>
      </c>
      <c r="O110" s="36">
        <v>4776.5</v>
      </c>
      <c r="P110" s="37">
        <f t="shared" si="6"/>
        <v>-553.5</v>
      </c>
      <c r="Q110" s="37">
        <f t="shared" si="7"/>
        <v>-11.587982832618025</v>
      </c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spans="1:27" ht="24.5" hidden="1" x14ac:dyDescent="0.35">
      <c r="A111" s="103">
        <v>41056793</v>
      </c>
      <c r="B111" s="9" t="s">
        <v>380</v>
      </c>
      <c r="C111" s="47" t="s">
        <v>429</v>
      </c>
      <c r="D111" s="14" t="s">
        <v>430</v>
      </c>
      <c r="E111" s="10" t="s">
        <v>94</v>
      </c>
      <c r="F111" s="10" t="s">
        <v>247</v>
      </c>
      <c r="G111" s="12" t="s">
        <v>247</v>
      </c>
      <c r="H111" s="51" t="s">
        <v>248</v>
      </c>
      <c r="I111" s="25" t="s">
        <v>83</v>
      </c>
      <c r="J111" s="38">
        <v>4144.5</v>
      </c>
      <c r="K111" s="39">
        <v>3381</v>
      </c>
      <c r="L111" s="37">
        <f t="shared" si="4"/>
        <v>763.5</v>
      </c>
      <c r="M111" s="37">
        <f t="shared" si="5"/>
        <v>22.582076308784384</v>
      </c>
      <c r="N111" s="36">
        <v>724.5</v>
      </c>
      <c r="O111" s="36">
        <v>719</v>
      </c>
      <c r="P111" s="37">
        <f t="shared" si="6"/>
        <v>5.5</v>
      </c>
      <c r="Q111" s="37">
        <f t="shared" si="7"/>
        <v>0.76495132127955501</v>
      </c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spans="1:27" ht="36.5" hidden="1" x14ac:dyDescent="0.35">
      <c r="A112" s="103">
        <v>41031854</v>
      </c>
      <c r="B112" s="9" t="s">
        <v>380</v>
      </c>
      <c r="C112" s="47" t="s">
        <v>496</v>
      </c>
      <c r="D112" s="14" t="s">
        <v>497</v>
      </c>
      <c r="E112" s="10" t="s">
        <v>81</v>
      </c>
      <c r="F112" s="10" t="s">
        <v>498</v>
      </c>
      <c r="G112" s="12" t="s">
        <v>498</v>
      </c>
      <c r="H112" s="51" t="s">
        <v>135</v>
      </c>
      <c r="I112" s="25" t="s">
        <v>83</v>
      </c>
      <c r="J112" s="38">
        <v>5352</v>
      </c>
      <c r="K112" s="39">
        <v>4599.5</v>
      </c>
      <c r="L112" s="37">
        <f t="shared" si="4"/>
        <v>752.5</v>
      </c>
      <c r="M112" s="37">
        <f t="shared" si="5"/>
        <v>16.360473964561365</v>
      </c>
      <c r="N112" s="36">
        <v>1258</v>
      </c>
      <c r="O112" s="36">
        <v>1372.5</v>
      </c>
      <c r="P112" s="37">
        <f t="shared" si="6"/>
        <v>-114.5</v>
      </c>
      <c r="Q112" s="37">
        <f t="shared" si="7"/>
        <v>-8.3424408014571938</v>
      </c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spans="1:27" ht="24.5" hidden="1" x14ac:dyDescent="0.35">
      <c r="A113" s="103">
        <v>41057005</v>
      </c>
      <c r="B113" s="9" t="s">
        <v>380</v>
      </c>
      <c r="C113" s="47" t="s">
        <v>458</v>
      </c>
      <c r="D113" s="14" t="s">
        <v>459</v>
      </c>
      <c r="E113" s="10" t="s">
        <v>94</v>
      </c>
      <c r="F113" s="10" t="s">
        <v>161</v>
      </c>
      <c r="G113" s="12" t="s">
        <v>161</v>
      </c>
      <c r="H113" s="51" t="s">
        <v>96</v>
      </c>
      <c r="I113" s="25" t="s">
        <v>83</v>
      </c>
      <c r="J113" s="38">
        <v>8360</v>
      </c>
      <c r="K113" s="39">
        <v>7823.5</v>
      </c>
      <c r="L113" s="37">
        <f t="shared" si="4"/>
        <v>536.5</v>
      </c>
      <c r="M113" s="37">
        <f t="shared" si="5"/>
        <v>6.8575445772352523</v>
      </c>
      <c r="N113" s="36">
        <v>2081</v>
      </c>
      <c r="O113" s="36">
        <v>2328.5</v>
      </c>
      <c r="P113" s="37">
        <f t="shared" si="6"/>
        <v>-247.5</v>
      </c>
      <c r="Q113" s="37">
        <f t="shared" si="7"/>
        <v>-10.629160403693366</v>
      </c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spans="1:27" hidden="1" x14ac:dyDescent="0.35">
      <c r="A114" s="103">
        <v>41031838</v>
      </c>
      <c r="B114" s="9" t="s">
        <v>380</v>
      </c>
      <c r="C114" s="47" t="s">
        <v>456</v>
      </c>
      <c r="D114" s="14" t="s">
        <v>457</v>
      </c>
      <c r="E114" s="10" t="s">
        <v>81</v>
      </c>
      <c r="F114" s="10" t="s">
        <v>134</v>
      </c>
      <c r="G114" s="12" t="s">
        <v>134</v>
      </c>
      <c r="H114" s="51" t="s">
        <v>135</v>
      </c>
      <c r="I114" s="25" t="s">
        <v>83</v>
      </c>
      <c r="J114" s="38">
        <v>4464.5</v>
      </c>
      <c r="K114" s="39">
        <v>3476</v>
      </c>
      <c r="L114" s="37">
        <f t="shared" si="4"/>
        <v>988.5</v>
      </c>
      <c r="M114" s="37">
        <f t="shared" si="5"/>
        <v>28.437859608745686</v>
      </c>
      <c r="N114" s="36">
        <v>1373.5</v>
      </c>
      <c r="O114" s="36">
        <v>1009</v>
      </c>
      <c r="P114" s="37">
        <f t="shared" si="6"/>
        <v>364.5</v>
      </c>
      <c r="Q114" s="37">
        <f t="shared" si="7"/>
        <v>36.124876114965311</v>
      </c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spans="1:27" ht="24.5" hidden="1" x14ac:dyDescent="0.35">
      <c r="A115" s="103">
        <v>41056993</v>
      </c>
      <c r="B115" s="9" t="s">
        <v>380</v>
      </c>
      <c r="C115" s="48" t="s">
        <v>508</v>
      </c>
      <c r="D115" s="14" t="s">
        <v>434</v>
      </c>
      <c r="E115" s="10" t="s">
        <v>200</v>
      </c>
      <c r="F115" s="10" t="s">
        <v>300</v>
      </c>
      <c r="G115" s="12" t="s">
        <v>300</v>
      </c>
      <c r="H115" s="51" t="s">
        <v>261</v>
      </c>
      <c r="I115" s="25" t="s">
        <v>83</v>
      </c>
      <c r="J115" s="38">
        <v>3894</v>
      </c>
      <c r="K115" s="39">
        <v>3287</v>
      </c>
      <c r="L115" s="37">
        <f t="shared" si="4"/>
        <v>607</v>
      </c>
      <c r="M115" s="37">
        <f t="shared" si="5"/>
        <v>18.466686948585338</v>
      </c>
      <c r="N115" s="36">
        <v>4522</v>
      </c>
      <c r="O115" s="36">
        <v>3927</v>
      </c>
      <c r="P115" s="37">
        <f t="shared" si="6"/>
        <v>595</v>
      </c>
      <c r="Q115" s="37">
        <f t="shared" si="7"/>
        <v>15.151515151515152</v>
      </c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spans="1:27" ht="24.5" hidden="1" x14ac:dyDescent="0.35">
      <c r="A116" s="103">
        <v>41056984</v>
      </c>
      <c r="B116" s="9" t="s">
        <v>380</v>
      </c>
      <c r="C116" s="47" t="s">
        <v>396</v>
      </c>
      <c r="D116" s="14" t="s">
        <v>397</v>
      </c>
      <c r="E116" s="10" t="s">
        <v>85</v>
      </c>
      <c r="F116" s="10" t="s">
        <v>192</v>
      </c>
      <c r="G116" s="12" t="s">
        <v>192</v>
      </c>
      <c r="H116" s="51" t="s">
        <v>178</v>
      </c>
      <c r="I116" s="25" t="s">
        <v>86</v>
      </c>
      <c r="J116" s="38">
        <v>4738</v>
      </c>
      <c r="K116" s="39">
        <v>4164.5</v>
      </c>
      <c r="L116" s="37">
        <f t="shared" si="4"/>
        <v>573.5</v>
      </c>
      <c r="M116" s="37">
        <f t="shared" si="5"/>
        <v>13.771161003721936</v>
      </c>
      <c r="N116" s="36">
        <v>386</v>
      </c>
      <c r="O116" s="36">
        <v>348.5</v>
      </c>
      <c r="P116" s="37">
        <f t="shared" si="6"/>
        <v>37.5</v>
      </c>
      <c r="Q116" s="37">
        <f t="shared" si="7"/>
        <v>10.760401721664275</v>
      </c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spans="1:27" ht="36.5" hidden="1" x14ac:dyDescent="0.35">
      <c r="A117" s="103">
        <v>41057006</v>
      </c>
      <c r="B117" s="9" t="s">
        <v>380</v>
      </c>
      <c r="C117" s="48" t="s">
        <v>547</v>
      </c>
      <c r="D117" s="14" t="s">
        <v>548</v>
      </c>
      <c r="E117" s="10" t="s">
        <v>81</v>
      </c>
      <c r="F117" s="10" t="s">
        <v>184</v>
      </c>
      <c r="G117" s="12" t="s">
        <v>184</v>
      </c>
      <c r="H117" s="51" t="s">
        <v>141</v>
      </c>
      <c r="I117" s="25" t="s">
        <v>83</v>
      </c>
      <c r="J117" s="38">
        <v>5761.5</v>
      </c>
      <c r="K117" s="39">
        <v>5657</v>
      </c>
      <c r="L117" s="37">
        <f t="shared" si="4"/>
        <v>104.5</v>
      </c>
      <c r="M117" s="37">
        <f t="shared" si="5"/>
        <v>1.8472688704260209</v>
      </c>
      <c r="N117" s="36">
        <v>878.5</v>
      </c>
      <c r="O117" s="36">
        <v>1053</v>
      </c>
      <c r="P117" s="37">
        <f t="shared" si="6"/>
        <v>-174.5</v>
      </c>
      <c r="Q117" s="37">
        <f t="shared" si="7"/>
        <v>-16.571699905033238</v>
      </c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spans="1:27" ht="24.5" hidden="1" x14ac:dyDescent="0.35">
      <c r="A118" s="103">
        <v>41019250</v>
      </c>
      <c r="B118" s="9" t="s">
        <v>380</v>
      </c>
      <c r="C118" s="47" t="s">
        <v>491</v>
      </c>
      <c r="D118" s="14" t="s">
        <v>492</v>
      </c>
      <c r="E118" s="10" t="s">
        <v>111</v>
      </c>
      <c r="F118" s="10" t="s">
        <v>271</v>
      </c>
      <c r="G118" s="12" t="s">
        <v>271</v>
      </c>
      <c r="H118" s="51" t="s">
        <v>113</v>
      </c>
      <c r="I118" s="25" t="s">
        <v>78</v>
      </c>
      <c r="J118" s="38">
        <v>2234</v>
      </c>
      <c r="K118" s="39">
        <v>2064.5</v>
      </c>
      <c r="L118" s="37">
        <f t="shared" si="4"/>
        <v>169.5</v>
      </c>
      <c r="M118" s="37">
        <f t="shared" si="5"/>
        <v>8.2102203923468142</v>
      </c>
      <c r="N118" s="36">
        <v>767</v>
      </c>
      <c r="O118" s="36">
        <v>760.5</v>
      </c>
      <c r="P118" s="37">
        <f t="shared" si="6"/>
        <v>6.5</v>
      </c>
      <c r="Q118" s="37">
        <f t="shared" si="7"/>
        <v>0.85470085470085477</v>
      </c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spans="1:27" ht="24.5" hidden="1" x14ac:dyDescent="0.35">
      <c r="A119" s="103">
        <v>41056494</v>
      </c>
      <c r="B119" s="9" t="s">
        <v>380</v>
      </c>
      <c r="C119" s="47" t="s">
        <v>530</v>
      </c>
      <c r="D119" s="14" t="s">
        <v>531</v>
      </c>
      <c r="E119" s="10" t="s">
        <v>111</v>
      </c>
      <c r="F119" s="10" t="s">
        <v>112</v>
      </c>
      <c r="G119" s="12" t="s">
        <v>112</v>
      </c>
      <c r="H119" s="51" t="s">
        <v>113</v>
      </c>
      <c r="I119" s="25" t="s">
        <v>78</v>
      </c>
      <c r="J119" s="38">
        <v>8695.5</v>
      </c>
      <c r="K119" s="39">
        <v>7792.5</v>
      </c>
      <c r="L119" s="37">
        <f t="shared" si="4"/>
        <v>903</v>
      </c>
      <c r="M119" s="37">
        <f t="shared" si="5"/>
        <v>11.588065447545718</v>
      </c>
      <c r="N119" s="36">
        <v>2460.5</v>
      </c>
      <c r="O119" s="36">
        <v>2550.5</v>
      </c>
      <c r="P119" s="37">
        <f t="shared" si="6"/>
        <v>-90</v>
      </c>
      <c r="Q119" s="37">
        <f t="shared" si="7"/>
        <v>-3.5287198588512059</v>
      </c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spans="1:27" hidden="1" x14ac:dyDescent="0.35">
      <c r="A120" s="103">
        <v>41032594</v>
      </c>
      <c r="B120" s="9" t="s">
        <v>380</v>
      </c>
      <c r="C120" s="47" t="s">
        <v>388</v>
      </c>
      <c r="D120" s="14" t="s">
        <v>389</v>
      </c>
      <c r="E120" s="10" t="s">
        <v>89</v>
      </c>
      <c r="F120" s="10" t="s">
        <v>204</v>
      </c>
      <c r="G120" s="12" t="s">
        <v>204</v>
      </c>
      <c r="H120" s="51" t="s">
        <v>205</v>
      </c>
      <c r="I120" s="25" t="s">
        <v>86</v>
      </c>
      <c r="J120" s="38">
        <v>3785.5</v>
      </c>
      <c r="K120" s="39">
        <v>2936.5</v>
      </c>
      <c r="L120" s="37">
        <f t="shared" si="4"/>
        <v>849</v>
      </c>
      <c r="M120" s="37">
        <f t="shared" si="5"/>
        <v>28.911970032351437</v>
      </c>
      <c r="N120" s="36">
        <v>988.5</v>
      </c>
      <c r="O120" s="36">
        <v>843.5</v>
      </c>
      <c r="P120" s="37">
        <f t="shared" si="6"/>
        <v>145</v>
      </c>
      <c r="Q120" s="37">
        <f t="shared" si="7"/>
        <v>17.190278601066982</v>
      </c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spans="1:27" ht="36.5" hidden="1" x14ac:dyDescent="0.35">
      <c r="A121" s="103">
        <v>41026624</v>
      </c>
      <c r="B121" s="9" t="s">
        <v>380</v>
      </c>
      <c r="C121" s="47" t="s">
        <v>460</v>
      </c>
      <c r="D121" s="14" t="s">
        <v>461</v>
      </c>
      <c r="E121" s="10" t="s">
        <v>228</v>
      </c>
      <c r="F121" s="10" t="s">
        <v>462</v>
      </c>
      <c r="G121" s="12" t="s">
        <v>462</v>
      </c>
      <c r="H121" s="51" t="s">
        <v>230</v>
      </c>
      <c r="I121" s="25" t="s">
        <v>78</v>
      </c>
      <c r="J121" s="38">
        <v>4537.5</v>
      </c>
      <c r="K121" s="39">
        <v>4201.5</v>
      </c>
      <c r="L121" s="37">
        <f t="shared" si="4"/>
        <v>336</v>
      </c>
      <c r="M121" s="37">
        <f t="shared" si="5"/>
        <v>7.9971438771867192</v>
      </c>
      <c r="N121" s="36">
        <v>530.5</v>
      </c>
      <c r="O121" s="36">
        <v>652.5</v>
      </c>
      <c r="P121" s="37">
        <f t="shared" si="6"/>
        <v>-122</v>
      </c>
      <c r="Q121" s="37">
        <f t="shared" si="7"/>
        <v>-18.697318007662837</v>
      </c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spans="1:27" ht="24.5" hidden="1" x14ac:dyDescent="0.35">
      <c r="A122" s="103">
        <v>41056985</v>
      </c>
      <c r="B122" s="9" t="s">
        <v>380</v>
      </c>
      <c r="C122" s="48" t="s">
        <v>450</v>
      </c>
      <c r="D122" s="14" t="s">
        <v>451</v>
      </c>
      <c r="E122" s="10" t="s">
        <v>81</v>
      </c>
      <c r="F122" s="10" t="s">
        <v>140</v>
      </c>
      <c r="G122" s="12" t="s">
        <v>140</v>
      </c>
      <c r="H122" s="51" t="s">
        <v>141</v>
      </c>
      <c r="I122" s="25" t="s">
        <v>83</v>
      </c>
      <c r="J122" s="38">
        <v>1307</v>
      </c>
      <c r="K122" s="39">
        <v>1138.5</v>
      </c>
      <c r="L122" s="37">
        <f t="shared" si="4"/>
        <v>168.5</v>
      </c>
      <c r="M122" s="37">
        <f t="shared" si="5"/>
        <v>14.800175669740886</v>
      </c>
      <c r="N122" s="36">
        <v>2049</v>
      </c>
      <c r="O122" s="36">
        <v>1930.5</v>
      </c>
      <c r="P122" s="37">
        <f t="shared" si="6"/>
        <v>118.5</v>
      </c>
      <c r="Q122" s="37">
        <f t="shared" si="7"/>
        <v>6.1383061383061381</v>
      </c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spans="1:27" ht="24.5" hidden="1" x14ac:dyDescent="0.35">
      <c r="A123" s="103">
        <v>41056527</v>
      </c>
      <c r="B123" s="9" t="s">
        <v>380</v>
      </c>
      <c r="C123" s="47" t="s">
        <v>403</v>
      </c>
      <c r="D123" s="14" t="s">
        <v>404</v>
      </c>
      <c r="E123" s="10" t="s">
        <v>187</v>
      </c>
      <c r="F123" s="10" t="s">
        <v>188</v>
      </c>
      <c r="G123" s="12" t="s">
        <v>188</v>
      </c>
      <c r="H123" s="51" t="s">
        <v>189</v>
      </c>
      <c r="I123" s="25" t="s">
        <v>86</v>
      </c>
      <c r="J123" s="38">
        <v>3346.5</v>
      </c>
      <c r="K123" s="39">
        <v>3043.5</v>
      </c>
      <c r="L123" s="37">
        <f t="shared" si="4"/>
        <v>303</v>
      </c>
      <c r="M123" s="37">
        <f t="shared" si="5"/>
        <v>9.9556431739773288</v>
      </c>
      <c r="N123" s="36">
        <v>1372.5</v>
      </c>
      <c r="O123" s="36">
        <v>1336.5</v>
      </c>
      <c r="P123" s="37">
        <f t="shared" si="6"/>
        <v>36</v>
      </c>
      <c r="Q123" s="37">
        <f t="shared" si="7"/>
        <v>2.6936026936026933</v>
      </c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spans="1:27" ht="24.5" hidden="1" x14ac:dyDescent="0.35">
      <c r="A124" s="103">
        <v>41019268</v>
      </c>
      <c r="B124" s="9" t="s">
        <v>380</v>
      </c>
      <c r="C124" s="47" t="s">
        <v>516</v>
      </c>
      <c r="D124" s="14" t="s">
        <v>517</v>
      </c>
      <c r="E124" s="10" t="s">
        <v>169</v>
      </c>
      <c r="F124" s="10" t="s">
        <v>488</v>
      </c>
      <c r="G124" s="12" t="s">
        <v>488</v>
      </c>
      <c r="H124" s="51" t="s">
        <v>172</v>
      </c>
      <c r="I124" s="25" t="s">
        <v>78</v>
      </c>
      <c r="J124" s="38">
        <v>3985.5</v>
      </c>
      <c r="K124" s="39">
        <v>3510.5</v>
      </c>
      <c r="L124" s="37">
        <f t="shared" si="4"/>
        <v>475</v>
      </c>
      <c r="M124" s="37">
        <f t="shared" si="5"/>
        <v>13.530836063238855</v>
      </c>
      <c r="N124" s="36">
        <v>346.5</v>
      </c>
      <c r="O124" s="36">
        <v>331.5</v>
      </c>
      <c r="P124" s="37">
        <f t="shared" si="6"/>
        <v>15</v>
      </c>
      <c r="Q124" s="37">
        <f t="shared" si="7"/>
        <v>4.5248868778280542</v>
      </c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spans="1:27" ht="24.5" hidden="1" x14ac:dyDescent="0.35">
      <c r="A125" s="103">
        <v>41063936</v>
      </c>
      <c r="B125" s="9" t="s">
        <v>380</v>
      </c>
      <c r="C125" s="48" t="s">
        <v>514</v>
      </c>
      <c r="D125" s="14" t="s">
        <v>515</v>
      </c>
      <c r="E125" s="10" t="s">
        <v>103</v>
      </c>
      <c r="F125" s="10" t="s">
        <v>216</v>
      </c>
      <c r="G125" s="12" t="s">
        <v>216</v>
      </c>
      <c r="H125" s="51" t="s">
        <v>217</v>
      </c>
      <c r="I125" s="25" t="s">
        <v>86</v>
      </c>
      <c r="J125" s="38">
        <v>3067</v>
      </c>
      <c r="K125" s="39">
        <v>2572.5</v>
      </c>
      <c r="L125" s="37">
        <f t="shared" si="4"/>
        <v>494.5</v>
      </c>
      <c r="M125" s="37">
        <f t="shared" si="5"/>
        <v>19.22254616132167</v>
      </c>
      <c r="N125" s="36">
        <v>2928</v>
      </c>
      <c r="O125" s="36">
        <v>3235.5</v>
      </c>
      <c r="P125" s="37">
        <f t="shared" si="6"/>
        <v>-307.5</v>
      </c>
      <c r="Q125" s="37">
        <f t="shared" si="7"/>
        <v>-9.5039406583217421</v>
      </c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spans="1:27" ht="24.5" hidden="1" x14ac:dyDescent="0.35">
      <c r="A126" s="103">
        <v>41057013</v>
      </c>
      <c r="B126" s="9" t="s">
        <v>380</v>
      </c>
      <c r="C126" s="48" t="s">
        <v>553</v>
      </c>
      <c r="D126" s="14" t="s">
        <v>552</v>
      </c>
      <c r="E126" s="10" t="s">
        <v>187</v>
      </c>
      <c r="F126" s="10" t="s">
        <v>366</v>
      </c>
      <c r="G126" s="12" t="s">
        <v>366</v>
      </c>
      <c r="H126" s="51" t="s">
        <v>367</v>
      </c>
      <c r="I126" s="25" t="s">
        <v>86</v>
      </c>
      <c r="J126" s="38">
        <v>3365.5</v>
      </c>
      <c r="K126" s="39">
        <v>3201.5</v>
      </c>
      <c r="L126" s="37">
        <f t="shared" si="4"/>
        <v>164</v>
      </c>
      <c r="M126" s="37">
        <f t="shared" si="5"/>
        <v>5.1225987818210212</v>
      </c>
      <c r="N126" s="36">
        <v>279.5</v>
      </c>
      <c r="O126" s="36">
        <v>327.5</v>
      </c>
      <c r="P126" s="37">
        <f t="shared" si="6"/>
        <v>-48</v>
      </c>
      <c r="Q126" s="37">
        <f t="shared" si="7"/>
        <v>-14.656488549618322</v>
      </c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spans="1:27" ht="36.5" hidden="1" x14ac:dyDescent="0.35">
      <c r="A127" s="103">
        <v>41019255</v>
      </c>
      <c r="B127" s="9" t="s">
        <v>380</v>
      </c>
      <c r="C127" s="48" t="s">
        <v>494</v>
      </c>
      <c r="D127" s="14" t="s">
        <v>495</v>
      </c>
      <c r="E127" s="10" t="s">
        <v>81</v>
      </c>
      <c r="F127" s="10" t="s">
        <v>184</v>
      </c>
      <c r="G127" s="12" t="s">
        <v>184</v>
      </c>
      <c r="H127" s="51" t="s">
        <v>141</v>
      </c>
      <c r="I127" s="25" t="s">
        <v>83</v>
      </c>
      <c r="J127" s="38">
        <v>2059.5</v>
      </c>
      <c r="K127" s="39">
        <v>2002</v>
      </c>
      <c r="L127" s="37">
        <f t="shared" si="4"/>
        <v>57.5</v>
      </c>
      <c r="M127" s="37">
        <f t="shared" si="5"/>
        <v>2.872127872127872</v>
      </c>
      <c r="N127" s="36">
        <v>965.5</v>
      </c>
      <c r="O127" s="36">
        <v>1019</v>
      </c>
      <c r="P127" s="37">
        <f t="shared" si="6"/>
        <v>-53.5</v>
      </c>
      <c r="Q127" s="37">
        <f t="shared" si="7"/>
        <v>-5.2502453385672228</v>
      </c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spans="1:27" ht="24.5" hidden="1" x14ac:dyDescent="0.35">
      <c r="A128" s="103">
        <v>41057003</v>
      </c>
      <c r="B128" s="9" t="s">
        <v>380</v>
      </c>
      <c r="C128" s="48" t="s">
        <v>409</v>
      </c>
      <c r="D128" s="14" t="s">
        <v>410</v>
      </c>
      <c r="E128" s="10" t="s">
        <v>187</v>
      </c>
      <c r="F128" s="10" t="s">
        <v>321</v>
      </c>
      <c r="G128" s="12" t="s">
        <v>321</v>
      </c>
      <c r="H128" s="51" t="s">
        <v>189</v>
      </c>
      <c r="I128" s="25" t="s">
        <v>86</v>
      </c>
      <c r="J128" s="38">
        <v>5056</v>
      </c>
      <c r="K128" s="39">
        <v>4630</v>
      </c>
      <c r="L128" s="37">
        <f t="shared" si="4"/>
        <v>426</v>
      </c>
      <c r="M128" s="37">
        <f t="shared" si="5"/>
        <v>9.2008639308855287</v>
      </c>
      <c r="N128" s="36">
        <v>1752</v>
      </c>
      <c r="O128" s="36">
        <v>1759</v>
      </c>
      <c r="P128" s="37">
        <f t="shared" si="6"/>
        <v>-7</v>
      </c>
      <c r="Q128" s="37">
        <f t="shared" si="7"/>
        <v>-0.39795338260375218</v>
      </c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spans="1:27" ht="24.5" hidden="1" x14ac:dyDescent="0.35">
      <c r="A129" s="103">
        <v>41056544</v>
      </c>
      <c r="B129" s="9" t="s">
        <v>380</v>
      </c>
      <c r="C129" s="48" t="s">
        <v>406</v>
      </c>
      <c r="D129" s="14" t="s">
        <v>407</v>
      </c>
      <c r="E129" s="10" t="s">
        <v>187</v>
      </c>
      <c r="F129" s="10" t="s">
        <v>356</v>
      </c>
      <c r="G129" s="12" t="s">
        <v>408</v>
      </c>
      <c r="H129" s="51" t="s">
        <v>367</v>
      </c>
      <c r="I129" s="25" t="s">
        <v>86</v>
      </c>
      <c r="J129" s="38">
        <v>5430.5</v>
      </c>
      <c r="K129" s="39">
        <v>5107</v>
      </c>
      <c r="L129" s="37">
        <f t="shared" si="4"/>
        <v>323.5</v>
      </c>
      <c r="M129" s="37">
        <f t="shared" si="5"/>
        <v>6.3344429214803206</v>
      </c>
      <c r="N129" s="36">
        <v>2701.5</v>
      </c>
      <c r="O129" s="36">
        <v>3414</v>
      </c>
      <c r="P129" s="37">
        <f t="shared" si="6"/>
        <v>-712.5</v>
      </c>
      <c r="Q129" s="37">
        <f t="shared" si="7"/>
        <v>-20.869947275922669</v>
      </c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spans="1:27" ht="24.5" hidden="1" x14ac:dyDescent="0.35">
      <c r="A130" s="103">
        <v>41056548</v>
      </c>
      <c r="B130" s="9" t="s">
        <v>380</v>
      </c>
      <c r="C130" s="47" t="s">
        <v>522</v>
      </c>
      <c r="D130" s="14" t="s">
        <v>523</v>
      </c>
      <c r="E130" s="10" t="s">
        <v>103</v>
      </c>
      <c r="F130" s="10" t="s">
        <v>104</v>
      </c>
      <c r="G130" s="12" t="s">
        <v>104</v>
      </c>
      <c r="H130" s="51" t="s">
        <v>105</v>
      </c>
      <c r="I130" s="25" t="s">
        <v>78</v>
      </c>
      <c r="J130" s="38">
        <v>3103</v>
      </c>
      <c r="K130" s="39">
        <v>2866.5</v>
      </c>
      <c r="L130" s="37">
        <f t="shared" ref="L130:L193" si="8">(J130-K130)</f>
        <v>236.5</v>
      </c>
      <c r="M130" s="37">
        <f t="shared" ref="M130:M193" si="9">(L130)/K130*100</f>
        <v>8.2504796790511072</v>
      </c>
      <c r="N130" s="36">
        <v>675</v>
      </c>
      <c r="O130" s="36">
        <v>677.5</v>
      </c>
      <c r="P130" s="37">
        <f t="shared" ref="P130:P193" si="10">(N130-O130)</f>
        <v>-2.5</v>
      </c>
      <c r="Q130" s="37">
        <f t="shared" ref="Q130:Q193" si="11">(P130)/O130*100</f>
        <v>-0.36900369003690037</v>
      </c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spans="1:27" ht="24.5" hidden="1" x14ac:dyDescent="0.35">
      <c r="A131" s="103">
        <v>41056989</v>
      </c>
      <c r="B131" s="9" t="s">
        <v>380</v>
      </c>
      <c r="C131" s="48" t="s">
        <v>475</v>
      </c>
      <c r="D131" s="14" t="s">
        <v>476</v>
      </c>
      <c r="E131" s="10" t="s">
        <v>187</v>
      </c>
      <c r="F131" s="10" t="s">
        <v>366</v>
      </c>
      <c r="G131" s="12" t="s">
        <v>366</v>
      </c>
      <c r="H131" s="51" t="s">
        <v>367</v>
      </c>
      <c r="I131" s="25" t="s">
        <v>86</v>
      </c>
      <c r="J131" s="38">
        <v>3367</v>
      </c>
      <c r="K131" s="39">
        <v>3212</v>
      </c>
      <c r="L131" s="37">
        <f t="shared" si="8"/>
        <v>155</v>
      </c>
      <c r="M131" s="37">
        <f t="shared" si="9"/>
        <v>4.8256537982565382</v>
      </c>
      <c r="N131" s="36">
        <v>6901</v>
      </c>
      <c r="O131" s="36">
        <v>6636</v>
      </c>
      <c r="P131" s="37">
        <f t="shared" si="10"/>
        <v>265</v>
      </c>
      <c r="Q131" s="37">
        <f t="shared" si="11"/>
        <v>3.993369499698614</v>
      </c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spans="1:27" ht="48.5" hidden="1" x14ac:dyDescent="0.35">
      <c r="A132" s="103">
        <v>41056836</v>
      </c>
      <c r="B132" s="9" t="s">
        <v>380</v>
      </c>
      <c r="C132" s="47" t="s">
        <v>524</v>
      </c>
      <c r="D132" s="14" t="s">
        <v>525</v>
      </c>
      <c r="E132" s="10" t="s">
        <v>103</v>
      </c>
      <c r="F132" s="10" t="s">
        <v>526</v>
      </c>
      <c r="G132" s="12" t="s">
        <v>526</v>
      </c>
      <c r="H132" s="51" t="s">
        <v>96</v>
      </c>
      <c r="I132" s="25" t="s">
        <v>78</v>
      </c>
      <c r="J132" s="38">
        <v>4143.5</v>
      </c>
      <c r="K132" s="39">
        <v>3913.5</v>
      </c>
      <c r="L132" s="37">
        <f t="shared" si="8"/>
        <v>230</v>
      </c>
      <c r="M132" s="37">
        <f t="shared" si="9"/>
        <v>5.8770921170307915</v>
      </c>
      <c r="N132" s="36">
        <v>929.5</v>
      </c>
      <c r="O132" s="36">
        <v>1026.5</v>
      </c>
      <c r="P132" s="37">
        <f t="shared" si="10"/>
        <v>-97</v>
      </c>
      <c r="Q132" s="37">
        <f t="shared" si="11"/>
        <v>-9.4495859717486592</v>
      </c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spans="1:27" ht="24.5" hidden="1" x14ac:dyDescent="0.35">
      <c r="A133" s="103">
        <v>41019298</v>
      </c>
      <c r="B133" s="9" t="s">
        <v>380</v>
      </c>
      <c r="C133" s="47" t="s">
        <v>453</v>
      </c>
      <c r="D133" s="14" t="s">
        <v>454</v>
      </c>
      <c r="E133" s="10" t="s">
        <v>81</v>
      </c>
      <c r="F133" s="10" t="s">
        <v>455</v>
      </c>
      <c r="G133" s="12" t="s">
        <v>455</v>
      </c>
      <c r="H133" s="51" t="s">
        <v>141</v>
      </c>
      <c r="I133" s="25" t="s">
        <v>83</v>
      </c>
      <c r="J133" s="38">
        <v>3515.5</v>
      </c>
      <c r="K133" s="39">
        <v>3058</v>
      </c>
      <c r="L133" s="37">
        <f t="shared" si="8"/>
        <v>457.5</v>
      </c>
      <c r="M133" s="37">
        <f t="shared" si="9"/>
        <v>14.960758665794637</v>
      </c>
      <c r="N133" s="36">
        <v>938.5</v>
      </c>
      <c r="O133" s="36">
        <v>944</v>
      </c>
      <c r="P133" s="37">
        <f t="shared" si="10"/>
        <v>-5.5</v>
      </c>
      <c r="Q133" s="37">
        <f t="shared" si="11"/>
        <v>-0.5826271186440678</v>
      </c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spans="1:27" ht="48.5" hidden="1" x14ac:dyDescent="0.35">
      <c r="A134" s="103">
        <v>41056828</v>
      </c>
      <c r="B134" s="9" t="s">
        <v>380</v>
      </c>
      <c r="C134" s="48" t="s">
        <v>481</v>
      </c>
      <c r="D134" s="14" t="s">
        <v>482</v>
      </c>
      <c r="E134" s="10" t="s">
        <v>103</v>
      </c>
      <c r="F134" s="10" t="s">
        <v>483</v>
      </c>
      <c r="G134" s="12" t="s">
        <v>483</v>
      </c>
      <c r="H134" s="51" t="s">
        <v>105</v>
      </c>
      <c r="I134" s="25" t="s">
        <v>78</v>
      </c>
      <c r="J134" s="38">
        <v>3563</v>
      </c>
      <c r="K134" s="39">
        <v>3213.5</v>
      </c>
      <c r="L134" s="37">
        <f t="shared" si="8"/>
        <v>349.5</v>
      </c>
      <c r="M134" s="37">
        <f t="shared" si="9"/>
        <v>10.875991909133344</v>
      </c>
      <c r="N134" s="36">
        <v>882</v>
      </c>
      <c r="O134" s="36">
        <v>972.5</v>
      </c>
      <c r="P134" s="37">
        <f t="shared" si="10"/>
        <v>-90.5</v>
      </c>
      <c r="Q134" s="37">
        <f t="shared" si="11"/>
        <v>-9.3059125964010274</v>
      </c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spans="1:27" ht="24.5" hidden="1" x14ac:dyDescent="0.35">
      <c r="A135" s="103">
        <v>41028903</v>
      </c>
      <c r="B135" s="9" t="s">
        <v>380</v>
      </c>
      <c r="C135" s="47" t="s">
        <v>393</v>
      </c>
      <c r="D135" s="14" t="s">
        <v>394</v>
      </c>
      <c r="E135" s="10" t="s">
        <v>89</v>
      </c>
      <c r="F135" s="10" t="s">
        <v>307</v>
      </c>
      <c r="G135" s="12" t="s">
        <v>395</v>
      </c>
      <c r="H135" s="51" t="s">
        <v>248</v>
      </c>
      <c r="I135" s="25" t="s">
        <v>86</v>
      </c>
      <c r="J135" s="38">
        <v>6529</v>
      </c>
      <c r="K135" s="39">
        <v>6004</v>
      </c>
      <c r="L135" s="37">
        <f t="shared" si="8"/>
        <v>525</v>
      </c>
      <c r="M135" s="37">
        <f t="shared" si="9"/>
        <v>8.7441705529646896</v>
      </c>
      <c r="N135" s="36">
        <v>1900</v>
      </c>
      <c r="O135" s="36">
        <v>2106</v>
      </c>
      <c r="P135" s="37">
        <f t="shared" si="10"/>
        <v>-206</v>
      </c>
      <c r="Q135" s="37">
        <f t="shared" si="11"/>
        <v>-9.7815764482431149</v>
      </c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spans="1:27" ht="24.5" hidden="1" x14ac:dyDescent="0.35">
      <c r="A136" s="103">
        <v>41056845</v>
      </c>
      <c r="B136" s="9" t="s">
        <v>380</v>
      </c>
      <c r="C136" s="47" t="s">
        <v>544</v>
      </c>
      <c r="D136" s="14" t="s">
        <v>545</v>
      </c>
      <c r="E136" s="10" t="s">
        <v>169</v>
      </c>
      <c r="F136" s="10" t="s">
        <v>170</v>
      </c>
      <c r="G136" s="12" t="s">
        <v>170</v>
      </c>
      <c r="H136" s="51" t="s">
        <v>172</v>
      </c>
      <c r="I136" s="25" t="s">
        <v>78</v>
      </c>
      <c r="J136" s="38">
        <v>5495</v>
      </c>
      <c r="K136" s="39">
        <v>5268.5</v>
      </c>
      <c r="L136" s="37">
        <f t="shared" si="8"/>
        <v>226.5</v>
      </c>
      <c r="M136" s="37">
        <f t="shared" si="9"/>
        <v>4.2991363765777741</v>
      </c>
      <c r="N136" s="36">
        <v>3588</v>
      </c>
      <c r="O136" s="36">
        <v>4141.5</v>
      </c>
      <c r="P136" s="37">
        <f t="shared" si="10"/>
        <v>-553.5</v>
      </c>
      <c r="Q136" s="37">
        <f t="shared" si="11"/>
        <v>-13.364722926475913</v>
      </c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spans="1:27" ht="24.5" hidden="1" x14ac:dyDescent="0.35">
      <c r="A137" s="103">
        <v>41030786</v>
      </c>
      <c r="B137" s="9" t="s">
        <v>380</v>
      </c>
      <c r="C137" s="48" t="s">
        <v>518</v>
      </c>
      <c r="D137" s="14" t="s">
        <v>519</v>
      </c>
      <c r="E137" s="10" t="s">
        <v>111</v>
      </c>
      <c r="F137" s="10" t="s">
        <v>112</v>
      </c>
      <c r="G137" s="12" t="s">
        <v>112</v>
      </c>
      <c r="H137" s="51" t="s">
        <v>275</v>
      </c>
      <c r="I137" s="25" t="s">
        <v>78</v>
      </c>
      <c r="J137" s="38">
        <v>12214</v>
      </c>
      <c r="K137" s="39">
        <v>11772.5</v>
      </c>
      <c r="L137" s="37">
        <f t="shared" si="8"/>
        <v>441.5</v>
      </c>
      <c r="M137" s="37">
        <f t="shared" si="9"/>
        <v>3.7502654491399445</v>
      </c>
      <c r="N137" s="36">
        <v>3626</v>
      </c>
      <c r="O137" s="36">
        <v>4058.5</v>
      </c>
      <c r="P137" s="37">
        <f t="shared" si="10"/>
        <v>-432.5</v>
      </c>
      <c r="Q137" s="37">
        <f t="shared" si="11"/>
        <v>-10.656646544289762</v>
      </c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spans="1:27" ht="48.5" hidden="1" x14ac:dyDescent="0.35">
      <c r="A138" s="103">
        <v>41056488</v>
      </c>
      <c r="B138" s="9" t="s">
        <v>380</v>
      </c>
      <c r="C138" s="48" t="s">
        <v>509</v>
      </c>
      <c r="D138" s="14" t="s">
        <v>510</v>
      </c>
      <c r="E138" s="10" t="s">
        <v>94</v>
      </c>
      <c r="F138" s="10" t="s">
        <v>511</v>
      </c>
      <c r="G138" s="12" t="s">
        <v>511</v>
      </c>
      <c r="H138" s="51" t="s">
        <v>126</v>
      </c>
      <c r="I138" s="25" t="s">
        <v>83</v>
      </c>
      <c r="J138" s="38">
        <v>3897.01</v>
      </c>
      <c r="K138" s="39">
        <v>3647</v>
      </c>
      <c r="L138" s="37">
        <f t="shared" si="8"/>
        <v>250.01000000000022</v>
      </c>
      <c r="M138" s="37">
        <f t="shared" si="9"/>
        <v>6.855223471346318</v>
      </c>
      <c r="N138" s="36">
        <v>668</v>
      </c>
      <c r="O138" s="36">
        <v>905</v>
      </c>
      <c r="P138" s="37">
        <f t="shared" si="10"/>
        <v>-237</v>
      </c>
      <c r="Q138" s="37">
        <f t="shared" si="11"/>
        <v>-26.187845303867402</v>
      </c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spans="1:27" ht="24.5" hidden="1" x14ac:dyDescent="0.35">
      <c r="A139" s="103">
        <v>41056820</v>
      </c>
      <c r="B139" s="9" t="s">
        <v>380</v>
      </c>
      <c r="C139" s="48" t="s">
        <v>415</v>
      </c>
      <c r="D139" s="14" t="s">
        <v>416</v>
      </c>
      <c r="E139" s="10" t="s">
        <v>200</v>
      </c>
      <c r="F139" s="10" t="s">
        <v>223</v>
      </c>
      <c r="G139" s="12" t="s">
        <v>223</v>
      </c>
      <c r="H139" s="51" t="s">
        <v>172</v>
      </c>
      <c r="I139" s="25" t="s">
        <v>83</v>
      </c>
      <c r="J139" s="38">
        <v>1415</v>
      </c>
      <c r="K139" s="39">
        <v>1225</v>
      </c>
      <c r="L139" s="37">
        <f t="shared" si="8"/>
        <v>190</v>
      </c>
      <c r="M139" s="37">
        <f t="shared" si="9"/>
        <v>15.510204081632653</v>
      </c>
      <c r="N139" s="36">
        <v>4124</v>
      </c>
      <c r="O139" s="36">
        <v>4972</v>
      </c>
      <c r="P139" s="37">
        <f t="shared" si="10"/>
        <v>-848</v>
      </c>
      <c r="Q139" s="37">
        <f t="shared" si="11"/>
        <v>-17.055510860820593</v>
      </c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spans="1:27" ht="24.5" hidden="1" x14ac:dyDescent="0.35">
      <c r="A140" s="103">
        <v>41056400</v>
      </c>
      <c r="B140" s="9" t="s">
        <v>380</v>
      </c>
      <c r="C140" s="47" t="s">
        <v>502</v>
      </c>
      <c r="D140" s="14" t="s">
        <v>503</v>
      </c>
      <c r="E140" s="10" t="s">
        <v>75</v>
      </c>
      <c r="F140" s="10" t="s">
        <v>108</v>
      </c>
      <c r="G140" s="12" t="s">
        <v>108</v>
      </c>
      <c r="H140" s="51" t="s">
        <v>77</v>
      </c>
      <c r="I140" s="25" t="s">
        <v>78</v>
      </c>
      <c r="J140" s="38">
        <v>3257</v>
      </c>
      <c r="K140" s="39">
        <v>3005.5</v>
      </c>
      <c r="L140" s="37">
        <f t="shared" si="8"/>
        <v>251.5</v>
      </c>
      <c r="M140" s="37">
        <f t="shared" si="9"/>
        <v>8.3679920146398281</v>
      </c>
      <c r="N140" s="36">
        <v>363</v>
      </c>
      <c r="O140" s="36">
        <v>338.5</v>
      </c>
      <c r="P140" s="37">
        <f t="shared" si="10"/>
        <v>24.5</v>
      </c>
      <c r="Q140" s="37">
        <f t="shared" si="11"/>
        <v>7.2378138847858198</v>
      </c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spans="1:27" ht="36.5" hidden="1" x14ac:dyDescent="0.35">
      <c r="A141" s="103">
        <v>41019272</v>
      </c>
      <c r="B141" s="9" t="s">
        <v>380</v>
      </c>
      <c r="C141" s="47" t="s">
        <v>532</v>
      </c>
      <c r="D141" s="14" t="s">
        <v>533</v>
      </c>
      <c r="E141" s="10" t="s">
        <v>111</v>
      </c>
      <c r="F141" s="10" t="s">
        <v>125</v>
      </c>
      <c r="G141" s="12" t="s">
        <v>125</v>
      </c>
      <c r="H141" s="51" t="s">
        <v>126</v>
      </c>
      <c r="I141" s="25" t="s">
        <v>78</v>
      </c>
      <c r="J141" s="38">
        <v>806</v>
      </c>
      <c r="K141" s="39">
        <v>673.5</v>
      </c>
      <c r="L141" s="37">
        <f t="shared" si="8"/>
        <v>132.5</v>
      </c>
      <c r="M141" s="37">
        <f t="shared" si="9"/>
        <v>19.673348181143282</v>
      </c>
      <c r="N141" s="36">
        <v>160</v>
      </c>
      <c r="O141" s="36">
        <v>154.5</v>
      </c>
      <c r="P141" s="37">
        <f t="shared" si="10"/>
        <v>5.5</v>
      </c>
      <c r="Q141" s="37">
        <f t="shared" si="11"/>
        <v>3.5598705501618122</v>
      </c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spans="1:27" ht="36.5" hidden="1" x14ac:dyDescent="0.35">
      <c r="A142" s="103">
        <v>41019284</v>
      </c>
      <c r="B142" s="9" t="s">
        <v>380</v>
      </c>
      <c r="C142" s="47" t="s">
        <v>561</v>
      </c>
      <c r="D142" s="14" t="s">
        <v>562</v>
      </c>
      <c r="E142" s="10" t="s">
        <v>89</v>
      </c>
      <c r="F142" s="10" t="s">
        <v>538</v>
      </c>
      <c r="G142" s="12" t="s">
        <v>906</v>
      </c>
      <c r="H142" s="51" t="s">
        <v>1007</v>
      </c>
      <c r="I142" s="25" t="s">
        <v>86</v>
      </c>
      <c r="J142" s="38">
        <v>2822</v>
      </c>
      <c r="K142" s="39">
        <v>2672.5</v>
      </c>
      <c r="L142" s="37">
        <f t="shared" si="8"/>
        <v>149.5</v>
      </c>
      <c r="M142" s="37">
        <f t="shared" si="9"/>
        <v>5.5940130963517305</v>
      </c>
      <c r="N142" s="36">
        <v>502</v>
      </c>
      <c r="O142" s="36">
        <v>544.5</v>
      </c>
      <c r="P142" s="37">
        <f t="shared" si="10"/>
        <v>-42.5</v>
      </c>
      <c r="Q142" s="37">
        <f t="shared" si="11"/>
        <v>-7.8053259871441698</v>
      </c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spans="1:27" ht="36.5" hidden="1" x14ac:dyDescent="0.35">
      <c r="A143" s="103">
        <v>41019253</v>
      </c>
      <c r="B143" s="9" t="s">
        <v>380</v>
      </c>
      <c r="C143" s="48" t="s">
        <v>512</v>
      </c>
      <c r="D143" s="14" t="s">
        <v>513</v>
      </c>
      <c r="E143" s="10" t="s">
        <v>81</v>
      </c>
      <c r="F143" s="10" t="s">
        <v>184</v>
      </c>
      <c r="G143" s="12" t="s">
        <v>184</v>
      </c>
      <c r="H143" s="51" t="s">
        <v>141</v>
      </c>
      <c r="I143" s="25" t="s">
        <v>83</v>
      </c>
      <c r="J143" s="38">
        <v>936.5</v>
      </c>
      <c r="K143" s="39">
        <v>919.5</v>
      </c>
      <c r="L143" s="37">
        <f t="shared" si="8"/>
        <v>17</v>
      </c>
      <c r="M143" s="37">
        <f t="shared" si="9"/>
        <v>1.8488308863512777</v>
      </c>
      <c r="N143" s="36">
        <v>360.5</v>
      </c>
      <c r="O143" s="36">
        <v>399.5</v>
      </c>
      <c r="P143" s="37">
        <f t="shared" si="10"/>
        <v>-39</v>
      </c>
      <c r="Q143" s="37">
        <f t="shared" si="11"/>
        <v>-9.7622027534418017</v>
      </c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spans="1:27" ht="24.5" hidden="1" x14ac:dyDescent="0.35">
      <c r="A144" s="103">
        <v>41056983</v>
      </c>
      <c r="B144" s="9" t="s">
        <v>380</v>
      </c>
      <c r="C144" s="48" t="s">
        <v>398</v>
      </c>
      <c r="D144" s="14" t="s">
        <v>399</v>
      </c>
      <c r="E144" s="10" t="s">
        <v>187</v>
      </c>
      <c r="F144" s="10" t="s">
        <v>366</v>
      </c>
      <c r="G144" s="12" t="s">
        <v>366</v>
      </c>
      <c r="H144" s="51" t="s">
        <v>367</v>
      </c>
      <c r="I144" s="25" t="s">
        <v>86</v>
      </c>
      <c r="J144" s="38">
        <v>3623.5</v>
      </c>
      <c r="K144" s="39">
        <v>3540</v>
      </c>
      <c r="L144" s="37">
        <f t="shared" si="8"/>
        <v>83.5</v>
      </c>
      <c r="M144" s="37">
        <f t="shared" si="9"/>
        <v>2.3587570621468927</v>
      </c>
      <c r="N144" s="36">
        <v>523.5</v>
      </c>
      <c r="O144" s="36">
        <v>649.5</v>
      </c>
      <c r="P144" s="37">
        <f t="shared" si="10"/>
        <v>-126</v>
      </c>
      <c r="Q144" s="37">
        <f t="shared" si="11"/>
        <v>-19.399538106235568</v>
      </c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spans="1:27" hidden="1" x14ac:dyDescent="0.35">
      <c r="A145" s="103">
        <v>41056327</v>
      </c>
      <c r="B145" s="9" t="s">
        <v>380</v>
      </c>
      <c r="C145" s="47" t="s">
        <v>448</v>
      </c>
      <c r="D145" s="14" t="s">
        <v>449</v>
      </c>
      <c r="E145" s="10" t="s">
        <v>85</v>
      </c>
      <c r="F145" s="10" t="s">
        <v>332</v>
      </c>
      <c r="G145" s="12" t="s">
        <v>332</v>
      </c>
      <c r="H145" s="51" t="s">
        <v>178</v>
      </c>
      <c r="I145" s="25" t="s">
        <v>86</v>
      </c>
      <c r="J145" s="38">
        <v>5992.5</v>
      </c>
      <c r="K145" s="39">
        <v>5681</v>
      </c>
      <c r="L145" s="37">
        <f t="shared" si="8"/>
        <v>311.5</v>
      </c>
      <c r="M145" s="37">
        <f t="shared" si="9"/>
        <v>5.4831895792994185</v>
      </c>
      <c r="N145" s="36">
        <v>1420.5</v>
      </c>
      <c r="O145" s="36">
        <v>1513</v>
      </c>
      <c r="P145" s="37">
        <f t="shared" si="10"/>
        <v>-92.5</v>
      </c>
      <c r="Q145" s="37">
        <f t="shared" si="11"/>
        <v>-6.1136814276272311</v>
      </c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spans="1:27" hidden="1" x14ac:dyDescent="0.35">
      <c r="A146" s="103">
        <v>41056535</v>
      </c>
      <c r="B146" s="9" t="s">
        <v>380</v>
      </c>
      <c r="C146" s="47" t="s">
        <v>471</v>
      </c>
      <c r="D146" s="14" t="s">
        <v>472</v>
      </c>
      <c r="E146" s="10" t="s">
        <v>228</v>
      </c>
      <c r="F146" s="10" t="s">
        <v>229</v>
      </c>
      <c r="G146" s="12" t="s">
        <v>229</v>
      </c>
      <c r="H146" s="51" t="s">
        <v>230</v>
      </c>
      <c r="I146" s="25" t="s">
        <v>78</v>
      </c>
      <c r="J146" s="38">
        <v>8183.5</v>
      </c>
      <c r="K146" s="39">
        <v>7448</v>
      </c>
      <c r="L146" s="37">
        <f t="shared" si="8"/>
        <v>735.5</v>
      </c>
      <c r="M146" s="37">
        <f t="shared" si="9"/>
        <v>9.8751342642320097</v>
      </c>
      <c r="N146" s="36">
        <v>1135.5</v>
      </c>
      <c r="O146" s="36">
        <v>1152</v>
      </c>
      <c r="P146" s="37">
        <f t="shared" si="10"/>
        <v>-16.5</v>
      </c>
      <c r="Q146" s="37">
        <f t="shared" si="11"/>
        <v>-1.4322916666666665</v>
      </c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spans="1:27" ht="24.5" hidden="1" x14ac:dyDescent="0.35">
      <c r="A147" s="103">
        <v>41056396</v>
      </c>
      <c r="B147" s="9" t="s">
        <v>380</v>
      </c>
      <c r="C147" s="48" t="s">
        <v>411</v>
      </c>
      <c r="D147" s="14" t="s">
        <v>412</v>
      </c>
      <c r="E147" s="10" t="s">
        <v>169</v>
      </c>
      <c r="F147" s="10" t="s">
        <v>100</v>
      </c>
      <c r="G147" s="12" t="s">
        <v>100</v>
      </c>
      <c r="H147" s="51" t="s">
        <v>77</v>
      </c>
      <c r="I147" s="25" t="s">
        <v>78</v>
      </c>
      <c r="J147" s="38">
        <v>3568</v>
      </c>
      <c r="K147" s="39">
        <v>3180.5</v>
      </c>
      <c r="L147" s="37">
        <f t="shared" si="8"/>
        <v>387.5</v>
      </c>
      <c r="M147" s="37">
        <f t="shared" si="9"/>
        <v>12.183618927841534</v>
      </c>
      <c r="N147" s="36">
        <v>495</v>
      </c>
      <c r="O147" s="36">
        <v>400.5</v>
      </c>
      <c r="P147" s="37">
        <f t="shared" si="10"/>
        <v>94.5</v>
      </c>
      <c r="Q147" s="37">
        <f t="shared" si="11"/>
        <v>23.595505617977526</v>
      </c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spans="1:27" ht="36.5" hidden="1" x14ac:dyDescent="0.35">
      <c r="A148" s="103">
        <v>41030511</v>
      </c>
      <c r="B148" s="9" t="s">
        <v>380</v>
      </c>
      <c r="C148" s="47" t="s">
        <v>413</v>
      </c>
      <c r="D148" s="14" t="s">
        <v>273</v>
      </c>
      <c r="E148" s="10" t="s">
        <v>111</v>
      </c>
      <c r="F148" s="10" t="s">
        <v>414</v>
      </c>
      <c r="G148" s="12" t="s">
        <v>414</v>
      </c>
      <c r="H148" s="51" t="s">
        <v>275</v>
      </c>
      <c r="I148" s="25" t="s">
        <v>78</v>
      </c>
      <c r="J148" s="38">
        <v>4480</v>
      </c>
      <c r="K148" s="39">
        <v>4335</v>
      </c>
      <c r="L148" s="37">
        <f t="shared" si="8"/>
        <v>145</v>
      </c>
      <c r="M148" s="37">
        <f t="shared" si="9"/>
        <v>3.3448673587081887</v>
      </c>
      <c r="N148" s="36">
        <v>4622</v>
      </c>
      <c r="O148" s="36">
        <v>4823.03</v>
      </c>
      <c r="P148" s="37">
        <f t="shared" si="10"/>
        <v>-201.02999999999975</v>
      </c>
      <c r="Q148" s="37">
        <f t="shared" si="11"/>
        <v>-4.1681266755545741</v>
      </c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spans="1:27" ht="24.5" hidden="1" x14ac:dyDescent="0.35">
      <c r="A149" s="103">
        <v>41032431</v>
      </c>
      <c r="B149" s="9" t="s">
        <v>380</v>
      </c>
      <c r="C149" s="47" t="s">
        <v>400</v>
      </c>
      <c r="D149" s="14" t="s">
        <v>391</v>
      </c>
      <c r="E149" s="10" t="s">
        <v>89</v>
      </c>
      <c r="F149" s="10" t="s">
        <v>310</v>
      </c>
      <c r="G149" s="12" t="s">
        <v>392</v>
      </c>
      <c r="H149" s="51" t="s">
        <v>178</v>
      </c>
      <c r="I149" s="25" t="s">
        <v>86</v>
      </c>
      <c r="J149" s="38">
        <v>4622</v>
      </c>
      <c r="K149" s="39">
        <v>4418</v>
      </c>
      <c r="L149" s="37">
        <f t="shared" si="8"/>
        <v>204</v>
      </c>
      <c r="M149" s="37">
        <f t="shared" si="9"/>
        <v>4.6174739701222274</v>
      </c>
      <c r="N149" s="36">
        <v>870</v>
      </c>
      <c r="O149" s="36">
        <v>903</v>
      </c>
      <c r="P149" s="37">
        <f t="shared" si="10"/>
        <v>-33</v>
      </c>
      <c r="Q149" s="37">
        <f t="shared" si="11"/>
        <v>-3.6544850498338874</v>
      </c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spans="1:27" hidden="1" x14ac:dyDescent="0.35">
      <c r="A150" s="103">
        <v>41019306</v>
      </c>
      <c r="B150" s="9" t="s">
        <v>380</v>
      </c>
      <c r="C150" s="47" t="s">
        <v>499</v>
      </c>
      <c r="D150" s="14" t="s">
        <v>500</v>
      </c>
      <c r="E150" s="10" t="s">
        <v>103</v>
      </c>
      <c r="F150" s="10" t="s">
        <v>104</v>
      </c>
      <c r="G150" s="12" t="s">
        <v>104</v>
      </c>
      <c r="H150" s="51" t="s">
        <v>105</v>
      </c>
      <c r="I150" s="25" t="s">
        <v>78</v>
      </c>
      <c r="J150" s="38">
        <v>933.5</v>
      </c>
      <c r="K150" s="39">
        <v>844.5</v>
      </c>
      <c r="L150" s="37">
        <f t="shared" si="8"/>
        <v>89</v>
      </c>
      <c r="M150" s="37">
        <f t="shared" si="9"/>
        <v>10.538780343398461</v>
      </c>
      <c r="N150" s="36">
        <v>196.5</v>
      </c>
      <c r="O150" s="36">
        <v>223.5</v>
      </c>
      <c r="P150" s="37">
        <f t="shared" si="10"/>
        <v>-27</v>
      </c>
      <c r="Q150" s="37">
        <f t="shared" si="11"/>
        <v>-12.080536912751679</v>
      </c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spans="1:27" ht="24.5" hidden="1" x14ac:dyDescent="0.35">
      <c r="A151" s="103">
        <v>41057004</v>
      </c>
      <c r="B151" s="9" t="s">
        <v>380</v>
      </c>
      <c r="C151" s="47" t="s">
        <v>569</v>
      </c>
      <c r="D151" s="14" t="s">
        <v>570</v>
      </c>
      <c r="E151" s="10" t="s">
        <v>85</v>
      </c>
      <c r="F151" s="10" t="s">
        <v>337</v>
      </c>
      <c r="G151" s="12" t="s">
        <v>337</v>
      </c>
      <c r="H151" s="51" t="s">
        <v>304</v>
      </c>
      <c r="I151" s="25" t="s">
        <v>86</v>
      </c>
      <c r="J151" s="38">
        <v>9791</v>
      </c>
      <c r="K151" s="39">
        <v>9204</v>
      </c>
      <c r="L151" s="37">
        <f t="shared" si="8"/>
        <v>587</v>
      </c>
      <c r="M151" s="37">
        <f t="shared" si="9"/>
        <v>6.3776618861364627</v>
      </c>
      <c r="N151" s="36">
        <v>1006</v>
      </c>
      <c r="O151" s="36">
        <v>1089</v>
      </c>
      <c r="P151" s="37">
        <f t="shared" si="10"/>
        <v>-83</v>
      </c>
      <c r="Q151" s="37">
        <f t="shared" si="11"/>
        <v>-7.621671258034894</v>
      </c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spans="1:27" ht="36.5" hidden="1" x14ac:dyDescent="0.35">
      <c r="A152" s="103">
        <v>41019248</v>
      </c>
      <c r="B152" s="9" t="s">
        <v>380</v>
      </c>
      <c r="C152" s="47" t="s">
        <v>437</v>
      </c>
      <c r="D152" s="14" t="s">
        <v>438</v>
      </c>
      <c r="E152" s="10" t="s">
        <v>81</v>
      </c>
      <c r="F152" s="10" t="s">
        <v>439</v>
      </c>
      <c r="G152" s="12" t="s">
        <v>439</v>
      </c>
      <c r="H152" s="51" t="s">
        <v>135</v>
      </c>
      <c r="I152" s="25" t="s">
        <v>83</v>
      </c>
      <c r="J152" s="38">
        <v>8312.5</v>
      </c>
      <c r="K152" s="39">
        <v>7859.5</v>
      </c>
      <c r="L152" s="37">
        <f t="shared" si="8"/>
        <v>453</v>
      </c>
      <c r="M152" s="37">
        <f t="shared" si="9"/>
        <v>5.7637254278261976</v>
      </c>
      <c r="N152" s="36">
        <v>3746.5</v>
      </c>
      <c r="O152" s="36">
        <v>3919.5</v>
      </c>
      <c r="P152" s="37">
        <f t="shared" si="10"/>
        <v>-173</v>
      </c>
      <c r="Q152" s="37">
        <f t="shared" si="11"/>
        <v>-4.4138282944253096</v>
      </c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 spans="1:27" ht="24.5" hidden="1" x14ac:dyDescent="0.35">
      <c r="A153" s="103">
        <v>41056999</v>
      </c>
      <c r="B153" s="9" t="s">
        <v>380</v>
      </c>
      <c r="C153" s="48" t="s">
        <v>424</v>
      </c>
      <c r="D153" s="14" t="s">
        <v>425</v>
      </c>
      <c r="E153" s="10" t="s">
        <v>75</v>
      </c>
      <c r="F153" s="10" t="s">
        <v>220</v>
      </c>
      <c r="G153" s="12" t="s">
        <v>220</v>
      </c>
      <c r="H153" s="51" t="s">
        <v>77</v>
      </c>
      <c r="I153" s="25" t="s">
        <v>78</v>
      </c>
      <c r="J153" s="38">
        <v>3125.5</v>
      </c>
      <c r="K153" s="39">
        <v>2913</v>
      </c>
      <c r="L153" s="37">
        <f t="shared" si="8"/>
        <v>212.5</v>
      </c>
      <c r="M153" s="37">
        <f t="shared" si="9"/>
        <v>7.294884998283556</v>
      </c>
      <c r="N153" s="36">
        <v>3351.5</v>
      </c>
      <c r="O153" s="36">
        <v>2939</v>
      </c>
      <c r="P153" s="37">
        <f t="shared" si="10"/>
        <v>412.5</v>
      </c>
      <c r="Q153" s="37">
        <f t="shared" si="11"/>
        <v>14.035386185777476</v>
      </c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 spans="1:27" ht="24.5" hidden="1" x14ac:dyDescent="0.35">
      <c r="A154" s="103">
        <v>41066793</v>
      </c>
      <c r="B154" s="9" t="s">
        <v>380</v>
      </c>
      <c r="C154" s="47" t="s">
        <v>564</v>
      </c>
      <c r="D154" s="15" t="s">
        <v>391</v>
      </c>
      <c r="E154" s="10" t="s">
        <v>89</v>
      </c>
      <c r="F154" s="10" t="s">
        <v>310</v>
      </c>
      <c r="G154" s="12" t="s">
        <v>392</v>
      </c>
      <c r="H154" s="51" t="s">
        <v>248</v>
      </c>
      <c r="I154" s="25" t="s">
        <v>86</v>
      </c>
      <c r="J154" s="38">
        <v>6511.5</v>
      </c>
      <c r="K154" s="39">
        <v>6385.5140000000001</v>
      </c>
      <c r="L154" s="37">
        <f t="shared" si="8"/>
        <v>125.98599999999988</v>
      </c>
      <c r="M154" s="37">
        <f t="shared" si="9"/>
        <v>1.9729970054094295</v>
      </c>
      <c r="N154" s="36">
        <v>1518.5</v>
      </c>
      <c r="O154" s="36">
        <v>1917.5</v>
      </c>
      <c r="P154" s="37">
        <f t="shared" si="10"/>
        <v>-399</v>
      </c>
      <c r="Q154" s="37">
        <f t="shared" si="11"/>
        <v>-20.808344198174705</v>
      </c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 spans="1:27" hidden="1" x14ac:dyDescent="0.35">
      <c r="A155" s="103">
        <v>41037146</v>
      </c>
      <c r="B155" s="9" t="s">
        <v>380</v>
      </c>
      <c r="C155" s="48" t="s">
        <v>567</v>
      </c>
      <c r="D155" s="14" t="s">
        <v>568</v>
      </c>
      <c r="E155" s="10" t="s">
        <v>85</v>
      </c>
      <c r="F155" s="10" t="s">
        <v>373</v>
      </c>
      <c r="G155" s="12" t="s">
        <v>373</v>
      </c>
      <c r="H155" s="51" t="s">
        <v>120</v>
      </c>
      <c r="I155" s="25" t="s">
        <v>86</v>
      </c>
      <c r="J155" s="38">
        <v>4861.5</v>
      </c>
      <c r="K155" s="39">
        <v>4763.5</v>
      </c>
      <c r="L155" s="37">
        <f t="shared" si="8"/>
        <v>98</v>
      </c>
      <c r="M155" s="37">
        <f t="shared" si="9"/>
        <v>2.0573108008817047</v>
      </c>
      <c r="N155" s="36">
        <v>885.5</v>
      </c>
      <c r="O155" s="36">
        <v>1074.5</v>
      </c>
      <c r="P155" s="37">
        <f t="shared" si="10"/>
        <v>-189</v>
      </c>
      <c r="Q155" s="37">
        <f t="shared" si="11"/>
        <v>-17.589576547231271</v>
      </c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 spans="1:27" ht="36.5" hidden="1" x14ac:dyDescent="0.35">
      <c r="A156" s="103">
        <v>41057007</v>
      </c>
      <c r="B156" s="9" t="s">
        <v>380</v>
      </c>
      <c r="C156" s="47" t="s">
        <v>504</v>
      </c>
      <c r="D156" s="14" t="s">
        <v>505</v>
      </c>
      <c r="E156" s="10" t="s">
        <v>111</v>
      </c>
      <c r="F156" s="10" t="s">
        <v>129</v>
      </c>
      <c r="G156" s="12" t="s">
        <v>129</v>
      </c>
      <c r="H156" s="51" t="s">
        <v>126</v>
      </c>
      <c r="I156" s="25" t="s">
        <v>78</v>
      </c>
      <c r="J156" s="38">
        <v>4483</v>
      </c>
      <c r="K156" s="39">
        <v>4278</v>
      </c>
      <c r="L156" s="37">
        <f t="shared" si="8"/>
        <v>205</v>
      </c>
      <c r="M156" s="37">
        <f t="shared" si="9"/>
        <v>4.7919588592800375</v>
      </c>
      <c r="N156" s="36">
        <v>1160</v>
      </c>
      <c r="O156" s="36">
        <v>1267</v>
      </c>
      <c r="P156" s="37">
        <f t="shared" si="10"/>
        <v>-107</v>
      </c>
      <c r="Q156" s="37">
        <f t="shared" si="11"/>
        <v>-8.445146014206788</v>
      </c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 spans="1:27" ht="24.5" hidden="1" x14ac:dyDescent="0.35">
      <c r="A157" s="103">
        <v>41056499</v>
      </c>
      <c r="B157" s="9" t="s">
        <v>380</v>
      </c>
      <c r="C157" s="48" t="s">
        <v>401</v>
      </c>
      <c r="D157" s="14" t="s">
        <v>402</v>
      </c>
      <c r="E157" s="10" t="s">
        <v>187</v>
      </c>
      <c r="F157" s="10" t="s">
        <v>315</v>
      </c>
      <c r="G157" s="12" t="s">
        <v>315</v>
      </c>
      <c r="H157" s="51" t="s">
        <v>189</v>
      </c>
      <c r="I157" s="25" t="s">
        <v>86</v>
      </c>
      <c r="J157" s="38">
        <v>2993</v>
      </c>
      <c r="K157" s="39">
        <v>2778</v>
      </c>
      <c r="L157" s="37">
        <f t="shared" si="8"/>
        <v>215</v>
      </c>
      <c r="M157" s="37">
        <f t="shared" si="9"/>
        <v>7.7393808495320373</v>
      </c>
      <c r="N157" s="36">
        <v>1354</v>
      </c>
      <c r="O157" s="36">
        <v>1421</v>
      </c>
      <c r="P157" s="37">
        <f t="shared" si="10"/>
        <v>-67</v>
      </c>
      <c r="Q157" s="37">
        <f t="shared" si="11"/>
        <v>-4.7149894440534839</v>
      </c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 spans="1:27" ht="24.5" hidden="1" x14ac:dyDescent="0.35">
      <c r="A158" s="103">
        <v>41056995</v>
      </c>
      <c r="B158" s="9" t="s">
        <v>380</v>
      </c>
      <c r="C158" s="47" t="s">
        <v>534</v>
      </c>
      <c r="D158" s="14" t="s">
        <v>535</v>
      </c>
      <c r="E158" s="10" t="s">
        <v>169</v>
      </c>
      <c r="F158" s="10" t="s">
        <v>170</v>
      </c>
      <c r="G158" s="12" t="s">
        <v>170</v>
      </c>
      <c r="H158" s="51" t="s">
        <v>172</v>
      </c>
      <c r="I158" s="25" t="s">
        <v>78</v>
      </c>
      <c r="J158" s="38">
        <v>1376</v>
      </c>
      <c r="K158" s="39">
        <v>1311</v>
      </c>
      <c r="L158" s="37">
        <f t="shared" si="8"/>
        <v>65</v>
      </c>
      <c r="M158" s="37">
        <f t="shared" si="9"/>
        <v>4.9580472921434016</v>
      </c>
      <c r="N158" s="36">
        <v>823</v>
      </c>
      <c r="O158" s="36">
        <v>1578</v>
      </c>
      <c r="P158" s="37">
        <f t="shared" si="10"/>
        <v>-755</v>
      </c>
      <c r="Q158" s="37">
        <f t="shared" si="11"/>
        <v>-47.845373891001266</v>
      </c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 spans="1:27" ht="24.5" hidden="1" x14ac:dyDescent="0.35">
      <c r="A159" s="103">
        <v>41027003</v>
      </c>
      <c r="B159" s="9" t="s">
        <v>380</v>
      </c>
      <c r="C159" s="48" t="s">
        <v>549</v>
      </c>
      <c r="D159" s="14" t="s">
        <v>550</v>
      </c>
      <c r="E159" s="10" t="s">
        <v>85</v>
      </c>
      <c r="F159" s="10" t="s">
        <v>303</v>
      </c>
      <c r="G159" s="12" t="s">
        <v>303</v>
      </c>
      <c r="H159" s="51" t="s">
        <v>304</v>
      </c>
      <c r="I159" s="25" t="s">
        <v>86</v>
      </c>
      <c r="J159" s="38">
        <v>2078.5</v>
      </c>
      <c r="K159" s="39">
        <v>1936</v>
      </c>
      <c r="L159" s="37">
        <f t="shared" si="8"/>
        <v>142.5</v>
      </c>
      <c r="M159" s="37">
        <f t="shared" si="9"/>
        <v>7.3605371900826446</v>
      </c>
      <c r="N159" s="36">
        <v>944.5</v>
      </c>
      <c r="O159" s="36">
        <v>771</v>
      </c>
      <c r="P159" s="37">
        <f t="shared" si="10"/>
        <v>173.5</v>
      </c>
      <c r="Q159" s="37">
        <f t="shared" si="11"/>
        <v>22.50324254215305</v>
      </c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 spans="1:27" ht="24.5" hidden="1" x14ac:dyDescent="0.35">
      <c r="A160" s="103">
        <v>41056542</v>
      </c>
      <c r="B160" s="9" t="s">
        <v>380</v>
      </c>
      <c r="C160" s="48" t="s">
        <v>473</v>
      </c>
      <c r="D160" s="14" t="s">
        <v>474</v>
      </c>
      <c r="E160" s="10" t="s">
        <v>111</v>
      </c>
      <c r="F160" s="10" t="s">
        <v>112</v>
      </c>
      <c r="G160" s="12" t="s">
        <v>112</v>
      </c>
      <c r="H160" s="51" t="s">
        <v>113</v>
      </c>
      <c r="I160" s="25" t="s">
        <v>78</v>
      </c>
      <c r="J160" s="38">
        <v>4515</v>
      </c>
      <c r="K160" s="39">
        <v>4410.5</v>
      </c>
      <c r="L160" s="37">
        <f t="shared" si="8"/>
        <v>104.5</v>
      </c>
      <c r="M160" s="37">
        <f t="shared" si="9"/>
        <v>2.3693458791520237</v>
      </c>
      <c r="N160" s="36">
        <v>1113</v>
      </c>
      <c r="O160" s="36">
        <v>1220.5</v>
      </c>
      <c r="P160" s="37">
        <f t="shared" si="10"/>
        <v>-107.5</v>
      </c>
      <c r="Q160" s="37">
        <f t="shared" si="11"/>
        <v>-8.8078656288406378</v>
      </c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 spans="1:27" hidden="1" x14ac:dyDescent="0.35">
      <c r="A161" s="103">
        <v>41019288</v>
      </c>
      <c r="B161" s="9" t="s">
        <v>380</v>
      </c>
      <c r="C161" s="47" t="s">
        <v>405</v>
      </c>
      <c r="D161" s="15" t="s">
        <v>389</v>
      </c>
      <c r="E161" s="10" t="s">
        <v>89</v>
      </c>
      <c r="F161" s="10" t="s">
        <v>345</v>
      </c>
      <c r="G161" s="12" t="s">
        <v>345</v>
      </c>
      <c r="H161" s="51" t="s">
        <v>205</v>
      </c>
      <c r="I161" s="25" t="s">
        <v>86</v>
      </c>
      <c r="J161" s="38">
        <v>3089.5</v>
      </c>
      <c r="K161" s="39">
        <v>2879</v>
      </c>
      <c r="L161" s="37">
        <f t="shared" si="8"/>
        <v>210.5</v>
      </c>
      <c r="M161" s="37">
        <f t="shared" si="9"/>
        <v>7.3115665161514407</v>
      </c>
      <c r="N161" s="36">
        <v>278.5</v>
      </c>
      <c r="O161" s="36">
        <v>306</v>
      </c>
      <c r="P161" s="37">
        <f t="shared" si="10"/>
        <v>-27.5</v>
      </c>
      <c r="Q161" s="37">
        <f t="shared" si="11"/>
        <v>-8.9869281045751634</v>
      </c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 spans="1:27" ht="24.5" hidden="1" x14ac:dyDescent="0.35">
      <c r="A162" s="103">
        <v>41056992</v>
      </c>
      <c r="B162" s="9" t="s">
        <v>380</v>
      </c>
      <c r="C162" s="47" t="s">
        <v>551</v>
      </c>
      <c r="D162" s="14" t="s">
        <v>552</v>
      </c>
      <c r="E162" s="10" t="s">
        <v>187</v>
      </c>
      <c r="F162" s="10" t="s">
        <v>366</v>
      </c>
      <c r="G162" s="12" t="s">
        <v>366</v>
      </c>
      <c r="H162" s="51" t="s">
        <v>367</v>
      </c>
      <c r="I162" s="25" t="s">
        <v>86</v>
      </c>
      <c r="J162" s="38">
        <v>3384</v>
      </c>
      <c r="K162" s="39">
        <v>3388.5</v>
      </c>
      <c r="L162" s="37">
        <f t="shared" si="8"/>
        <v>-4.5</v>
      </c>
      <c r="M162" s="37">
        <f t="shared" si="9"/>
        <v>-0.13280212483399734</v>
      </c>
      <c r="N162" s="36">
        <v>810</v>
      </c>
      <c r="O162" s="36">
        <v>963</v>
      </c>
      <c r="P162" s="37">
        <f t="shared" si="10"/>
        <v>-153</v>
      </c>
      <c r="Q162" s="37">
        <f t="shared" si="11"/>
        <v>-15.887850467289718</v>
      </c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 spans="1:27" ht="24.5" hidden="1" x14ac:dyDescent="0.35">
      <c r="A163" s="103">
        <v>41056491</v>
      </c>
      <c r="B163" s="9" t="s">
        <v>380</v>
      </c>
      <c r="C163" s="48" t="s">
        <v>539</v>
      </c>
      <c r="D163" s="14" t="s">
        <v>169</v>
      </c>
      <c r="E163" s="10" t="s">
        <v>169</v>
      </c>
      <c r="F163" s="10" t="s">
        <v>488</v>
      </c>
      <c r="G163" s="12" t="s">
        <v>488</v>
      </c>
      <c r="H163" s="51" t="s">
        <v>172</v>
      </c>
      <c r="I163" s="25" t="s">
        <v>78</v>
      </c>
      <c r="J163" s="38">
        <v>7191</v>
      </c>
      <c r="K163" s="39">
        <v>6852</v>
      </c>
      <c r="L163" s="37">
        <f t="shared" si="8"/>
        <v>339</v>
      </c>
      <c r="M163" s="37">
        <f t="shared" si="9"/>
        <v>4.9474605954465849</v>
      </c>
      <c r="N163" s="36">
        <v>807</v>
      </c>
      <c r="O163" s="36">
        <v>889</v>
      </c>
      <c r="P163" s="37">
        <f t="shared" si="10"/>
        <v>-82</v>
      </c>
      <c r="Q163" s="37">
        <f t="shared" si="11"/>
        <v>-9.2238470191226085</v>
      </c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spans="1:27" ht="24.5" hidden="1" x14ac:dyDescent="0.35">
      <c r="A164" s="103">
        <v>41056343</v>
      </c>
      <c r="B164" s="9" t="s">
        <v>380</v>
      </c>
      <c r="C164" s="47" t="s">
        <v>386</v>
      </c>
      <c r="D164" s="14" t="s">
        <v>387</v>
      </c>
      <c r="E164" s="10" t="s">
        <v>85</v>
      </c>
      <c r="F164" s="10" t="s">
        <v>192</v>
      </c>
      <c r="G164" s="12" t="s">
        <v>192</v>
      </c>
      <c r="H164" s="51" t="s">
        <v>178</v>
      </c>
      <c r="I164" s="25" t="s">
        <v>86</v>
      </c>
      <c r="J164" s="38">
        <v>327</v>
      </c>
      <c r="K164" s="39">
        <v>314</v>
      </c>
      <c r="L164" s="37">
        <f t="shared" si="8"/>
        <v>13</v>
      </c>
      <c r="M164" s="37">
        <f t="shared" si="9"/>
        <v>4.1401273885350314</v>
      </c>
      <c r="N164" s="36">
        <v>239</v>
      </c>
      <c r="O164" s="36">
        <v>298</v>
      </c>
      <c r="P164" s="37">
        <f t="shared" si="10"/>
        <v>-59</v>
      </c>
      <c r="Q164" s="37">
        <f t="shared" si="11"/>
        <v>-19.798657718120804</v>
      </c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 spans="1:27" ht="24.5" hidden="1" x14ac:dyDescent="0.35">
      <c r="A165" s="103">
        <v>41019264</v>
      </c>
      <c r="B165" s="9" t="s">
        <v>380</v>
      </c>
      <c r="C165" s="47" t="s">
        <v>419</v>
      </c>
      <c r="D165" s="14" t="s">
        <v>420</v>
      </c>
      <c r="E165" s="10" t="s">
        <v>81</v>
      </c>
      <c r="F165" s="10" t="s">
        <v>421</v>
      </c>
      <c r="G165" s="12" t="s">
        <v>421</v>
      </c>
      <c r="H165" s="51" t="s">
        <v>135</v>
      </c>
      <c r="I165" s="25" t="s">
        <v>83</v>
      </c>
      <c r="J165" s="38">
        <v>177.66002999999995</v>
      </c>
      <c r="K165" s="39">
        <v>189.30068</v>
      </c>
      <c r="L165" s="37">
        <f t="shared" si="8"/>
        <v>-11.640650000000051</v>
      </c>
      <c r="M165" s="37">
        <f t="shared" si="9"/>
        <v>-6.1492911700053323</v>
      </c>
      <c r="N165" s="36">
        <v>5395.563470000001</v>
      </c>
      <c r="O165" s="36">
        <v>5694.1439200000004</v>
      </c>
      <c r="P165" s="37">
        <f t="shared" si="10"/>
        <v>-298.58044999999947</v>
      </c>
      <c r="Q165" s="37">
        <f t="shared" si="11"/>
        <v>-5.2436407332675818</v>
      </c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 spans="1:27" ht="24.5" hidden="1" x14ac:dyDescent="0.35">
      <c r="A166" s="103">
        <v>41070344</v>
      </c>
      <c r="B166" s="9" t="s">
        <v>380</v>
      </c>
      <c r="C166" s="47" t="s">
        <v>465</v>
      </c>
      <c r="D166" s="14" t="s">
        <v>466</v>
      </c>
      <c r="E166" s="10" t="s">
        <v>103</v>
      </c>
      <c r="F166" s="10" t="s">
        <v>467</v>
      </c>
      <c r="G166" s="12" t="s">
        <v>467</v>
      </c>
      <c r="H166" s="51" t="s">
        <v>135</v>
      </c>
      <c r="I166" s="25" t="s">
        <v>83</v>
      </c>
      <c r="J166" s="38">
        <v>2832</v>
      </c>
      <c r="K166" s="39">
        <v>2902</v>
      </c>
      <c r="L166" s="37">
        <f t="shared" si="8"/>
        <v>-70</v>
      </c>
      <c r="M166" s="37">
        <f t="shared" si="9"/>
        <v>-2.4121295658166781</v>
      </c>
      <c r="N166" s="36">
        <v>1016</v>
      </c>
      <c r="O166" s="36">
        <v>1320</v>
      </c>
      <c r="P166" s="37">
        <f t="shared" si="10"/>
        <v>-304</v>
      </c>
      <c r="Q166" s="37">
        <f t="shared" si="11"/>
        <v>-23.030303030303031</v>
      </c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 spans="1:27" ht="36.5" hidden="1" x14ac:dyDescent="0.35">
      <c r="A167" s="103">
        <v>41019292</v>
      </c>
      <c r="B167" s="9" t="s">
        <v>380</v>
      </c>
      <c r="C167" s="48" t="s">
        <v>468</v>
      </c>
      <c r="D167" s="14" t="s">
        <v>469</v>
      </c>
      <c r="E167" s="10" t="s">
        <v>81</v>
      </c>
      <c r="F167" s="10" t="s">
        <v>470</v>
      </c>
      <c r="G167" s="12" t="s">
        <v>470</v>
      </c>
      <c r="H167" s="51" t="s">
        <v>135</v>
      </c>
      <c r="I167" s="25" t="s">
        <v>83</v>
      </c>
      <c r="J167" s="38">
        <v>6906</v>
      </c>
      <c r="K167" s="39">
        <v>6074.5</v>
      </c>
      <c r="L167" s="37">
        <f t="shared" si="8"/>
        <v>831.5</v>
      </c>
      <c r="M167" s="37">
        <f t="shared" si="9"/>
        <v>13.688369413120421</v>
      </c>
      <c r="N167" s="36">
        <v>1453</v>
      </c>
      <c r="O167" s="36">
        <v>1326.5</v>
      </c>
      <c r="P167" s="37">
        <f t="shared" si="10"/>
        <v>126.5</v>
      </c>
      <c r="Q167" s="37">
        <f t="shared" si="11"/>
        <v>9.5363739163211463</v>
      </c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 spans="1:27" ht="36.5" hidden="1" x14ac:dyDescent="0.35">
      <c r="A168" s="103">
        <v>41056840</v>
      </c>
      <c r="B168" s="9" t="s">
        <v>380</v>
      </c>
      <c r="C168" s="48" t="s">
        <v>527</v>
      </c>
      <c r="D168" s="14" t="s">
        <v>528</v>
      </c>
      <c r="E168" s="10" t="s">
        <v>111</v>
      </c>
      <c r="F168" s="10" t="s">
        <v>529</v>
      </c>
      <c r="G168" s="12" t="s">
        <v>529</v>
      </c>
      <c r="H168" s="51" t="s">
        <v>113</v>
      </c>
      <c r="I168" s="25" t="s">
        <v>78</v>
      </c>
      <c r="J168" s="38">
        <v>4956</v>
      </c>
      <c r="K168" s="39">
        <v>4842</v>
      </c>
      <c r="L168" s="37">
        <f t="shared" si="8"/>
        <v>114</v>
      </c>
      <c r="M168" s="37">
        <f t="shared" si="9"/>
        <v>2.3543990086741013</v>
      </c>
      <c r="N168" s="36">
        <v>1853</v>
      </c>
      <c r="O168" s="36">
        <v>2336</v>
      </c>
      <c r="P168" s="37">
        <f t="shared" si="10"/>
        <v>-483</v>
      </c>
      <c r="Q168" s="37">
        <f t="shared" si="11"/>
        <v>-20.676369863013701</v>
      </c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 spans="1:27" ht="24.5" hidden="1" x14ac:dyDescent="0.35">
      <c r="A169" s="103">
        <v>41019316</v>
      </c>
      <c r="B169" s="9" t="s">
        <v>380</v>
      </c>
      <c r="C169" s="47" t="s">
        <v>554</v>
      </c>
      <c r="D169" s="14" t="s">
        <v>555</v>
      </c>
      <c r="E169" s="10" t="s">
        <v>85</v>
      </c>
      <c r="F169" s="10" t="s">
        <v>361</v>
      </c>
      <c r="G169" s="12" t="s">
        <v>556</v>
      </c>
      <c r="H169" s="51" t="s">
        <v>105</v>
      </c>
      <c r="I169" s="25" t="s">
        <v>86</v>
      </c>
      <c r="J169" s="38">
        <v>9650</v>
      </c>
      <c r="K169" s="39">
        <v>9400.5</v>
      </c>
      <c r="L169" s="37">
        <f t="shared" si="8"/>
        <v>249.5</v>
      </c>
      <c r="M169" s="37">
        <f t="shared" si="9"/>
        <v>2.6541141428647412</v>
      </c>
      <c r="N169" s="36">
        <v>1836</v>
      </c>
      <c r="O169" s="36">
        <v>2131.5</v>
      </c>
      <c r="P169" s="37">
        <f t="shared" si="10"/>
        <v>-295.5</v>
      </c>
      <c r="Q169" s="37">
        <f t="shared" si="11"/>
        <v>-13.863476425052779</v>
      </c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 spans="1:27" ht="24.5" hidden="1" x14ac:dyDescent="0.35">
      <c r="A170" s="103">
        <v>41056833</v>
      </c>
      <c r="B170" s="9" t="s">
        <v>380</v>
      </c>
      <c r="C170" s="48" t="s">
        <v>574</v>
      </c>
      <c r="D170" s="14" t="s">
        <v>575</v>
      </c>
      <c r="E170" s="10" t="s">
        <v>187</v>
      </c>
      <c r="F170" s="10" t="s">
        <v>315</v>
      </c>
      <c r="G170" s="12" t="s">
        <v>560</v>
      </c>
      <c r="H170" s="51" t="s">
        <v>178</v>
      </c>
      <c r="I170" s="25" t="s">
        <v>86</v>
      </c>
      <c r="J170" s="38">
        <v>3499</v>
      </c>
      <c r="K170" s="39">
        <v>3025.5</v>
      </c>
      <c r="L170" s="37">
        <f t="shared" si="8"/>
        <v>473.5</v>
      </c>
      <c r="M170" s="37">
        <f t="shared" si="9"/>
        <v>15.650305734589324</v>
      </c>
      <c r="N170" s="36">
        <v>510</v>
      </c>
      <c r="O170" s="36">
        <v>350.5</v>
      </c>
      <c r="P170" s="37">
        <f t="shared" si="10"/>
        <v>159.5</v>
      </c>
      <c r="Q170" s="37">
        <f t="shared" si="11"/>
        <v>45.506419400855918</v>
      </c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 spans="1:27" ht="24.5" hidden="1" x14ac:dyDescent="0.35">
      <c r="A171" s="103">
        <v>41057008</v>
      </c>
      <c r="B171" s="9" t="s">
        <v>380</v>
      </c>
      <c r="C171" s="48" t="s">
        <v>390</v>
      </c>
      <c r="D171" s="14" t="s">
        <v>391</v>
      </c>
      <c r="E171" s="10" t="s">
        <v>89</v>
      </c>
      <c r="F171" s="10" t="s">
        <v>204</v>
      </c>
      <c r="G171" s="12" t="s">
        <v>204</v>
      </c>
      <c r="H171" s="51" t="s">
        <v>205</v>
      </c>
      <c r="I171" s="25" t="s">
        <v>86</v>
      </c>
      <c r="J171" s="38">
        <v>4938</v>
      </c>
      <c r="K171" s="39">
        <v>4397</v>
      </c>
      <c r="L171" s="37">
        <f t="shared" si="8"/>
        <v>541</v>
      </c>
      <c r="M171" s="37">
        <f t="shared" si="9"/>
        <v>12.303843529679327</v>
      </c>
      <c r="N171" s="36">
        <v>1523</v>
      </c>
      <c r="O171" s="36">
        <v>2621</v>
      </c>
      <c r="P171" s="37">
        <f t="shared" si="10"/>
        <v>-1098</v>
      </c>
      <c r="Q171" s="37">
        <f t="shared" si="11"/>
        <v>-41.892407478061813</v>
      </c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 spans="1:27" ht="24.5" hidden="1" x14ac:dyDescent="0.35">
      <c r="A172" s="103">
        <v>41019270</v>
      </c>
      <c r="B172" s="9" t="s">
        <v>380</v>
      </c>
      <c r="C172" s="48" t="s">
        <v>542</v>
      </c>
      <c r="D172" s="14" t="s">
        <v>543</v>
      </c>
      <c r="E172" s="10" t="s">
        <v>169</v>
      </c>
      <c r="F172" s="10" t="s">
        <v>488</v>
      </c>
      <c r="G172" s="12" t="s">
        <v>488</v>
      </c>
      <c r="H172" s="51" t="s">
        <v>172</v>
      </c>
      <c r="I172" s="25" t="s">
        <v>78</v>
      </c>
      <c r="J172" s="38">
        <v>2868.5</v>
      </c>
      <c r="K172" s="39">
        <v>2722.5</v>
      </c>
      <c r="L172" s="37">
        <f t="shared" si="8"/>
        <v>146</v>
      </c>
      <c r="M172" s="37">
        <f t="shared" si="9"/>
        <v>5.3627180899908176</v>
      </c>
      <c r="N172" s="36">
        <v>265.5</v>
      </c>
      <c r="O172" s="36">
        <v>281.5</v>
      </c>
      <c r="P172" s="37">
        <f t="shared" si="10"/>
        <v>-16</v>
      </c>
      <c r="Q172" s="37">
        <f t="shared" si="11"/>
        <v>-5.6838365896980463</v>
      </c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 spans="1:27" hidden="1" x14ac:dyDescent="0.35">
      <c r="A173" s="103">
        <v>41056839</v>
      </c>
      <c r="B173" s="9" t="s">
        <v>380</v>
      </c>
      <c r="C173" s="48" t="s">
        <v>536</v>
      </c>
      <c r="D173" s="14" t="s">
        <v>281</v>
      </c>
      <c r="E173" s="10" t="s">
        <v>200</v>
      </c>
      <c r="F173" s="10" t="s">
        <v>244</v>
      </c>
      <c r="G173" s="12" t="s">
        <v>244</v>
      </c>
      <c r="H173" s="51" t="s">
        <v>172</v>
      </c>
      <c r="I173" s="25" t="s">
        <v>83</v>
      </c>
      <c r="J173" s="38">
        <v>1927</v>
      </c>
      <c r="K173" s="39">
        <v>1834</v>
      </c>
      <c r="L173" s="37">
        <f t="shared" si="8"/>
        <v>93</v>
      </c>
      <c r="M173" s="37">
        <f t="shared" si="9"/>
        <v>5.0708833151581238</v>
      </c>
      <c r="N173" s="36">
        <v>8445</v>
      </c>
      <c r="O173" s="36">
        <v>9521</v>
      </c>
      <c r="P173" s="37">
        <f t="shared" si="10"/>
        <v>-1076</v>
      </c>
      <c r="Q173" s="37">
        <f t="shared" si="11"/>
        <v>-11.301333893498581</v>
      </c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 spans="1:27" hidden="1" x14ac:dyDescent="0.35">
      <c r="A174" s="103">
        <v>41056817</v>
      </c>
      <c r="B174" s="9" t="s">
        <v>380</v>
      </c>
      <c r="C174" s="47" t="s">
        <v>571</v>
      </c>
      <c r="D174" s="14" t="s">
        <v>572</v>
      </c>
      <c r="E174" s="10" t="s">
        <v>85</v>
      </c>
      <c r="F174" s="10" t="s">
        <v>361</v>
      </c>
      <c r="G174" s="12" t="s">
        <v>361</v>
      </c>
      <c r="H174" s="51" t="s">
        <v>304</v>
      </c>
      <c r="I174" s="25" t="s">
        <v>86</v>
      </c>
      <c r="J174" s="38">
        <v>3593.5</v>
      </c>
      <c r="K174" s="39">
        <v>3584</v>
      </c>
      <c r="L174" s="37">
        <f t="shared" si="8"/>
        <v>9.5</v>
      </c>
      <c r="M174" s="37">
        <f t="shared" si="9"/>
        <v>0.2650669642857143</v>
      </c>
      <c r="N174" s="36">
        <v>832.5</v>
      </c>
      <c r="O174" s="36">
        <v>1008</v>
      </c>
      <c r="P174" s="37">
        <f t="shared" si="10"/>
        <v>-175.5</v>
      </c>
      <c r="Q174" s="37">
        <f t="shared" si="11"/>
        <v>-17.410714285714285</v>
      </c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 spans="1:27" ht="24.5" hidden="1" x14ac:dyDescent="0.35">
      <c r="A175" s="103">
        <v>41031180</v>
      </c>
      <c r="B175" s="9" t="s">
        <v>380</v>
      </c>
      <c r="C175" s="47" t="s">
        <v>426</v>
      </c>
      <c r="D175" s="14" t="s">
        <v>427</v>
      </c>
      <c r="E175" s="10" t="s">
        <v>103</v>
      </c>
      <c r="F175" s="10" t="s">
        <v>428</v>
      </c>
      <c r="G175" s="12" t="s">
        <v>428</v>
      </c>
      <c r="H175" s="51" t="s">
        <v>105</v>
      </c>
      <c r="I175" s="25" t="s">
        <v>78</v>
      </c>
      <c r="J175" s="38">
        <v>2714</v>
      </c>
      <c r="K175" s="39">
        <v>2650</v>
      </c>
      <c r="L175" s="37">
        <f t="shared" si="8"/>
        <v>64</v>
      </c>
      <c r="M175" s="37">
        <f t="shared" si="9"/>
        <v>2.4150943396226414</v>
      </c>
      <c r="N175" s="36">
        <v>2774</v>
      </c>
      <c r="O175" s="36">
        <v>2717</v>
      </c>
      <c r="P175" s="37">
        <f t="shared" si="10"/>
        <v>57</v>
      </c>
      <c r="Q175" s="37">
        <f t="shared" si="11"/>
        <v>2.0979020979020979</v>
      </c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 spans="1:27" ht="24.5" hidden="1" x14ac:dyDescent="0.35">
      <c r="A176" s="103">
        <v>41027027</v>
      </c>
      <c r="B176" s="9" t="s">
        <v>380</v>
      </c>
      <c r="C176" s="47" t="s">
        <v>489</v>
      </c>
      <c r="D176" s="14" t="s">
        <v>490</v>
      </c>
      <c r="E176" s="10" t="s">
        <v>75</v>
      </c>
      <c r="F176" s="10" t="s">
        <v>100</v>
      </c>
      <c r="G176" s="12" t="s">
        <v>100</v>
      </c>
      <c r="H176" s="51" t="s">
        <v>77</v>
      </c>
      <c r="I176" s="25" t="s">
        <v>78</v>
      </c>
      <c r="J176" s="38">
        <v>2693.5</v>
      </c>
      <c r="K176" s="39">
        <v>2657.5</v>
      </c>
      <c r="L176" s="37">
        <f t="shared" si="8"/>
        <v>36</v>
      </c>
      <c r="M176" s="37">
        <f t="shared" si="9"/>
        <v>1.3546566321730951</v>
      </c>
      <c r="N176" s="36">
        <v>328.5</v>
      </c>
      <c r="O176" s="36">
        <v>341.5</v>
      </c>
      <c r="P176" s="37">
        <f t="shared" si="10"/>
        <v>-13</v>
      </c>
      <c r="Q176" s="37">
        <f t="shared" si="11"/>
        <v>-3.8067349926793561</v>
      </c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 spans="1:27" hidden="1" x14ac:dyDescent="0.35">
      <c r="A177" s="106">
        <v>41056842</v>
      </c>
      <c r="B177" s="9" t="s">
        <v>380</v>
      </c>
      <c r="C177" s="49" t="s">
        <v>484</v>
      </c>
      <c r="D177" s="14" t="s">
        <v>485</v>
      </c>
      <c r="E177" s="10" t="s">
        <v>103</v>
      </c>
      <c r="F177" s="10" t="s">
        <v>104</v>
      </c>
      <c r="G177" s="12" t="s">
        <v>104</v>
      </c>
      <c r="H177" s="51" t="s">
        <v>105</v>
      </c>
      <c r="I177" s="25" t="s">
        <v>78</v>
      </c>
      <c r="J177" s="38">
        <v>4498.4003199999997</v>
      </c>
      <c r="K177" s="39">
        <v>4383.2353190000003</v>
      </c>
      <c r="L177" s="37">
        <f t="shared" si="8"/>
        <v>115.16500099999939</v>
      </c>
      <c r="M177" s="37">
        <f t="shared" si="9"/>
        <v>2.6273971762545791</v>
      </c>
      <c r="N177" s="36">
        <v>1465.1052799999998</v>
      </c>
      <c r="O177" s="36">
        <v>1600.9568199999994</v>
      </c>
      <c r="P177" s="37">
        <f t="shared" si="10"/>
        <v>-135.85153999999966</v>
      </c>
      <c r="Q177" s="37">
        <f t="shared" si="11"/>
        <v>-8.4856467271865395</v>
      </c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 spans="1:27" hidden="1" x14ac:dyDescent="0.35">
      <c r="A178" s="103">
        <v>41028209</v>
      </c>
      <c r="B178" s="9" t="s">
        <v>380</v>
      </c>
      <c r="C178" s="48" t="s">
        <v>565</v>
      </c>
      <c r="D178" s="14" t="s">
        <v>566</v>
      </c>
      <c r="E178" s="10" t="s">
        <v>85</v>
      </c>
      <c r="F178" s="10" t="s">
        <v>318</v>
      </c>
      <c r="G178" s="12" t="s">
        <v>318</v>
      </c>
      <c r="H178" s="51" t="s">
        <v>304</v>
      </c>
      <c r="I178" s="25" t="s">
        <v>86</v>
      </c>
      <c r="J178" s="38">
        <v>3041</v>
      </c>
      <c r="K178" s="39">
        <v>3044</v>
      </c>
      <c r="L178" s="37">
        <f t="shared" si="8"/>
        <v>-3</v>
      </c>
      <c r="M178" s="37">
        <f t="shared" si="9"/>
        <v>-9.8554533508541389E-2</v>
      </c>
      <c r="N178" s="36">
        <v>505</v>
      </c>
      <c r="O178" s="36">
        <v>531</v>
      </c>
      <c r="P178" s="37">
        <f t="shared" si="10"/>
        <v>-26</v>
      </c>
      <c r="Q178" s="37">
        <f t="shared" si="11"/>
        <v>-4.8964218455743875</v>
      </c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 spans="1:27" ht="36.5" hidden="1" x14ac:dyDescent="0.35">
      <c r="A179" s="103">
        <v>41056530</v>
      </c>
      <c r="B179" s="9" t="s">
        <v>380</v>
      </c>
      <c r="C179" s="47" t="s">
        <v>446</v>
      </c>
      <c r="D179" s="14" t="s">
        <v>447</v>
      </c>
      <c r="E179" s="10" t="s">
        <v>103</v>
      </c>
      <c r="F179" s="10" t="s">
        <v>208</v>
      </c>
      <c r="G179" s="12" t="s">
        <v>208</v>
      </c>
      <c r="H179" s="51" t="s">
        <v>105</v>
      </c>
      <c r="I179" s="25" t="s">
        <v>83</v>
      </c>
      <c r="J179" s="38">
        <v>1094</v>
      </c>
      <c r="K179" s="39">
        <v>1055</v>
      </c>
      <c r="L179" s="37">
        <f t="shared" si="8"/>
        <v>39</v>
      </c>
      <c r="M179" s="37">
        <f t="shared" si="9"/>
        <v>3.6966824644549763</v>
      </c>
      <c r="N179" s="36">
        <v>366</v>
      </c>
      <c r="O179" s="36">
        <v>521</v>
      </c>
      <c r="P179" s="37">
        <f t="shared" si="10"/>
        <v>-155</v>
      </c>
      <c r="Q179" s="37">
        <f t="shared" si="11"/>
        <v>-29.750479846449135</v>
      </c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 spans="1:27" ht="24.5" hidden="1" x14ac:dyDescent="0.35">
      <c r="A180" s="103">
        <v>41057001</v>
      </c>
      <c r="B180" s="9" t="s">
        <v>380</v>
      </c>
      <c r="C180" s="47" t="s">
        <v>435</v>
      </c>
      <c r="D180" s="14" t="s">
        <v>436</v>
      </c>
      <c r="E180" s="10" t="s">
        <v>103</v>
      </c>
      <c r="F180" s="10" t="s">
        <v>104</v>
      </c>
      <c r="G180" s="12" t="s">
        <v>104</v>
      </c>
      <c r="H180" s="51" t="s">
        <v>105</v>
      </c>
      <c r="I180" s="25" t="s">
        <v>78</v>
      </c>
      <c r="J180" s="38">
        <v>1513.5</v>
      </c>
      <c r="K180" s="39">
        <v>1517.5</v>
      </c>
      <c r="L180" s="37">
        <f t="shared" si="8"/>
        <v>-4</v>
      </c>
      <c r="M180" s="37">
        <f t="shared" si="9"/>
        <v>-0.26359143327841844</v>
      </c>
      <c r="N180" s="36">
        <v>1208.5</v>
      </c>
      <c r="O180" s="36">
        <v>1029.5</v>
      </c>
      <c r="P180" s="37">
        <f t="shared" si="10"/>
        <v>179</v>
      </c>
      <c r="Q180" s="37">
        <f t="shared" si="11"/>
        <v>17.387081107333657</v>
      </c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 spans="1:27" ht="24.5" hidden="1" x14ac:dyDescent="0.35">
      <c r="A181" s="103">
        <v>41056997</v>
      </c>
      <c r="B181" s="9" t="s">
        <v>380</v>
      </c>
      <c r="C181" s="47" t="s">
        <v>573</v>
      </c>
      <c r="D181" s="14" t="s">
        <v>387</v>
      </c>
      <c r="E181" s="10" t="s">
        <v>85</v>
      </c>
      <c r="F181" s="10" t="s">
        <v>192</v>
      </c>
      <c r="G181" s="12" t="s">
        <v>192</v>
      </c>
      <c r="H181" s="51" t="s">
        <v>178</v>
      </c>
      <c r="I181" s="25" t="s">
        <v>86</v>
      </c>
      <c r="J181" s="38">
        <v>431.5</v>
      </c>
      <c r="K181" s="39">
        <v>448.5</v>
      </c>
      <c r="L181" s="37">
        <f t="shared" si="8"/>
        <v>-17</v>
      </c>
      <c r="M181" s="37">
        <f t="shared" si="9"/>
        <v>-3.79041248606466</v>
      </c>
      <c r="N181" s="36">
        <v>802.5</v>
      </c>
      <c r="O181" s="36">
        <v>1250.5</v>
      </c>
      <c r="P181" s="37">
        <f t="shared" si="10"/>
        <v>-448</v>
      </c>
      <c r="Q181" s="37">
        <f t="shared" si="11"/>
        <v>-35.825669732107158</v>
      </c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 spans="1:27" ht="24.5" hidden="1" x14ac:dyDescent="0.35">
      <c r="A182" s="103">
        <v>41032599</v>
      </c>
      <c r="B182" s="9" t="s">
        <v>380</v>
      </c>
      <c r="C182" s="47" t="s">
        <v>563</v>
      </c>
      <c r="D182" s="14" t="s">
        <v>389</v>
      </c>
      <c r="E182" s="10" t="s">
        <v>89</v>
      </c>
      <c r="F182" s="10" t="s">
        <v>342</v>
      </c>
      <c r="G182" s="12" t="s">
        <v>342</v>
      </c>
      <c r="H182" s="51" t="s">
        <v>205</v>
      </c>
      <c r="I182" s="25" t="s">
        <v>86</v>
      </c>
      <c r="J182" s="38">
        <v>3542.5</v>
      </c>
      <c r="K182" s="39">
        <v>3530.5</v>
      </c>
      <c r="L182" s="37">
        <f t="shared" si="8"/>
        <v>12</v>
      </c>
      <c r="M182" s="37">
        <f t="shared" si="9"/>
        <v>0.33989519898031439</v>
      </c>
      <c r="N182" s="36">
        <v>802.5</v>
      </c>
      <c r="O182" s="36">
        <v>928.5</v>
      </c>
      <c r="P182" s="37">
        <f t="shared" si="10"/>
        <v>-126</v>
      </c>
      <c r="Q182" s="37">
        <f t="shared" si="11"/>
        <v>-13.570274636510501</v>
      </c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 spans="1:27" hidden="1" x14ac:dyDescent="0.35">
      <c r="A183" s="103">
        <v>41056998</v>
      </c>
      <c r="B183" s="9" t="s">
        <v>380</v>
      </c>
      <c r="C183" s="47" t="s">
        <v>422</v>
      </c>
      <c r="D183" s="14" t="s">
        <v>423</v>
      </c>
      <c r="E183" s="10" t="s">
        <v>111</v>
      </c>
      <c r="F183" s="10" t="s">
        <v>116</v>
      </c>
      <c r="G183" s="12" t="s">
        <v>116</v>
      </c>
      <c r="H183" s="51" t="s">
        <v>105</v>
      </c>
      <c r="I183" s="25" t="s">
        <v>78</v>
      </c>
      <c r="J183" s="38">
        <v>2070</v>
      </c>
      <c r="K183" s="39">
        <v>2057.5</v>
      </c>
      <c r="L183" s="37">
        <f t="shared" si="8"/>
        <v>12.5</v>
      </c>
      <c r="M183" s="37">
        <f t="shared" si="9"/>
        <v>0.60753341433778862</v>
      </c>
      <c r="N183" s="36">
        <v>711</v>
      </c>
      <c r="O183" s="36">
        <v>909.5</v>
      </c>
      <c r="P183" s="37">
        <f t="shared" si="10"/>
        <v>-198.5</v>
      </c>
      <c r="Q183" s="37">
        <f t="shared" si="11"/>
        <v>-21.825178669598682</v>
      </c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 spans="1:27" hidden="1" x14ac:dyDescent="0.35">
      <c r="A184" s="103">
        <v>41056533</v>
      </c>
      <c r="B184" s="9" t="s">
        <v>380</v>
      </c>
      <c r="C184" s="47" t="s">
        <v>417</v>
      </c>
      <c r="D184" s="14" t="s">
        <v>418</v>
      </c>
      <c r="E184" s="10" t="s">
        <v>103</v>
      </c>
      <c r="F184" s="10" t="s">
        <v>211</v>
      </c>
      <c r="G184" s="12" t="s">
        <v>211</v>
      </c>
      <c r="H184" s="51" t="s">
        <v>135</v>
      </c>
      <c r="I184" s="25" t="s">
        <v>83</v>
      </c>
      <c r="J184" s="38">
        <v>3516</v>
      </c>
      <c r="K184" s="39">
        <v>3189.5</v>
      </c>
      <c r="L184" s="37">
        <f t="shared" si="8"/>
        <v>326.5</v>
      </c>
      <c r="M184" s="37">
        <f t="shared" si="9"/>
        <v>10.236714218529549</v>
      </c>
      <c r="N184" s="36">
        <v>2240</v>
      </c>
      <c r="O184" s="36">
        <v>2547.5</v>
      </c>
      <c r="P184" s="37">
        <f t="shared" si="10"/>
        <v>-307.5</v>
      </c>
      <c r="Q184" s="37">
        <f t="shared" si="11"/>
        <v>-12.070657507360156</v>
      </c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 spans="1:27" ht="24.5" hidden="1" x14ac:dyDescent="0.35">
      <c r="A185" s="103">
        <v>41057009</v>
      </c>
      <c r="B185" s="9" t="s">
        <v>380</v>
      </c>
      <c r="C185" s="48" t="s">
        <v>506</v>
      </c>
      <c r="D185" s="14" t="s">
        <v>507</v>
      </c>
      <c r="E185" s="10" t="s">
        <v>111</v>
      </c>
      <c r="F185" s="10" t="s">
        <v>112</v>
      </c>
      <c r="G185" s="12" t="s">
        <v>112</v>
      </c>
      <c r="H185" s="51" t="s">
        <v>113</v>
      </c>
      <c r="I185" s="25" t="s">
        <v>78</v>
      </c>
      <c r="J185" s="38">
        <v>4240</v>
      </c>
      <c r="K185" s="39">
        <v>4458</v>
      </c>
      <c r="L185" s="37">
        <f t="shared" si="8"/>
        <v>-218</v>
      </c>
      <c r="M185" s="37">
        <f t="shared" si="9"/>
        <v>-4.8900852400179451</v>
      </c>
      <c r="N185" s="36">
        <v>676</v>
      </c>
      <c r="O185" s="36">
        <v>840</v>
      </c>
      <c r="P185" s="37">
        <f t="shared" si="10"/>
        <v>-164</v>
      </c>
      <c r="Q185" s="37">
        <f t="shared" si="11"/>
        <v>-19.523809523809526</v>
      </c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 spans="1:27" ht="24.5" hidden="1" x14ac:dyDescent="0.35">
      <c r="A186" s="103">
        <v>41019258</v>
      </c>
      <c r="B186" s="9" t="s">
        <v>380</v>
      </c>
      <c r="C186" s="47" t="s">
        <v>501</v>
      </c>
      <c r="D186" s="14" t="s">
        <v>281</v>
      </c>
      <c r="E186" s="10" t="s">
        <v>200</v>
      </c>
      <c r="F186" s="10" t="s">
        <v>244</v>
      </c>
      <c r="G186" s="12" t="s">
        <v>244</v>
      </c>
      <c r="H186" s="51" t="s">
        <v>172</v>
      </c>
      <c r="I186" s="25" t="s">
        <v>83</v>
      </c>
      <c r="J186" s="38">
        <v>1529</v>
      </c>
      <c r="K186" s="39">
        <v>1502</v>
      </c>
      <c r="L186" s="37">
        <f t="shared" si="8"/>
        <v>27</v>
      </c>
      <c r="M186" s="37">
        <f t="shared" si="9"/>
        <v>1.7976031957390146</v>
      </c>
      <c r="N186" s="36">
        <v>2216</v>
      </c>
      <c r="O186" s="36">
        <v>2678</v>
      </c>
      <c r="P186" s="37">
        <f t="shared" si="10"/>
        <v>-462</v>
      </c>
      <c r="Q186" s="37">
        <f t="shared" si="11"/>
        <v>-17.251680358476477</v>
      </c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 spans="1:27" ht="24.5" hidden="1" x14ac:dyDescent="0.35">
      <c r="A187" s="103">
        <v>41032462</v>
      </c>
      <c r="B187" s="9" t="s">
        <v>380</v>
      </c>
      <c r="C187" s="47" t="s">
        <v>557</v>
      </c>
      <c r="D187" s="14" t="s">
        <v>389</v>
      </c>
      <c r="E187" s="10" t="s">
        <v>89</v>
      </c>
      <c r="F187" s="10" t="s">
        <v>342</v>
      </c>
      <c r="G187" s="12" t="s">
        <v>342</v>
      </c>
      <c r="H187" s="51" t="s">
        <v>205</v>
      </c>
      <c r="I187" s="25" t="s">
        <v>86</v>
      </c>
      <c r="J187" s="38">
        <v>4284</v>
      </c>
      <c r="K187" s="39">
        <v>4227</v>
      </c>
      <c r="L187" s="37">
        <f t="shared" si="8"/>
        <v>57</v>
      </c>
      <c r="M187" s="37">
        <f t="shared" si="9"/>
        <v>1.3484740951029099</v>
      </c>
      <c r="N187" s="36">
        <v>1128</v>
      </c>
      <c r="O187" s="36">
        <v>1216</v>
      </c>
      <c r="P187" s="37">
        <f t="shared" si="10"/>
        <v>-88</v>
      </c>
      <c r="Q187" s="37">
        <f t="shared" si="11"/>
        <v>-7.2368421052631584</v>
      </c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 spans="1:27" ht="36.5" hidden="1" x14ac:dyDescent="0.35">
      <c r="A188" s="103">
        <v>41084274</v>
      </c>
      <c r="B188" s="9" t="s">
        <v>380</v>
      </c>
      <c r="C188" s="47" t="s">
        <v>463</v>
      </c>
      <c r="D188" s="14" t="s">
        <v>464</v>
      </c>
      <c r="E188" s="10" t="s">
        <v>169</v>
      </c>
      <c r="F188" s="10" t="s">
        <v>100</v>
      </c>
      <c r="G188" s="12" t="s">
        <v>100</v>
      </c>
      <c r="H188" s="51" t="s">
        <v>77</v>
      </c>
      <c r="I188" s="25" t="s">
        <v>78</v>
      </c>
      <c r="J188" s="38">
        <v>6997.2910599999996</v>
      </c>
      <c r="K188" s="39">
        <v>6673</v>
      </c>
      <c r="L188" s="37">
        <f t="shared" si="8"/>
        <v>324.29105999999956</v>
      </c>
      <c r="M188" s="37">
        <f t="shared" si="9"/>
        <v>4.8597491383185902</v>
      </c>
      <c r="N188" s="36">
        <v>1090.9478800000002</v>
      </c>
      <c r="O188" s="36">
        <v>1244.9000000000001</v>
      </c>
      <c r="P188" s="37">
        <f t="shared" si="10"/>
        <v>-153.95211999999992</v>
      </c>
      <c r="Q188" s="37">
        <f t="shared" si="11"/>
        <v>-12.36662543176158</v>
      </c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 spans="1:27" ht="24.5" hidden="1" x14ac:dyDescent="0.35">
      <c r="A189" s="103">
        <v>41056538</v>
      </c>
      <c r="B189" s="9" t="s">
        <v>380</v>
      </c>
      <c r="C189" s="48" t="s">
        <v>486</v>
      </c>
      <c r="D189" s="14" t="s">
        <v>434</v>
      </c>
      <c r="E189" s="10" t="s">
        <v>200</v>
      </c>
      <c r="F189" s="10" t="s">
        <v>300</v>
      </c>
      <c r="G189" s="12" t="s">
        <v>300</v>
      </c>
      <c r="H189" s="51" t="s">
        <v>261</v>
      </c>
      <c r="I189" s="25" t="s">
        <v>83</v>
      </c>
      <c r="J189" s="38">
        <v>145.5</v>
      </c>
      <c r="K189" s="39">
        <v>161</v>
      </c>
      <c r="L189" s="37">
        <f t="shared" si="8"/>
        <v>-15.5</v>
      </c>
      <c r="M189" s="37">
        <f t="shared" si="9"/>
        <v>-9.6273291925465845</v>
      </c>
      <c r="N189" s="36">
        <v>453.5</v>
      </c>
      <c r="O189" s="36">
        <v>353</v>
      </c>
      <c r="P189" s="37">
        <f t="shared" si="10"/>
        <v>100.5</v>
      </c>
      <c r="Q189" s="37">
        <f t="shared" si="11"/>
        <v>28.47025495750708</v>
      </c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 spans="1:27" ht="24.5" hidden="1" x14ac:dyDescent="0.35">
      <c r="A190" s="103">
        <v>41056986</v>
      </c>
      <c r="B190" s="9" t="s">
        <v>380</v>
      </c>
      <c r="C190" s="47" t="s">
        <v>487</v>
      </c>
      <c r="D190" s="14" t="s">
        <v>480</v>
      </c>
      <c r="E190" s="10" t="s">
        <v>228</v>
      </c>
      <c r="F190" s="10" t="s">
        <v>488</v>
      </c>
      <c r="G190" s="12" t="s">
        <v>488</v>
      </c>
      <c r="H190" s="51" t="s">
        <v>172</v>
      </c>
      <c r="I190" s="25" t="s">
        <v>78</v>
      </c>
      <c r="J190" s="38">
        <v>4698</v>
      </c>
      <c r="K190" s="39">
        <v>4623</v>
      </c>
      <c r="L190" s="37">
        <f t="shared" si="8"/>
        <v>75</v>
      </c>
      <c r="M190" s="37">
        <f t="shared" si="9"/>
        <v>1.6223231667748215</v>
      </c>
      <c r="N190" s="36">
        <v>443</v>
      </c>
      <c r="O190" s="36">
        <v>461</v>
      </c>
      <c r="P190" s="37">
        <f t="shared" si="10"/>
        <v>-18</v>
      </c>
      <c r="Q190" s="37">
        <f t="shared" si="11"/>
        <v>-3.9045553145336225</v>
      </c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 spans="1:27" ht="24.5" hidden="1" x14ac:dyDescent="0.35">
      <c r="A191" s="103">
        <v>41056823</v>
      </c>
      <c r="B191" s="9" t="s">
        <v>380</v>
      </c>
      <c r="C191" s="47" t="s">
        <v>431</v>
      </c>
      <c r="D191" s="14" t="s">
        <v>432</v>
      </c>
      <c r="E191" s="10" t="s">
        <v>103</v>
      </c>
      <c r="F191" s="10" t="s">
        <v>144</v>
      </c>
      <c r="G191" s="12" t="s">
        <v>144</v>
      </c>
      <c r="H191" s="51" t="s">
        <v>105</v>
      </c>
      <c r="I191" s="25" t="s">
        <v>78</v>
      </c>
      <c r="J191" s="38">
        <v>4431.5</v>
      </c>
      <c r="K191" s="39">
        <v>4233.5</v>
      </c>
      <c r="L191" s="37">
        <f t="shared" si="8"/>
        <v>198</v>
      </c>
      <c r="M191" s="37">
        <f t="shared" si="9"/>
        <v>4.6769812212117632</v>
      </c>
      <c r="N191" s="36">
        <v>1422.5</v>
      </c>
      <c r="O191" s="36">
        <v>1379.5</v>
      </c>
      <c r="P191" s="37">
        <f t="shared" si="10"/>
        <v>43</v>
      </c>
      <c r="Q191" s="37">
        <f t="shared" si="11"/>
        <v>3.1170714026821313</v>
      </c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 spans="1:27" ht="24.5" hidden="1" x14ac:dyDescent="0.35">
      <c r="A192" s="103">
        <v>41056990</v>
      </c>
      <c r="B192" s="9" t="s">
        <v>380</v>
      </c>
      <c r="C192" s="48" t="s">
        <v>477</v>
      </c>
      <c r="D192" s="14" t="s">
        <v>478</v>
      </c>
      <c r="E192" s="10" t="s">
        <v>228</v>
      </c>
      <c r="F192" s="10" t="s">
        <v>232</v>
      </c>
      <c r="G192" s="12" t="s">
        <v>232</v>
      </c>
      <c r="H192" s="51" t="s">
        <v>230</v>
      </c>
      <c r="I192" s="25" t="s">
        <v>78</v>
      </c>
      <c r="J192" s="38">
        <v>4004</v>
      </c>
      <c r="K192" s="39">
        <v>4078</v>
      </c>
      <c r="L192" s="37">
        <f t="shared" si="8"/>
        <v>-74</v>
      </c>
      <c r="M192" s="37">
        <f t="shared" si="9"/>
        <v>-1.8146150073565472</v>
      </c>
      <c r="N192" s="36">
        <v>1199</v>
      </c>
      <c r="O192" s="36">
        <v>1336</v>
      </c>
      <c r="P192" s="37">
        <f t="shared" si="10"/>
        <v>-137</v>
      </c>
      <c r="Q192" s="37">
        <f t="shared" si="11"/>
        <v>-10.254491017964073</v>
      </c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 spans="1:27" ht="24.5" hidden="1" x14ac:dyDescent="0.35">
      <c r="A193" s="103">
        <v>41030958</v>
      </c>
      <c r="B193" s="9" t="s">
        <v>380</v>
      </c>
      <c r="C193" s="47" t="s">
        <v>578</v>
      </c>
      <c r="D193" s="14" t="s">
        <v>579</v>
      </c>
      <c r="E193" s="10" t="s">
        <v>85</v>
      </c>
      <c r="F193" s="10" t="s">
        <v>303</v>
      </c>
      <c r="G193" s="12" t="s">
        <v>580</v>
      </c>
      <c r="H193" s="51" t="s">
        <v>304</v>
      </c>
      <c r="I193" s="25" t="s">
        <v>86</v>
      </c>
      <c r="J193" s="38">
        <v>1388</v>
      </c>
      <c r="K193" s="39">
        <v>1472.5</v>
      </c>
      <c r="L193" s="37">
        <f t="shared" si="8"/>
        <v>-84.5</v>
      </c>
      <c r="M193" s="37">
        <f t="shared" si="9"/>
        <v>-5.7385398981324274</v>
      </c>
      <c r="N193" s="36">
        <v>199</v>
      </c>
      <c r="O193" s="36">
        <v>245.5</v>
      </c>
      <c r="P193" s="37">
        <f t="shared" si="10"/>
        <v>-46.5</v>
      </c>
      <c r="Q193" s="37">
        <f t="shared" si="11"/>
        <v>-18.94093686354379</v>
      </c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 spans="1:27" ht="24.5" hidden="1" x14ac:dyDescent="0.35">
      <c r="A194" s="103">
        <v>41019261</v>
      </c>
      <c r="B194" s="9" t="s">
        <v>380</v>
      </c>
      <c r="C194" s="47" t="s">
        <v>493</v>
      </c>
      <c r="D194" s="14" t="s">
        <v>454</v>
      </c>
      <c r="E194" s="10" t="s">
        <v>81</v>
      </c>
      <c r="F194" s="10" t="s">
        <v>455</v>
      </c>
      <c r="G194" s="12" t="s">
        <v>455</v>
      </c>
      <c r="H194" s="51" t="s">
        <v>141</v>
      </c>
      <c r="I194" s="25" t="s">
        <v>83</v>
      </c>
      <c r="J194" s="38">
        <v>3765</v>
      </c>
      <c r="K194" s="39">
        <v>3372.5</v>
      </c>
      <c r="L194" s="37">
        <f t="shared" ref="L194:L257" si="12">(J194-K194)</f>
        <v>392.5</v>
      </c>
      <c r="M194" s="37">
        <f t="shared" ref="M194:M257" si="13">(L194)/K194*100</f>
        <v>11.638250555967383</v>
      </c>
      <c r="N194" s="36">
        <v>1154</v>
      </c>
      <c r="O194" s="36">
        <v>1155.5</v>
      </c>
      <c r="P194" s="37">
        <f t="shared" ref="P194:P257" si="14">(N194-O194)</f>
        <v>-1.5</v>
      </c>
      <c r="Q194" s="37">
        <f t="shared" ref="Q194:Q257" si="15">(P194)/O194*100</f>
        <v>-0.12981393336218089</v>
      </c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 spans="1:27" hidden="1" x14ac:dyDescent="0.35">
      <c r="A195" s="103">
        <v>41057012</v>
      </c>
      <c r="B195" s="9" t="s">
        <v>380</v>
      </c>
      <c r="C195" s="47" t="s">
        <v>520</v>
      </c>
      <c r="D195" s="14" t="s">
        <v>521</v>
      </c>
      <c r="E195" s="10" t="s">
        <v>111</v>
      </c>
      <c r="F195" s="10" t="s">
        <v>149</v>
      </c>
      <c r="G195" s="12" t="s">
        <v>149</v>
      </c>
      <c r="H195" s="51" t="s">
        <v>105</v>
      </c>
      <c r="I195" s="25" t="s">
        <v>78</v>
      </c>
      <c r="J195" s="38">
        <v>3171</v>
      </c>
      <c r="K195" s="39">
        <v>3027.5</v>
      </c>
      <c r="L195" s="37">
        <f t="shared" si="12"/>
        <v>143.5</v>
      </c>
      <c r="M195" s="37">
        <f t="shared" si="13"/>
        <v>4.7398843930635834</v>
      </c>
      <c r="N195" s="36">
        <v>674</v>
      </c>
      <c r="O195" s="36">
        <v>734.5</v>
      </c>
      <c r="P195" s="37">
        <f t="shared" si="14"/>
        <v>-60.5</v>
      </c>
      <c r="Q195" s="37">
        <f t="shared" si="15"/>
        <v>-8.2368958475153153</v>
      </c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 spans="1:27" ht="24.5" hidden="1" x14ac:dyDescent="0.35">
      <c r="A196" s="103">
        <v>41032884</v>
      </c>
      <c r="B196" s="9" t="s">
        <v>380</v>
      </c>
      <c r="C196" s="47" t="s">
        <v>540</v>
      </c>
      <c r="D196" s="14" t="s">
        <v>541</v>
      </c>
      <c r="E196" s="10" t="s">
        <v>111</v>
      </c>
      <c r="F196" s="10" t="s">
        <v>112</v>
      </c>
      <c r="G196" s="12" t="s">
        <v>112</v>
      </c>
      <c r="H196" s="51" t="s">
        <v>113</v>
      </c>
      <c r="I196" s="25" t="s">
        <v>78</v>
      </c>
      <c r="J196" s="38">
        <v>8522.5</v>
      </c>
      <c r="K196" s="39">
        <v>8970</v>
      </c>
      <c r="L196" s="37">
        <f t="shared" si="12"/>
        <v>-447.5</v>
      </c>
      <c r="M196" s="37">
        <f t="shared" si="13"/>
        <v>-4.988851727982162</v>
      </c>
      <c r="N196" s="36">
        <v>2480.5</v>
      </c>
      <c r="O196" s="36">
        <v>3233</v>
      </c>
      <c r="P196" s="37">
        <f t="shared" si="14"/>
        <v>-752.5</v>
      </c>
      <c r="Q196" s="37">
        <f t="shared" si="15"/>
        <v>-23.275595422208475</v>
      </c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 spans="1:27" ht="24.5" hidden="1" x14ac:dyDescent="0.35">
      <c r="A197" s="103">
        <v>41056502</v>
      </c>
      <c r="B197" s="9" t="s">
        <v>380</v>
      </c>
      <c r="C197" s="47" t="s">
        <v>444</v>
      </c>
      <c r="D197" s="14" t="s">
        <v>445</v>
      </c>
      <c r="E197" s="10" t="s">
        <v>103</v>
      </c>
      <c r="F197" s="10" t="s">
        <v>361</v>
      </c>
      <c r="G197" s="12" t="s">
        <v>408</v>
      </c>
      <c r="H197" s="51" t="s">
        <v>304</v>
      </c>
      <c r="I197" s="25" t="s">
        <v>86</v>
      </c>
      <c r="J197" s="38">
        <v>3706.5</v>
      </c>
      <c r="K197" s="39">
        <v>3548</v>
      </c>
      <c r="L197" s="37">
        <f t="shared" si="12"/>
        <v>158.5</v>
      </c>
      <c r="M197" s="37">
        <f t="shared" si="13"/>
        <v>4.4673055242390074</v>
      </c>
      <c r="N197" s="36">
        <v>7382.5</v>
      </c>
      <c r="O197" s="36">
        <v>6141</v>
      </c>
      <c r="P197" s="37">
        <f t="shared" si="14"/>
        <v>1241.5</v>
      </c>
      <c r="Q197" s="37">
        <f t="shared" si="15"/>
        <v>20.216577104706072</v>
      </c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 spans="1:27" ht="24.5" hidden="1" x14ac:dyDescent="0.35">
      <c r="A198" s="103">
        <v>41056991</v>
      </c>
      <c r="B198" s="9" t="s">
        <v>380</v>
      </c>
      <c r="C198" s="47" t="s">
        <v>479</v>
      </c>
      <c r="D198" s="14" t="s">
        <v>480</v>
      </c>
      <c r="E198" s="10" t="s">
        <v>228</v>
      </c>
      <c r="F198" s="10" t="s">
        <v>462</v>
      </c>
      <c r="G198" s="12" t="s">
        <v>462</v>
      </c>
      <c r="H198" s="51" t="s">
        <v>172</v>
      </c>
      <c r="I198" s="25" t="s">
        <v>78</v>
      </c>
      <c r="J198" s="38">
        <v>5174</v>
      </c>
      <c r="K198" s="39">
        <v>5185</v>
      </c>
      <c r="L198" s="37">
        <f t="shared" si="12"/>
        <v>-11</v>
      </c>
      <c r="M198" s="37">
        <f t="shared" si="13"/>
        <v>-0.21215043394406946</v>
      </c>
      <c r="N198" s="36">
        <v>535</v>
      </c>
      <c r="O198" s="36">
        <v>729</v>
      </c>
      <c r="P198" s="37">
        <f t="shared" si="14"/>
        <v>-194</v>
      </c>
      <c r="Q198" s="37">
        <f t="shared" si="15"/>
        <v>-26.611796982167352</v>
      </c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 spans="1:27" ht="24.5" hidden="1" x14ac:dyDescent="0.35">
      <c r="A199" s="103">
        <v>41019252</v>
      </c>
      <c r="B199" s="9" t="s">
        <v>380</v>
      </c>
      <c r="C199" s="48" t="s">
        <v>442</v>
      </c>
      <c r="D199" s="14" t="s">
        <v>443</v>
      </c>
      <c r="E199" s="10" t="s">
        <v>81</v>
      </c>
      <c r="F199" s="10" t="s">
        <v>154</v>
      </c>
      <c r="G199" s="12" t="s">
        <v>154</v>
      </c>
      <c r="H199" s="51" t="s">
        <v>135</v>
      </c>
      <c r="I199" s="25" t="s">
        <v>83</v>
      </c>
      <c r="J199" s="38">
        <v>6636</v>
      </c>
      <c r="K199" s="39">
        <v>6220</v>
      </c>
      <c r="L199" s="37">
        <f t="shared" si="12"/>
        <v>416</v>
      </c>
      <c r="M199" s="37">
        <f t="shared" si="13"/>
        <v>6.688102893890675</v>
      </c>
      <c r="N199" s="36">
        <v>1222</v>
      </c>
      <c r="O199" s="36">
        <v>1305</v>
      </c>
      <c r="P199" s="37">
        <f t="shared" si="14"/>
        <v>-83</v>
      </c>
      <c r="Q199" s="37">
        <f t="shared" si="15"/>
        <v>-6.3601532567049812</v>
      </c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ht="36.5" hidden="1" x14ac:dyDescent="0.35">
      <c r="A200" s="103">
        <v>41056826</v>
      </c>
      <c r="B200" s="9" t="s">
        <v>380</v>
      </c>
      <c r="C200" s="47" t="s">
        <v>546</v>
      </c>
      <c r="D200" s="14" t="s">
        <v>273</v>
      </c>
      <c r="E200" s="10" t="s">
        <v>111</v>
      </c>
      <c r="F200" s="10" t="s">
        <v>414</v>
      </c>
      <c r="G200" s="12" t="s">
        <v>414</v>
      </c>
      <c r="H200" s="51" t="s">
        <v>275</v>
      </c>
      <c r="I200" s="25" t="s">
        <v>78</v>
      </c>
      <c r="J200" s="38">
        <v>4120</v>
      </c>
      <c r="K200" s="39">
        <v>4111</v>
      </c>
      <c r="L200" s="37">
        <f t="shared" si="12"/>
        <v>9</v>
      </c>
      <c r="M200" s="37">
        <f t="shared" si="13"/>
        <v>0.21892483580637315</v>
      </c>
      <c r="N200" s="36">
        <v>1813</v>
      </c>
      <c r="O200" s="36">
        <v>1745</v>
      </c>
      <c r="P200" s="37">
        <f t="shared" si="14"/>
        <v>68</v>
      </c>
      <c r="Q200" s="37">
        <f t="shared" si="15"/>
        <v>3.8968481375358168</v>
      </c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hidden="1" x14ac:dyDescent="0.35">
      <c r="A201" s="103">
        <v>41057000</v>
      </c>
      <c r="B201" s="9" t="s">
        <v>380</v>
      </c>
      <c r="C201" s="47" t="s">
        <v>558</v>
      </c>
      <c r="D201" s="14" t="s">
        <v>559</v>
      </c>
      <c r="E201" s="10" t="s">
        <v>187</v>
      </c>
      <c r="F201" s="10" t="s">
        <v>560</v>
      </c>
      <c r="G201" s="12" t="s">
        <v>315</v>
      </c>
      <c r="H201" s="51" t="s">
        <v>178</v>
      </c>
      <c r="I201" s="25" t="s">
        <v>86</v>
      </c>
      <c r="J201" s="38">
        <v>4233.5</v>
      </c>
      <c r="K201" s="39">
        <v>4117</v>
      </c>
      <c r="L201" s="37">
        <f t="shared" si="12"/>
        <v>116.5</v>
      </c>
      <c r="M201" s="37">
        <f t="shared" si="13"/>
        <v>2.8297303862035461</v>
      </c>
      <c r="N201" s="36">
        <v>528.5</v>
      </c>
      <c r="O201" s="36">
        <v>587</v>
      </c>
      <c r="P201" s="37">
        <f t="shared" si="14"/>
        <v>-58.5</v>
      </c>
      <c r="Q201" s="37">
        <f t="shared" si="15"/>
        <v>-9.965928449744462</v>
      </c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spans="1:27" ht="36.5" hidden="1" x14ac:dyDescent="0.35">
      <c r="A202" s="103">
        <v>41056821</v>
      </c>
      <c r="B202" s="9" t="s">
        <v>380</v>
      </c>
      <c r="C202" s="48" t="s">
        <v>452</v>
      </c>
      <c r="D202" s="14" t="s">
        <v>438</v>
      </c>
      <c r="E202" s="10" t="s">
        <v>81</v>
      </c>
      <c r="F202" s="10" t="s">
        <v>439</v>
      </c>
      <c r="G202" s="12" t="s">
        <v>439</v>
      </c>
      <c r="H202" s="51" t="s">
        <v>135</v>
      </c>
      <c r="I202" s="25" t="s">
        <v>83</v>
      </c>
      <c r="J202" s="38">
        <v>6411</v>
      </c>
      <c r="K202" s="39">
        <v>6272.5</v>
      </c>
      <c r="L202" s="37">
        <f t="shared" si="12"/>
        <v>138.5</v>
      </c>
      <c r="M202" s="37">
        <f t="shared" si="13"/>
        <v>2.2080510163411717</v>
      </c>
      <c r="N202" s="36">
        <v>4681</v>
      </c>
      <c r="O202" s="36">
        <v>4779.5</v>
      </c>
      <c r="P202" s="37">
        <f t="shared" si="14"/>
        <v>-98.5</v>
      </c>
      <c r="Q202" s="37">
        <f t="shared" si="15"/>
        <v>-2.060885029814834</v>
      </c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 spans="1:27" ht="24.5" hidden="1" x14ac:dyDescent="0.35">
      <c r="A203" s="103">
        <v>41056344</v>
      </c>
      <c r="B203" s="9" t="s">
        <v>380</v>
      </c>
      <c r="C203" s="48" t="s">
        <v>433</v>
      </c>
      <c r="D203" s="14" t="s">
        <v>434</v>
      </c>
      <c r="E203" s="10" t="s">
        <v>200</v>
      </c>
      <c r="F203" s="10" t="s">
        <v>300</v>
      </c>
      <c r="G203" s="12" t="s">
        <v>300</v>
      </c>
      <c r="H203" s="51" t="s">
        <v>261</v>
      </c>
      <c r="I203" s="25" t="s">
        <v>83</v>
      </c>
      <c r="J203" s="38">
        <v>404.5</v>
      </c>
      <c r="K203" s="39">
        <v>431</v>
      </c>
      <c r="L203" s="37">
        <f t="shared" si="12"/>
        <v>-26.5</v>
      </c>
      <c r="M203" s="37">
        <f t="shared" si="13"/>
        <v>-6.148491879350348</v>
      </c>
      <c r="N203" s="36">
        <v>578.5</v>
      </c>
      <c r="O203" s="36">
        <v>800</v>
      </c>
      <c r="P203" s="37">
        <f t="shared" si="14"/>
        <v>-221.5</v>
      </c>
      <c r="Q203" s="37">
        <f t="shared" si="15"/>
        <v>-27.6875</v>
      </c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 spans="1:27" ht="24.5" hidden="1" x14ac:dyDescent="0.35">
      <c r="A204" s="103">
        <v>41056522</v>
      </c>
      <c r="B204" s="9" t="s">
        <v>380</v>
      </c>
      <c r="C204" s="48" t="s">
        <v>576</v>
      </c>
      <c r="D204" s="14" t="s">
        <v>577</v>
      </c>
      <c r="E204" s="10" t="s">
        <v>187</v>
      </c>
      <c r="F204" s="10" t="s">
        <v>321</v>
      </c>
      <c r="G204" s="12" t="s">
        <v>321</v>
      </c>
      <c r="H204" s="51" t="s">
        <v>189</v>
      </c>
      <c r="I204" s="25" t="s">
        <v>86</v>
      </c>
      <c r="J204" s="38">
        <v>2574.02</v>
      </c>
      <c r="K204" s="39">
        <v>2649</v>
      </c>
      <c r="L204" s="37">
        <f t="shared" si="12"/>
        <v>-74.980000000000018</v>
      </c>
      <c r="M204" s="37">
        <f t="shared" si="13"/>
        <v>-2.8305020762551916</v>
      </c>
      <c r="N204" s="36">
        <v>427.02499999999998</v>
      </c>
      <c r="O204" s="36">
        <v>527</v>
      </c>
      <c r="P204" s="37">
        <f t="shared" si="14"/>
        <v>-99.975000000000023</v>
      </c>
      <c r="Q204" s="37">
        <f t="shared" si="15"/>
        <v>-18.970588235294123</v>
      </c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 spans="1:27" ht="24.5" hidden="1" x14ac:dyDescent="0.35">
      <c r="A205" s="103">
        <v>41056401</v>
      </c>
      <c r="B205" s="9" t="s">
        <v>380</v>
      </c>
      <c r="C205" s="47" t="s">
        <v>537</v>
      </c>
      <c r="D205" s="14" t="s">
        <v>389</v>
      </c>
      <c r="E205" s="10" t="s">
        <v>89</v>
      </c>
      <c r="F205" s="10" t="s">
        <v>538</v>
      </c>
      <c r="G205" s="12" t="s">
        <v>204</v>
      </c>
      <c r="H205" s="51" t="s">
        <v>205</v>
      </c>
      <c r="I205" s="25" t="s">
        <v>86</v>
      </c>
      <c r="J205" s="38">
        <v>4321.5</v>
      </c>
      <c r="K205" s="39">
        <v>4384.5</v>
      </c>
      <c r="L205" s="37">
        <f t="shared" si="12"/>
        <v>-63</v>
      </c>
      <c r="M205" s="37">
        <f t="shared" si="13"/>
        <v>-1.4368799178925762</v>
      </c>
      <c r="N205" s="36">
        <v>736.5</v>
      </c>
      <c r="O205" s="36">
        <v>869.5</v>
      </c>
      <c r="P205" s="37">
        <f t="shared" si="14"/>
        <v>-133</v>
      </c>
      <c r="Q205" s="37">
        <f t="shared" si="15"/>
        <v>-15.296147211040829</v>
      </c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 spans="1:27" ht="24.5" hidden="1" x14ac:dyDescent="0.35">
      <c r="A206" s="103">
        <v>41057002</v>
      </c>
      <c r="B206" s="9" t="s">
        <v>380</v>
      </c>
      <c r="C206" s="47" t="s">
        <v>440</v>
      </c>
      <c r="D206" s="14" t="s">
        <v>441</v>
      </c>
      <c r="E206" s="10" t="s">
        <v>111</v>
      </c>
      <c r="F206" s="10" t="s">
        <v>271</v>
      </c>
      <c r="G206" s="12" t="s">
        <v>271</v>
      </c>
      <c r="H206" s="51" t="s">
        <v>113</v>
      </c>
      <c r="I206" s="25" t="s">
        <v>78</v>
      </c>
      <c r="J206" s="38">
        <v>3057.5</v>
      </c>
      <c r="K206" s="39">
        <v>3060</v>
      </c>
      <c r="L206" s="37">
        <f t="shared" si="12"/>
        <v>-2.5</v>
      </c>
      <c r="M206" s="37">
        <f t="shared" si="13"/>
        <v>-8.1699346405228759E-2</v>
      </c>
      <c r="N206" s="36">
        <v>1136.5</v>
      </c>
      <c r="O206" s="36">
        <v>1295</v>
      </c>
      <c r="P206" s="37">
        <f t="shared" si="14"/>
        <v>-158.5</v>
      </c>
      <c r="Q206" s="37">
        <f t="shared" si="15"/>
        <v>-12.239382239382239</v>
      </c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 spans="1:27" ht="24.5" hidden="1" x14ac:dyDescent="0.35">
      <c r="A207" s="104">
        <v>186871</v>
      </c>
      <c r="B207" s="5" t="s">
        <v>581</v>
      </c>
      <c r="C207" s="46" t="s">
        <v>854</v>
      </c>
      <c r="D207" s="13" t="s">
        <v>855</v>
      </c>
      <c r="E207" s="6" t="s">
        <v>200</v>
      </c>
      <c r="F207" s="6" t="s">
        <v>856</v>
      </c>
      <c r="G207" s="12" t="s">
        <v>856</v>
      </c>
      <c r="H207" s="51" t="s">
        <v>205</v>
      </c>
      <c r="I207" s="24" t="s">
        <v>83</v>
      </c>
      <c r="J207" s="38">
        <v>1485</v>
      </c>
      <c r="K207" s="39">
        <v>1041.5</v>
      </c>
      <c r="L207" s="37">
        <f t="shared" si="12"/>
        <v>443.5</v>
      </c>
      <c r="M207" s="37">
        <f t="shared" si="13"/>
        <v>42.582813250120019</v>
      </c>
      <c r="N207" s="36">
        <v>13387</v>
      </c>
      <c r="O207" s="36">
        <v>15512.5</v>
      </c>
      <c r="P207" s="37">
        <f t="shared" si="14"/>
        <v>-2125.5</v>
      </c>
      <c r="Q207" s="37">
        <f t="shared" si="15"/>
        <v>-13.701853344077358</v>
      </c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 spans="1:27" ht="24.5" hidden="1" x14ac:dyDescent="0.35">
      <c r="A208" s="104">
        <v>106251</v>
      </c>
      <c r="B208" s="5" t="s">
        <v>581</v>
      </c>
      <c r="C208" s="46" t="s">
        <v>737</v>
      </c>
      <c r="D208" s="13" t="s">
        <v>738</v>
      </c>
      <c r="E208" s="6" t="s">
        <v>94</v>
      </c>
      <c r="F208" s="6" t="s">
        <v>251</v>
      </c>
      <c r="G208" s="12" t="s">
        <v>251</v>
      </c>
      <c r="H208" s="51" t="s">
        <v>96</v>
      </c>
      <c r="I208" s="24" t="s">
        <v>83</v>
      </c>
      <c r="J208" s="38">
        <v>6604</v>
      </c>
      <c r="K208" s="39">
        <v>4475.5</v>
      </c>
      <c r="L208" s="37">
        <f t="shared" si="12"/>
        <v>2128.5</v>
      </c>
      <c r="M208" s="37">
        <f t="shared" si="13"/>
        <v>47.55893196290917</v>
      </c>
      <c r="N208" s="36">
        <v>930</v>
      </c>
      <c r="O208" s="36">
        <v>864.5</v>
      </c>
      <c r="P208" s="37">
        <f t="shared" si="14"/>
        <v>65.5</v>
      </c>
      <c r="Q208" s="37">
        <f t="shared" si="15"/>
        <v>7.5766338924233665</v>
      </c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 spans="1:27" ht="24.5" hidden="1" x14ac:dyDescent="0.35">
      <c r="A209" s="104">
        <v>106239</v>
      </c>
      <c r="B209" s="5" t="s">
        <v>581</v>
      </c>
      <c r="C209" s="46" t="s">
        <v>588</v>
      </c>
      <c r="D209" s="13" t="s">
        <v>589</v>
      </c>
      <c r="E209" s="6" t="s">
        <v>187</v>
      </c>
      <c r="F209" s="6" t="s">
        <v>370</v>
      </c>
      <c r="G209" s="12" t="s">
        <v>370</v>
      </c>
      <c r="H209" s="51" t="s">
        <v>189</v>
      </c>
      <c r="I209" s="24" t="s">
        <v>86</v>
      </c>
      <c r="J209" s="38">
        <v>5322</v>
      </c>
      <c r="K209" s="39">
        <v>3759</v>
      </c>
      <c r="L209" s="37">
        <f t="shared" si="12"/>
        <v>1563</v>
      </c>
      <c r="M209" s="37">
        <f t="shared" si="13"/>
        <v>41.580207501995211</v>
      </c>
      <c r="N209" s="36">
        <v>850</v>
      </c>
      <c r="O209" s="36">
        <v>753</v>
      </c>
      <c r="P209" s="37">
        <f t="shared" si="14"/>
        <v>97</v>
      </c>
      <c r="Q209" s="37">
        <f t="shared" si="15"/>
        <v>12.881806108897742</v>
      </c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 spans="1:27" hidden="1" x14ac:dyDescent="0.35">
      <c r="A210" s="104">
        <v>102112</v>
      </c>
      <c r="B210" s="5" t="s">
        <v>581</v>
      </c>
      <c r="C210" s="46" t="s">
        <v>732</v>
      </c>
      <c r="D210" s="13" t="s">
        <v>733</v>
      </c>
      <c r="E210" s="6" t="s">
        <v>111</v>
      </c>
      <c r="F210" s="6" t="s">
        <v>247</v>
      </c>
      <c r="G210" s="12" t="s">
        <v>247</v>
      </c>
      <c r="H210" s="51" t="s">
        <v>248</v>
      </c>
      <c r="I210" s="24" t="s">
        <v>78</v>
      </c>
      <c r="J210" s="38">
        <v>6826.5</v>
      </c>
      <c r="K210" s="39">
        <v>6102</v>
      </c>
      <c r="L210" s="37">
        <f t="shared" si="12"/>
        <v>724.5</v>
      </c>
      <c r="M210" s="37">
        <f t="shared" si="13"/>
        <v>11.87315634218289</v>
      </c>
      <c r="N210" s="36">
        <v>1327.5</v>
      </c>
      <c r="O210" s="36">
        <v>1386</v>
      </c>
      <c r="P210" s="37">
        <f t="shared" si="14"/>
        <v>-58.5</v>
      </c>
      <c r="Q210" s="37">
        <f t="shared" si="15"/>
        <v>-4.220779220779221</v>
      </c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 spans="1:27" ht="36.5" hidden="1" x14ac:dyDescent="0.35">
      <c r="A211" s="104">
        <v>354260</v>
      </c>
      <c r="B211" s="5" t="s">
        <v>581</v>
      </c>
      <c r="C211" s="46" t="s">
        <v>812</v>
      </c>
      <c r="D211" s="13" t="s">
        <v>813</v>
      </c>
      <c r="E211" s="6" t="s">
        <v>200</v>
      </c>
      <c r="F211" s="6" t="s">
        <v>814</v>
      </c>
      <c r="G211" s="12" t="s">
        <v>814</v>
      </c>
      <c r="H211" s="51" t="s">
        <v>91</v>
      </c>
      <c r="I211" s="24" t="s">
        <v>83</v>
      </c>
      <c r="J211" s="38">
        <v>1924</v>
      </c>
      <c r="K211" s="39">
        <v>1601</v>
      </c>
      <c r="L211" s="37">
        <f t="shared" si="12"/>
        <v>323</v>
      </c>
      <c r="M211" s="37">
        <f t="shared" si="13"/>
        <v>20.174890693316677</v>
      </c>
      <c r="N211" s="36">
        <v>656</v>
      </c>
      <c r="O211" s="36">
        <v>563</v>
      </c>
      <c r="P211" s="37">
        <f t="shared" si="14"/>
        <v>93</v>
      </c>
      <c r="Q211" s="37">
        <f t="shared" si="15"/>
        <v>16.518650088809945</v>
      </c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 spans="1:27" ht="24.5" hidden="1" x14ac:dyDescent="0.35">
      <c r="A212" s="104">
        <v>186864</v>
      </c>
      <c r="B212" s="5" t="s">
        <v>581</v>
      </c>
      <c r="C212" s="46" t="s">
        <v>624</v>
      </c>
      <c r="D212" s="13" t="s">
        <v>625</v>
      </c>
      <c r="E212" s="6" t="s">
        <v>89</v>
      </c>
      <c r="F212" s="6" t="s">
        <v>237</v>
      </c>
      <c r="G212" s="12" t="s">
        <v>237</v>
      </c>
      <c r="H212" s="51" t="s">
        <v>205</v>
      </c>
      <c r="I212" s="24" t="s">
        <v>86</v>
      </c>
      <c r="J212" s="38">
        <v>3994</v>
      </c>
      <c r="K212" s="39">
        <v>3538</v>
      </c>
      <c r="L212" s="37">
        <f t="shared" si="12"/>
        <v>456</v>
      </c>
      <c r="M212" s="37">
        <f t="shared" si="13"/>
        <v>12.88863764838892</v>
      </c>
      <c r="N212" s="36">
        <v>752</v>
      </c>
      <c r="O212" s="36">
        <v>808</v>
      </c>
      <c r="P212" s="37">
        <f t="shared" si="14"/>
        <v>-56</v>
      </c>
      <c r="Q212" s="37">
        <f t="shared" si="15"/>
        <v>-6.9306930693069315</v>
      </c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 spans="1:27" ht="24.5" hidden="1" x14ac:dyDescent="0.35">
      <c r="A213" s="104">
        <v>331623</v>
      </c>
      <c r="B213" s="5" t="s">
        <v>581</v>
      </c>
      <c r="C213" s="46" t="s">
        <v>586</v>
      </c>
      <c r="D213" s="13" t="s">
        <v>267</v>
      </c>
      <c r="E213" s="6" t="s">
        <v>89</v>
      </c>
      <c r="F213" s="6" t="s">
        <v>587</v>
      </c>
      <c r="G213" s="12" t="s">
        <v>587</v>
      </c>
      <c r="H213" s="51" t="s">
        <v>91</v>
      </c>
      <c r="I213" s="24" t="s">
        <v>86</v>
      </c>
      <c r="J213" s="38">
        <v>2684.5140000000001</v>
      </c>
      <c r="K213" s="39">
        <v>2045.6689999999999</v>
      </c>
      <c r="L213" s="37">
        <f t="shared" si="12"/>
        <v>638.84500000000025</v>
      </c>
      <c r="M213" s="37">
        <f t="shared" si="13"/>
        <v>31.229148019547655</v>
      </c>
      <c r="N213" s="36">
        <v>925.47899999999947</v>
      </c>
      <c r="O213" s="36">
        <v>740.45699999999988</v>
      </c>
      <c r="P213" s="37">
        <f t="shared" si="14"/>
        <v>185.02199999999959</v>
      </c>
      <c r="Q213" s="37">
        <f t="shared" si="15"/>
        <v>24.987541477763006</v>
      </c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 spans="1:27" ht="36.5" hidden="1" x14ac:dyDescent="0.35">
      <c r="A214" s="104">
        <v>371684</v>
      </c>
      <c r="B214" s="5" t="s">
        <v>581</v>
      </c>
      <c r="C214" s="46" t="s">
        <v>658</v>
      </c>
      <c r="D214" s="13" t="s">
        <v>659</v>
      </c>
      <c r="E214" s="6" t="s">
        <v>103</v>
      </c>
      <c r="F214" s="6" t="s">
        <v>208</v>
      </c>
      <c r="G214" s="12" t="s">
        <v>208</v>
      </c>
      <c r="H214" s="51" t="s">
        <v>105</v>
      </c>
      <c r="I214" s="24" t="s">
        <v>83</v>
      </c>
      <c r="J214" s="38">
        <v>635.5</v>
      </c>
      <c r="K214" s="39">
        <v>179</v>
      </c>
      <c r="L214" s="37">
        <f t="shared" si="12"/>
        <v>456.5</v>
      </c>
      <c r="M214" s="37">
        <f t="shared" si="13"/>
        <v>255.02793296089385</v>
      </c>
      <c r="N214" s="36">
        <v>78.5</v>
      </c>
      <c r="O214" s="36">
        <v>26</v>
      </c>
      <c r="P214" s="37">
        <f t="shared" si="14"/>
        <v>52.5</v>
      </c>
      <c r="Q214" s="37">
        <f t="shared" si="15"/>
        <v>201.92307692307691</v>
      </c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 spans="1:27" ht="36.5" hidden="1" x14ac:dyDescent="0.35">
      <c r="A215" s="104">
        <v>186866</v>
      </c>
      <c r="B215" s="5" t="s">
        <v>581</v>
      </c>
      <c r="C215" s="46" t="s">
        <v>810</v>
      </c>
      <c r="D215" s="13" t="s">
        <v>811</v>
      </c>
      <c r="E215" s="6" t="s">
        <v>94</v>
      </c>
      <c r="F215" s="6" t="s">
        <v>763</v>
      </c>
      <c r="G215" s="12" t="s">
        <v>763</v>
      </c>
      <c r="H215" s="51" t="s">
        <v>96</v>
      </c>
      <c r="I215" s="24" t="s">
        <v>83</v>
      </c>
      <c r="J215" s="38">
        <v>9326.5</v>
      </c>
      <c r="K215" s="39">
        <v>8237.5</v>
      </c>
      <c r="L215" s="37">
        <f t="shared" si="12"/>
        <v>1089</v>
      </c>
      <c r="M215" s="37">
        <f t="shared" si="13"/>
        <v>13.220030349013657</v>
      </c>
      <c r="N215" s="36">
        <v>2573.5</v>
      </c>
      <c r="O215" s="36">
        <v>2620.5</v>
      </c>
      <c r="P215" s="37">
        <f t="shared" si="14"/>
        <v>-47</v>
      </c>
      <c r="Q215" s="37">
        <f t="shared" si="15"/>
        <v>-1.7935508490746039</v>
      </c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 spans="1:27" ht="36.5" hidden="1" x14ac:dyDescent="0.35">
      <c r="A216" s="104">
        <v>102107</v>
      </c>
      <c r="B216" s="5" t="s">
        <v>581</v>
      </c>
      <c r="C216" s="46" t="s">
        <v>914</v>
      </c>
      <c r="D216" s="13" t="s">
        <v>666</v>
      </c>
      <c r="E216" s="6" t="s">
        <v>75</v>
      </c>
      <c r="F216" s="6" t="s">
        <v>667</v>
      </c>
      <c r="G216" s="12" t="s">
        <v>667</v>
      </c>
      <c r="H216" s="51" t="s">
        <v>77</v>
      </c>
      <c r="I216" s="24" t="s">
        <v>78</v>
      </c>
      <c r="J216" s="38">
        <v>4995</v>
      </c>
      <c r="K216" s="39">
        <v>4093.5</v>
      </c>
      <c r="L216" s="37">
        <f t="shared" si="12"/>
        <v>901.5</v>
      </c>
      <c r="M216" s="37">
        <f t="shared" si="13"/>
        <v>22.022718944668377</v>
      </c>
      <c r="N216" s="36">
        <v>983</v>
      </c>
      <c r="O216" s="36">
        <v>980.5</v>
      </c>
      <c r="P216" s="37">
        <f t="shared" si="14"/>
        <v>2.5</v>
      </c>
      <c r="Q216" s="37">
        <f t="shared" si="15"/>
        <v>0.25497195308516063</v>
      </c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 spans="1:27" ht="36.5" hidden="1" x14ac:dyDescent="0.35">
      <c r="A217" s="104">
        <v>194183</v>
      </c>
      <c r="B217" s="5" t="s">
        <v>581</v>
      </c>
      <c r="C217" s="46" t="s">
        <v>743</v>
      </c>
      <c r="D217" s="13" t="s">
        <v>744</v>
      </c>
      <c r="E217" s="6" t="s">
        <v>81</v>
      </c>
      <c r="F217" s="6" t="s">
        <v>719</v>
      </c>
      <c r="G217" s="12" t="s">
        <v>719</v>
      </c>
      <c r="H217" s="51" t="s">
        <v>135</v>
      </c>
      <c r="I217" s="24" t="s">
        <v>83</v>
      </c>
      <c r="J217" s="38">
        <v>4573</v>
      </c>
      <c r="K217" s="39">
        <v>3873</v>
      </c>
      <c r="L217" s="37">
        <f t="shared" si="12"/>
        <v>700</v>
      </c>
      <c r="M217" s="37">
        <f t="shared" si="13"/>
        <v>18.073844564936742</v>
      </c>
      <c r="N217" s="36">
        <v>873</v>
      </c>
      <c r="O217" s="36">
        <v>897</v>
      </c>
      <c r="P217" s="37">
        <f t="shared" si="14"/>
        <v>-24</v>
      </c>
      <c r="Q217" s="37">
        <f t="shared" si="15"/>
        <v>-2.6755852842809364</v>
      </c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 spans="1:27" ht="24.5" hidden="1" x14ac:dyDescent="0.35">
      <c r="A218" s="104">
        <v>106320</v>
      </c>
      <c r="B218" s="5" t="s">
        <v>581</v>
      </c>
      <c r="C218" s="46" t="s">
        <v>848</v>
      </c>
      <c r="D218" s="13" t="s">
        <v>829</v>
      </c>
      <c r="E218" s="6" t="s">
        <v>103</v>
      </c>
      <c r="F218" s="6" t="s">
        <v>119</v>
      </c>
      <c r="G218" s="12" t="s">
        <v>119</v>
      </c>
      <c r="H218" s="51" t="s">
        <v>120</v>
      </c>
      <c r="I218" s="24" t="s">
        <v>83</v>
      </c>
      <c r="J218" s="38">
        <v>2374</v>
      </c>
      <c r="K218" s="39">
        <v>1865</v>
      </c>
      <c r="L218" s="37">
        <f t="shared" si="12"/>
        <v>509</v>
      </c>
      <c r="M218" s="37">
        <f t="shared" si="13"/>
        <v>27.292225201072384</v>
      </c>
      <c r="N218" s="36">
        <v>938</v>
      </c>
      <c r="O218" s="36">
        <v>601</v>
      </c>
      <c r="P218" s="37">
        <f t="shared" si="14"/>
        <v>337</v>
      </c>
      <c r="Q218" s="37">
        <f t="shared" si="15"/>
        <v>56.07321131447587</v>
      </c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 spans="1:27" ht="24.5" hidden="1" x14ac:dyDescent="0.35">
      <c r="A219" s="104">
        <v>185374</v>
      </c>
      <c r="B219" s="5" t="s">
        <v>581</v>
      </c>
      <c r="C219" s="46" t="s">
        <v>723</v>
      </c>
      <c r="D219" s="13" t="s">
        <v>724</v>
      </c>
      <c r="E219" s="6" t="s">
        <v>200</v>
      </c>
      <c r="F219" s="6" t="s">
        <v>268</v>
      </c>
      <c r="G219" s="12" t="s">
        <v>268</v>
      </c>
      <c r="H219" s="51" t="s">
        <v>91</v>
      </c>
      <c r="I219" s="24" t="s">
        <v>83</v>
      </c>
      <c r="J219" s="38">
        <v>853</v>
      </c>
      <c r="K219" s="39">
        <v>649</v>
      </c>
      <c r="L219" s="37">
        <f t="shared" si="12"/>
        <v>204</v>
      </c>
      <c r="M219" s="37">
        <f t="shared" si="13"/>
        <v>31.432973805855163</v>
      </c>
      <c r="N219" s="36">
        <v>503</v>
      </c>
      <c r="O219" s="36">
        <v>367</v>
      </c>
      <c r="P219" s="37">
        <f t="shared" si="14"/>
        <v>136</v>
      </c>
      <c r="Q219" s="37">
        <f t="shared" si="15"/>
        <v>37.057220708446863</v>
      </c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 spans="1:27" ht="36.5" hidden="1" x14ac:dyDescent="0.35">
      <c r="A220" s="104">
        <v>186861</v>
      </c>
      <c r="B220" s="5" t="s">
        <v>581</v>
      </c>
      <c r="C220" s="46" t="s">
        <v>645</v>
      </c>
      <c r="D220" s="13" t="s">
        <v>591</v>
      </c>
      <c r="E220" s="6" t="s">
        <v>89</v>
      </c>
      <c r="F220" s="6" t="s">
        <v>294</v>
      </c>
      <c r="G220" s="12" t="s">
        <v>294</v>
      </c>
      <c r="H220" s="51" t="s">
        <v>91</v>
      </c>
      <c r="I220" s="24" t="s">
        <v>86</v>
      </c>
      <c r="J220" s="38">
        <v>1820</v>
      </c>
      <c r="K220" s="39">
        <v>1799</v>
      </c>
      <c r="L220" s="37">
        <f t="shared" si="12"/>
        <v>21</v>
      </c>
      <c r="M220" s="37">
        <f t="shared" si="13"/>
        <v>1.1673151750972763</v>
      </c>
      <c r="N220" s="36">
        <v>1436</v>
      </c>
      <c r="O220" s="36">
        <v>1501</v>
      </c>
      <c r="P220" s="37">
        <f t="shared" si="14"/>
        <v>-65</v>
      </c>
      <c r="Q220" s="37">
        <f t="shared" si="15"/>
        <v>-4.3304463690872748</v>
      </c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 spans="1:27" ht="24.5" hidden="1" x14ac:dyDescent="0.35">
      <c r="A221" s="104">
        <v>106217</v>
      </c>
      <c r="B221" s="5" t="s">
        <v>581</v>
      </c>
      <c r="C221" s="46" t="s">
        <v>662</v>
      </c>
      <c r="D221" s="13" t="s">
        <v>663</v>
      </c>
      <c r="E221" s="6" t="s">
        <v>103</v>
      </c>
      <c r="F221" s="6" t="s">
        <v>256</v>
      </c>
      <c r="G221" s="12" t="s">
        <v>256</v>
      </c>
      <c r="H221" s="51" t="s">
        <v>257</v>
      </c>
      <c r="I221" s="24" t="s">
        <v>83</v>
      </c>
      <c r="J221" s="38">
        <v>4474.5</v>
      </c>
      <c r="K221" s="39">
        <v>4083.5</v>
      </c>
      <c r="L221" s="37">
        <f t="shared" si="12"/>
        <v>391</v>
      </c>
      <c r="M221" s="37">
        <f t="shared" si="13"/>
        <v>9.5751193828823311</v>
      </c>
      <c r="N221" s="36">
        <v>1321.5</v>
      </c>
      <c r="O221" s="36">
        <v>1226.5</v>
      </c>
      <c r="P221" s="37">
        <f t="shared" si="14"/>
        <v>95</v>
      </c>
      <c r="Q221" s="37">
        <f t="shared" si="15"/>
        <v>7.7456176110884636</v>
      </c>
      <c r="R221" s="37"/>
      <c r="S221" s="37"/>
      <c r="T221" s="37"/>
      <c r="U221" s="37"/>
      <c r="V221" s="37"/>
      <c r="W221" s="37"/>
      <c r="X221" s="37"/>
      <c r="Y221" s="37"/>
      <c r="Z221" s="37"/>
      <c r="AA221" s="37"/>
    </row>
    <row r="222" spans="1:27" ht="36.5" hidden="1" x14ac:dyDescent="0.35">
      <c r="A222" s="104">
        <v>356678</v>
      </c>
      <c r="B222" s="5" t="s">
        <v>581</v>
      </c>
      <c r="C222" s="46" t="s">
        <v>873</v>
      </c>
      <c r="D222" s="13" t="s">
        <v>874</v>
      </c>
      <c r="E222" s="6" t="s">
        <v>75</v>
      </c>
      <c r="F222" s="6" t="s">
        <v>865</v>
      </c>
      <c r="G222" s="12" t="s">
        <v>865</v>
      </c>
      <c r="H222" s="51" t="s">
        <v>77</v>
      </c>
      <c r="I222" s="24" t="s">
        <v>78</v>
      </c>
      <c r="J222" s="38">
        <v>6107.8259999999991</v>
      </c>
      <c r="K222" s="39">
        <v>5654.0360000000001</v>
      </c>
      <c r="L222" s="37">
        <f t="shared" si="12"/>
        <v>453.78999999999905</v>
      </c>
      <c r="M222" s="37">
        <f t="shared" si="13"/>
        <v>8.0259481899301495</v>
      </c>
      <c r="N222" s="36">
        <v>599.80499999999984</v>
      </c>
      <c r="O222" s="36">
        <v>582.10499999999968</v>
      </c>
      <c r="P222" s="37">
        <f t="shared" si="14"/>
        <v>17.700000000000159</v>
      </c>
      <c r="Q222" s="37">
        <f t="shared" si="15"/>
        <v>3.040688535573508</v>
      </c>
      <c r="R222" s="37"/>
      <c r="S222" s="37"/>
      <c r="T222" s="37"/>
      <c r="U222" s="37"/>
      <c r="V222" s="37"/>
      <c r="W222" s="37"/>
      <c r="X222" s="37"/>
      <c r="Y222" s="37"/>
      <c r="Z222" s="37"/>
      <c r="AA222" s="37"/>
    </row>
    <row r="223" spans="1:27" ht="24.5" hidden="1" x14ac:dyDescent="0.35">
      <c r="A223" s="104">
        <v>106345</v>
      </c>
      <c r="B223" s="5" t="s">
        <v>581</v>
      </c>
      <c r="C223" s="46" t="s">
        <v>597</v>
      </c>
      <c r="D223" s="13" t="s">
        <v>598</v>
      </c>
      <c r="E223" s="6" t="s">
        <v>89</v>
      </c>
      <c r="F223" s="6" t="s">
        <v>204</v>
      </c>
      <c r="G223" s="12" t="s">
        <v>204</v>
      </c>
      <c r="H223" s="51" t="s">
        <v>205</v>
      </c>
      <c r="I223" s="24" t="s">
        <v>86</v>
      </c>
      <c r="J223" s="38">
        <v>6976.5</v>
      </c>
      <c r="K223" s="39">
        <v>5669.5</v>
      </c>
      <c r="L223" s="37">
        <f t="shared" si="12"/>
        <v>1307</v>
      </c>
      <c r="M223" s="37">
        <f t="shared" si="13"/>
        <v>23.053179292706588</v>
      </c>
      <c r="N223" s="36">
        <v>1811.5</v>
      </c>
      <c r="O223" s="36">
        <v>1584.5</v>
      </c>
      <c r="P223" s="37">
        <f t="shared" si="14"/>
        <v>227</v>
      </c>
      <c r="Q223" s="37">
        <f t="shared" si="15"/>
        <v>14.326285894603977</v>
      </c>
      <c r="R223" s="37"/>
      <c r="S223" s="37"/>
      <c r="T223" s="37"/>
      <c r="U223" s="37"/>
      <c r="V223" s="37"/>
      <c r="W223" s="37"/>
      <c r="X223" s="37"/>
      <c r="Y223" s="37"/>
      <c r="Z223" s="37"/>
      <c r="AA223" s="37"/>
    </row>
    <row r="224" spans="1:27" hidden="1" x14ac:dyDescent="0.35">
      <c r="A224" s="104">
        <v>106226</v>
      </c>
      <c r="B224" s="5" t="s">
        <v>581</v>
      </c>
      <c r="C224" s="46" t="s">
        <v>593</v>
      </c>
      <c r="D224" s="13" t="s">
        <v>594</v>
      </c>
      <c r="E224" s="6" t="s">
        <v>85</v>
      </c>
      <c r="F224" s="6" t="s">
        <v>370</v>
      </c>
      <c r="G224" s="12" t="s">
        <v>370</v>
      </c>
      <c r="H224" s="51" t="s">
        <v>189</v>
      </c>
      <c r="I224" s="24" t="s">
        <v>86</v>
      </c>
      <c r="J224" s="38">
        <v>2579</v>
      </c>
      <c r="K224" s="39">
        <v>2147.5</v>
      </c>
      <c r="L224" s="37">
        <f t="shared" si="12"/>
        <v>431.5</v>
      </c>
      <c r="M224" s="37">
        <f t="shared" si="13"/>
        <v>20.093131548311991</v>
      </c>
      <c r="N224" s="36">
        <v>749</v>
      </c>
      <c r="O224" s="36">
        <v>628.5</v>
      </c>
      <c r="P224" s="37">
        <f t="shared" si="14"/>
        <v>120.5</v>
      </c>
      <c r="Q224" s="37">
        <f t="shared" si="15"/>
        <v>19.172633253778841</v>
      </c>
      <c r="R224" s="37"/>
      <c r="S224" s="37"/>
      <c r="T224" s="37"/>
      <c r="U224" s="37"/>
      <c r="V224" s="37"/>
      <c r="W224" s="37"/>
      <c r="X224" s="37"/>
      <c r="Y224" s="37"/>
      <c r="Z224" s="37"/>
      <c r="AA224" s="37"/>
    </row>
    <row r="225" spans="1:27" ht="24.5" hidden="1" x14ac:dyDescent="0.35">
      <c r="A225" s="104">
        <v>102102</v>
      </c>
      <c r="B225" s="5" t="s">
        <v>581</v>
      </c>
      <c r="C225" s="46" t="s">
        <v>867</v>
      </c>
      <c r="D225" s="13" t="s">
        <v>868</v>
      </c>
      <c r="E225" s="6" t="s">
        <v>75</v>
      </c>
      <c r="F225" s="6" t="s">
        <v>76</v>
      </c>
      <c r="G225" s="12" t="s">
        <v>76</v>
      </c>
      <c r="H225" s="51" t="s">
        <v>77</v>
      </c>
      <c r="I225" s="24" t="s">
        <v>78</v>
      </c>
      <c r="J225" s="38">
        <v>4147.5</v>
      </c>
      <c r="K225" s="39">
        <v>3467</v>
      </c>
      <c r="L225" s="37">
        <f t="shared" si="12"/>
        <v>680.5</v>
      </c>
      <c r="M225" s="37">
        <f t="shared" si="13"/>
        <v>19.627920392269974</v>
      </c>
      <c r="N225" s="36">
        <v>1271.5</v>
      </c>
      <c r="O225" s="36">
        <v>1305</v>
      </c>
      <c r="P225" s="37">
        <f t="shared" si="14"/>
        <v>-33.5</v>
      </c>
      <c r="Q225" s="37">
        <f t="shared" si="15"/>
        <v>-2.5670498084291187</v>
      </c>
      <c r="R225" s="37"/>
      <c r="S225" s="37"/>
      <c r="T225" s="37"/>
      <c r="U225" s="37"/>
      <c r="V225" s="37"/>
      <c r="W225" s="37"/>
      <c r="X225" s="37"/>
      <c r="Y225" s="37"/>
      <c r="Z225" s="37"/>
      <c r="AA225" s="37"/>
    </row>
    <row r="226" spans="1:27" ht="36.5" hidden="1" x14ac:dyDescent="0.35">
      <c r="A226" s="104">
        <v>305312</v>
      </c>
      <c r="B226" s="5" t="s">
        <v>581</v>
      </c>
      <c r="C226" s="46" t="s">
        <v>668</v>
      </c>
      <c r="D226" s="13" t="s">
        <v>669</v>
      </c>
      <c r="E226" s="6" t="s">
        <v>200</v>
      </c>
      <c r="F226" s="6" t="s">
        <v>670</v>
      </c>
      <c r="G226" s="12" t="s">
        <v>670</v>
      </c>
      <c r="H226" s="51" t="s">
        <v>91</v>
      </c>
      <c r="I226" s="24" t="s">
        <v>83</v>
      </c>
      <c r="J226" s="38">
        <v>1736</v>
      </c>
      <c r="K226" s="39">
        <v>1513</v>
      </c>
      <c r="L226" s="37">
        <f t="shared" si="12"/>
        <v>223</v>
      </c>
      <c r="M226" s="37">
        <f t="shared" si="13"/>
        <v>14.738929279576999</v>
      </c>
      <c r="N226" s="36">
        <v>912</v>
      </c>
      <c r="O226" s="36">
        <v>1373</v>
      </c>
      <c r="P226" s="37">
        <f t="shared" si="14"/>
        <v>-461</v>
      </c>
      <c r="Q226" s="37">
        <f t="shared" si="15"/>
        <v>-33.576110706482154</v>
      </c>
      <c r="R226" s="37"/>
      <c r="S226" s="37"/>
      <c r="T226" s="37"/>
      <c r="U226" s="37"/>
      <c r="V226" s="37"/>
      <c r="W226" s="37"/>
      <c r="X226" s="37"/>
      <c r="Y226" s="37"/>
      <c r="Z226" s="37"/>
      <c r="AA226" s="37"/>
    </row>
    <row r="227" spans="1:27" ht="24.5" hidden="1" x14ac:dyDescent="0.35">
      <c r="A227" s="104">
        <v>283795</v>
      </c>
      <c r="B227" s="5" t="s">
        <v>581</v>
      </c>
      <c r="C227" s="46" t="s">
        <v>831</v>
      </c>
      <c r="D227" s="13" t="s">
        <v>832</v>
      </c>
      <c r="E227" s="6" t="s">
        <v>200</v>
      </c>
      <c r="F227" s="6" t="s">
        <v>268</v>
      </c>
      <c r="G227" s="12" t="s">
        <v>268</v>
      </c>
      <c r="H227" s="51" t="s">
        <v>91</v>
      </c>
      <c r="I227" s="24" t="s">
        <v>83</v>
      </c>
      <c r="J227" s="38">
        <v>944</v>
      </c>
      <c r="K227" s="39">
        <v>780.5</v>
      </c>
      <c r="L227" s="37">
        <f t="shared" si="12"/>
        <v>163.5</v>
      </c>
      <c r="M227" s="37">
        <f t="shared" si="13"/>
        <v>20.948110185778347</v>
      </c>
      <c r="N227" s="36">
        <v>568</v>
      </c>
      <c r="O227" s="36">
        <v>663.5</v>
      </c>
      <c r="P227" s="37">
        <f t="shared" si="14"/>
        <v>-95.5</v>
      </c>
      <c r="Q227" s="37">
        <f t="shared" si="15"/>
        <v>-14.393368500376791</v>
      </c>
      <c r="R227" s="37"/>
      <c r="S227" s="37"/>
      <c r="T227" s="37"/>
      <c r="U227" s="37"/>
      <c r="V227" s="37"/>
      <c r="W227" s="37"/>
      <c r="X227" s="37"/>
      <c r="Y227" s="37"/>
      <c r="Z227" s="37"/>
      <c r="AA227" s="37"/>
    </row>
    <row r="228" spans="1:27" ht="36.5" hidden="1" x14ac:dyDescent="0.35">
      <c r="A228" s="104">
        <v>102110</v>
      </c>
      <c r="B228" s="5" t="s">
        <v>581</v>
      </c>
      <c r="C228" s="46" t="s">
        <v>601</v>
      </c>
      <c r="D228" s="13" t="s">
        <v>602</v>
      </c>
      <c r="E228" s="6" t="s">
        <v>89</v>
      </c>
      <c r="F228" s="6" t="s">
        <v>603</v>
      </c>
      <c r="G228" s="12" t="s">
        <v>603</v>
      </c>
      <c r="H228" s="51" t="s">
        <v>120</v>
      </c>
      <c r="I228" s="24" t="s">
        <v>86</v>
      </c>
      <c r="J228" s="38">
        <v>3230</v>
      </c>
      <c r="K228" s="39">
        <v>2687.5</v>
      </c>
      <c r="L228" s="37">
        <f t="shared" si="12"/>
        <v>542.5</v>
      </c>
      <c r="M228" s="37">
        <f t="shared" si="13"/>
        <v>20.186046511627907</v>
      </c>
      <c r="N228" s="36">
        <v>4418</v>
      </c>
      <c r="O228" s="36">
        <v>4288.5</v>
      </c>
      <c r="P228" s="37">
        <f t="shared" si="14"/>
        <v>129.5</v>
      </c>
      <c r="Q228" s="37">
        <f t="shared" si="15"/>
        <v>3.0197038591582142</v>
      </c>
      <c r="R228" s="37"/>
      <c r="S228" s="37"/>
      <c r="T228" s="37"/>
      <c r="U228" s="37"/>
      <c r="V228" s="37"/>
      <c r="W228" s="37"/>
      <c r="X228" s="37"/>
      <c r="Y228" s="37"/>
      <c r="Z228" s="37"/>
      <c r="AA228" s="37"/>
    </row>
    <row r="229" spans="1:27" ht="24.5" hidden="1" x14ac:dyDescent="0.35">
      <c r="A229" s="104">
        <v>186842</v>
      </c>
      <c r="B229" s="5" t="s">
        <v>581</v>
      </c>
      <c r="C229" s="46" t="s">
        <v>628</v>
      </c>
      <c r="D229" s="13" t="s">
        <v>629</v>
      </c>
      <c r="E229" s="6" t="s">
        <v>85</v>
      </c>
      <c r="F229" s="6" t="s">
        <v>303</v>
      </c>
      <c r="G229" s="12" t="s">
        <v>630</v>
      </c>
      <c r="H229" s="51" t="s">
        <v>304</v>
      </c>
      <c r="I229" s="24" t="s">
        <v>86</v>
      </c>
      <c r="J229" s="38">
        <v>2659</v>
      </c>
      <c r="K229" s="39">
        <v>2311.5</v>
      </c>
      <c r="L229" s="37">
        <f t="shared" si="12"/>
        <v>347.5</v>
      </c>
      <c r="M229" s="37">
        <f t="shared" si="13"/>
        <v>15.033528012113345</v>
      </c>
      <c r="N229" s="36">
        <v>693</v>
      </c>
      <c r="O229" s="36">
        <v>750.5</v>
      </c>
      <c r="P229" s="37">
        <f t="shared" si="14"/>
        <v>-57.5</v>
      </c>
      <c r="Q229" s="37">
        <f t="shared" si="15"/>
        <v>-7.6615589606928713</v>
      </c>
      <c r="R229" s="37"/>
      <c r="S229" s="37"/>
      <c r="T229" s="37"/>
      <c r="U229" s="37"/>
      <c r="V229" s="37"/>
      <c r="W229" s="37"/>
      <c r="X229" s="37"/>
      <c r="Y229" s="37"/>
      <c r="Z229" s="37"/>
      <c r="AA229" s="37"/>
    </row>
    <row r="230" spans="1:27" ht="24.5" hidden="1" x14ac:dyDescent="0.35">
      <c r="A230" s="104">
        <v>106285</v>
      </c>
      <c r="B230" s="5" t="s">
        <v>581</v>
      </c>
      <c r="C230" s="46" t="s">
        <v>606</v>
      </c>
      <c r="D230" s="13" t="s">
        <v>607</v>
      </c>
      <c r="E230" s="6" t="s">
        <v>89</v>
      </c>
      <c r="F230" s="6" t="s">
        <v>342</v>
      </c>
      <c r="G230" s="12" t="s">
        <v>342</v>
      </c>
      <c r="H230" s="51" t="s">
        <v>205</v>
      </c>
      <c r="I230" s="24" t="s">
        <v>86</v>
      </c>
      <c r="J230" s="38">
        <v>4217</v>
      </c>
      <c r="K230" s="39">
        <v>3745.5</v>
      </c>
      <c r="L230" s="37">
        <f t="shared" si="12"/>
        <v>471.5</v>
      </c>
      <c r="M230" s="37">
        <f t="shared" si="13"/>
        <v>12.588439460686157</v>
      </c>
      <c r="N230" s="36">
        <v>945</v>
      </c>
      <c r="O230" s="36">
        <v>1014.5</v>
      </c>
      <c r="P230" s="37">
        <f t="shared" si="14"/>
        <v>-69.5</v>
      </c>
      <c r="Q230" s="37">
        <f t="shared" si="15"/>
        <v>-6.8506653523903411</v>
      </c>
      <c r="R230" s="37"/>
      <c r="S230" s="37"/>
      <c r="T230" s="37"/>
      <c r="U230" s="37"/>
      <c r="V230" s="37"/>
      <c r="W230" s="37"/>
      <c r="X230" s="37"/>
      <c r="Y230" s="37"/>
      <c r="Z230" s="37"/>
      <c r="AA230" s="37"/>
    </row>
    <row r="231" spans="1:27" ht="24.5" hidden="1" x14ac:dyDescent="0.35">
      <c r="A231" s="104">
        <v>106348</v>
      </c>
      <c r="B231" s="5" t="s">
        <v>581</v>
      </c>
      <c r="C231" s="46" t="s">
        <v>673</v>
      </c>
      <c r="D231" s="13" t="s">
        <v>674</v>
      </c>
      <c r="E231" s="6" t="s">
        <v>85</v>
      </c>
      <c r="F231" s="6" t="s">
        <v>580</v>
      </c>
      <c r="G231" s="12" t="s">
        <v>580</v>
      </c>
      <c r="H231" s="51" t="s">
        <v>304</v>
      </c>
      <c r="I231" s="24" t="s">
        <v>86</v>
      </c>
      <c r="J231" s="38">
        <v>7873</v>
      </c>
      <c r="K231" s="39">
        <v>7285.5</v>
      </c>
      <c r="L231" s="37">
        <f t="shared" si="12"/>
        <v>587.5</v>
      </c>
      <c r="M231" s="37">
        <f t="shared" si="13"/>
        <v>8.0639626655685959</v>
      </c>
      <c r="N231" s="36">
        <v>869</v>
      </c>
      <c r="O231" s="36">
        <v>980.5</v>
      </c>
      <c r="P231" s="37">
        <f t="shared" si="14"/>
        <v>-111.5</v>
      </c>
      <c r="Q231" s="37">
        <f t="shared" si="15"/>
        <v>-11.371749107598164</v>
      </c>
      <c r="R231" s="37"/>
      <c r="S231" s="37"/>
      <c r="T231" s="37"/>
      <c r="U231" s="37"/>
      <c r="V231" s="37"/>
      <c r="W231" s="37"/>
      <c r="X231" s="37"/>
      <c r="Y231" s="37"/>
      <c r="Z231" s="37"/>
      <c r="AA231" s="37"/>
    </row>
    <row r="232" spans="1:27" hidden="1" x14ac:dyDescent="0.35">
      <c r="A232" s="104">
        <v>186830</v>
      </c>
      <c r="B232" s="5" t="s">
        <v>581</v>
      </c>
      <c r="C232" s="46" t="s">
        <v>844</v>
      </c>
      <c r="D232" s="13" t="s">
        <v>845</v>
      </c>
      <c r="E232" s="6" t="s">
        <v>103</v>
      </c>
      <c r="F232" s="6" t="s">
        <v>181</v>
      </c>
      <c r="G232" s="12" t="s">
        <v>181</v>
      </c>
      <c r="H232" s="51" t="s">
        <v>105</v>
      </c>
      <c r="I232" s="24" t="s">
        <v>83</v>
      </c>
      <c r="J232" s="38">
        <v>1189</v>
      </c>
      <c r="K232" s="39">
        <v>1101</v>
      </c>
      <c r="L232" s="37">
        <f t="shared" si="12"/>
        <v>88</v>
      </c>
      <c r="M232" s="37">
        <f t="shared" si="13"/>
        <v>7.9927338782924613</v>
      </c>
      <c r="N232" s="36">
        <v>485</v>
      </c>
      <c r="O232" s="36">
        <v>523</v>
      </c>
      <c r="P232" s="37">
        <f t="shared" si="14"/>
        <v>-38</v>
      </c>
      <c r="Q232" s="37">
        <f t="shared" si="15"/>
        <v>-7.2657743785850863</v>
      </c>
      <c r="R232" s="37"/>
      <c r="S232" s="37"/>
      <c r="T232" s="37"/>
      <c r="U232" s="37"/>
      <c r="V232" s="37"/>
      <c r="W232" s="37"/>
      <c r="X232" s="37"/>
      <c r="Y232" s="37"/>
      <c r="Z232" s="37"/>
      <c r="AA232" s="37"/>
    </row>
    <row r="233" spans="1:27" hidden="1" x14ac:dyDescent="0.35">
      <c r="A233" s="104">
        <v>106322</v>
      </c>
      <c r="B233" s="5" t="s">
        <v>581</v>
      </c>
      <c r="C233" s="46" t="s">
        <v>851</v>
      </c>
      <c r="D233" s="13" t="s">
        <v>500</v>
      </c>
      <c r="E233" s="6" t="s">
        <v>103</v>
      </c>
      <c r="F233" s="6" t="s">
        <v>297</v>
      </c>
      <c r="G233" s="12" t="s">
        <v>297</v>
      </c>
      <c r="H233" s="51" t="s">
        <v>105</v>
      </c>
      <c r="I233" s="24" t="s">
        <v>78</v>
      </c>
      <c r="J233" s="38">
        <v>1828</v>
      </c>
      <c r="K233" s="39">
        <v>1655.5</v>
      </c>
      <c r="L233" s="37">
        <f t="shared" si="12"/>
        <v>172.5</v>
      </c>
      <c r="M233" s="37">
        <f t="shared" si="13"/>
        <v>10.419812745394141</v>
      </c>
      <c r="N233" s="36">
        <v>838</v>
      </c>
      <c r="O233" s="36">
        <v>962.5</v>
      </c>
      <c r="P233" s="37">
        <f t="shared" si="14"/>
        <v>-124.5</v>
      </c>
      <c r="Q233" s="37">
        <f t="shared" si="15"/>
        <v>-12.935064935064936</v>
      </c>
      <c r="R233" s="37"/>
      <c r="S233" s="37"/>
      <c r="T233" s="37"/>
      <c r="U233" s="37"/>
      <c r="V233" s="37"/>
      <c r="W233" s="37"/>
      <c r="X233" s="37"/>
      <c r="Y233" s="37"/>
      <c r="Z233" s="37"/>
      <c r="AA233" s="37"/>
    </row>
    <row r="234" spans="1:27" ht="24.5" hidden="1" x14ac:dyDescent="0.35">
      <c r="A234" s="104">
        <v>186849</v>
      </c>
      <c r="B234" s="5" t="s">
        <v>581</v>
      </c>
      <c r="C234" s="46" t="s">
        <v>660</v>
      </c>
      <c r="D234" s="13" t="s">
        <v>661</v>
      </c>
      <c r="E234" s="6" t="s">
        <v>169</v>
      </c>
      <c r="F234" s="6" t="s">
        <v>170</v>
      </c>
      <c r="G234" s="12" t="s">
        <v>170</v>
      </c>
      <c r="H234" s="51" t="s">
        <v>172</v>
      </c>
      <c r="I234" s="24" t="s">
        <v>78</v>
      </c>
      <c r="J234" s="38">
        <v>2046</v>
      </c>
      <c r="K234" s="39">
        <v>1776</v>
      </c>
      <c r="L234" s="37">
        <f t="shared" si="12"/>
        <v>270</v>
      </c>
      <c r="M234" s="37">
        <f t="shared" si="13"/>
        <v>15.202702702702704</v>
      </c>
      <c r="N234" s="36">
        <v>152</v>
      </c>
      <c r="O234" s="36">
        <v>132</v>
      </c>
      <c r="P234" s="37">
        <f t="shared" si="14"/>
        <v>20</v>
      </c>
      <c r="Q234" s="37">
        <f t="shared" si="15"/>
        <v>15.151515151515152</v>
      </c>
      <c r="R234" s="37"/>
      <c r="S234" s="37"/>
      <c r="T234" s="37"/>
      <c r="U234" s="37"/>
      <c r="V234" s="37"/>
      <c r="W234" s="37"/>
      <c r="X234" s="37"/>
      <c r="Y234" s="37"/>
      <c r="Z234" s="37"/>
      <c r="AA234" s="37"/>
    </row>
    <row r="235" spans="1:27" ht="24.5" hidden="1" x14ac:dyDescent="0.35">
      <c r="A235" s="104">
        <v>356946</v>
      </c>
      <c r="B235" s="5" t="s">
        <v>581</v>
      </c>
      <c r="C235" s="46" t="s">
        <v>749</v>
      </c>
      <c r="D235" s="13" t="s">
        <v>750</v>
      </c>
      <c r="E235" s="6" t="s">
        <v>187</v>
      </c>
      <c r="F235" s="6" t="s">
        <v>321</v>
      </c>
      <c r="G235" s="12" t="s">
        <v>321</v>
      </c>
      <c r="H235" s="51" t="s">
        <v>189</v>
      </c>
      <c r="I235" s="24" t="s">
        <v>86</v>
      </c>
      <c r="J235" s="38">
        <v>3988.6739999999977</v>
      </c>
      <c r="K235" s="39">
        <v>3633.9049999999993</v>
      </c>
      <c r="L235" s="37">
        <f t="shared" si="12"/>
        <v>354.76899999999841</v>
      </c>
      <c r="M235" s="37">
        <f t="shared" si="13"/>
        <v>9.7627483382201365</v>
      </c>
      <c r="N235" s="36">
        <v>692.2109999999999</v>
      </c>
      <c r="O235" s="36">
        <v>634.60199999999998</v>
      </c>
      <c r="P235" s="37">
        <f t="shared" si="14"/>
        <v>57.608999999999924</v>
      </c>
      <c r="Q235" s="37">
        <f t="shared" si="15"/>
        <v>9.077973280891003</v>
      </c>
      <c r="R235" s="37"/>
      <c r="S235" s="37"/>
      <c r="T235" s="37"/>
      <c r="U235" s="37"/>
      <c r="V235" s="37"/>
      <c r="W235" s="37"/>
      <c r="X235" s="37"/>
      <c r="Y235" s="37"/>
      <c r="Z235" s="37"/>
      <c r="AA235" s="37"/>
    </row>
    <row r="236" spans="1:27" ht="24.5" hidden="1" x14ac:dyDescent="0.35">
      <c r="A236" s="104">
        <v>102111</v>
      </c>
      <c r="B236" s="5" t="s">
        <v>581</v>
      </c>
      <c r="C236" s="46" t="s">
        <v>745</v>
      </c>
      <c r="D236" s="13" t="s">
        <v>746</v>
      </c>
      <c r="E236" s="6" t="s">
        <v>200</v>
      </c>
      <c r="F236" s="6" t="s">
        <v>223</v>
      </c>
      <c r="G236" s="12" t="s">
        <v>223</v>
      </c>
      <c r="H236" s="51" t="s">
        <v>172</v>
      </c>
      <c r="I236" s="24" t="s">
        <v>83</v>
      </c>
      <c r="J236" s="38">
        <v>698.5</v>
      </c>
      <c r="K236" s="39">
        <v>560.5</v>
      </c>
      <c r="L236" s="37">
        <f t="shared" si="12"/>
        <v>138</v>
      </c>
      <c r="M236" s="37">
        <f t="shared" si="13"/>
        <v>24.620874219446922</v>
      </c>
      <c r="N236" s="36">
        <v>1185.5</v>
      </c>
      <c r="O236" s="36">
        <v>903.5</v>
      </c>
      <c r="P236" s="37">
        <f t="shared" si="14"/>
        <v>282</v>
      </c>
      <c r="Q236" s="37">
        <f t="shared" si="15"/>
        <v>31.211953514111791</v>
      </c>
      <c r="R236" s="37"/>
      <c r="S236" s="37"/>
      <c r="T236" s="37"/>
      <c r="U236" s="37"/>
      <c r="V236" s="37"/>
      <c r="W236" s="37"/>
      <c r="X236" s="37"/>
      <c r="Y236" s="37"/>
      <c r="Z236" s="37"/>
      <c r="AA236" s="37"/>
    </row>
    <row r="237" spans="1:27" ht="36.5" hidden="1" x14ac:dyDescent="0.35">
      <c r="A237" s="105">
        <v>150887</v>
      </c>
      <c r="B237" s="5" t="s">
        <v>581</v>
      </c>
      <c r="C237" s="46" t="s">
        <v>590</v>
      </c>
      <c r="D237" s="13" t="s">
        <v>591</v>
      </c>
      <c r="E237" s="6" t="s">
        <v>89</v>
      </c>
      <c r="F237" s="6" t="s">
        <v>294</v>
      </c>
      <c r="G237" s="12" t="s">
        <v>294</v>
      </c>
      <c r="H237" s="51" t="s">
        <v>91</v>
      </c>
      <c r="I237" s="24" t="s">
        <v>86</v>
      </c>
      <c r="J237" s="38">
        <v>473</v>
      </c>
      <c r="K237" s="39">
        <v>445</v>
      </c>
      <c r="L237" s="37">
        <f t="shared" si="12"/>
        <v>28</v>
      </c>
      <c r="M237" s="37">
        <f t="shared" si="13"/>
        <v>6.2921348314606744</v>
      </c>
      <c r="N237" s="36">
        <v>337</v>
      </c>
      <c r="O237" s="36">
        <v>353</v>
      </c>
      <c r="P237" s="37">
        <f t="shared" si="14"/>
        <v>-16</v>
      </c>
      <c r="Q237" s="37">
        <f t="shared" si="15"/>
        <v>-4.5325779036827196</v>
      </c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 spans="1:27" ht="24.5" hidden="1" x14ac:dyDescent="0.35">
      <c r="A238" s="104">
        <v>106329</v>
      </c>
      <c r="B238" s="5" t="s">
        <v>581</v>
      </c>
      <c r="C238" s="46" t="s">
        <v>862</v>
      </c>
      <c r="D238" s="13" t="s">
        <v>850</v>
      </c>
      <c r="E238" s="6" t="s">
        <v>94</v>
      </c>
      <c r="F238" s="6" t="s">
        <v>95</v>
      </c>
      <c r="G238" s="12" t="s">
        <v>95</v>
      </c>
      <c r="H238" s="51" t="s">
        <v>120</v>
      </c>
      <c r="I238" s="24" t="s">
        <v>83</v>
      </c>
      <c r="J238" s="38">
        <v>4241</v>
      </c>
      <c r="K238" s="39">
        <v>3901</v>
      </c>
      <c r="L238" s="37">
        <f t="shared" si="12"/>
        <v>340</v>
      </c>
      <c r="M238" s="37">
        <f t="shared" si="13"/>
        <v>8.7157139195078184</v>
      </c>
      <c r="N238" s="36">
        <v>727</v>
      </c>
      <c r="O238" s="36">
        <v>789</v>
      </c>
      <c r="P238" s="37">
        <f t="shared" si="14"/>
        <v>-62</v>
      </c>
      <c r="Q238" s="37">
        <f t="shared" si="15"/>
        <v>-7.8580481622306717</v>
      </c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 spans="1:27" ht="24.5" hidden="1" x14ac:dyDescent="0.35">
      <c r="A239" s="104">
        <v>106241</v>
      </c>
      <c r="B239" s="5" t="s">
        <v>581</v>
      </c>
      <c r="C239" s="46" t="s">
        <v>698</v>
      </c>
      <c r="D239" s="13" t="s">
        <v>699</v>
      </c>
      <c r="E239" s="6" t="s">
        <v>103</v>
      </c>
      <c r="F239" s="6" t="s">
        <v>145</v>
      </c>
      <c r="G239" s="12" t="s">
        <v>145</v>
      </c>
      <c r="H239" s="51" t="s">
        <v>96</v>
      </c>
      <c r="I239" s="24" t="s">
        <v>83</v>
      </c>
      <c r="J239" s="38">
        <v>3502.5</v>
      </c>
      <c r="K239" s="39">
        <v>3246</v>
      </c>
      <c r="L239" s="37">
        <f t="shared" si="12"/>
        <v>256.5</v>
      </c>
      <c r="M239" s="37">
        <f t="shared" si="13"/>
        <v>7.9020332717190387</v>
      </c>
      <c r="N239" s="36">
        <v>917.5</v>
      </c>
      <c r="O239" s="36">
        <v>998</v>
      </c>
      <c r="P239" s="37">
        <f t="shared" si="14"/>
        <v>-80.5</v>
      </c>
      <c r="Q239" s="37">
        <f t="shared" si="15"/>
        <v>-8.0661322645290578</v>
      </c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 spans="1:27" ht="24.5" hidden="1" x14ac:dyDescent="0.35">
      <c r="A240" s="104">
        <v>102090</v>
      </c>
      <c r="B240" s="5" t="s">
        <v>581</v>
      </c>
      <c r="C240" s="46" t="s">
        <v>778</v>
      </c>
      <c r="D240" s="13" t="s">
        <v>779</v>
      </c>
      <c r="E240" s="6" t="s">
        <v>103</v>
      </c>
      <c r="F240" s="6" t="s">
        <v>181</v>
      </c>
      <c r="G240" s="12" t="s">
        <v>181</v>
      </c>
      <c r="H240" s="51" t="s">
        <v>105</v>
      </c>
      <c r="I240" s="24" t="s">
        <v>83</v>
      </c>
      <c r="J240" s="38">
        <v>2617</v>
      </c>
      <c r="K240" s="39">
        <v>2544</v>
      </c>
      <c r="L240" s="37">
        <f t="shared" si="12"/>
        <v>73</v>
      </c>
      <c r="M240" s="37">
        <f t="shared" si="13"/>
        <v>2.8694968553459121</v>
      </c>
      <c r="N240" s="36">
        <v>735</v>
      </c>
      <c r="O240" s="36">
        <v>764</v>
      </c>
      <c r="P240" s="37">
        <f t="shared" si="14"/>
        <v>-29</v>
      </c>
      <c r="Q240" s="37">
        <f t="shared" si="15"/>
        <v>-3.7958115183246073</v>
      </c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 spans="1:27" ht="24.5" hidden="1" x14ac:dyDescent="0.35">
      <c r="A241" s="104">
        <v>106287</v>
      </c>
      <c r="B241" s="5" t="s">
        <v>581</v>
      </c>
      <c r="C241" s="46" t="s">
        <v>797</v>
      </c>
      <c r="D241" s="13" t="s">
        <v>798</v>
      </c>
      <c r="E241" s="6" t="s">
        <v>103</v>
      </c>
      <c r="F241" s="6" t="s">
        <v>428</v>
      </c>
      <c r="G241" s="12" t="s">
        <v>428</v>
      </c>
      <c r="H241" s="51" t="s">
        <v>248</v>
      </c>
      <c r="I241" s="24" t="s">
        <v>78</v>
      </c>
      <c r="J241" s="38">
        <v>8725.5</v>
      </c>
      <c r="K241" s="39">
        <v>8352</v>
      </c>
      <c r="L241" s="37">
        <f t="shared" si="12"/>
        <v>373.5</v>
      </c>
      <c r="M241" s="37">
        <f t="shared" si="13"/>
        <v>4.4719827586206895</v>
      </c>
      <c r="N241" s="36">
        <v>3524.5</v>
      </c>
      <c r="O241" s="36">
        <v>3538</v>
      </c>
      <c r="P241" s="37">
        <f t="shared" si="14"/>
        <v>-13.5</v>
      </c>
      <c r="Q241" s="37">
        <f t="shared" si="15"/>
        <v>-0.38157150932730355</v>
      </c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 spans="1:27" ht="24.5" hidden="1" x14ac:dyDescent="0.35">
      <c r="A242" s="104">
        <v>106272</v>
      </c>
      <c r="B242" s="5" t="s">
        <v>581</v>
      </c>
      <c r="C242" s="46" t="s">
        <v>771</v>
      </c>
      <c r="D242" s="13" t="s">
        <v>772</v>
      </c>
      <c r="E242" s="6" t="s">
        <v>94</v>
      </c>
      <c r="F242" s="6" t="s">
        <v>166</v>
      </c>
      <c r="G242" s="12" t="s">
        <v>166</v>
      </c>
      <c r="H242" s="51" t="s">
        <v>120</v>
      </c>
      <c r="I242" s="24" t="s">
        <v>83</v>
      </c>
      <c r="J242" s="38">
        <v>7758.5</v>
      </c>
      <c r="K242" s="39">
        <v>7212.5</v>
      </c>
      <c r="L242" s="37">
        <f t="shared" si="12"/>
        <v>546</v>
      </c>
      <c r="M242" s="37">
        <f t="shared" si="13"/>
        <v>7.5701906412478346</v>
      </c>
      <c r="N242" s="36">
        <v>1335.5</v>
      </c>
      <c r="O242" s="36">
        <v>1505.5</v>
      </c>
      <c r="P242" s="37">
        <f t="shared" si="14"/>
        <v>-170</v>
      </c>
      <c r="Q242" s="37">
        <f t="shared" si="15"/>
        <v>-11.291929591497842</v>
      </c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 spans="1:27" ht="24.5" hidden="1" x14ac:dyDescent="0.35">
      <c r="A243" s="104">
        <v>193265</v>
      </c>
      <c r="B243" s="5" t="s">
        <v>581</v>
      </c>
      <c r="C243" s="46" t="s">
        <v>757</v>
      </c>
      <c r="D243" s="13" t="s">
        <v>758</v>
      </c>
      <c r="E243" s="6" t="s">
        <v>81</v>
      </c>
      <c r="F243" s="6" t="s">
        <v>154</v>
      </c>
      <c r="G243" s="12" t="s">
        <v>154</v>
      </c>
      <c r="H243" s="51" t="s">
        <v>135</v>
      </c>
      <c r="I243" s="24" t="s">
        <v>83</v>
      </c>
      <c r="J243" s="38">
        <v>4276</v>
      </c>
      <c r="K243" s="39">
        <v>3717.5</v>
      </c>
      <c r="L243" s="37">
        <f t="shared" si="12"/>
        <v>558.5</v>
      </c>
      <c r="M243" s="37">
        <f t="shared" si="13"/>
        <v>15.023537323470073</v>
      </c>
      <c r="N243" s="36">
        <v>644</v>
      </c>
      <c r="O243" s="36">
        <v>632.5</v>
      </c>
      <c r="P243" s="37">
        <f t="shared" si="14"/>
        <v>11.5</v>
      </c>
      <c r="Q243" s="37">
        <f t="shared" si="15"/>
        <v>1.8181818181818181</v>
      </c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 spans="1:27" ht="24.5" hidden="1" x14ac:dyDescent="0.35">
      <c r="A244" s="104">
        <v>208231</v>
      </c>
      <c r="B244" s="5" t="s">
        <v>581</v>
      </c>
      <c r="C244" s="46" t="s">
        <v>616</v>
      </c>
      <c r="D244" s="13" t="s">
        <v>617</v>
      </c>
      <c r="E244" s="6" t="s">
        <v>89</v>
      </c>
      <c r="F244" s="6" t="s">
        <v>603</v>
      </c>
      <c r="G244" s="12" t="s">
        <v>603</v>
      </c>
      <c r="H244" s="51" t="s">
        <v>120</v>
      </c>
      <c r="I244" s="24" t="s">
        <v>86</v>
      </c>
      <c r="J244" s="38">
        <v>5209</v>
      </c>
      <c r="K244" s="39">
        <v>4645.5</v>
      </c>
      <c r="L244" s="37">
        <f t="shared" si="12"/>
        <v>563.5</v>
      </c>
      <c r="M244" s="37">
        <f t="shared" si="13"/>
        <v>12.130018297276933</v>
      </c>
      <c r="N244" s="36">
        <v>1323</v>
      </c>
      <c r="O244" s="36">
        <v>1408.5</v>
      </c>
      <c r="P244" s="37">
        <f t="shared" si="14"/>
        <v>-85.5</v>
      </c>
      <c r="Q244" s="37">
        <f t="shared" si="15"/>
        <v>-6.0702875399361016</v>
      </c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 spans="1:27" ht="36.5" hidden="1" x14ac:dyDescent="0.35">
      <c r="A245" s="104">
        <v>106261</v>
      </c>
      <c r="B245" s="5" t="s">
        <v>581</v>
      </c>
      <c r="C245" s="46" t="s">
        <v>807</v>
      </c>
      <c r="D245" s="13" t="s">
        <v>808</v>
      </c>
      <c r="E245" s="6" t="s">
        <v>85</v>
      </c>
      <c r="F245" s="6" t="s">
        <v>373</v>
      </c>
      <c r="G245" s="12" t="s">
        <v>373</v>
      </c>
      <c r="H245" s="51" t="s">
        <v>178</v>
      </c>
      <c r="I245" s="24" t="s">
        <v>86</v>
      </c>
      <c r="J245" s="38">
        <v>4890</v>
      </c>
      <c r="K245" s="39">
        <v>4657.5</v>
      </c>
      <c r="L245" s="37">
        <f t="shared" si="12"/>
        <v>232.5</v>
      </c>
      <c r="M245" s="37">
        <f t="shared" si="13"/>
        <v>4.9919484702093397</v>
      </c>
      <c r="N245" s="36">
        <v>1270</v>
      </c>
      <c r="O245" s="36">
        <v>1366.5</v>
      </c>
      <c r="P245" s="37">
        <f t="shared" si="14"/>
        <v>-96.5</v>
      </c>
      <c r="Q245" s="37">
        <f t="shared" si="15"/>
        <v>-7.0618368093669961</v>
      </c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 spans="1:27" ht="36.5" hidden="1" x14ac:dyDescent="0.35">
      <c r="A246" s="104">
        <v>368600</v>
      </c>
      <c r="B246" s="5" t="s">
        <v>581</v>
      </c>
      <c r="C246" s="46" t="s">
        <v>775</v>
      </c>
      <c r="D246" s="13" t="s">
        <v>776</v>
      </c>
      <c r="E246" s="6" t="s">
        <v>94</v>
      </c>
      <c r="F246" s="6" t="s">
        <v>129</v>
      </c>
      <c r="G246" s="12" t="s">
        <v>129</v>
      </c>
      <c r="H246" s="51" t="s">
        <v>126</v>
      </c>
      <c r="I246" s="24" t="s">
        <v>83</v>
      </c>
      <c r="J246" s="38">
        <v>5968.7529999999988</v>
      </c>
      <c r="K246" s="39">
        <v>5499.3959999999997</v>
      </c>
      <c r="L246" s="37">
        <f t="shared" si="12"/>
        <v>469.35699999999906</v>
      </c>
      <c r="M246" s="37">
        <f t="shared" si="13"/>
        <v>8.5347009016990061</v>
      </c>
      <c r="N246" s="36">
        <v>970.52599999999973</v>
      </c>
      <c r="O246" s="36">
        <v>1115.3419999999994</v>
      </c>
      <c r="P246" s="37">
        <f t="shared" si="14"/>
        <v>-144.81599999999969</v>
      </c>
      <c r="Q246" s="37">
        <f t="shared" si="15"/>
        <v>-12.983999526602583</v>
      </c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 spans="1:27" ht="36.5" hidden="1" x14ac:dyDescent="0.35">
      <c r="A247" s="104">
        <v>255817</v>
      </c>
      <c r="B247" s="5" t="s">
        <v>581</v>
      </c>
      <c r="C247" s="46" t="s">
        <v>887</v>
      </c>
      <c r="D247" s="13" t="s">
        <v>888</v>
      </c>
      <c r="E247" s="6" t="s">
        <v>103</v>
      </c>
      <c r="F247" s="6" t="s">
        <v>439</v>
      </c>
      <c r="G247" s="12" t="s">
        <v>439</v>
      </c>
      <c r="H247" s="51" t="s">
        <v>135</v>
      </c>
      <c r="I247" s="24" t="s">
        <v>83</v>
      </c>
      <c r="J247" s="38">
        <v>3331</v>
      </c>
      <c r="K247" s="39">
        <v>3041.5</v>
      </c>
      <c r="L247" s="37">
        <f t="shared" si="12"/>
        <v>289.5</v>
      </c>
      <c r="M247" s="37">
        <f t="shared" si="13"/>
        <v>9.5183297714943293</v>
      </c>
      <c r="N247" s="36">
        <v>634</v>
      </c>
      <c r="O247" s="36">
        <v>630</v>
      </c>
      <c r="P247" s="37">
        <f t="shared" si="14"/>
        <v>4</v>
      </c>
      <c r="Q247" s="37">
        <f t="shared" si="15"/>
        <v>0.63492063492063489</v>
      </c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 spans="1:27" ht="24.5" hidden="1" x14ac:dyDescent="0.35">
      <c r="A248" s="104">
        <v>106301</v>
      </c>
      <c r="B248" s="5" t="s">
        <v>581</v>
      </c>
      <c r="C248" s="46" t="s">
        <v>827</v>
      </c>
      <c r="D248" s="13" t="s">
        <v>279</v>
      </c>
      <c r="E248" s="6" t="s">
        <v>81</v>
      </c>
      <c r="F248" s="6" t="s">
        <v>140</v>
      </c>
      <c r="G248" s="12" t="s">
        <v>140</v>
      </c>
      <c r="H248" s="51" t="s">
        <v>141</v>
      </c>
      <c r="I248" s="24" t="s">
        <v>83</v>
      </c>
      <c r="J248" s="38">
        <v>1105.5</v>
      </c>
      <c r="K248" s="39">
        <v>991</v>
      </c>
      <c r="L248" s="37">
        <f t="shared" si="12"/>
        <v>114.5</v>
      </c>
      <c r="M248" s="37">
        <f t="shared" si="13"/>
        <v>11.553985872855701</v>
      </c>
      <c r="N248" s="36">
        <v>426.5</v>
      </c>
      <c r="O248" s="36">
        <v>493</v>
      </c>
      <c r="P248" s="37">
        <f t="shared" si="14"/>
        <v>-66.5</v>
      </c>
      <c r="Q248" s="37">
        <f t="shared" si="15"/>
        <v>-13.488843813387424</v>
      </c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 spans="1:27" ht="36.5" hidden="1" x14ac:dyDescent="0.35">
      <c r="A249" s="104">
        <v>186862</v>
      </c>
      <c r="B249" s="5" t="s">
        <v>581</v>
      </c>
      <c r="C249" s="46" t="s">
        <v>875</v>
      </c>
      <c r="D249" s="13" t="s">
        <v>461</v>
      </c>
      <c r="E249" s="6" t="s">
        <v>228</v>
      </c>
      <c r="F249" s="6" t="s">
        <v>462</v>
      </c>
      <c r="G249" s="12" t="s">
        <v>462</v>
      </c>
      <c r="H249" s="51" t="s">
        <v>230</v>
      </c>
      <c r="I249" s="24" t="s">
        <v>78</v>
      </c>
      <c r="J249" s="38">
        <v>5103</v>
      </c>
      <c r="K249" s="39">
        <v>4836</v>
      </c>
      <c r="L249" s="37">
        <f t="shared" si="12"/>
        <v>267</v>
      </c>
      <c r="M249" s="37">
        <f t="shared" si="13"/>
        <v>5.5210918114143919</v>
      </c>
      <c r="N249" s="36">
        <v>1225</v>
      </c>
      <c r="O249" s="36">
        <v>1388</v>
      </c>
      <c r="P249" s="37">
        <f t="shared" si="14"/>
        <v>-163</v>
      </c>
      <c r="Q249" s="37">
        <f t="shared" si="15"/>
        <v>-11.743515850144092</v>
      </c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 spans="1:27" ht="24.5" hidden="1" x14ac:dyDescent="0.35">
      <c r="A250" s="104">
        <v>102115</v>
      </c>
      <c r="B250" s="5" t="s">
        <v>581</v>
      </c>
      <c r="C250" s="46" t="s">
        <v>646</v>
      </c>
      <c r="D250" s="13" t="s">
        <v>647</v>
      </c>
      <c r="E250" s="6" t="s">
        <v>89</v>
      </c>
      <c r="F250" s="6" t="s">
        <v>237</v>
      </c>
      <c r="G250" s="12" t="s">
        <v>345</v>
      </c>
      <c r="H250" s="51" t="s">
        <v>120</v>
      </c>
      <c r="I250" s="24" t="s">
        <v>86</v>
      </c>
      <c r="J250" s="38">
        <v>2742</v>
      </c>
      <c r="K250" s="39">
        <v>2436</v>
      </c>
      <c r="L250" s="37">
        <f t="shared" si="12"/>
        <v>306</v>
      </c>
      <c r="M250" s="37">
        <f t="shared" si="13"/>
        <v>12.561576354679804</v>
      </c>
      <c r="N250" s="36">
        <v>0</v>
      </c>
      <c r="O250" s="36">
        <v>0</v>
      </c>
      <c r="P250" s="37">
        <f t="shared" si="14"/>
        <v>0</v>
      </c>
      <c r="Q250" s="37" t="e">
        <f t="shared" si="15"/>
        <v>#DIV/0!</v>
      </c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 spans="1:27" hidden="1" x14ac:dyDescent="0.35">
      <c r="A251" s="104">
        <v>102096</v>
      </c>
      <c r="B251" s="5" t="s">
        <v>581</v>
      </c>
      <c r="C251" s="46" t="s">
        <v>809</v>
      </c>
      <c r="D251" s="13" t="s">
        <v>281</v>
      </c>
      <c r="E251" s="6" t="s">
        <v>200</v>
      </c>
      <c r="F251" s="6" t="s">
        <v>244</v>
      </c>
      <c r="G251" s="12" t="s">
        <v>244</v>
      </c>
      <c r="H251" s="51" t="s">
        <v>172</v>
      </c>
      <c r="I251" s="24" t="s">
        <v>83</v>
      </c>
      <c r="J251" s="38">
        <v>1700.5</v>
      </c>
      <c r="K251" s="39">
        <v>1554.5</v>
      </c>
      <c r="L251" s="37">
        <f t="shared" si="12"/>
        <v>146</v>
      </c>
      <c r="M251" s="37">
        <f t="shared" si="13"/>
        <v>9.3920874879382445</v>
      </c>
      <c r="N251" s="36">
        <v>4613.5</v>
      </c>
      <c r="O251" s="36">
        <v>4411.5</v>
      </c>
      <c r="P251" s="37">
        <f t="shared" si="14"/>
        <v>202</v>
      </c>
      <c r="Q251" s="37">
        <f t="shared" si="15"/>
        <v>4.5789414031508562</v>
      </c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 spans="1:27" ht="24.5" hidden="1" x14ac:dyDescent="0.35">
      <c r="A252" s="104">
        <v>106315</v>
      </c>
      <c r="B252" s="5" t="s">
        <v>581</v>
      </c>
      <c r="C252" s="46" t="s">
        <v>653</v>
      </c>
      <c r="D252" s="13" t="s">
        <v>334</v>
      </c>
      <c r="E252" s="6" t="s">
        <v>187</v>
      </c>
      <c r="F252" s="6" t="s">
        <v>321</v>
      </c>
      <c r="G252" s="12" t="s">
        <v>321</v>
      </c>
      <c r="H252" s="51" t="s">
        <v>189</v>
      </c>
      <c r="I252" s="24" t="s">
        <v>86</v>
      </c>
      <c r="J252" s="38">
        <v>2101.5</v>
      </c>
      <c r="K252" s="39">
        <v>1886</v>
      </c>
      <c r="L252" s="37">
        <f t="shared" si="12"/>
        <v>215.5</v>
      </c>
      <c r="M252" s="37">
        <f t="shared" si="13"/>
        <v>11.426299045599151</v>
      </c>
      <c r="N252" s="36">
        <v>472.5</v>
      </c>
      <c r="O252" s="36">
        <v>388</v>
      </c>
      <c r="P252" s="37">
        <f t="shared" si="14"/>
        <v>84.5</v>
      </c>
      <c r="Q252" s="37">
        <f t="shared" si="15"/>
        <v>21.778350515463917</v>
      </c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 spans="1:27" ht="24.5" hidden="1" x14ac:dyDescent="0.35">
      <c r="A253" s="104">
        <v>106335</v>
      </c>
      <c r="B253" s="5" t="s">
        <v>581</v>
      </c>
      <c r="C253" s="46" t="s">
        <v>871</v>
      </c>
      <c r="D253" s="13" t="s">
        <v>434</v>
      </c>
      <c r="E253" s="6" t="s">
        <v>200</v>
      </c>
      <c r="F253" s="6" t="s">
        <v>300</v>
      </c>
      <c r="G253" s="12" t="s">
        <v>300</v>
      </c>
      <c r="H253" s="51" t="s">
        <v>872</v>
      </c>
      <c r="I253" s="24" t="s">
        <v>83</v>
      </c>
      <c r="J253" s="38">
        <v>282.5</v>
      </c>
      <c r="K253" s="39">
        <v>207.5</v>
      </c>
      <c r="L253" s="37">
        <f t="shared" si="12"/>
        <v>75</v>
      </c>
      <c r="M253" s="37">
        <f t="shared" si="13"/>
        <v>36.144578313253014</v>
      </c>
      <c r="N253" s="36">
        <v>109.5</v>
      </c>
      <c r="O253" s="36">
        <v>104.5</v>
      </c>
      <c r="P253" s="37">
        <f t="shared" si="14"/>
        <v>5</v>
      </c>
      <c r="Q253" s="37">
        <f t="shared" si="15"/>
        <v>4.7846889952153111</v>
      </c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 spans="1:27" ht="24.5" hidden="1" x14ac:dyDescent="0.35">
      <c r="A254" s="104">
        <v>205875</v>
      </c>
      <c r="B254" s="5" t="s">
        <v>581</v>
      </c>
      <c r="C254" s="46" t="s">
        <v>805</v>
      </c>
      <c r="D254" s="13" t="s">
        <v>806</v>
      </c>
      <c r="E254" s="6" t="s">
        <v>81</v>
      </c>
      <c r="F254" s="6" t="s">
        <v>195</v>
      </c>
      <c r="G254" s="12" t="s">
        <v>195</v>
      </c>
      <c r="H254" s="51" t="s">
        <v>135</v>
      </c>
      <c r="I254" s="24" t="s">
        <v>83</v>
      </c>
      <c r="J254" s="38">
        <v>2669.5</v>
      </c>
      <c r="K254" s="39">
        <v>2327.5</v>
      </c>
      <c r="L254" s="37">
        <f t="shared" si="12"/>
        <v>342</v>
      </c>
      <c r="M254" s="37">
        <f t="shared" si="13"/>
        <v>14.69387755102041</v>
      </c>
      <c r="N254" s="36">
        <v>396.5</v>
      </c>
      <c r="O254" s="36">
        <v>398.5</v>
      </c>
      <c r="P254" s="37">
        <f t="shared" si="14"/>
        <v>-2</v>
      </c>
      <c r="Q254" s="37">
        <f t="shared" si="15"/>
        <v>-0.50188205771643657</v>
      </c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 spans="1:27" ht="24.5" hidden="1" x14ac:dyDescent="0.35">
      <c r="A255" s="104">
        <v>102091</v>
      </c>
      <c r="B255" s="5" t="s">
        <v>581</v>
      </c>
      <c r="C255" s="46" t="s">
        <v>595</v>
      </c>
      <c r="D255" s="13" t="s">
        <v>596</v>
      </c>
      <c r="E255" s="6" t="s">
        <v>89</v>
      </c>
      <c r="F255" s="6" t="s">
        <v>307</v>
      </c>
      <c r="G255" s="12" t="s">
        <v>395</v>
      </c>
      <c r="H255" s="51" t="s">
        <v>248</v>
      </c>
      <c r="I255" s="24" t="s">
        <v>86</v>
      </c>
      <c r="J255" s="38">
        <v>2525.5</v>
      </c>
      <c r="K255" s="39">
        <v>2239</v>
      </c>
      <c r="L255" s="37">
        <f t="shared" si="12"/>
        <v>286.5</v>
      </c>
      <c r="M255" s="37">
        <f t="shared" si="13"/>
        <v>12.795891022778024</v>
      </c>
      <c r="N255" s="36">
        <v>652.5</v>
      </c>
      <c r="O255" s="36">
        <v>727</v>
      </c>
      <c r="P255" s="37">
        <f t="shared" si="14"/>
        <v>-74.5</v>
      </c>
      <c r="Q255" s="37">
        <f t="shared" si="15"/>
        <v>-10.247592847317744</v>
      </c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 spans="1:27" ht="24.5" hidden="1" x14ac:dyDescent="0.35">
      <c r="A256" s="104">
        <v>186865</v>
      </c>
      <c r="B256" s="5" t="s">
        <v>581</v>
      </c>
      <c r="C256" s="46" t="s">
        <v>928</v>
      </c>
      <c r="D256" s="13" t="s">
        <v>478</v>
      </c>
      <c r="E256" s="6" t="s">
        <v>228</v>
      </c>
      <c r="F256" s="6" t="s">
        <v>462</v>
      </c>
      <c r="G256" s="12" t="s">
        <v>462</v>
      </c>
      <c r="H256" s="51" t="s">
        <v>230</v>
      </c>
      <c r="I256" s="24" t="s">
        <v>78</v>
      </c>
      <c r="J256" s="38">
        <v>4084.5</v>
      </c>
      <c r="K256" s="39">
        <v>3889</v>
      </c>
      <c r="L256" s="37">
        <f t="shared" si="12"/>
        <v>195.5</v>
      </c>
      <c r="M256" s="37">
        <f t="shared" si="13"/>
        <v>5.0269992285934686</v>
      </c>
      <c r="N256" s="36">
        <v>403.5</v>
      </c>
      <c r="O256" s="36">
        <v>383</v>
      </c>
      <c r="P256" s="37">
        <f t="shared" si="14"/>
        <v>20.5</v>
      </c>
      <c r="Q256" s="37">
        <f t="shared" si="15"/>
        <v>5.3524804177545686</v>
      </c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 spans="1:27" ht="24.5" hidden="1" x14ac:dyDescent="0.35">
      <c r="A257" s="104">
        <v>305308</v>
      </c>
      <c r="B257" s="5" t="s">
        <v>581</v>
      </c>
      <c r="C257" s="46" t="s">
        <v>640</v>
      </c>
      <c r="D257" s="13" t="s">
        <v>641</v>
      </c>
      <c r="E257" s="6" t="s">
        <v>89</v>
      </c>
      <c r="F257" s="6" t="s">
        <v>237</v>
      </c>
      <c r="G257" s="12" t="s">
        <v>392</v>
      </c>
      <c r="H257" s="51" t="s">
        <v>1007</v>
      </c>
      <c r="I257" s="24" t="s">
        <v>86</v>
      </c>
      <c r="J257" s="38">
        <v>2633.5</v>
      </c>
      <c r="K257" s="39">
        <v>2495.5</v>
      </c>
      <c r="L257" s="37">
        <f t="shared" si="12"/>
        <v>138</v>
      </c>
      <c r="M257" s="37">
        <f t="shared" si="13"/>
        <v>5.5299539170506913</v>
      </c>
      <c r="N257" s="36">
        <v>454.5</v>
      </c>
      <c r="O257" s="36">
        <v>476.5</v>
      </c>
      <c r="P257" s="37">
        <f t="shared" si="14"/>
        <v>-22</v>
      </c>
      <c r="Q257" s="37">
        <f t="shared" si="15"/>
        <v>-4.6169989506820563</v>
      </c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 spans="1:27" ht="36.5" hidden="1" x14ac:dyDescent="0.35">
      <c r="A258" s="104">
        <v>102085</v>
      </c>
      <c r="B258" s="5" t="s">
        <v>581</v>
      </c>
      <c r="C258" s="46" t="s">
        <v>835</v>
      </c>
      <c r="D258" s="13" t="s">
        <v>836</v>
      </c>
      <c r="E258" s="6" t="s">
        <v>89</v>
      </c>
      <c r="F258" s="6" t="s">
        <v>307</v>
      </c>
      <c r="G258" s="12" t="s">
        <v>307</v>
      </c>
      <c r="H258" s="51" t="s">
        <v>205</v>
      </c>
      <c r="I258" s="24" t="s">
        <v>86</v>
      </c>
      <c r="J258" s="38">
        <v>3077.5</v>
      </c>
      <c r="K258" s="39">
        <v>2870.5</v>
      </c>
      <c r="L258" s="37">
        <f t="shared" ref="L258:L321" si="16">(J258-K258)</f>
        <v>207</v>
      </c>
      <c r="M258" s="37">
        <f t="shared" ref="M258:M321" si="17">(L258)/K258*100</f>
        <v>7.2112872321895143</v>
      </c>
      <c r="N258" s="36">
        <v>554.5</v>
      </c>
      <c r="O258" s="36">
        <v>757.5</v>
      </c>
      <c r="P258" s="37">
        <f t="shared" ref="P258:P321" si="18">(N258-O258)</f>
        <v>-203</v>
      </c>
      <c r="Q258" s="37">
        <f t="shared" ref="Q258:Q321" si="19">(P258)/O258*100</f>
        <v>-26.798679867986795</v>
      </c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 spans="1:27" ht="36.5" hidden="1" x14ac:dyDescent="0.35">
      <c r="A259" s="104">
        <v>106288</v>
      </c>
      <c r="B259" s="5" t="s">
        <v>581</v>
      </c>
      <c r="C259" s="46" t="s">
        <v>801</v>
      </c>
      <c r="D259" s="13" t="s">
        <v>802</v>
      </c>
      <c r="E259" s="6" t="s">
        <v>111</v>
      </c>
      <c r="F259" s="6" t="s">
        <v>156</v>
      </c>
      <c r="G259" s="12" t="s">
        <v>156</v>
      </c>
      <c r="H259" s="51" t="s">
        <v>158</v>
      </c>
      <c r="I259" s="24" t="s">
        <v>78</v>
      </c>
      <c r="J259" s="38">
        <v>2085</v>
      </c>
      <c r="K259" s="39">
        <v>2069.5</v>
      </c>
      <c r="L259" s="37">
        <f t="shared" si="16"/>
        <v>15.5</v>
      </c>
      <c r="M259" s="37">
        <f t="shared" si="17"/>
        <v>0.74897318192800189</v>
      </c>
      <c r="N259" s="36">
        <v>1315</v>
      </c>
      <c r="O259" s="36">
        <v>1682.5</v>
      </c>
      <c r="P259" s="37">
        <f t="shared" si="18"/>
        <v>-367.5</v>
      </c>
      <c r="Q259" s="37">
        <f t="shared" si="19"/>
        <v>-21.842496285289748</v>
      </c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 spans="1:27" ht="36.5" hidden="1" x14ac:dyDescent="0.35">
      <c r="A260" s="104">
        <v>106334</v>
      </c>
      <c r="B260" s="5" t="s">
        <v>581</v>
      </c>
      <c r="C260" s="46" t="s">
        <v>869</v>
      </c>
      <c r="D260" s="13" t="s">
        <v>870</v>
      </c>
      <c r="E260" s="6" t="s">
        <v>111</v>
      </c>
      <c r="F260" s="6" t="s">
        <v>414</v>
      </c>
      <c r="G260" s="12" t="s">
        <v>414</v>
      </c>
      <c r="H260" s="51" t="s">
        <v>275</v>
      </c>
      <c r="I260" s="24" t="s">
        <v>78</v>
      </c>
      <c r="J260" s="38">
        <v>2367</v>
      </c>
      <c r="K260" s="39">
        <v>2266</v>
      </c>
      <c r="L260" s="37">
        <f t="shared" si="16"/>
        <v>101</v>
      </c>
      <c r="M260" s="37">
        <f t="shared" si="17"/>
        <v>4.4571932921447486</v>
      </c>
      <c r="N260" s="36">
        <v>121</v>
      </c>
      <c r="O260" s="36">
        <v>148</v>
      </c>
      <c r="P260" s="37">
        <f t="shared" si="18"/>
        <v>-27</v>
      </c>
      <c r="Q260" s="37">
        <f t="shared" si="19"/>
        <v>-18.243243243243242</v>
      </c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 spans="1:27" ht="24.5" hidden="1" x14ac:dyDescent="0.35">
      <c r="A261" s="104">
        <v>305316</v>
      </c>
      <c r="B261" s="5" t="s">
        <v>581</v>
      </c>
      <c r="C261" s="46" t="s">
        <v>711</v>
      </c>
      <c r="D261" s="13" t="s">
        <v>712</v>
      </c>
      <c r="E261" s="6" t="s">
        <v>81</v>
      </c>
      <c r="F261" s="6" t="s">
        <v>195</v>
      </c>
      <c r="G261" s="12" t="s">
        <v>195</v>
      </c>
      <c r="H261" s="51" t="s">
        <v>135</v>
      </c>
      <c r="I261" s="24" t="s">
        <v>83</v>
      </c>
      <c r="J261" s="38">
        <v>3862.5</v>
      </c>
      <c r="K261" s="39">
        <v>3534.5</v>
      </c>
      <c r="L261" s="37">
        <f t="shared" si="16"/>
        <v>328</v>
      </c>
      <c r="M261" s="37">
        <f t="shared" si="17"/>
        <v>9.2799547319281377</v>
      </c>
      <c r="N261" s="36">
        <v>425.5</v>
      </c>
      <c r="O261" s="36">
        <v>465.5</v>
      </c>
      <c r="P261" s="37">
        <f t="shared" si="18"/>
        <v>-40</v>
      </c>
      <c r="Q261" s="37">
        <f t="shared" si="19"/>
        <v>-8.5929108485499466</v>
      </c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 spans="1:27" ht="24.5" hidden="1" x14ac:dyDescent="0.35">
      <c r="A262" s="104">
        <v>106366</v>
      </c>
      <c r="B262" s="5" t="s">
        <v>581</v>
      </c>
      <c r="C262" s="46" t="s">
        <v>721</v>
      </c>
      <c r="D262" s="13" t="s">
        <v>722</v>
      </c>
      <c r="E262" s="6" t="s">
        <v>85</v>
      </c>
      <c r="F262" s="6" t="s">
        <v>337</v>
      </c>
      <c r="G262" s="12" t="s">
        <v>337</v>
      </c>
      <c r="H262" s="51" t="s">
        <v>248</v>
      </c>
      <c r="I262" s="24" t="s">
        <v>86</v>
      </c>
      <c r="J262" s="38">
        <v>6887</v>
      </c>
      <c r="K262" s="39">
        <v>6414</v>
      </c>
      <c r="L262" s="37">
        <f t="shared" si="16"/>
        <v>473</v>
      </c>
      <c r="M262" s="37">
        <f t="shared" si="17"/>
        <v>7.374493295915185</v>
      </c>
      <c r="N262" s="36">
        <v>1059</v>
      </c>
      <c r="O262" s="36">
        <v>1270</v>
      </c>
      <c r="P262" s="37">
        <f t="shared" si="18"/>
        <v>-211</v>
      </c>
      <c r="Q262" s="37">
        <f t="shared" si="19"/>
        <v>-16.614173228346456</v>
      </c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 spans="1:27" ht="24.5" hidden="1" x14ac:dyDescent="0.35">
      <c r="A263" s="104">
        <v>102078</v>
      </c>
      <c r="B263" s="5" t="s">
        <v>581</v>
      </c>
      <c r="C263" s="46" t="s">
        <v>876</v>
      </c>
      <c r="D263" s="13" t="s">
        <v>877</v>
      </c>
      <c r="E263" s="6" t="s">
        <v>75</v>
      </c>
      <c r="F263" s="6" t="s">
        <v>220</v>
      </c>
      <c r="G263" s="12" t="s">
        <v>220</v>
      </c>
      <c r="H263" s="51" t="s">
        <v>77</v>
      </c>
      <c r="I263" s="24" t="s">
        <v>78</v>
      </c>
      <c r="J263" s="38">
        <v>1823.5</v>
      </c>
      <c r="K263" s="39">
        <v>1629</v>
      </c>
      <c r="L263" s="37">
        <f t="shared" si="16"/>
        <v>194.5</v>
      </c>
      <c r="M263" s="37">
        <f t="shared" si="17"/>
        <v>11.939840392879066</v>
      </c>
      <c r="N263" s="36">
        <v>710.5</v>
      </c>
      <c r="O263" s="36">
        <v>721</v>
      </c>
      <c r="P263" s="37">
        <f t="shared" si="18"/>
        <v>-10.5</v>
      </c>
      <c r="Q263" s="37">
        <f t="shared" si="19"/>
        <v>-1.4563106796116505</v>
      </c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 spans="1:27" ht="24.5" hidden="1" x14ac:dyDescent="0.35">
      <c r="A264" s="104">
        <v>106325</v>
      </c>
      <c r="B264" s="5" t="s">
        <v>581</v>
      </c>
      <c r="C264" s="46" t="s">
        <v>859</v>
      </c>
      <c r="D264" s="13" t="s">
        <v>279</v>
      </c>
      <c r="E264" s="6" t="s">
        <v>81</v>
      </c>
      <c r="F264" s="6" t="s">
        <v>140</v>
      </c>
      <c r="G264" s="12" t="s">
        <v>140</v>
      </c>
      <c r="H264" s="51" t="s">
        <v>135</v>
      </c>
      <c r="I264" s="24" t="s">
        <v>83</v>
      </c>
      <c r="J264" s="38">
        <v>1264</v>
      </c>
      <c r="K264" s="39">
        <v>1171.5</v>
      </c>
      <c r="L264" s="37">
        <f t="shared" si="16"/>
        <v>92.5</v>
      </c>
      <c r="M264" s="37">
        <f t="shared" si="17"/>
        <v>7.8958600085360651</v>
      </c>
      <c r="N264" s="36">
        <v>3528</v>
      </c>
      <c r="O264" s="36">
        <v>4626.5</v>
      </c>
      <c r="P264" s="37">
        <f t="shared" si="18"/>
        <v>-1098.5</v>
      </c>
      <c r="Q264" s="37">
        <f t="shared" si="19"/>
        <v>-23.743650707878526</v>
      </c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 spans="1:27" ht="36.5" hidden="1" x14ac:dyDescent="0.35">
      <c r="A265" s="104">
        <v>153271</v>
      </c>
      <c r="B265" s="5" t="s">
        <v>581</v>
      </c>
      <c r="C265" s="46" t="s">
        <v>773</v>
      </c>
      <c r="D265" s="13" t="s">
        <v>774</v>
      </c>
      <c r="E265" s="6" t="s">
        <v>111</v>
      </c>
      <c r="F265" s="6" t="s">
        <v>129</v>
      </c>
      <c r="G265" s="12" t="s">
        <v>129</v>
      </c>
      <c r="H265" s="51" t="s">
        <v>126</v>
      </c>
      <c r="I265" s="24" t="s">
        <v>78</v>
      </c>
      <c r="J265" s="38">
        <v>5176.6749999999984</v>
      </c>
      <c r="K265" s="39">
        <v>4882.4999999999991</v>
      </c>
      <c r="L265" s="37">
        <f t="shared" si="16"/>
        <v>294.17499999999927</v>
      </c>
      <c r="M265" s="37">
        <f t="shared" si="17"/>
        <v>6.0250896057347534</v>
      </c>
      <c r="N265" s="36">
        <v>875.96399999999983</v>
      </c>
      <c r="O265" s="36">
        <v>1017.0409999999999</v>
      </c>
      <c r="P265" s="37">
        <f t="shared" si="18"/>
        <v>-141.07700000000011</v>
      </c>
      <c r="Q265" s="37">
        <f t="shared" si="19"/>
        <v>-13.87131885538539</v>
      </c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 spans="1:27" hidden="1" x14ac:dyDescent="0.35">
      <c r="A266" s="104">
        <v>186857</v>
      </c>
      <c r="B266" s="5" t="s">
        <v>581</v>
      </c>
      <c r="C266" s="46" t="s">
        <v>644</v>
      </c>
      <c r="D266" s="13" t="s">
        <v>568</v>
      </c>
      <c r="E266" s="6" t="s">
        <v>85</v>
      </c>
      <c r="F266" s="6" t="s">
        <v>373</v>
      </c>
      <c r="G266" s="12" t="s">
        <v>373</v>
      </c>
      <c r="H266" s="51" t="s">
        <v>120</v>
      </c>
      <c r="I266" s="24" t="s">
        <v>86</v>
      </c>
      <c r="J266" s="38">
        <v>2002.5</v>
      </c>
      <c r="K266" s="39">
        <v>1895.5</v>
      </c>
      <c r="L266" s="37">
        <f t="shared" si="16"/>
        <v>107</v>
      </c>
      <c r="M266" s="37">
        <f t="shared" si="17"/>
        <v>5.6449485623845952</v>
      </c>
      <c r="N266" s="36">
        <v>301.5</v>
      </c>
      <c r="O266" s="36">
        <v>272.5</v>
      </c>
      <c r="P266" s="37">
        <f t="shared" si="18"/>
        <v>29</v>
      </c>
      <c r="Q266" s="37">
        <f t="shared" si="19"/>
        <v>10.642201834862385</v>
      </c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 spans="1:27" hidden="1" x14ac:dyDescent="0.35">
      <c r="A267" s="104">
        <v>102083</v>
      </c>
      <c r="B267" s="5" t="s">
        <v>581</v>
      </c>
      <c r="C267" s="46" t="s">
        <v>934</v>
      </c>
      <c r="D267" s="13" t="s">
        <v>935</v>
      </c>
      <c r="E267" s="6" t="s">
        <v>111</v>
      </c>
      <c r="F267" s="6" t="s">
        <v>247</v>
      </c>
      <c r="G267" s="12" t="s">
        <v>247</v>
      </c>
      <c r="H267" s="51" t="s">
        <v>248</v>
      </c>
      <c r="I267" s="24" t="s">
        <v>78</v>
      </c>
      <c r="J267" s="38">
        <v>3008</v>
      </c>
      <c r="K267" s="39">
        <v>3015</v>
      </c>
      <c r="L267" s="37">
        <f t="shared" si="16"/>
        <v>-7</v>
      </c>
      <c r="M267" s="37">
        <f t="shared" si="17"/>
        <v>-0.23217247097844113</v>
      </c>
      <c r="N267" s="36">
        <v>618</v>
      </c>
      <c r="O267" s="36">
        <v>703</v>
      </c>
      <c r="P267" s="37">
        <f t="shared" si="18"/>
        <v>-85</v>
      </c>
      <c r="Q267" s="37">
        <f t="shared" si="19"/>
        <v>-12.091038406827881</v>
      </c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 spans="1:27" ht="24.5" hidden="1" x14ac:dyDescent="0.35">
      <c r="A268" s="104">
        <v>289183</v>
      </c>
      <c r="B268" s="5" t="s">
        <v>581</v>
      </c>
      <c r="C268" s="46" t="s">
        <v>623</v>
      </c>
      <c r="D268" s="13" t="s">
        <v>387</v>
      </c>
      <c r="E268" s="6" t="s">
        <v>85</v>
      </c>
      <c r="F268" s="6" t="s">
        <v>192</v>
      </c>
      <c r="G268" s="12" t="s">
        <v>192</v>
      </c>
      <c r="H268" s="51" t="s">
        <v>178</v>
      </c>
      <c r="I268" s="24" t="s">
        <v>86</v>
      </c>
      <c r="J268" s="38">
        <v>1183</v>
      </c>
      <c r="K268" s="39">
        <v>1080</v>
      </c>
      <c r="L268" s="37">
        <f t="shared" si="16"/>
        <v>103</v>
      </c>
      <c r="M268" s="37">
        <f t="shared" si="17"/>
        <v>9.5370370370370363</v>
      </c>
      <c r="N268" s="36">
        <v>1405</v>
      </c>
      <c r="O268" s="36">
        <v>1500</v>
      </c>
      <c r="P268" s="37">
        <f t="shared" si="18"/>
        <v>-95</v>
      </c>
      <c r="Q268" s="37">
        <f t="shared" si="19"/>
        <v>-6.3333333333333339</v>
      </c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 spans="1:27" hidden="1" x14ac:dyDescent="0.35">
      <c r="A269" s="104">
        <v>102104</v>
      </c>
      <c r="B269" s="5" t="s">
        <v>581</v>
      </c>
      <c r="C269" s="46" t="s">
        <v>635</v>
      </c>
      <c r="D269" s="13" t="s">
        <v>389</v>
      </c>
      <c r="E269" s="6" t="s">
        <v>89</v>
      </c>
      <c r="F269" s="6" t="s">
        <v>237</v>
      </c>
      <c r="G269" s="12" t="s">
        <v>345</v>
      </c>
      <c r="H269" s="51" t="s">
        <v>205</v>
      </c>
      <c r="I269" s="24" t="s">
        <v>86</v>
      </c>
      <c r="J269" s="38">
        <v>4261</v>
      </c>
      <c r="K269" s="39">
        <v>3620.5</v>
      </c>
      <c r="L269" s="37">
        <f t="shared" si="16"/>
        <v>640.5</v>
      </c>
      <c r="M269" s="37">
        <f t="shared" si="17"/>
        <v>17.690926667587352</v>
      </c>
      <c r="N269" s="36">
        <v>449</v>
      </c>
      <c r="O269" s="36">
        <v>425.5</v>
      </c>
      <c r="P269" s="37">
        <f t="shared" si="18"/>
        <v>23.5</v>
      </c>
      <c r="Q269" s="37">
        <f t="shared" si="19"/>
        <v>5.5229142185663926</v>
      </c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 spans="1:27" ht="24.5" hidden="1" x14ac:dyDescent="0.35">
      <c r="A270" s="104">
        <v>206615</v>
      </c>
      <c r="B270" s="5" t="s">
        <v>581</v>
      </c>
      <c r="C270" s="46" t="s">
        <v>799</v>
      </c>
      <c r="D270" s="13" t="s">
        <v>800</v>
      </c>
      <c r="E270" s="6" t="s">
        <v>89</v>
      </c>
      <c r="F270" s="6" t="s">
        <v>603</v>
      </c>
      <c r="G270" s="12" t="s">
        <v>906</v>
      </c>
      <c r="H270" s="51" t="s">
        <v>1007</v>
      </c>
      <c r="I270" s="24" t="s">
        <v>86</v>
      </c>
      <c r="J270" s="38">
        <v>2324</v>
      </c>
      <c r="K270" s="39">
        <v>2252</v>
      </c>
      <c r="L270" s="37">
        <f t="shared" si="16"/>
        <v>72</v>
      </c>
      <c r="M270" s="37">
        <f t="shared" si="17"/>
        <v>3.197158081705151</v>
      </c>
      <c r="N270" s="36">
        <v>508</v>
      </c>
      <c r="O270" s="36">
        <v>568</v>
      </c>
      <c r="P270" s="37">
        <f t="shared" si="18"/>
        <v>-60</v>
      </c>
      <c r="Q270" s="37">
        <f t="shared" si="19"/>
        <v>-10.56338028169014</v>
      </c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 spans="1:27" ht="24.5" hidden="1" x14ac:dyDescent="0.35">
      <c r="A271" s="104">
        <v>106353</v>
      </c>
      <c r="B271" s="5" t="s">
        <v>581</v>
      </c>
      <c r="C271" s="46" t="s">
        <v>912</v>
      </c>
      <c r="D271" s="13" t="s">
        <v>913</v>
      </c>
      <c r="E271" s="6" t="s">
        <v>81</v>
      </c>
      <c r="F271" s="6" t="s">
        <v>195</v>
      </c>
      <c r="G271" s="12" t="s">
        <v>195</v>
      </c>
      <c r="H271" s="51" t="s">
        <v>135</v>
      </c>
      <c r="I271" s="24" t="s">
        <v>83</v>
      </c>
      <c r="J271" s="38">
        <v>5832.5</v>
      </c>
      <c r="K271" s="39">
        <v>5511</v>
      </c>
      <c r="L271" s="37">
        <f t="shared" si="16"/>
        <v>321.5</v>
      </c>
      <c r="M271" s="37">
        <f t="shared" si="17"/>
        <v>5.8337869715115227</v>
      </c>
      <c r="N271" s="36">
        <v>733.5</v>
      </c>
      <c r="O271" s="36">
        <v>837</v>
      </c>
      <c r="P271" s="37">
        <f t="shared" si="18"/>
        <v>-103.5</v>
      </c>
      <c r="Q271" s="37">
        <f t="shared" si="19"/>
        <v>-12.365591397849462</v>
      </c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 spans="1:27" ht="36.5" hidden="1" x14ac:dyDescent="0.35">
      <c r="A272" s="104">
        <v>212907</v>
      </c>
      <c r="B272" s="5" t="s">
        <v>581</v>
      </c>
      <c r="C272" s="46" t="s">
        <v>709</v>
      </c>
      <c r="D272" s="13" t="s">
        <v>710</v>
      </c>
      <c r="E272" s="6" t="s">
        <v>200</v>
      </c>
      <c r="F272" s="6" t="s">
        <v>683</v>
      </c>
      <c r="G272" s="12" t="s">
        <v>683</v>
      </c>
      <c r="H272" s="51" t="s">
        <v>120</v>
      </c>
      <c r="I272" s="24" t="s">
        <v>83</v>
      </c>
      <c r="J272" s="38">
        <v>6271</v>
      </c>
      <c r="K272" s="39">
        <v>6027.5</v>
      </c>
      <c r="L272" s="37">
        <f t="shared" si="16"/>
        <v>243.5</v>
      </c>
      <c r="M272" s="37">
        <f t="shared" si="17"/>
        <v>4.0398175031107426</v>
      </c>
      <c r="N272" s="36">
        <v>3196</v>
      </c>
      <c r="O272" s="36">
        <v>2806.5</v>
      </c>
      <c r="P272" s="37">
        <f t="shared" si="18"/>
        <v>389.5</v>
      </c>
      <c r="Q272" s="37">
        <f t="shared" si="19"/>
        <v>13.878496347764118</v>
      </c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 spans="1:27" ht="24.5" hidden="1" x14ac:dyDescent="0.35">
      <c r="A273" s="104">
        <v>107657</v>
      </c>
      <c r="B273" s="5" t="s">
        <v>581</v>
      </c>
      <c r="C273" s="46" t="s">
        <v>823</v>
      </c>
      <c r="D273" s="13" t="s">
        <v>824</v>
      </c>
      <c r="E273" s="6" t="s">
        <v>89</v>
      </c>
      <c r="F273" s="6" t="s">
        <v>538</v>
      </c>
      <c r="G273" s="12" t="s">
        <v>906</v>
      </c>
      <c r="H273" s="51" t="s">
        <v>1007</v>
      </c>
      <c r="I273" s="24" t="s">
        <v>86</v>
      </c>
      <c r="J273" s="38">
        <v>6966.5</v>
      </c>
      <c r="K273" s="39">
        <v>6741</v>
      </c>
      <c r="L273" s="37">
        <f t="shared" si="16"/>
        <v>225.5</v>
      </c>
      <c r="M273" s="37">
        <f t="shared" si="17"/>
        <v>3.3452010087524102</v>
      </c>
      <c r="N273" s="36">
        <v>1219.5</v>
      </c>
      <c r="O273" s="36">
        <v>1411</v>
      </c>
      <c r="P273" s="37">
        <f t="shared" si="18"/>
        <v>-191.5</v>
      </c>
      <c r="Q273" s="37">
        <f t="shared" si="19"/>
        <v>-13.571934798015592</v>
      </c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 spans="1:27" ht="48.5" hidden="1" x14ac:dyDescent="0.35">
      <c r="A274" s="105">
        <v>142929</v>
      </c>
      <c r="B274" s="5" t="s">
        <v>581</v>
      </c>
      <c r="C274" s="46" t="s">
        <v>817</v>
      </c>
      <c r="D274" s="13" t="s">
        <v>818</v>
      </c>
      <c r="E274" s="6" t="s">
        <v>81</v>
      </c>
      <c r="F274" s="6" t="s">
        <v>184</v>
      </c>
      <c r="G274" s="12" t="s">
        <v>184</v>
      </c>
      <c r="H274" s="51" t="s">
        <v>141</v>
      </c>
      <c r="I274" s="24" t="s">
        <v>83</v>
      </c>
      <c r="J274" s="38">
        <v>802</v>
      </c>
      <c r="K274" s="39">
        <v>806</v>
      </c>
      <c r="L274" s="37">
        <f t="shared" si="16"/>
        <v>-4</v>
      </c>
      <c r="M274" s="37">
        <f t="shared" si="17"/>
        <v>-0.49627791563275436</v>
      </c>
      <c r="N274" s="36">
        <v>550</v>
      </c>
      <c r="O274" s="36">
        <v>692</v>
      </c>
      <c r="P274" s="37">
        <f t="shared" si="18"/>
        <v>-142</v>
      </c>
      <c r="Q274" s="37">
        <f t="shared" si="19"/>
        <v>-20.520231213872833</v>
      </c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 spans="1:27" hidden="1" x14ac:dyDescent="0.35">
      <c r="A275" s="104">
        <v>186834</v>
      </c>
      <c r="B275" s="5" t="s">
        <v>581</v>
      </c>
      <c r="C275" s="46" t="s">
        <v>631</v>
      </c>
      <c r="D275" s="13" t="s">
        <v>550</v>
      </c>
      <c r="E275" s="6" t="s">
        <v>85</v>
      </c>
      <c r="F275" s="6" t="s">
        <v>303</v>
      </c>
      <c r="G275" s="12" t="s">
        <v>303</v>
      </c>
      <c r="H275" s="51" t="s">
        <v>304</v>
      </c>
      <c r="I275" s="24" t="s">
        <v>86</v>
      </c>
      <c r="J275" s="38">
        <v>4090</v>
      </c>
      <c r="K275" s="39">
        <v>3840.5</v>
      </c>
      <c r="L275" s="37">
        <f t="shared" si="16"/>
        <v>249.5</v>
      </c>
      <c r="M275" s="37">
        <f t="shared" si="17"/>
        <v>6.4965499283947405</v>
      </c>
      <c r="N275" s="36">
        <v>396</v>
      </c>
      <c r="O275" s="36">
        <v>477.5</v>
      </c>
      <c r="P275" s="37">
        <f t="shared" si="18"/>
        <v>-81.5</v>
      </c>
      <c r="Q275" s="37">
        <f t="shared" si="19"/>
        <v>-17.06806282722513</v>
      </c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 spans="1:27" ht="24.5" hidden="1" x14ac:dyDescent="0.35">
      <c r="A276" s="104">
        <v>231764</v>
      </c>
      <c r="B276" s="5" t="s">
        <v>581</v>
      </c>
      <c r="C276" s="46" t="s">
        <v>694</v>
      </c>
      <c r="D276" s="13" t="s">
        <v>391</v>
      </c>
      <c r="E276" s="6" t="s">
        <v>89</v>
      </c>
      <c r="F276" s="6" t="s">
        <v>395</v>
      </c>
      <c r="G276" s="12" t="s">
        <v>395</v>
      </c>
      <c r="H276" s="51" t="s">
        <v>248</v>
      </c>
      <c r="I276" s="24" t="s">
        <v>86</v>
      </c>
      <c r="J276" s="38">
        <v>2469.5</v>
      </c>
      <c r="K276" s="39">
        <v>2285</v>
      </c>
      <c r="L276" s="37">
        <f t="shared" si="16"/>
        <v>184.5</v>
      </c>
      <c r="M276" s="37">
        <f t="shared" si="17"/>
        <v>8.0743982494529529</v>
      </c>
      <c r="N276" s="36">
        <v>2154.5</v>
      </c>
      <c r="O276" s="36">
        <v>1645</v>
      </c>
      <c r="P276" s="37">
        <f t="shared" si="18"/>
        <v>509.5</v>
      </c>
      <c r="Q276" s="37">
        <f t="shared" si="19"/>
        <v>30.972644376899694</v>
      </c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 spans="1:27" ht="24.5" hidden="1" x14ac:dyDescent="0.35">
      <c r="A277" s="104">
        <v>241496</v>
      </c>
      <c r="B277" s="5" t="s">
        <v>581</v>
      </c>
      <c r="C277" s="46" t="s">
        <v>713</v>
      </c>
      <c r="D277" s="13" t="s">
        <v>714</v>
      </c>
      <c r="E277" s="6" t="s">
        <v>85</v>
      </c>
      <c r="F277" s="6" t="s">
        <v>580</v>
      </c>
      <c r="G277" s="12" t="s">
        <v>580</v>
      </c>
      <c r="H277" s="51" t="s">
        <v>304</v>
      </c>
      <c r="I277" s="24" t="s">
        <v>86</v>
      </c>
      <c r="J277" s="38">
        <v>2550</v>
      </c>
      <c r="K277" s="39">
        <v>2377</v>
      </c>
      <c r="L277" s="37">
        <f t="shared" si="16"/>
        <v>173</v>
      </c>
      <c r="M277" s="37">
        <f t="shared" si="17"/>
        <v>7.2780816154816987</v>
      </c>
      <c r="N277" s="36">
        <v>356</v>
      </c>
      <c r="O277" s="36">
        <v>355</v>
      </c>
      <c r="P277" s="37">
        <f t="shared" si="18"/>
        <v>1</v>
      </c>
      <c r="Q277" s="37">
        <f t="shared" si="19"/>
        <v>0.28169014084507044</v>
      </c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 spans="1:27" ht="24.5" hidden="1" x14ac:dyDescent="0.35">
      <c r="A278" s="104">
        <v>186856</v>
      </c>
      <c r="B278" s="5" t="s">
        <v>581</v>
      </c>
      <c r="C278" s="46" t="s">
        <v>634</v>
      </c>
      <c r="D278" s="13" t="s">
        <v>391</v>
      </c>
      <c r="E278" s="6" t="s">
        <v>89</v>
      </c>
      <c r="F278" s="6" t="s">
        <v>237</v>
      </c>
      <c r="G278" s="12" t="s">
        <v>392</v>
      </c>
      <c r="H278" s="51" t="s">
        <v>1007</v>
      </c>
      <c r="I278" s="24" t="s">
        <v>86</v>
      </c>
      <c r="J278" s="38">
        <v>3736</v>
      </c>
      <c r="K278" s="39">
        <v>3659.5</v>
      </c>
      <c r="L278" s="37">
        <f t="shared" si="16"/>
        <v>76.5</v>
      </c>
      <c r="M278" s="37">
        <f t="shared" si="17"/>
        <v>2.0904495149610605</v>
      </c>
      <c r="N278" s="36">
        <v>1090</v>
      </c>
      <c r="O278" s="36">
        <v>1112.5</v>
      </c>
      <c r="P278" s="37">
        <f t="shared" si="18"/>
        <v>-22.5</v>
      </c>
      <c r="Q278" s="37">
        <f t="shared" si="19"/>
        <v>-2.0224719101123596</v>
      </c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 spans="1:27" ht="24.5" hidden="1" x14ac:dyDescent="0.35">
      <c r="A279" s="104">
        <v>106291</v>
      </c>
      <c r="B279" s="5" t="s">
        <v>581</v>
      </c>
      <c r="C279" s="46" t="s">
        <v>679</v>
      </c>
      <c r="D279" s="13" t="s">
        <v>680</v>
      </c>
      <c r="E279" s="6" t="s">
        <v>89</v>
      </c>
      <c r="F279" s="6" t="s">
        <v>342</v>
      </c>
      <c r="G279" s="12" t="s">
        <v>342</v>
      </c>
      <c r="H279" s="51" t="s">
        <v>205</v>
      </c>
      <c r="I279" s="24" t="s">
        <v>86</v>
      </c>
      <c r="J279" s="38">
        <v>3164.5</v>
      </c>
      <c r="K279" s="39">
        <v>3030</v>
      </c>
      <c r="L279" s="37">
        <f t="shared" si="16"/>
        <v>134.5</v>
      </c>
      <c r="M279" s="37">
        <f t="shared" si="17"/>
        <v>4.438943894389439</v>
      </c>
      <c r="N279" s="36">
        <v>959.5</v>
      </c>
      <c r="O279" s="36">
        <v>896</v>
      </c>
      <c r="P279" s="37">
        <f t="shared" si="18"/>
        <v>63.5</v>
      </c>
      <c r="Q279" s="37">
        <f t="shared" si="19"/>
        <v>7.0870535714285712</v>
      </c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 spans="1:27" ht="48.5" hidden="1" x14ac:dyDescent="0.35">
      <c r="A280" s="104">
        <v>106223</v>
      </c>
      <c r="B280" s="5" t="s">
        <v>581</v>
      </c>
      <c r="C280" s="46" t="s">
        <v>675</v>
      </c>
      <c r="D280" s="13" t="s">
        <v>676</v>
      </c>
      <c r="E280" s="6" t="s">
        <v>75</v>
      </c>
      <c r="F280" s="6" t="s">
        <v>667</v>
      </c>
      <c r="G280" s="12" t="s">
        <v>667</v>
      </c>
      <c r="H280" s="51" t="s">
        <v>77</v>
      </c>
      <c r="I280" s="24" t="s">
        <v>78</v>
      </c>
      <c r="J280" s="38">
        <v>2030</v>
      </c>
      <c r="K280" s="39">
        <v>1910</v>
      </c>
      <c r="L280" s="37">
        <f t="shared" si="16"/>
        <v>120</v>
      </c>
      <c r="M280" s="37">
        <f t="shared" si="17"/>
        <v>6.2827225130890048</v>
      </c>
      <c r="N280" s="36">
        <v>1270</v>
      </c>
      <c r="O280" s="36">
        <v>1240</v>
      </c>
      <c r="P280" s="37">
        <f t="shared" si="18"/>
        <v>30</v>
      </c>
      <c r="Q280" s="37">
        <f t="shared" si="19"/>
        <v>2.4193548387096775</v>
      </c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 spans="1:27" hidden="1" x14ac:dyDescent="0.35">
      <c r="A281" s="104">
        <v>312687</v>
      </c>
      <c r="B281" s="5" t="s">
        <v>581</v>
      </c>
      <c r="C281" s="46" t="s">
        <v>720</v>
      </c>
      <c r="D281" s="13" t="s">
        <v>485</v>
      </c>
      <c r="E281" s="6" t="s">
        <v>103</v>
      </c>
      <c r="F281" s="6" t="s">
        <v>104</v>
      </c>
      <c r="G281" s="12" t="s">
        <v>104</v>
      </c>
      <c r="H281" s="51" t="s">
        <v>105</v>
      </c>
      <c r="I281" s="24" t="s">
        <v>78</v>
      </c>
      <c r="J281" s="38">
        <v>2943.7079999999996</v>
      </c>
      <c r="K281" s="39">
        <v>2821.21</v>
      </c>
      <c r="L281" s="37">
        <f t="shared" si="16"/>
        <v>122.49799999999959</v>
      </c>
      <c r="M281" s="37">
        <f t="shared" si="17"/>
        <v>4.3420376363333322</v>
      </c>
      <c r="N281" s="36">
        <v>1185.2109999999998</v>
      </c>
      <c r="O281" s="36">
        <v>1529.8989999999999</v>
      </c>
      <c r="P281" s="37">
        <f t="shared" si="18"/>
        <v>-344.6880000000001</v>
      </c>
      <c r="Q281" s="37">
        <f t="shared" si="19"/>
        <v>-22.530114733064085</v>
      </c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 spans="1:27" ht="36.5" hidden="1" x14ac:dyDescent="0.35">
      <c r="A282" s="104">
        <v>252146</v>
      </c>
      <c r="B282" s="5" t="s">
        <v>581</v>
      </c>
      <c r="C282" s="46" t="s">
        <v>690</v>
      </c>
      <c r="D282" s="13" t="s">
        <v>659</v>
      </c>
      <c r="E282" s="6" t="s">
        <v>103</v>
      </c>
      <c r="F282" s="6" t="s">
        <v>208</v>
      </c>
      <c r="G282" s="12" t="s">
        <v>208</v>
      </c>
      <c r="H282" s="51" t="s">
        <v>105</v>
      </c>
      <c r="I282" s="24" t="s">
        <v>83</v>
      </c>
      <c r="J282" s="38">
        <v>586</v>
      </c>
      <c r="K282" s="39">
        <v>524</v>
      </c>
      <c r="L282" s="37">
        <f t="shared" si="16"/>
        <v>62</v>
      </c>
      <c r="M282" s="37">
        <f t="shared" si="17"/>
        <v>11.83206106870229</v>
      </c>
      <c r="N282" s="36">
        <v>181.5</v>
      </c>
      <c r="O282" s="36">
        <v>201.5</v>
      </c>
      <c r="P282" s="37">
        <f t="shared" si="18"/>
        <v>-20</v>
      </c>
      <c r="Q282" s="37">
        <f t="shared" si="19"/>
        <v>-9.9255583126550881</v>
      </c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 spans="1:27" ht="24.5" hidden="1" x14ac:dyDescent="0.35">
      <c r="A283" s="104">
        <v>106269</v>
      </c>
      <c r="B283" s="5" t="s">
        <v>581</v>
      </c>
      <c r="C283" s="46" t="s">
        <v>766</v>
      </c>
      <c r="D283" s="13" t="s">
        <v>767</v>
      </c>
      <c r="E283" s="6" t="s">
        <v>81</v>
      </c>
      <c r="F283" s="6" t="s">
        <v>195</v>
      </c>
      <c r="G283" s="12" t="s">
        <v>195</v>
      </c>
      <c r="H283" s="51" t="s">
        <v>135</v>
      </c>
      <c r="I283" s="24" t="s">
        <v>83</v>
      </c>
      <c r="J283" s="38">
        <v>6842</v>
      </c>
      <c r="K283" s="39">
        <v>6553.5</v>
      </c>
      <c r="L283" s="37">
        <f t="shared" si="16"/>
        <v>288.5</v>
      </c>
      <c r="M283" s="37">
        <f t="shared" si="17"/>
        <v>4.402227817196918</v>
      </c>
      <c r="N283" s="36">
        <v>1720</v>
      </c>
      <c r="O283" s="36">
        <v>1824.5</v>
      </c>
      <c r="P283" s="37">
        <f t="shared" si="18"/>
        <v>-104.5</v>
      </c>
      <c r="Q283" s="37">
        <f t="shared" si="19"/>
        <v>-5.727596601808715</v>
      </c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 spans="1:27" ht="24.5" hidden="1" x14ac:dyDescent="0.35">
      <c r="A284" s="104">
        <v>106326</v>
      </c>
      <c r="B284" s="5" t="s">
        <v>581</v>
      </c>
      <c r="C284" s="46" t="s">
        <v>860</v>
      </c>
      <c r="D284" s="13" t="s">
        <v>861</v>
      </c>
      <c r="E284" s="6" t="s">
        <v>103</v>
      </c>
      <c r="F284" s="6" t="s">
        <v>211</v>
      </c>
      <c r="G284" s="12" t="s">
        <v>211</v>
      </c>
      <c r="H284" s="51" t="s">
        <v>135</v>
      </c>
      <c r="I284" s="24" t="s">
        <v>83</v>
      </c>
      <c r="J284" s="38">
        <v>4142.5</v>
      </c>
      <c r="K284" s="39">
        <v>3656</v>
      </c>
      <c r="L284" s="37">
        <f t="shared" si="16"/>
        <v>486.5</v>
      </c>
      <c r="M284" s="37">
        <f t="shared" si="17"/>
        <v>13.306892778993435</v>
      </c>
      <c r="N284" s="36">
        <v>2727.5</v>
      </c>
      <c r="O284" s="36">
        <v>2724</v>
      </c>
      <c r="P284" s="37">
        <f t="shared" si="18"/>
        <v>3.5</v>
      </c>
      <c r="Q284" s="37">
        <f t="shared" si="19"/>
        <v>0.12848751835535976</v>
      </c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 spans="1:27" ht="24.5" hidden="1" x14ac:dyDescent="0.35">
      <c r="A285" s="104">
        <v>186851</v>
      </c>
      <c r="B285" s="5" t="s">
        <v>581</v>
      </c>
      <c r="C285" s="46" t="s">
        <v>885</v>
      </c>
      <c r="D285" s="13" t="s">
        <v>886</v>
      </c>
      <c r="E285" s="6" t="s">
        <v>85</v>
      </c>
      <c r="F285" s="6" t="s">
        <v>192</v>
      </c>
      <c r="G285" s="12" t="s">
        <v>192</v>
      </c>
      <c r="H285" s="51" t="s">
        <v>178</v>
      </c>
      <c r="I285" s="24" t="s">
        <v>86</v>
      </c>
      <c r="J285" s="38">
        <v>737</v>
      </c>
      <c r="K285" s="39">
        <v>680</v>
      </c>
      <c r="L285" s="37">
        <f t="shared" si="16"/>
        <v>57</v>
      </c>
      <c r="M285" s="37">
        <f t="shared" si="17"/>
        <v>8.3823529411764692</v>
      </c>
      <c r="N285" s="36">
        <v>541</v>
      </c>
      <c r="O285" s="36">
        <v>520</v>
      </c>
      <c r="P285" s="37">
        <f t="shared" si="18"/>
        <v>21</v>
      </c>
      <c r="Q285" s="37">
        <f t="shared" si="19"/>
        <v>4.0384615384615383</v>
      </c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 spans="1:27" ht="24.5" hidden="1" x14ac:dyDescent="0.35">
      <c r="A286" s="104">
        <v>106296</v>
      </c>
      <c r="B286" s="5" t="s">
        <v>581</v>
      </c>
      <c r="C286" s="46" t="s">
        <v>821</v>
      </c>
      <c r="D286" s="13" t="s">
        <v>822</v>
      </c>
      <c r="E286" s="6" t="s">
        <v>169</v>
      </c>
      <c r="F286" s="6" t="s">
        <v>100</v>
      </c>
      <c r="G286" s="12" t="s">
        <v>100</v>
      </c>
      <c r="H286" s="51" t="s">
        <v>77</v>
      </c>
      <c r="I286" s="24" t="s">
        <v>78</v>
      </c>
      <c r="J286" s="38">
        <v>3046</v>
      </c>
      <c r="K286" s="39">
        <v>2832.5</v>
      </c>
      <c r="L286" s="37">
        <f t="shared" si="16"/>
        <v>213.5</v>
      </c>
      <c r="M286" s="37">
        <f t="shared" si="17"/>
        <v>7.5375110326566643</v>
      </c>
      <c r="N286" s="36">
        <v>364</v>
      </c>
      <c r="O286" s="36">
        <v>339.5</v>
      </c>
      <c r="P286" s="37">
        <f t="shared" si="18"/>
        <v>24.5</v>
      </c>
      <c r="Q286" s="37">
        <f t="shared" si="19"/>
        <v>7.216494845360824</v>
      </c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 spans="1:27" ht="36.5" hidden="1" x14ac:dyDescent="0.35">
      <c r="A287" s="104">
        <v>186840</v>
      </c>
      <c r="B287" s="5" t="s">
        <v>581</v>
      </c>
      <c r="C287" s="46" t="s">
        <v>830</v>
      </c>
      <c r="D287" s="13" t="s">
        <v>682</v>
      </c>
      <c r="E287" s="6" t="s">
        <v>200</v>
      </c>
      <c r="F287" s="6" t="s">
        <v>683</v>
      </c>
      <c r="G287" s="12" t="s">
        <v>683</v>
      </c>
      <c r="H287" s="51" t="s">
        <v>248</v>
      </c>
      <c r="I287" s="24" t="s">
        <v>83</v>
      </c>
      <c r="J287" s="38">
        <v>4900</v>
      </c>
      <c r="K287" s="39">
        <v>4701</v>
      </c>
      <c r="L287" s="37">
        <f t="shared" si="16"/>
        <v>199</v>
      </c>
      <c r="M287" s="37">
        <f t="shared" si="17"/>
        <v>4.2331418847053817</v>
      </c>
      <c r="N287" s="36">
        <v>840</v>
      </c>
      <c r="O287" s="36">
        <v>957</v>
      </c>
      <c r="P287" s="37">
        <f t="shared" si="18"/>
        <v>-117</v>
      </c>
      <c r="Q287" s="37">
        <f t="shared" si="19"/>
        <v>-12.225705329153605</v>
      </c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 spans="1:27" hidden="1" x14ac:dyDescent="0.35">
      <c r="A288" s="104">
        <v>254645</v>
      </c>
      <c r="B288" s="5" t="s">
        <v>581</v>
      </c>
      <c r="C288" s="46" t="s">
        <v>621</v>
      </c>
      <c r="D288" s="13" t="s">
        <v>622</v>
      </c>
      <c r="E288" s="6" t="s">
        <v>85</v>
      </c>
      <c r="F288" s="6" t="s">
        <v>177</v>
      </c>
      <c r="G288" s="12" t="s">
        <v>177</v>
      </c>
      <c r="H288" s="51" t="s">
        <v>178</v>
      </c>
      <c r="I288" s="24" t="s">
        <v>86</v>
      </c>
      <c r="J288" s="38">
        <v>722</v>
      </c>
      <c r="K288" s="39">
        <v>673.5</v>
      </c>
      <c r="L288" s="37">
        <f t="shared" si="16"/>
        <v>48.5</v>
      </c>
      <c r="M288" s="37">
        <f t="shared" si="17"/>
        <v>7.2011878247958432</v>
      </c>
      <c r="N288" s="36">
        <v>2310</v>
      </c>
      <c r="O288" s="36">
        <v>2546.5</v>
      </c>
      <c r="P288" s="37">
        <f t="shared" si="18"/>
        <v>-236.5</v>
      </c>
      <c r="Q288" s="37">
        <f t="shared" si="19"/>
        <v>-9.2872570194384458</v>
      </c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 spans="1:27" ht="24.5" hidden="1" x14ac:dyDescent="0.35">
      <c r="A289" s="104">
        <v>106276</v>
      </c>
      <c r="B289" s="5" t="s">
        <v>581</v>
      </c>
      <c r="C289" s="46" t="s">
        <v>783</v>
      </c>
      <c r="D289" s="13" t="s">
        <v>784</v>
      </c>
      <c r="E289" s="6" t="s">
        <v>111</v>
      </c>
      <c r="F289" s="6" t="s">
        <v>112</v>
      </c>
      <c r="G289" s="12" t="s">
        <v>112</v>
      </c>
      <c r="H289" s="51" t="s">
        <v>113</v>
      </c>
      <c r="I289" s="24" t="s">
        <v>78</v>
      </c>
      <c r="J289" s="38">
        <v>4878</v>
      </c>
      <c r="K289" s="39">
        <v>4824.5</v>
      </c>
      <c r="L289" s="37">
        <f t="shared" si="16"/>
        <v>53.5</v>
      </c>
      <c r="M289" s="37">
        <f t="shared" si="17"/>
        <v>1.108923204477148</v>
      </c>
      <c r="N289" s="36">
        <v>1060</v>
      </c>
      <c r="O289" s="36">
        <v>1256</v>
      </c>
      <c r="P289" s="37">
        <f t="shared" si="18"/>
        <v>-196</v>
      </c>
      <c r="Q289" s="37">
        <f t="shared" si="19"/>
        <v>-15.605095541401273</v>
      </c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 spans="1:27" ht="24.5" hidden="1" x14ac:dyDescent="0.35">
      <c r="A290" s="104">
        <v>106333</v>
      </c>
      <c r="B290" s="5" t="s">
        <v>581</v>
      </c>
      <c r="C290" s="46" t="s">
        <v>604</v>
      </c>
      <c r="D290" s="13" t="s">
        <v>605</v>
      </c>
      <c r="E290" s="6" t="s">
        <v>85</v>
      </c>
      <c r="F290" s="6" t="s">
        <v>337</v>
      </c>
      <c r="G290" s="12" t="s">
        <v>337</v>
      </c>
      <c r="H290" s="51" t="s">
        <v>248</v>
      </c>
      <c r="I290" s="24" t="s">
        <v>86</v>
      </c>
      <c r="J290" s="38">
        <v>4650</v>
      </c>
      <c r="K290" s="39">
        <v>4388</v>
      </c>
      <c r="L290" s="37">
        <f t="shared" si="16"/>
        <v>262</v>
      </c>
      <c r="M290" s="37">
        <f t="shared" si="17"/>
        <v>5.9708295350957155</v>
      </c>
      <c r="N290" s="36">
        <v>816</v>
      </c>
      <c r="O290" s="36">
        <v>956</v>
      </c>
      <c r="P290" s="37">
        <f t="shared" si="18"/>
        <v>-140</v>
      </c>
      <c r="Q290" s="37">
        <f t="shared" si="19"/>
        <v>-14.644351464435147</v>
      </c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 spans="1:27" hidden="1" x14ac:dyDescent="0.35">
      <c r="A291" s="104">
        <v>185484</v>
      </c>
      <c r="B291" s="5" t="s">
        <v>581</v>
      </c>
      <c r="C291" s="46" t="s">
        <v>614</v>
      </c>
      <c r="D291" s="13" t="s">
        <v>615</v>
      </c>
      <c r="E291" s="6" t="s">
        <v>89</v>
      </c>
      <c r="F291" s="6" t="s">
        <v>345</v>
      </c>
      <c r="G291" s="12" t="s">
        <v>345</v>
      </c>
      <c r="H291" s="51" t="s">
        <v>205</v>
      </c>
      <c r="I291" s="24" t="s">
        <v>86</v>
      </c>
      <c r="J291" s="38">
        <v>1966.5</v>
      </c>
      <c r="K291" s="39">
        <v>1818</v>
      </c>
      <c r="L291" s="37">
        <f t="shared" si="16"/>
        <v>148.5</v>
      </c>
      <c r="M291" s="37">
        <f t="shared" si="17"/>
        <v>8.1683168316831694</v>
      </c>
      <c r="N291" s="36">
        <v>219.5</v>
      </c>
      <c r="O291" s="36">
        <v>246</v>
      </c>
      <c r="P291" s="37">
        <f t="shared" si="18"/>
        <v>-26.5</v>
      </c>
      <c r="Q291" s="37">
        <f t="shared" si="19"/>
        <v>-10.772357723577237</v>
      </c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 spans="1:27" ht="24.5" hidden="1" x14ac:dyDescent="0.35">
      <c r="A292" s="104">
        <v>102119</v>
      </c>
      <c r="B292" s="5" t="s">
        <v>581</v>
      </c>
      <c r="C292" s="46" t="s">
        <v>638</v>
      </c>
      <c r="D292" s="13" t="s">
        <v>639</v>
      </c>
      <c r="E292" s="6" t="s">
        <v>187</v>
      </c>
      <c r="F292" s="6" t="s">
        <v>395</v>
      </c>
      <c r="G292" s="12" t="s">
        <v>395</v>
      </c>
      <c r="H292" s="51" t="s">
        <v>248</v>
      </c>
      <c r="I292" s="24" t="s">
        <v>86</v>
      </c>
      <c r="J292" s="38">
        <v>7495.5</v>
      </c>
      <c r="K292" s="39">
        <v>7057</v>
      </c>
      <c r="L292" s="37">
        <f t="shared" si="16"/>
        <v>438.5</v>
      </c>
      <c r="M292" s="37">
        <f t="shared" si="17"/>
        <v>6.2136885362051864</v>
      </c>
      <c r="N292" s="36">
        <v>5736.5</v>
      </c>
      <c r="O292" s="36">
        <v>5761</v>
      </c>
      <c r="P292" s="37">
        <f t="shared" si="18"/>
        <v>-24.5</v>
      </c>
      <c r="Q292" s="37">
        <f t="shared" si="19"/>
        <v>-0.42527339003645198</v>
      </c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 spans="1:27" ht="24.5" hidden="1" x14ac:dyDescent="0.35">
      <c r="A293" s="104">
        <v>102120</v>
      </c>
      <c r="B293" s="5" t="s">
        <v>581</v>
      </c>
      <c r="C293" s="46" t="s">
        <v>929</v>
      </c>
      <c r="D293" s="13" t="s">
        <v>930</v>
      </c>
      <c r="E293" s="6" t="s">
        <v>200</v>
      </c>
      <c r="F293" s="6" t="s">
        <v>223</v>
      </c>
      <c r="G293" s="12" t="s">
        <v>223</v>
      </c>
      <c r="H293" s="51" t="s">
        <v>172</v>
      </c>
      <c r="I293" s="24" t="s">
        <v>83</v>
      </c>
      <c r="J293" s="38">
        <v>4259</v>
      </c>
      <c r="K293" s="39">
        <v>3789</v>
      </c>
      <c r="L293" s="37">
        <f t="shared" si="16"/>
        <v>470</v>
      </c>
      <c r="M293" s="37">
        <f t="shared" si="17"/>
        <v>12.40432831881763</v>
      </c>
      <c r="N293" s="36">
        <v>685</v>
      </c>
      <c r="O293" s="36">
        <v>855</v>
      </c>
      <c r="P293" s="37">
        <f t="shared" si="18"/>
        <v>-170</v>
      </c>
      <c r="Q293" s="37">
        <f t="shared" si="19"/>
        <v>-19.883040935672515</v>
      </c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 spans="1:27" ht="24.5" hidden="1" x14ac:dyDescent="0.35">
      <c r="A294" s="104">
        <v>106231</v>
      </c>
      <c r="B294" s="5" t="s">
        <v>581</v>
      </c>
      <c r="C294" s="46" t="s">
        <v>684</v>
      </c>
      <c r="D294" s="13" t="s">
        <v>685</v>
      </c>
      <c r="E294" s="6" t="s">
        <v>111</v>
      </c>
      <c r="F294" s="6" t="s">
        <v>112</v>
      </c>
      <c r="G294" s="12" t="s">
        <v>112</v>
      </c>
      <c r="H294" s="51" t="s">
        <v>113</v>
      </c>
      <c r="I294" s="24" t="s">
        <v>78</v>
      </c>
      <c r="J294" s="38">
        <v>3130</v>
      </c>
      <c r="K294" s="39">
        <v>3082.5</v>
      </c>
      <c r="L294" s="37">
        <f t="shared" si="16"/>
        <v>47.5</v>
      </c>
      <c r="M294" s="37">
        <f t="shared" si="17"/>
        <v>1.5409570154095702</v>
      </c>
      <c r="N294" s="36">
        <v>1782</v>
      </c>
      <c r="O294" s="36">
        <v>2011.5</v>
      </c>
      <c r="P294" s="37">
        <f t="shared" si="18"/>
        <v>-229.5</v>
      </c>
      <c r="Q294" s="37">
        <f t="shared" si="19"/>
        <v>-11.409395973154362</v>
      </c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 spans="1:27" ht="24.5" hidden="1" x14ac:dyDescent="0.35">
      <c r="A295" s="104">
        <v>106364</v>
      </c>
      <c r="B295" s="5" t="s">
        <v>581</v>
      </c>
      <c r="C295" s="46" t="s">
        <v>936</v>
      </c>
      <c r="D295" s="13" t="s">
        <v>937</v>
      </c>
      <c r="E295" s="6" t="s">
        <v>81</v>
      </c>
      <c r="F295" s="6" t="s">
        <v>195</v>
      </c>
      <c r="G295" s="12" t="s">
        <v>195</v>
      </c>
      <c r="H295" s="51" t="s">
        <v>135</v>
      </c>
      <c r="I295" s="24" t="s">
        <v>83</v>
      </c>
      <c r="J295" s="38">
        <v>4922.5</v>
      </c>
      <c r="K295" s="39">
        <v>4742</v>
      </c>
      <c r="L295" s="37">
        <f t="shared" si="16"/>
        <v>180.5</v>
      </c>
      <c r="M295" s="37">
        <f t="shared" si="17"/>
        <v>3.806410797132012</v>
      </c>
      <c r="N295" s="36">
        <v>609.5</v>
      </c>
      <c r="O295" s="36">
        <v>684</v>
      </c>
      <c r="P295" s="37">
        <f t="shared" si="18"/>
        <v>-74.5</v>
      </c>
      <c r="Q295" s="37">
        <f t="shared" si="19"/>
        <v>-10.891812865497077</v>
      </c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 spans="1:27" ht="24.5" hidden="1" x14ac:dyDescent="0.35">
      <c r="A296" s="104">
        <v>106344</v>
      </c>
      <c r="B296" s="5" t="s">
        <v>581</v>
      </c>
      <c r="C296" s="46" t="s">
        <v>686</v>
      </c>
      <c r="D296" s="13" t="s">
        <v>687</v>
      </c>
      <c r="E296" s="6" t="s">
        <v>89</v>
      </c>
      <c r="F296" s="6" t="s">
        <v>538</v>
      </c>
      <c r="G296" s="12" t="s">
        <v>345</v>
      </c>
      <c r="H296" s="51" t="s">
        <v>205</v>
      </c>
      <c r="I296" s="24" t="s">
        <v>86</v>
      </c>
      <c r="J296" s="38">
        <v>9021.5</v>
      </c>
      <c r="K296" s="39">
        <v>8542.5</v>
      </c>
      <c r="L296" s="37">
        <f t="shared" si="16"/>
        <v>479</v>
      </c>
      <c r="M296" s="37">
        <f t="shared" si="17"/>
        <v>5.6072578285045358</v>
      </c>
      <c r="N296" s="36">
        <v>1872.5</v>
      </c>
      <c r="O296" s="36">
        <v>1929.5</v>
      </c>
      <c r="P296" s="37">
        <f t="shared" si="18"/>
        <v>-57</v>
      </c>
      <c r="Q296" s="37">
        <f t="shared" si="19"/>
        <v>-2.9541331951282714</v>
      </c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 spans="1:27" ht="24.5" hidden="1" x14ac:dyDescent="0.35">
      <c r="A297" s="104">
        <v>106246</v>
      </c>
      <c r="B297" s="5" t="s">
        <v>581</v>
      </c>
      <c r="C297" s="46" t="s">
        <v>582</v>
      </c>
      <c r="D297" s="13" t="s">
        <v>583</v>
      </c>
      <c r="E297" s="6" t="s">
        <v>103</v>
      </c>
      <c r="F297" s="6" t="s">
        <v>211</v>
      </c>
      <c r="G297" s="12" t="s">
        <v>211</v>
      </c>
      <c r="H297" s="51" t="s">
        <v>135</v>
      </c>
      <c r="I297" s="24" t="s">
        <v>83</v>
      </c>
      <c r="J297" s="38">
        <v>0</v>
      </c>
      <c r="K297" s="39">
        <v>0</v>
      </c>
      <c r="L297" s="37">
        <f t="shared" si="16"/>
        <v>0</v>
      </c>
      <c r="M297" s="37" t="e">
        <f t="shared" si="17"/>
        <v>#DIV/0!</v>
      </c>
      <c r="N297" s="36">
        <v>101</v>
      </c>
      <c r="O297" s="36">
        <v>34.5</v>
      </c>
      <c r="P297" s="37">
        <f t="shared" si="18"/>
        <v>66.5</v>
      </c>
      <c r="Q297" s="37">
        <f t="shared" si="19"/>
        <v>192.75362318840578</v>
      </c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 spans="1:27" ht="24.5" hidden="1" x14ac:dyDescent="0.35">
      <c r="A298" s="104">
        <v>172351</v>
      </c>
      <c r="B298" s="5" t="s">
        <v>581</v>
      </c>
      <c r="C298" s="46" t="s">
        <v>584</v>
      </c>
      <c r="D298" s="13" t="s">
        <v>585</v>
      </c>
      <c r="E298" s="6" t="s">
        <v>85</v>
      </c>
      <c r="F298" s="6" t="s">
        <v>177</v>
      </c>
      <c r="G298" s="12" t="s">
        <v>177</v>
      </c>
      <c r="H298" s="51" t="s">
        <v>178</v>
      </c>
      <c r="I298" s="24" t="s">
        <v>86</v>
      </c>
      <c r="J298" s="38">
        <v>0</v>
      </c>
      <c r="K298" s="39">
        <v>0</v>
      </c>
      <c r="L298" s="37">
        <f t="shared" si="16"/>
        <v>0</v>
      </c>
      <c r="M298" s="37" t="e">
        <f t="shared" si="17"/>
        <v>#DIV/0!</v>
      </c>
      <c r="N298" s="36">
        <v>74</v>
      </c>
      <c r="O298" s="36">
        <v>184</v>
      </c>
      <c r="P298" s="37">
        <f t="shared" si="18"/>
        <v>-110</v>
      </c>
      <c r="Q298" s="37">
        <f t="shared" si="19"/>
        <v>-59.782608695652172</v>
      </c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 spans="1:27" ht="24.5" hidden="1" x14ac:dyDescent="0.35">
      <c r="A299" s="104">
        <v>308771</v>
      </c>
      <c r="B299" s="5" t="s">
        <v>581</v>
      </c>
      <c r="C299" s="46" t="s">
        <v>618</v>
      </c>
      <c r="D299" s="13" t="s">
        <v>619</v>
      </c>
      <c r="E299" s="6" t="s">
        <v>187</v>
      </c>
      <c r="F299" s="6" t="s">
        <v>315</v>
      </c>
      <c r="G299" s="12" t="s">
        <v>620</v>
      </c>
      <c r="H299" s="51" t="s">
        <v>178</v>
      </c>
      <c r="I299" s="24" t="s">
        <v>86</v>
      </c>
      <c r="J299" s="38">
        <v>5308.1929999999993</v>
      </c>
      <c r="K299" s="39">
        <v>5040.3559999999998</v>
      </c>
      <c r="L299" s="37">
        <f t="shared" si="16"/>
        <v>267.83699999999953</v>
      </c>
      <c r="M299" s="37">
        <f t="shared" si="17"/>
        <v>5.3138508470433345</v>
      </c>
      <c r="N299" s="36">
        <v>840.82700000000011</v>
      </c>
      <c r="O299" s="36">
        <v>845.46599999999989</v>
      </c>
      <c r="P299" s="37">
        <f t="shared" si="18"/>
        <v>-4.6389999999997826</v>
      </c>
      <c r="Q299" s="37">
        <f t="shared" si="19"/>
        <v>-0.54869149084644242</v>
      </c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 spans="1:27" ht="24.5" hidden="1" x14ac:dyDescent="0.35">
      <c r="A300" s="104">
        <v>102100</v>
      </c>
      <c r="B300" s="5" t="s">
        <v>581</v>
      </c>
      <c r="C300" s="46" t="s">
        <v>343</v>
      </c>
      <c r="D300" s="13" t="s">
        <v>642</v>
      </c>
      <c r="E300" s="6" t="s">
        <v>187</v>
      </c>
      <c r="F300" s="6" t="s">
        <v>356</v>
      </c>
      <c r="G300" s="12" t="s">
        <v>643</v>
      </c>
      <c r="H300" s="51" t="s">
        <v>189</v>
      </c>
      <c r="I300" s="24" t="s">
        <v>86</v>
      </c>
      <c r="J300" s="38">
        <v>4106.5</v>
      </c>
      <c r="K300" s="39">
        <v>3914</v>
      </c>
      <c r="L300" s="37">
        <f t="shared" si="16"/>
        <v>192.5</v>
      </c>
      <c r="M300" s="37">
        <f t="shared" si="17"/>
        <v>4.9182422074603984</v>
      </c>
      <c r="N300" s="36">
        <v>1029.5</v>
      </c>
      <c r="O300" s="36">
        <v>734</v>
      </c>
      <c r="P300" s="37">
        <f t="shared" si="18"/>
        <v>295.5</v>
      </c>
      <c r="Q300" s="37">
        <f t="shared" si="19"/>
        <v>40.258855585831057</v>
      </c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 spans="1:27" ht="24.5" hidden="1" x14ac:dyDescent="0.35">
      <c r="A301" s="104">
        <v>102076</v>
      </c>
      <c r="B301" s="5" t="s">
        <v>581</v>
      </c>
      <c r="C301" s="46" t="s">
        <v>648</v>
      </c>
      <c r="D301" s="13" t="s">
        <v>649</v>
      </c>
      <c r="E301" s="6" t="s">
        <v>89</v>
      </c>
      <c r="F301" s="6" t="s">
        <v>310</v>
      </c>
      <c r="G301" s="12" t="s">
        <v>650</v>
      </c>
      <c r="H301" s="51" t="s">
        <v>205</v>
      </c>
      <c r="I301" s="24" t="s">
        <v>86</v>
      </c>
      <c r="J301" s="38">
        <v>4597.5</v>
      </c>
      <c r="K301" s="39">
        <v>4540</v>
      </c>
      <c r="L301" s="37">
        <f t="shared" si="16"/>
        <v>57.5</v>
      </c>
      <c r="M301" s="37">
        <f t="shared" si="17"/>
        <v>1.2665198237885462</v>
      </c>
      <c r="N301" s="36">
        <v>900.5</v>
      </c>
      <c r="O301" s="36">
        <v>1082</v>
      </c>
      <c r="P301" s="37">
        <f t="shared" si="18"/>
        <v>-181.5</v>
      </c>
      <c r="Q301" s="37">
        <f t="shared" si="19"/>
        <v>-16.774491682070241</v>
      </c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 spans="1:27" ht="24.5" hidden="1" x14ac:dyDescent="0.35">
      <c r="A302" s="104">
        <v>106259</v>
      </c>
      <c r="B302" s="5" t="s">
        <v>581</v>
      </c>
      <c r="C302" s="46" t="s">
        <v>688</v>
      </c>
      <c r="D302" s="13" t="s">
        <v>689</v>
      </c>
      <c r="E302" s="6" t="s">
        <v>89</v>
      </c>
      <c r="F302" s="6" t="s">
        <v>342</v>
      </c>
      <c r="G302" s="12" t="s">
        <v>538</v>
      </c>
      <c r="H302" s="51" t="s">
        <v>120</v>
      </c>
      <c r="I302" s="24" t="s">
        <v>86</v>
      </c>
      <c r="J302" s="38">
        <v>2321</v>
      </c>
      <c r="K302" s="39">
        <v>2379.5</v>
      </c>
      <c r="L302" s="37">
        <f t="shared" si="16"/>
        <v>-58.5</v>
      </c>
      <c r="M302" s="37">
        <f t="shared" si="17"/>
        <v>-2.458499684807733</v>
      </c>
      <c r="N302" s="36">
        <v>369</v>
      </c>
      <c r="O302" s="36">
        <v>510.5</v>
      </c>
      <c r="P302" s="37">
        <f t="shared" si="18"/>
        <v>-141.5</v>
      </c>
      <c r="Q302" s="37">
        <f t="shared" si="19"/>
        <v>-27.717923604309501</v>
      </c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 spans="1:27" ht="48.5" hidden="1" x14ac:dyDescent="0.35">
      <c r="A303" s="104">
        <v>190056</v>
      </c>
      <c r="B303" s="5" t="s">
        <v>581</v>
      </c>
      <c r="C303" s="46" t="s">
        <v>691</v>
      </c>
      <c r="D303" s="13" t="s">
        <v>692</v>
      </c>
      <c r="E303" s="6" t="s">
        <v>81</v>
      </c>
      <c r="F303" s="6" t="s">
        <v>693</v>
      </c>
      <c r="G303" s="12" t="s">
        <v>693</v>
      </c>
      <c r="H303" s="51" t="s">
        <v>135</v>
      </c>
      <c r="I303" s="24" t="s">
        <v>83</v>
      </c>
      <c r="J303" s="38">
        <v>1956</v>
      </c>
      <c r="K303" s="39">
        <v>1993</v>
      </c>
      <c r="L303" s="37">
        <f t="shared" si="16"/>
        <v>-37</v>
      </c>
      <c r="M303" s="37">
        <f t="shared" si="17"/>
        <v>-1.8564977420973405</v>
      </c>
      <c r="N303" s="36">
        <v>572</v>
      </c>
      <c r="O303" s="36">
        <v>765</v>
      </c>
      <c r="P303" s="37">
        <f t="shared" si="18"/>
        <v>-193</v>
      </c>
      <c r="Q303" s="37">
        <f t="shared" si="19"/>
        <v>-25.22875816993464</v>
      </c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 spans="1:27" ht="36.5" hidden="1" x14ac:dyDescent="0.35">
      <c r="A304" s="104">
        <v>106250</v>
      </c>
      <c r="B304" s="5" t="s">
        <v>581</v>
      </c>
      <c r="C304" s="46" t="s">
        <v>734</v>
      </c>
      <c r="D304" s="13" t="s">
        <v>735</v>
      </c>
      <c r="E304" s="6" t="s">
        <v>81</v>
      </c>
      <c r="F304" s="6" t="s">
        <v>736</v>
      </c>
      <c r="G304" s="12" t="s">
        <v>736</v>
      </c>
      <c r="H304" s="51" t="s">
        <v>141</v>
      </c>
      <c r="I304" s="24" t="s">
        <v>83</v>
      </c>
      <c r="J304" s="38">
        <v>741.5</v>
      </c>
      <c r="K304" s="39">
        <v>678.5</v>
      </c>
      <c r="L304" s="37">
        <f t="shared" si="16"/>
        <v>63</v>
      </c>
      <c r="M304" s="37">
        <f t="shared" si="17"/>
        <v>9.2851879145173175</v>
      </c>
      <c r="N304" s="36">
        <v>594.5</v>
      </c>
      <c r="O304" s="36">
        <v>567.5</v>
      </c>
      <c r="P304" s="37">
        <f t="shared" si="18"/>
        <v>27</v>
      </c>
      <c r="Q304" s="37">
        <f t="shared" si="19"/>
        <v>4.7577092511013221</v>
      </c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 spans="1:27" ht="48.5" hidden="1" x14ac:dyDescent="0.35">
      <c r="A305" s="104">
        <v>106270</v>
      </c>
      <c r="B305" s="5" t="s">
        <v>581</v>
      </c>
      <c r="C305" s="46" t="s">
        <v>768</v>
      </c>
      <c r="D305" s="13" t="s">
        <v>769</v>
      </c>
      <c r="E305" s="6" t="s">
        <v>75</v>
      </c>
      <c r="F305" s="6" t="s">
        <v>770</v>
      </c>
      <c r="G305" s="12" t="s">
        <v>770</v>
      </c>
      <c r="H305" s="51" t="s">
        <v>77</v>
      </c>
      <c r="I305" s="24" t="s">
        <v>78</v>
      </c>
      <c r="J305" s="38">
        <v>9009.5</v>
      </c>
      <c r="K305" s="39">
        <v>8789</v>
      </c>
      <c r="L305" s="37">
        <f t="shared" si="16"/>
        <v>220.5</v>
      </c>
      <c r="M305" s="37">
        <f t="shared" si="17"/>
        <v>2.5088178404824211</v>
      </c>
      <c r="N305" s="36">
        <v>1974.5</v>
      </c>
      <c r="O305" s="36">
        <v>2177</v>
      </c>
      <c r="P305" s="37">
        <f t="shared" si="18"/>
        <v>-202.5</v>
      </c>
      <c r="Q305" s="37">
        <f t="shared" si="19"/>
        <v>-9.3017914561322925</v>
      </c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 spans="1:27" ht="24.5" hidden="1" x14ac:dyDescent="0.35">
      <c r="A306" s="104">
        <v>106280</v>
      </c>
      <c r="B306" s="5" t="s">
        <v>581</v>
      </c>
      <c r="C306" s="46" t="s">
        <v>786</v>
      </c>
      <c r="D306" s="13" t="s">
        <v>787</v>
      </c>
      <c r="E306" s="6" t="s">
        <v>94</v>
      </c>
      <c r="F306" s="6" t="s">
        <v>788</v>
      </c>
      <c r="G306" s="12" t="s">
        <v>788</v>
      </c>
      <c r="H306" s="51" t="s">
        <v>126</v>
      </c>
      <c r="I306" s="24" t="s">
        <v>83</v>
      </c>
      <c r="J306" s="38">
        <v>3567</v>
      </c>
      <c r="K306" s="39">
        <v>3328</v>
      </c>
      <c r="L306" s="37">
        <f t="shared" si="16"/>
        <v>239</v>
      </c>
      <c r="M306" s="37">
        <f t="shared" si="17"/>
        <v>7.1814903846153841</v>
      </c>
      <c r="N306" s="36">
        <v>685</v>
      </c>
      <c r="O306" s="36">
        <v>680</v>
      </c>
      <c r="P306" s="37">
        <f t="shared" si="18"/>
        <v>5</v>
      </c>
      <c r="Q306" s="37">
        <f t="shared" si="19"/>
        <v>0.73529411764705876</v>
      </c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 spans="1:27" ht="24.5" hidden="1" x14ac:dyDescent="0.35">
      <c r="A307" s="104">
        <v>106310</v>
      </c>
      <c r="B307" s="5" t="s">
        <v>581</v>
      </c>
      <c r="C307" s="46" t="s">
        <v>837</v>
      </c>
      <c r="D307" s="13" t="s">
        <v>838</v>
      </c>
      <c r="E307" s="6" t="s">
        <v>111</v>
      </c>
      <c r="F307" s="6" t="s">
        <v>839</v>
      </c>
      <c r="G307" s="12" t="s">
        <v>839</v>
      </c>
      <c r="H307" s="51" t="s">
        <v>105</v>
      </c>
      <c r="I307" s="24" t="s">
        <v>78</v>
      </c>
      <c r="J307" s="38">
        <v>2384.5</v>
      </c>
      <c r="K307" s="39">
        <v>2254.5</v>
      </c>
      <c r="L307" s="37">
        <f t="shared" si="16"/>
        <v>130</v>
      </c>
      <c r="M307" s="37">
        <f t="shared" si="17"/>
        <v>5.7662452872033709</v>
      </c>
      <c r="N307" s="36">
        <v>519.5</v>
      </c>
      <c r="O307" s="36">
        <v>623.5</v>
      </c>
      <c r="P307" s="37">
        <f t="shared" si="18"/>
        <v>-104</v>
      </c>
      <c r="Q307" s="37">
        <f t="shared" si="19"/>
        <v>-16.680032076984762</v>
      </c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 spans="1:27" ht="24.5" hidden="1" x14ac:dyDescent="0.35">
      <c r="A308" s="104">
        <v>106337</v>
      </c>
      <c r="B308" s="5" t="s">
        <v>581</v>
      </c>
      <c r="C308" s="46" t="s">
        <v>882</v>
      </c>
      <c r="D308" s="13" t="s">
        <v>883</v>
      </c>
      <c r="E308" s="6" t="s">
        <v>103</v>
      </c>
      <c r="F308" s="6" t="s">
        <v>884</v>
      </c>
      <c r="G308" s="12" t="s">
        <v>884</v>
      </c>
      <c r="H308" s="51" t="s">
        <v>96</v>
      </c>
      <c r="I308" s="24" t="s">
        <v>83</v>
      </c>
      <c r="J308" s="38">
        <v>2799.5</v>
      </c>
      <c r="K308" s="39">
        <v>2561</v>
      </c>
      <c r="L308" s="37">
        <f t="shared" si="16"/>
        <v>238.5</v>
      </c>
      <c r="M308" s="37">
        <f t="shared" si="17"/>
        <v>9.3127684498242882</v>
      </c>
      <c r="N308" s="36">
        <v>616.5</v>
      </c>
      <c r="O308" s="36">
        <v>725</v>
      </c>
      <c r="P308" s="37">
        <f t="shared" si="18"/>
        <v>-108.5</v>
      </c>
      <c r="Q308" s="37">
        <f t="shared" si="19"/>
        <v>-14.965517241379311</v>
      </c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 spans="1:27" ht="36.5" hidden="1" x14ac:dyDescent="0.35">
      <c r="A309" s="104">
        <v>106340</v>
      </c>
      <c r="B309" s="5" t="s">
        <v>581</v>
      </c>
      <c r="C309" s="46" t="s">
        <v>889</v>
      </c>
      <c r="D309" s="13" t="s">
        <v>890</v>
      </c>
      <c r="E309" s="6" t="s">
        <v>94</v>
      </c>
      <c r="F309" s="6" t="s">
        <v>891</v>
      </c>
      <c r="G309" s="12" t="s">
        <v>891</v>
      </c>
      <c r="H309" s="51" t="s">
        <v>120</v>
      </c>
      <c r="I309" s="24" t="s">
        <v>83</v>
      </c>
      <c r="J309" s="38">
        <v>4326.5</v>
      </c>
      <c r="K309" s="39">
        <v>4303.5</v>
      </c>
      <c r="L309" s="37">
        <f t="shared" si="16"/>
        <v>23</v>
      </c>
      <c r="M309" s="37">
        <f t="shared" si="17"/>
        <v>0.53444870454281401</v>
      </c>
      <c r="N309" s="36">
        <v>757.5</v>
      </c>
      <c r="O309" s="36">
        <v>892.5</v>
      </c>
      <c r="P309" s="37">
        <f t="shared" si="18"/>
        <v>-135</v>
      </c>
      <c r="Q309" s="37">
        <f t="shared" si="19"/>
        <v>-15.126050420168067</v>
      </c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 spans="1:27" ht="24.5" hidden="1" x14ac:dyDescent="0.35">
      <c r="A310" s="104">
        <v>186860</v>
      </c>
      <c r="B310" s="5" t="s">
        <v>581</v>
      </c>
      <c r="C310" s="46" t="s">
        <v>893</v>
      </c>
      <c r="D310" s="13" t="s">
        <v>894</v>
      </c>
      <c r="E310" s="6" t="s">
        <v>103</v>
      </c>
      <c r="F310" s="6" t="s">
        <v>895</v>
      </c>
      <c r="G310" s="12" t="s">
        <v>895</v>
      </c>
      <c r="H310" s="51" t="s">
        <v>135</v>
      </c>
      <c r="I310" s="24" t="s">
        <v>83</v>
      </c>
      <c r="J310" s="38">
        <v>9185</v>
      </c>
      <c r="K310" s="39">
        <v>8634</v>
      </c>
      <c r="L310" s="37">
        <f t="shared" si="16"/>
        <v>551</v>
      </c>
      <c r="M310" s="37">
        <f t="shared" si="17"/>
        <v>6.3817465832754232</v>
      </c>
      <c r="N310" s="36">
        <v>2775</v>
      </c>
      <c r="O310" s="36">
        <v>3090</v>
      </c>
      <c r="P310" s="37">
        <f t="shared" si="18"/>
        <v>-315</v>
      </c>
      <c r="Q310" s="37">
        <f t="shared" si="19"/>
        <v>-10.194174757281553</v>
      </c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 spans="1:27" ht="24.5" hidden="1" x14ac:dyDescent="0.35">
      <c r="A311" s="104">
        <v>186839</v>
      </c>
      <c r="B311" s="5" t="s">
        <v>581</v>
      </c>
      <c r="C311" s="46" t="s">
        <v>897</v>
      </c>
      <c r="D311" s="13" t="s">
        <v>898</v>
      </c>
      <c r="E311" s="6" t="s">
        <v>111</v>
      </c>
      <c r="F311" s="6" t="s">
        <v>899</v>
      </c>
      <c r="G311" s="12" t="s">
        <v>899</v>
      </c>
      <c r="H311" s="51" t="s">
        <v>248</v>
      </c>
      <c r="I311" s="24" t="s">
        <v>78</v>
      </c>
      <c r="J311" s="38">
        <v>4379.5</v>
      </c>
      <c r="K311" s="39">
        <v>4021.5</v>
      </c>
      <c r="L311" s="37">
        <f t="shared" si="16"/>
        <v>358</v>
      </c>
      <c r="M311" s="37">
        <f t="shared" si="17"/>
        <v>8.9021509387044624</v>
      </c>
      <c r="N311" s="36">
        <v>2940.5</v>
      </c>
      <c r="O311" s="36">
        <v>3236.5</v>
      </c>
      <c r="P311" s="37">
        <f t="shared" si="18"/>
        <v>-296</v>
      </c>
      <c r="Q311" s="37">
        <f t="shared" si="19"/>
        <v>-9.1456820639579792</v>
      </c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 spans="1:27" ht="24.5" hidden="1" x14ac:dyDescent="0.35">
      <c r="A312" s="104">
        <v>182561</v>
      </c>
      <c r="B312" s="5" t="s">
        <v>581</v>
      </c>
      <c r="C312" s="46" t="s">
        <v>917</v>
      </c>
      <c r="D312" s="13" t="s">
        <v>918</v>
      </c>
      <c r="E312" s="6" t="s">
        <v>94</v>
      </c>
      <c r="F312" s="6" t="s">
        <v>919</v>
      </c>
      <c r="G312" s="12" t="s">
        <v>919</v>
      </c>
      <c r="H312" s="51" t="s">
        <v>920</v>
      </c>
      <c r="I312" s="24" t="s">
        <v>83</v>
      </c>
      <c r="J312" s="38">
        <v>3650.5</v>
      </c>
      <c r="K312" s="39">
        <v>3472.5</v>
      </c>
      <c r="L312" s="37">
        <f t="shared" si="16"/>
        <v>178</v>
      </c>
      <c r="M312" s="37">
        <f t="shared" si="17"/>
        <v>5.1259899208063358</v>
      </c>
      <c r="N312" s="36">
        <v>3011.5</v>
      </c>
      <c r="O312" s="36">
        <v>2959.5</v>
      </c>
      <c r="P312" s="37">
        <f t="shared" si="18"/>
        <v>52</v>
      </c>
      <c r="Q312" s="37">
        <f t="shared" si="19"/>
        <v>1.7570535563439769</v>
      </c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 spans="1:27" ht="36.5" hidden="1" x14ac:dyDescent="0.35">
      <c r="A313" s="104">
        <v>206614</v>
      </c>
      <c r="B313" s="5" t="s">
        <v>581</v>
      </c>
      <c r="C313" s="46" t="s">
        <v>931</v>
      </c>
      <c r="D313" s="13" t="s">
        <v>932</v>
      </c>
      <c r="E313" s="6" t="s">
        <v>81</v>
      </c>
      <c r="F313" s="6" t="s">
        <v>933</v>
      </c>
      <c r="G313" s="12" t="s">
        <v>933</v>
      </c>
      <c r="H313" s="51" t="s">
        <v>141</v>
      </c>
      <c r="I313" s="24" t="s">
        <v>83</v>
      </c>
      <c r="J313" s="38">
        <v>2693.5</v>
      </c>
      <c r="K313" s="39">
        <v>2270.5</v>
      </c>
      <c r="L313" s="37">
        <f t="shared" si="16"/>
        <v>423</v>
      </c>
      <c r="M313" s="37">
        <f t="shared" si="17"/>
        <v>18.630257652499449</v>
      </c>
      <c r="N313" s="36">
        <v>950.5</v>
      </c>
      <c r="O313" s="36">
        <v>869.5</v>
      </c>
      <c r="P313" s="37">
        <f t="shared" si="18"/>
        <v>81</v>
      </c>
      <c r="Q313" s="37">
        <f t="shared" si="19"/>
        <v>9.315698677400805</v>
      </c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 spans="1:27" ht="36.5" hidden="1" x14ac:dyDescent="0.35">
      <c r="A314" s="104">
        <v>106369</v>
      </c>
      <c r="B314" s="5" t="s">
        <v>581</v>
      </c>
      <c r="C314" s="46" t="s">
        <v>944</v>
      </c>
      <c r="D314" s="13" t="s">
        <v>945</v>
      </c>
      <c r="E314" s="6" t="s">
        <v>81</v>
      </c>
      <c r="F314" s="6" t="s">
        <v>946</v>
      </c>
      <c r="G314" s="12" t="s">
        <v>946</v>
      </c>
      <c r="H314" s="51" t="s">
        <v>141</v>
      </c>
      <c r="I314" s="24" t="s">
        <v>83</v>
      </c>
      <c r="J314" s="38">
        <v>2333</v>
      </c>
      <c r="K314" s="39">
        <v>2288.5</v>
      </c>
      <c r="L314" s="37">
        <f t="shared" si="16"/>
        <v>44.5</v>
      </c>
      <c r="M314" s="37">
        <f t="shared" si="17"/>
        <v>1.9445051343674895</v>
      </c>
      <c r="N314" s="36">
        <v>1603</v>
      </c>
      <c r="O314" s="36">
        <v>1415.5</v>
      </c>
      <c r="P314" s="37">
        <f t="shared" si="18"/>
        <v>187.5</v>
      </c>
      <c r="Q314" s="37">
        <f t="shared" si="19"/>
        <v>13.246202755210174</v>
      </c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 spans="1:27" ht="24.5" hidden="1" x14ac:dyDescent="0.35">
      <c r="A315" s="104">
        <v>186841</v>
      </c>
      <c r="B315" s="5" t="s">
        <v>581</v>
      </c>
      <c r="C315" s="46" t="s">
        <v>951</v>
      </c>
      <c r="D315" s="13" t="s">
        <v>952</v>
      </c>
      <c r="E315" s="6" t="s">
        <v>94</v>
      </c>
      <c r="F315" s="6" t="s">
        <v>953</v>
      </c>
      <c r="G315" s="12" t="s">
        <v>953</v>
      </c>
      <c r="H315" s="51" t="s">
        <v>96</v>
      </c>
      <c r="I315" s="24" t="s">
        <v>83</v>
      </c>
      <c r="J315" s="38">
        <v>10678.5</v>
      </c>
      <c r="K315" s="39">
        <v>10631.5</v>
      </c>
      <c r="L315" s="37">
        <f t="shared" si="16"/>
        <v>47</v>
      </c>
      <c r="M315" s="37">
        <f t="shared" si="17"/>
        <v>0.44208249071156469</v>
      </c>
      <c r="N315" s="36">
        <v>1709.5</v>
      </c>
      <c r="O315" s="36">
        <v>1964.5</v>
      </c>
      <c r="P315" s="37">
        <f t="shared" si="18"/>
        <v>-255</v>
      </c>
      <c r="Q315" s="37">
        <f t="shared" si="19"/>
        <v>-12.980402137948587</v>
      </c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 spans="1:27" ht="36.5" hidden="1" x14ac:dyDescent="0.35">
      <c r="A316" s="104">
        <v>106218</v>
      </c>
      <c r="B316" s="5" t="s">
        <v>581</v>
      </c>
      <c r="C316" s="46" t="s">
        <v>664</v>
      </c>
      <c r="D316" s="13"/>
      <c r="E316" s="6" t="s">
        <v>75</v>
      </c>
      <c r="F316" s="6" t="s">
        <v>100</v>
      </c>
      <c r="G316" s="12" t="s">
        <v>100</v>
      </c>
      <c r="H316" s="51" t="s">
        <v>77</v>
      </c>
      <c r="I316" s="24" t="s">
        <v>78</v>
      </c>
      <c r="J316" s="38">
        <v>5685</v>
      </c>
      <c r="K316" s="39">
        <v>5295</v>
      </c>
      <c r="L316" s="37">
        <f t="shared" si="16"/>
        <v>390</v>
      </c>
      <c r="M316" s="37">
        <f t="shared" si="17"/>
        <v>7.3654390934844187</v>
      </c>
      <c r="N316" s="36">
        <v>419</v>
      </c>
      <c r="O316" s="36">
        <v>469</v>
      </c>
      <c r="P316" s="37">
        <f t="shared" si="18"/>
        <v>-50</v>
      </c>
      <c r="Q316" s="37">
        <f t="shared" si="19"/>
        <v>-10.660980810234541</v>
      </c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 spans="1:27" ht="24.5" hidden="1" x14ac:dyDescent="0.35">
      <c r="A317" s="104">
        <v>106360</v>
      </c>
      <c r="B317" s="5" t="s">
        <v>581</v>
      </c>
      <c r="C317" s="46" t="s">
        <v>654</v>
      </c>
      <c r="D317" s="13" t="s">
        <v>655</v>
      </c>
      <c r="E317" s="6" t="s">
        <v>85</v>
      </c>
      <c r="F317" s="6" t="s">
        <v>303</v>
      </c>
      <c r="G317" s="12" t="s">
        <v>303</v>
      </c>
      <c r="H317" s="51" t="s">
        <v>304</v>
      </c>
      <c r="I317" s="24" t="s">
        <v>86</v>
      </c>
      <c r="J317" s="38">
        <v>6642.5</v>
      </c>
      <c r="K317" s="39">
        <v>6294</v>
      </c>
      <c r="L317" s="37">
        <f t="shared" si="16"/>
        <v>348.5</v>
      </c>
      <c r="M317" s="37">
        <f t="shared" si="17"/>
        <v>5.5370193835398789</v>
      </c>
      <c r="N317" s="36">
        <v>1007.5</v>
      </c>
      <c r="O317" s="36">
        <v>1172</v>
      </c>
      <c r="P317" s="37">
        <f t="shared" si="18"/>
        <v>-164.5</v>
      </c>
      <c r="Q317" s="37">
        <f t="shared" si="19"/>
        <v>-14.035836177474403</v>
      </c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 spans="1:27" ht="24.5" hidden="1" x14ac:dyDescent="0.35">
      <c r="A318" s="104">
        <v>177589</v>
      </c>
      <c r="B318" s="5" t="s">
        <v>581</v>
      </c>
      <c r="C318" s="46" t="s">
        <v>900</v>
      </c>
      <c r="D318" s="13" t="s">
        <v>901</v>
      </c>
      <c r="E318" s="6" t="s">
        <v>81</v>
      </c>
      <c r="F318" s="6" t="s">
        <v>154</v>
      </c>
      <c r="G318" s="12" t="s">
        <v>154</v>
      </c>
      <c r="H318" s="51" t="s">
        <v>135</v>
      </c>
      <c r="I318" s="24" t="s">
        <v>83</v>
      </c>
      <c r="J318" s="38">
        <v>3720</v>
      </c>
      <c r="K318" s="39">
        <v>3400</v>
      </c>
      <c r="L318" s="37">
        <f t="shared" si="16"/>
        <v>320</v>
      </c>
      <c r="M318" s="37">
        <f t="shared" si="17"/>
        <v>9.4117647058823533</v>
      </c>
      <c r="N318" s="36">
        <v>840</v>
      </c>
      <c r="O318" s="36">
        <v>740</v>
      </c>
      <c r="P318" s="37">
        <f t="shared" si="18"/>
        <v>100</v>
      </c>
      <c r="Q318" s="37">
        <f t="shared" si="19"/>
        <v>13.513513513513514</v>
      </c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 spans="1:27" ht="24.5" hidden="1" x14ac:dyDescent="0.35">
      <c r="A319" s="104">
        <v>179735</v>
      </c>
      <c r="B319" s="5" t="s">
        <v>581</v>
      </c>
      <c r="C319" s="46" t="s">
        <v>819</v>
      </c>
      <c r="D319" s="13" t="s">
        <v>820</v>
      </c>
      <c r="E319" s="6" t="s">
        <v>169</v>
      </c>
      <c r="F319" s="6" t="s">
        <v>100</v>
      </c>
      <c r="G319" s="12" t="s">
        <v>100</v>
      </c>
      <c r="H319" s="51" t="s">
        <v>77</v>
      </c>
      <c r="I319" s="24" t="s">
        <v>78</v>
      </c>
      <c r="J319" s="38">
        <v>4620.5</v>
      </c>
      <c r="K319" s="39">
        <v>4333.5</v>
      </c>
      <c r="L319" s="37">
        <f t="shared" si="16"/>
        <v>287</v>
      </c>
      <c r="M319" s="37">
        <f t="shared" si="17"/>
        <v>6.622822199146186</v>
      </c>
      <c r="N319" s="36">
        <v>1003.5</v>
      </c>
      <c r="O319" s="36">
        <v>1222.5</v>
      </c>
      <c r="P319" s="37">
        <f t="shared" si="18"/>
        <v>-219</v>
      </c>
      <c r="Q319" s="37">
        <f t="shared" si="19"/>
        <v>-17.914110429447852</v>
      </c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 spans="1:27" ht="48.5" hidden="1" x14ac:dyDescent="0.35">
      <c r="A320" s="104">
        <v>102084</v>
      </c>
      <c r="B320" s="5" t="s">
        <v>581</v>
      </c>
      <c r="C320" s="46" t="s">
        <v>702</v>
      </c>
      <c r="D320" s="13" t="s">
        <v>703</v>
      </c>
      <c r="E320" s="6" t="s">
        <v>103</v>
      </c>
      <c r="F320" s="6" t="s">
        <v>526</v>
      </c>
      <c r="G320" s="12" t="s">
        <v>526</v>
      </c>
      <c r="H320" s="51" t="s">
        <v>248</v>
      </c>
      <c r="I320" s="24" t="s">
        <v>78</v>
      </c>
      <c r="J320" s="38">
        <v>2731</v>
      </c>
      <c r="K320" s="39">
        <v>2649.5</v>
      </c>
      <c r="L320" s="37">
        <f t="shared" si="16"/>
        <v>81.5</v>
      </c>
      <c r="M320" s="37">
        <f t="shared" si="17"/>
        <v>3.0760520852991133</v>
      </c>
      <c r="N320" s="36">
        <v>2265</v>
      </c>
      <c r="O320" s="36">
        <v>2436.5</v>
      </c>
      <c r="P320" s="37">
        <f t="shared" si="18"/>
        <v>-171.5</v>
      </c>
      <c r="Q320" s="37">
        <f t="shared" si="19"/>
        <v>-7.038785142622614</v>
      </c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 spans="1:27" ht="24.5" hidden="1" x14ac:dyDescent="0.35">
      <c r="A321" s="104">
        <v>106265</v>
      </c>
      <c r="B321" s="5" t="s">
        <v>581</v>
      </c>
      <c r="C321" s="46" t="s">
        <v>759</v>
      </c>
      <c r="D321" s="13" t="s">
        <v>760</v>
      </c>
      <c r="E321" s="6" t="s">
        <v>200</v>
      </c>
      <c r="F321" s="6" t="s">
        <v>670</v>
      </c>
      <c r="G321" s="12" t="s">
        <v>670</v>
      </c>
      <c r="H321" s="51" t="s">
        <v>91</v>
      </c>
      <c r="I321" s="24" t="s">
        <v>83</v>
      </c>
      <c r="J321" s="38">
        <v>2984.5</v>
      </c>
      <c r="K321" s="39">
        <v>2812.5</v>
      </c>
      <c r="L321" s="37">
        <f t="shared" si="16"/>
        <v>172</v>
      </c>
      <c r="M321" s="37">
        <f t="shared" si="17"/>
        <v>6.115555555555555</v>
      </c>
      <c r="N321" s="36">
        <v>625.5</v>
      </c>
      <c r="O321" s="36">
        <v>639.5</v>
      </c>
      <c r="P321" s="37">
        <f t="shared" si="18"/>
        <v>-14</v>
      </c>
      <c r="Q321" s="37">
        <f t="shared" si="19"/>
        <v>-2.1892103205629398</v>
      </c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 spans="1:27" ht="24.5" hidden="1" x14ac:dyDescent="0.35">
      <c r="A322" s="104">
        <v>186846</v>
      </c>
      <c r="B322" s="5" t="s">
        <v>581</v>
      </c>
      <c r="C322" s="46" t="s">
        <v>116</v>
      </c>
      <c r="D322" s="13" t="s">
        <v>706</v>
      </c>
      <c r="E322" s="6" t="s">
        <v>103</v>
      </c>
      <c r="F322" s="6" t="s">
        <v>119</v>
      </c>
      <c r="G322" s="12" t="s">
        <v>119</v>
      </c>
      <c r="H322" s="51" t="s">
        <v>120</v>
      </c>
      <c r="I322" s="24" t="s">
        <v>83</v>
      </c>
      <c r="J322" s="38">
        <v>3611</v>
      </c>
      <c r="K322" s="39">
        <v>3460.5</v>
      </c>
      <c r="L322" s="37">
        <f t="shared" ref="L322:L385" si="20">(J322-K322)</f>
        <v>150.5</v>
      </c>
      <c r="M322" s="37">
        <f t="shared" ref="M322:M385" si="21">(L322)/K322*100</f>
        <v>4.3490825025285362</v>
      </c>
      <c r="N322" s="36">
        <v>940</v>
      </c>
      <c r="O322" s="36">
        <v>1054</v>
      </c>
      <c r="P322" s="37">
        <f t="shared" ref="P322:P385" si="22">(N322-O322)</f>
        <v>-114</v>
      </c>
      <c r="Q322" s="37">
        <f t="shared" ref="Q322:Q385" si="23">(P322)/O322*100</f>
        <v>-10.815939278937382</v>
      </c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 spans="1:27" ht="24.5" hidden="1" x14ac:dyDescent="0.35">
      <c r="A323" s="104">
        <v>186852</v>
      </c>
      <c r="B323" s="5" t="s">
        <v>581</v>
      </c>
      <c r="C323" s="46" t="s">
        <v>795</v>
      </c>
      <c r="D323" s="13" t="s">
        <v>796</v>
      </c>
      <c r="E323" s="6" t="s">
        <v>89</v>
      </c>
      <c r="F323" s="6" t="s">
        <v>603</v>
      </c>
      <c r="G323" s="12" t="s">
        <v>603</v>
      </c>
      <c r="H323" s="51" t="s">
        <v>120</v>
      </c>
      <c r="I323" s="24" t="s">
        <v>86</v>
      </c>
      <c r="J323" s="38">
        <v>2983</v>
      </c>
      <c r="K323" s="39">
        <v>2742</v>
      </c>
      <c r="L323" s="37">
        <f t="shared" si="20"/>
        <v>241</v>
      </c>
      <c r="M323" s="37">
        <f t="shared" si="21"/>
        <v>8.7892049598832962</v>
      </c>
      <c r="N323" s="36">
        <v>897</v>
      </c>
      <c r="O323" s="36">
        <v>770</v>
      </c>
      <c r="P323" s="37">
        <f t="shared" si="22"/>
        <v>127</v>
      </c>
      <c r="Q323" s="37">
        <f t="shared" si="23"/>
        <v>16.493506493506494</v>
      </c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 spans="1:27" ht="24.5" hidden="1" x14ac:dyDescent="0.35">
      <c r="A324" s="104">
        <v>106373</v>
      </c>
      <c r="B324" s="5" t="s">
        <v>581</v>
      </c>
      <c r="C324" s="46" t="s">
        <v>753</v>
      </c>
      <c r="D324" s="13" t="s">
        <v>754</v>
      </c>
      <c r="E324" s="6" t="s">
        <v>85</v>
      </c>
      <c r="F324" s="6" t="s">
        <v>177</v>
      </c>
      <c r="G324" s="12" t="s">
        <v>177</v>
      </c>
      <c r="H324" s="51" t="s">
        <v>178</v>
      </c>
      <c r="I324" s="24" t="s">
        <v>86</v>
      </c>
      <c r="J324" s="38">
        <v>1211.5</v>
      </c>
      <c r="K324" s="39">
        <v>1116</v>
      </c>
      <c r="L324" s="37">
        <f t="shared" si="20"/>
        <v>95.5</v>
      </c>
      <c r="M324" s="37">
        <f t="shared" si="21"/>
        <v>8.5573476702508966</v>
      </c>
      <c r="N324" s="36">
        <v>5700.5</v>
      </c>
      <c r="O324" s="36">
        <v>5724</v>
      </c>
      <c r="P324" s="37">
        <f t="shared" si="22"/>
        <v>-23.5</v>
      </c>
      <c r="Q324" s="37">
        <f t="shared" si="23"/>
        <v>-0.41055206149545775</v>
      </c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 spans="1:27" ht="24.5" hidden="1" x14ac:dyDescent="0.35">
      <c r="A325" s="104">
        <v>106260</v>
      </c>
      <c r="B325" s="5" t="s">
        <v>581</v>
      </c>
      <c r="C325" s="46" t="s">
        <v>651</v>
      </c>
      <c r="D325" s="13" t="s">
        <v>652</v>
      </c>
      <c r="E325" s="6" t="s">
        <v>89</v>
      </c>
      <c r="F325" s="6" t="s">
        <v>204</v>
      </c>
      <c r="G325" s="12" t="s">
        <v>204</v>
      </c>
      <c r="H325" s="51" t="s">
        <v>205</v>
      </c>
      <c r="I325" s="24" t="s">
        <v>86</v>
      </c>
      <c r="J325" s="38">
        <v>1722.5</v>
      </c>
      <c r="K325" s="39">
        <v>1605.5</v>
      </c>
      <c r="L325" s="37">
        <f t="shared" si="20"/>
        <v>117</v>
      </c>
      <c r="M325" s="37">
        <f t="shared" si="21"/>
        <v>7.2874493927125501</v>
      </c>
      <c r="N325" s="36">
        <v>237.5</v>
      </c>
      <c r="O325" s="36">
        <v>256.5</v>
      </c>
      <c r="P325" s="37">
        <f t="shared" si="22"/>
        <v>-19</v>
      </c>
      <c r="Q325" s="37">
        <f t="shared" si="23"/>
        <v>-7.4074074074074066</v>
      </c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 spans="1:27" ht="24.5" hidden="1" x14ac:dyDescent="0.35">
      <c r="A326" s="104">
        <v>205752</v>
      </c>
      <c r="B326" s="5" t="s">
        <v>581</v>
      </c>
      <c r="C326" s="46" t="s">
        <v>599</v>
      </c>
      <c r="D326" s="13" t="s">
        <v>600</v>
      </c>
      <c r="E326" s="6" t="s">
        <v>89</v>
      </c>
      <c r="F326" s="6" t="s">
        <v>204</v>
      </c>
      <c r="G326" s="12" t="s">
        <v>204</v>
      </c>
      <c r="H326" s="51" t="s">
        <v>205</v>
      </c>
      <c r="I326" s="24" t="s">
        <v>86</v>
      </c>
      <c r="J326" s="38">
        <v>2182.5</v>
      </c>
      <c r="K326" s="39">
        <v>1989</v>
      </c>
      <c r="L326" s="37">
        <f t="shared" si="20"/>
        <v>193.5</v>
      </c>
      <c r="M326" s="37">
        <f t="shared" si="21"/>
        <v>9.7285067873303177</v>
      </c>
      <c r="N326" s="36">
        <v>539.5</v>
      </c>
      <c r="O326" s="36">
        <v>533</v>
      </c>
      <c r="P326" s="37">
        <f t="shared" si="22"/>
        <v>6.5</v>
      </c>
      <c r="Q326" s="37">
        <f t="shared" si="23"/>
        <v>1.2195121951219512</v>
      </c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 spans="1:27" ht="36.5" hidden="1" x14ac:dyDescent="0.35">
      <c r="A327" s="104">
        <v>106284</v>
      </c>
      <c r="B327" s="5" t="s">
        <v>581</v>
      </c>
      <c r="C327" s="46" t="s">
        <v>791</v>
      </c>
      <c r="D327" s="13" t="s">
        <v>792</v>
      </c>
      <c r="E327" s="6" t="s">
        <v>75</v>
      </c>
      <c r="F327" s="6" t="s">
        <v>667</v>
      </c>
      <c r="G327" s="12" t="s">
        <v>667</v>
      </c>
      <c r="H327" s="51" t="s">
        <v>77</v>
      </c>
      <c r="I327" s="24" t="s">
        <v>78</v>
      </c>
      <c r="J327" s="38">
        <v>3067</v>
      </c>
      <c r="K327" s="39">
        <v>2916.5</v>
      </c>
      <c r="L327" s="37">
        <f t="shared" si="20"/>
        <v>150.5</v>
      </c>
      <c r="M327" s="37">
        <f t="shared" si="21"/>
        <v>5.1602948739927994</v>
      </c>
      <c r="N327" s="36">
        <v>243</v>
      </c>
      <c r="O327" s="36">
        <v>269.5</v>
      </c>
      <c r="P327" s="37">
        <f t="shared" si="22"/>
        <v>-26.5</v>
      </c>
      <c r="Q327" s="37">
        <f t="shared" si="23"/>
        <v>-9.833024118738404</v>
      </c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 spans="1:27" ht="36.5" hidden="1" x14ac:dyDescent="0.35">
      <c r="A328" s="104">
        <v>106289</v>
      </c>
      <c r="B328" s="5" t="s">
        <v>581</v>
      </c>
      <c r="C328" s="46" t="s">
        <v>803</v>
      </c>
      <c r="D328" s="13" t="s">
        <v>804</v>
      </c>
      <c r="E328" s="6" t="s">
        <v>75</v>
      </c>
      <c r="F328" s="6" t="s">
        <v>667</v>
      </c>
      <c r="G328" s="12" t="s">
        <v>667</v>
      </c>
      <c r="H328" s="51" t="s">
        <v>77</v>
      </c>
      <c r="I328" s="24" t="s">
        <v>78</v>
      </c>
      <c r="J328" s="38">
        <v>8848</v>
      </c>
      <c r="K328" s="39">
        <v>8448.5</v>
      </c>
      <c r="L328" s="37">
        <f t="shared" si="20"/>
        <v>399.5</v>
      </c>
      <c r="M328" s="37">
        <f t="shared" si="21"/>
        <v>4.7286500562229978</v>
      </c>
      <c r="N328" s="36">
        <v>1774</v>
      </c>
      <c r="O328" s="36">
        <v>2057.5</v>
      </c>
      <c r="P328" s="37">
        <f t="shared" si="22"/>
        <v>-283.5</v>
      </c>
      <c r="Q328" s="37">
        <f t="shared" si="23"/>
        <v>-13.778857837181043</v>
      </c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 spans="1:27" ht="48.5" hidden="1" x14ac:dyDescent="0.35">
      <c r="A329" s="104">
        <v>106256</v>
      </c>
      <c r="B329" s="5" t="s">
        <v>581</v>
      </c>
      <c r="C329" s="46" t="s">
        <v>741</v>
      </c>
      <c r="D329" s="13" t="s">
        <v>742</v>
      </c>
      <c r="E329" s="6" t="s">
        <v>111</v>
      </c>
      <c r="F329" s="6" t="s">
        <v>483</v>
      </c>
      <c r="G329" s="12" t="s">
        <v>483</v>
      </c>
      <c r="H329" s="51" t="s">
        <v>105</v>
      </c>
      <c r="I329" s="24" t="s">
        <v>78</v>
      </c>
      <c r="J329" s="38">
        <v>3176.5</v>
      </c>
      <c r="K329" s="39">
        <v>2949.5</v>
      </c>
      <c r="L329" s="37">
        <f t="shared" si="20"/>
        <v>227</v>
      </c>
      <c r="M329" s="37">
        <f t="shared" si="21"/>
        <v>7.696219698253941</v>
      </c>
      <c r="N329" s="36">
        <v>1075.5</v>
      </c>
      <c r="O329" s="36">
        <v>584.5</v>
      </c>
      <c r="P329" s="37">
        <f t="shared" si="22"/>
        <v>491</v>
      </c>
      <c r="Q329" s="37">
        <f t="shared" si="23"/>
        <v>84.003421727972622</v>
      </c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 spans="1:27" ht="24.5" hidden="1" x14ac:dyDescent="0.35">
      <c r="A330" s="104">
        <v>106283</v>
      </c>
      <c r="B330" s="5" t="s">
        <v>581</v>
      </c>
      <c r="C330" s="46" t="s">
        <v>789</v>
      </c>
      <c r="D330" s="13" t="s">
        <v>790</v>
      </c>
      <c r="E330" s="6" t="s">
        <v>228</v>
      </c>
      <c r="F330" s="6" t="s">
        <v>229</v>
      </c>
      <c r="G330" s="12" t="s">
        <v>229</v>
      </c>
      <c r="H330" s="51" t="s">
        <v>230</v>
      </c>
      <c r="I330" s="24" t="s">
        <v>78</v>
      </c>
      <c r="J330" s="38">
        <v>2471</v>
      </c>
      <c r="K330" s="39">
        <v>2268</v>
      </c>
      <c r="L330" s="37">
        <f t="shared" si="20"/>
        <v>203</v>
      </c>
      <c r="M330" s="37">
        <f t="shared" si="21"/>
        <v>8.9506172839506171</v>
      </c>
      <c r="N330" s="36">
        <v>1483</v>
      </c>
      <c r="O330" s="36">
        <v>1656</v>
      </c>
      <c r="P330" s="37">
        <f t="shared" si="22"/>
        <v>-173</v>
      </c>
      <c r="Q330" s="37">
        <f t="shared" si="23"/>
        <v>-10.446859903381643</v>
      </c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 spans="1:27" ht="36.5" hidden="1" x14ac:dyDescent="0.35">
      <c r="A331" s="104">
        <v>106314</v>
      </c>
      <c r="B331" s="5" t="s">
        <v>581</v>
      </c>
      <c r="C331" s="46" t="s">
        <v>842</v>
      </c>
      <c r="D331" s="13" t="s">
        <v>843</v>
      </c>
      <c r="E331" s="6" t="s">
        <v>103</v>
      </c>
      <c r="F331" s="6" t="s">
        <v>208</v>
      </c>
      <c r="G331" s="12" t="s">
        <v>208</v>
      </c>
      <c r="H331" s="51" t="s">
        <v>105</v>
      </c>
      <c r="I331" s="24" t="s">
        <v>83</v>
      </c>
      <c r="J331" s="38">
        <v>1144</v>
      </c>
      <c r="K331" s="39">
        <v>1092</v>
      </c>
      <c r="L331" s="37">
        <f t="shared" si="20"/>
        <v>52</v>
      </c>
      <c r="M331" s="37">
        <f t="shared" si="21"/>
        <v>4.7619047619047619</v>
      </c>
      <c r="N331" s="36">
        <v>0</v>
      </c>
      <c r="O331" s="36">
        <v>0</v>
      </c>
      <c r="P331" s="37">
        <f t="shared" si="22"/>
        <v>0</v>
      </c>
      <c r="Q331" s="37" t="e">
        <f t="shared" si="23"/>
        <v>#DIV/0!</v>
      </c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 spans="1:27" ht="24.5" hidden="1" x14ac:dyDescent="0.35">
      <c r="A332" s="104">
        <v>106235</v>
      </c>
      <c r="B332" s="5" t="s">
        <v>581</v>
      </c>
      <c r="C332" s="46" t="s">
        <v>632</v>
      </c>
      <c r="D332" s="13" t="s">
        <v>633</v>
      </c>
      <c r="E332" s="6" t="s">
        <v>85</v>
      </c>
      <c r="F332" s="6" t="s">
        <v>303</v>
      </c>
      <c r="G332" s="12" t="s">
        <v>580</v>
      </c>
      <c r="H332" s="51" t="s">
        <v>304</v>
      </c>
      <c r="I332" s="24" t="s">
        <v>86</v>
      </c>
      <c r="J332" s="38">
        <v>2918</v>
      </c>
      <c r="K332" s="39">
        <v>2831</v>
      </c>
      <c r="L332" s="37">
        <f t="shared" si="20"/>
        <v>87</v>
      </c>
      <c r="M332" s="37">
        <f t="shared" si="21"/>
        <v>3.07311903920876</v>
      </c>
      <c r="N332" s="36">
        <v>1031</v>
      </c>
      <c r="O332" s="36">
        <v>1035</v>
      </c>
      <c r="P332" s="37">
        <f t="shared" si="22"/>
        <v>-4</v>
      </c>
      <c r="Q332" s="37">
        <f t="shared" si="23"/>
        <v>-0.38647342995169082</v>
      </c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 spans="1:27" ht="24.5" hidden="1" x14ac:dyDescent="0.35">
      <c r="A333" s="104">
        <v>203544</v>
      </c>
      <c r="B333" s="5" t="s">
        <v>581</v>
      </c>
      <c r="C333" s="46" t="s">
        <v>943</v>
      </c>
      <c r="D333" s="13" t="s">
        <v>533</v>
      </c>
      <c r="E333" s="6" t="s">
        <v>111</v>
      </c>
      <c r="F333" s="6" t="s">
        <v>125</v>
      </c>
      <c r="G333" s="12" t="s">
        <v>125</v>
      </c>
      <c r="H333" s="51" t="s">
        <v>120</v>
      </c>
      <c r="I333" s="24" t="s">
        <v>78</v>
      </c>
      <c r="J333" s="38">
        <v>4009.5</v>
      </c>
      <c r="K333" s="39">
        <v>3942</v>
      </c>
      <c r="L333" s="37">
        <f t="shared" si="20"/>
        <v>67.5</v>
      </c>
      <c r="M333" s="37">
        <f t="shared" si="21"/>
        <v>1.7123287671232876</v>
      </c>
      <c r="N333" s="36">
        <v>1030.5</v>
      </c>
      <c r="O333" s="36">
        <v>1278</v>
      </c>
      <c r="P333" s="37">
        <f t="shared" si="22"/>
        <v>-247.5</v>
      </c>
      <c r="Q333" s="37">
        <f t="shared" si="23"/>
        <v>-19.366197183098592</v>
      </c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 spans="1:27" ht="24.5" hidden="1" x14ac:dyDescent="0.35">
      <c r="A334" s="104">
        <v>156756</v>
      </c>
      <c r="B334" s="5" t="s">
        <v>581</v>
      </c>
      <c r="C334" s="46" t="s">
        <v>866</v>
      </c>
      <c r="D334" s="13" t="s">
        <v>699</v>
      </c>
      <c r="E334" s="6" t="s">
        <v>103</v>
      </c>
      <c r="F334" s="6" t="s">
        <v>145</v>
      </c>
      <c r="G334" s="12" t="s">
        <v>145</v>
      </c>
      <c r="H334" s="51" t="s">
        <v>96</v>
      </c>
      <c r="I334" s="24" t="s">
        <v>83</v>
      </c>
      <c r="J334" s="38">
        <v>1250</v>
      </c>
      <c r="K334" s="39">
        <v>1237.5</v>
      </c>
      <c r="L334" s="37">
        <f t="shared" si="20"/>
        <v>12.5</v>
      </c>
      <c r="M334" s="37">
        <f t="shared" si="21"/>
        <v>1.0101010101010102</v>
      </c>
      <c r="N334" s="36">
        <v>254</v>
      </c>
      <c r="O334" s="36">
        <v>280.5</v>
      </c>
      <c r="P334" s="37">
        <f t="shared" si="22"/>
        <v>-26.5</v>
      </c>
      <c r="Q334" s="37">
        <f t="shared" si="23"/>
        <v>-9.4474153297682708</v>
      </c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 spans="1:27" ht="24.5" hidden="1" x14ac:dyDescent="0.35">
      <c r="A335" s="104">
        <v>106323</v>
      </c>
      <c r="B335" s="5" t="s">
        <v>581</v>
      </c>
      <c r="C335" s="46" t="s">
        <v>715</v>
      </c>
      <c r="D335" s="13" t="s">
        <v>716</v>
      </c>
      <c r="E335" s="6" t="s">
        <v>89</v>
      </c>
      <c r="F335" s="6" t="s">
        <v>204</v>
      </c>
      <c r="G335" s="12" t="s">
        <v>204</v>
      </c>
      <c r="H335" s="51" t="s">
        <v>205</v>
      </c>
      <c r="I335" s="24" t="s">
        <v>86</v>
      </c>
      <c r="J335" s="38">
        <v>1540</v>
      </c>
      <c r="K335" s="39">
        <v>1468.5</v>
      </c>
      <c r="L335" s="37">
        <f t="shared" si="20"/>
        <v>71.5</v>
      </c>
      <c r="M335" s="37">
        <f t="shared" si="21"/>
        <v>4.868913857677903</v>
      </c>
      <c r="N335" s="36">
        <v>1602</v>
      </c>
      <c r="O335" s="36">
        <v>1805.5</v>
      </c>
      <c r="P335" s="37">
        <f t="shared" si="22"/>
        <v>-203.5</v>
      </c>
      <c r="Q335" s="37">
        <f t="shared" si="23"/>
        <v>-11.271116034339517</v>
      </c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 spans="1:27" ht="24.5" hidden="1" x14ac:dyDescent="0.35">
      <c r="A336" s="104">
        <v>106242</v>
      </c>
      <c r="B336" s="5" t="s">
        <v>581</v>
      </c>
      <c r="C336" s="46" t="s">
        <v>780</v>
      </c>
      <c r="D336" s="13" t="s">
        <v>579</v>
      </c>
      <c r="E336" s="6" t="s">
        <v>85</v>
      </c>
      <c r="F336" s="6" t="s">
        <v>326</v>
      </c>
      <c r="G336" s="12" t="s">
        <v>326</v>
      </c>
      <c r="H336" s="51" t="s">
        <v>120</v>
      </c>
      <c r="I336" s="24" t="s">
        <v>86</v>
      </c>
      <c r="J336" s="38">
        <v>6449</v>
      </c>
      <c r="K336" s="39">
        <v>6309.5</v>
      </c>
      <c r="L336" s="37">
        <f t="shared" si="20"/>
        <v>139.5</v>
      </c>
      <c r="M336" s="37">
        <f t="shared" si="21"/>
        <v>2.2109517394405263</v>
      </c>
      <c r="N336" s="36">
        <v>716</v>
      </c>
      <c r="O336" s="36">
        <v>926.5</v>
      </c>
      <c r="P336" s="37">
        <f t="shared" si="22"/>
        <v>-210.5</v>
      </c>
      <c r="Q336" s="37">
        <f t="shared" si="23"/>
        <v>-22.71991365353481</v>
      </c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 spans="1:27" ht="36.5" hidden="1" x14ac:dyDescent="0.35">
      <c r="A337" s="104">
        <v>106243</v>
      </c>
      <c r="B337" s="5" t="s">
        <v>581</v>
      </c>
      <c r="C337" s="46" t="s">
        <v>707</v>
      </c>
      <c r="D337" s="13" t="s">
        <v>708</v>
      </c>
      <c r="E337" s="6" t="s">
        <v>94</v>
      </c>
      <c r="F337" s="6" t="s">
        <v>129</v>
      </c>
      <c r="G337" s="12" t="s">
        <v>129</v>
      </c>
      <c r="H337" s="51" t="s">
        <v>126</v>
      </c>
      <c r="I337" s="24" t="s">
        <v>83</v>
      </c>
      <c r="J337" s="38">
        <v>5990</v>
      </c>
      <c r="K337" s="39">
        <v>5890.5</v>
      </c>
      <c r="L337" s="37">
        <f t="shared" si="20"/>
        <v>99.5</v>
      </c>
      <c r="M337" s="37">
        <f t="shared" si="21"/>
        <v>1.6891605126899245</v>
      </c>
      <c r="N337" s="36">
        <v>968</v>
      </c>
      <c r="O337" s="36">
        <v>1245.5</v>
      </c>
      <c r="P337" s="37">
        <f t="shared" si="22"/>
        <v>-277.5</v>
      </c>
      <c r="Q337" s="37">
        <f t="shared" si="23"/>
        <v>-22.28020875150542</v>
      </c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 spans="1:27" ht="24.5" hidden="1" x14ac:dyDescent="0.35">
      <c r="A338" s="104">
        <v>102108</v>
      </c>
      <c r="B338" s="5" t="s">
        <v>581</v>
      </c>
      <c r="C338" s="46" t="s">
        <v>815</v>
      </c>
      <c r="D338" s="13" t="s">
        <v>816</v>
      </c>
      <c r="E338" s="6" t="s">
        <v>75</v>
      </c>
      <c r="F338" s="6" t="s">
        <v>108</v>
      </c>
      <c r="G338" s="12" t="s">
        <v>108</v>
      </c>
      <c r="H338" s="51" t="s">
        <v>77</v>
      </c>
      <c r="I338" s="24" t="s">
        <v>78</v>
      </c>
      <c r="J338" s="38">
        <v>2970</v>
      </c>
      <c r="K338" s="39">
        <v>2781</v>
      </c>
      <c r="L338" s="37">
        <f t="shared" si="20"/>
        <v>189</v>
      </c>
      <c r="M338" s="37">
        <f t="shared" si="21"/>
        <v>6.7961165048543686</v>
      </c>
      <c r="N338" s="36">
        <v>298</v>
      </c>
      <c r="O338" s="36">
        <v>271</v>
      </c>
      <c r="P338" s="37">
        <f t="shared" si="22"/>
        <v>27</v>
      </c>
      <c r="Q338" s="37">
        <f t="shared" si="23"/>
        <v>9.9630996309963091</v>
      </c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 spans="1:27" ht="36.5" hidden="1" x14ac:dyDescent="0.35">
      <c r="A339" s="104">
        <v>106229</v>
      </c>
      <c r="B339" s="5" t="s">
        <v>581</v>
      </c>
      <c r="C339" s="46" t="s">
        <v>681</v>
      </c>
      <c r="D339" s="13" t="s">
        <v>682</v>
      </c>
      <c r="E339" s="6" t="s">
        <v>200</v>
      </c>
      <c r="F339" s="6" t="s">
        <v>683</v>
      </c>
      <c r="G339" s="12" t="s">
        <v>683</v>
      </c>
      <c r="H339" s="51" t="s">
        <v>248</v>
      </c>
      <c r="I339" s="24" t="s">
        <v>83</v>
      </c>
      <c r="J339" s="38">
        <v>4768</v>
      </c>
      <c r="K339" s="39">
        <v>4669.5</v>
      </c>
      <c r="L339" s="37">
        <f t="shared" si="20"/>
        <v>98.5</v>
      </c>
      <c r="M339" s="37">
        <f t="shared" si="21"/>
        <v>2.1094335581968089</v>
      </c>
      <c r="N339" s="36">
        <v>864</v>
      </c>
      <c r="O339" s="36">
        <v>974.5</v>
      </c>
      <c r="P339" s="37">
        <f t="shared" si="22"/>
        <v>-110.5</v>
      </c>
      <c r="Q339" s="37">
        <f t="shared" si="23"/>
        <v>-11.33914828116983</v>
      </c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 spans="1:27" ht="24.5" hidden="1" x14ac:dyDescent="0.35">
      <c r="A340" s="104">
        <v>186836</v>
      </c>
      <c r="B340" s="5" t="s">
        <v>581</v>
      </c>
      <c r="C340" s="46" t="s">
        <v>696</v>
      </c>
      <c r="D340" s="13" t="s">
        <v>697</v>
      </c>
      <c r="E340" s="6" t="s">
        <v>200</v>
      </c>
      <c r="F340" s="6" t="s">
        <v>300</v>
      </c>
      <c r="G340" s="12" t="s">
        <v>300</v>
      </c>
      <c r="H340" s="51" t="s">
        <v>261</v>
      </c>
      <c r="I340" s="24" t="s">
        <v>83</v>
      </c>
      <c r="J340" s="38">
        <v>1994</v>
      </c>
      <c r="K340" s="39">
        <v>1773</v>
      </c>
      <c r="L340" s="37">
        <f t="shared" si="20"/>
        <v>221</v>
      </c>
      <c r="M340" s="37">
        <f t="shared" si="21"/>
        <v>12.464749012972364</v>
      </c>
      <c r="N340" s="36">
        <v>2018</v>
      </c>
      <c r="O340" s="36">
        <v>1965</v>
      </c>
      <c r="P340" s="37">
        <f t="shared" si="22"/>
        <v>53</v>
      </c>
      <c r="Q340" s="37">
        <f t="shared" si="23"/>
        <v>2.6972010178117052</v>
      </c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 spans="1:27" ht="24.5" hidden="1" x14ac:dyDescent="0.35">
      <c r="A341" s="104">
        <v>106247</v>
      </c>
      <c r="B341" s="5" t="s">
        <v>581</v>
      </c>
      <c r="C341" s="46" t="s">
        <v>725</v>
      </c>
      <c r="D341" s="13" t="s">
        <v>726</v>
      </c>
      <c r="E341" s="6" t="s">
        <v>169</v>
      </c>
      <c r="F341" s="6" t="s">
        <v>76</v>
      </c>
      <c r="G341" s="12" t="s">
        <v>76</v>
      </c>
      <c r="H341" s="51" t="s">
        <v>77</v>
      </c>
      <c r="I341" s="24" t="s">
        <v>78</v>
      </c>
      <c r="J341" s="38">
        <v>3885.5</v>
      </c>
      <c r="K341" s="39">
        <v>3737</v>
      </c>
      <c r="L341" s="37">
        <f t="shared" si="20"/>
        <v>148.5</v>
      </c>
      <c r="M341" s="37">
        <f t="shared" si="21"/>
        <v>3.9737757559539739</v>
      </c>
      <c r="N341" s="36">
        <v>630.5</v>
      </c>
      <c r="O341" s="36">
        <v>783</v>
      </c>
      <c r="P341" s="37">
        <f t="shared" si="22"/>
        <v>-152.5</v>
      </c>
      <c r="Q341" s="37">
        <f t="shared" si="23"/>
        <v>-19.476372924648786</v>
      </c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 spans="1:27" ht="36.5" hidden="1" x14ac:dyDescent="0.35">
      <c r="A342" s="104">
        <v>106299</v>
      </c>
      <c r="B342" s="5" t="s">
        <v>581</v>
      </c>
      <c r="C342" s="46" t="s">
        <v>940</v>
      </c>
      <c r="D342" s="13" t="s">
        <v>659</v>
      </c>
      <c r="E342" s="6" t="s">
        <v>103</v>
      </c>
      <c r="F342" s="6" t="s">
        <v>208</v>
      </c>
      <c r="G342" s="12" t="s">
        <v>208</v>
      </c>
      <c r="H342" s="51" t="s">
        <v>105</v>
      </c>
      <c r="I342" s="24" t="s">
        <v>83</v>
      </c>
      <c r="J342" s="38">
        <v>984</v>
      </c>
      <c r="K342" s="39">
        <v>985</v>
      </c>
      <c r="L342" s="37">
        <f t="shared" si="20"/>
        <v>-1</v>
      </c>
      <c r="M342" s="37">
        <f t="shared" si="21"/>
        <v>-0.10152284263959391</v>
      </c>
      <c r="N342" s="36">
        <v>180.5</v>
      </c>
      <c r="O342" s="36">
        <v>205.5</v>
      </c>
      <c r="P342" s="37">
        <f t="shared" si="22"/>
        <v>-25</v>
      </c>
      <c r="Q342" s="37">
        <f t="shared" si="23"/>
        <v>-12.165450121654501</v>
      </c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 spans="1:27" ht="24.5" hidden="1" x14ac:dyDescent="0.35">
      <c r="A343" s="104">
        <v>186858</v>
      </c>
      <c r="B343" s="5" t="s">
        <v>581</v>
      </c>
      <c r="C343" s="46" t="s">
        <v>747</v>
      </c>
      <c r="D343" s="13" t="s">
        <v>748</v>
      </c>
      <c r="E343" s="6" t="s">
        <v>169</v>
      </c>
      <c r="F343" s="6" t="s">
        <v>488</v>
      </c>
      <c r="G343" s="12" t="s">
        <v>488</v>
      </c>
      <c r="H343" s="51" t="s">
        <v>172</v>
      </c>
      <c r="I343" s="24" t="s">
        <v>78</v>
      </c>
      <c r="J343" s="38">
        <v>7262</v>
      </c>
      <c r="K343" s="39">
        <v>7011</v>
      </c>
      <c r="L343" s="37">
        <f t="shared" si="20"/>
        <v>251</v>
      </c>
      <c r="M343" s="37">
        <f t="shared" si="21"/>
        <v>3.5800884324632722</v>
      </c>
      <c r="N343" s="36">
        <v>1014</v>
      </c>
      <c r="O343" s="36">
        <v>1143</v>
      </c>
      <c r="P343" s="37">
        <f t="shared" si="22"/>
        <v>-129</v>
      </c>
      <c r="Q343" s="37">
        <f t="shared" si="23"/>
        <v>-11.286089238845145</v>
      </c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 spans="1:27" ht="24.5" hidden="1" x14ac:dyDescent="0.35">
      <c r="A344" s="104">
        <v>196392</v>
      </c>
      <c r="B344" s="5" t="s">
        <v>581</v>
      </c>
      <c r="C344" s="46" t="s">
        <v>896</v>
      </c>
      <c r="D344" s="13" t="s">
        <v>600</v>
      </c>
      <c r="E344" s="6" t="s">
        <v>89</v>
      </c>
      <c r="F344" s="6" t="s">
        <v>342</v>
      </c>
      <c r="G344" s="12" t="s">
        <v>342</v>
      </c>
      <c r="H344" s="51" t="s">
        <v>205</v>
      </c>
      <c r="I344" s="24" t="s">
        <v>86</v>
      </c>
      <c r="J344" s="38">
        <v>1809</v>
      </c>
      <c r="K344" s="39">
        <v>1858</v>
      </c>
      <c r="L344" s="37">
        <f t="shared" si="20"/>
        <v>-49</v>
      </c>
      <c r="M344" s="37">
        <f t="shared" si="21"/>
        <v>-2.6372443487621098</v>
      </c>
      <c r="N344" s="36">
        <v>397</v>
      </c>
      <c r="O344" s="36">
        <v>484</v>
      </c>
      <c r="P344" s="37">
        <f t="shared" si="22"/>
        <v>-87</v>
      </c>
      <c r="Q344" s="37">
        <f t="shared" si="23"/>
        <v>-17.97520661157025</v>
      </c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 spans="1:27" ht="24.5" hidden="1" x14ac:dyDescent="0.35">
      <c r="A345" s="104">
        <v>107653</v>
      </c>
      <c r="B345" s="5" t="s">
        <v>581</v>
      </c>
      <c r="C345" s="46" t="s">
        <v>923</v>
      </c>
      <c r="D345" s="13" t="s">
        <v>611</v>
      </c>
      <c r="E345" s="6" t="s">
        <v>89</v>
      </c>
      <c r="F345" s="6" t="s">
        <v>906</v>
      </c>
      <c r="G345" s="12" t="s">
        <v>906</v>
      </c>
      <c r="H345" s="51" t="s">
        <v>1007</v>
      </c>
      <c r="I345" s="24" t="s">
        <v>86</v>
      </c>
      <c r="J345" s="38">
        <v>2350</v>
      </c>
      <c r="K345" s="39">
        <v>2380</v>
      </c>
      <c r="L345" s="37">
        <f t="shared" si="20"/>
        <v>-30</v>
      </c>
      <c r="M345" s="37">
        <f t="shared" si="21"/>
        <v>-1.2605042016806722</v>
      </c>
      <c r="N345" s="36">
        <v>584</v>
      </c>
      <c r="O345" s="36">
        <v>786</v>
      </c>
      <c r="P345" s="37">
        <f t="shared" si="22"/>
        <v>-202</v>
      </c>
      <c r="Q345" s="37">
        <f t="shared" si="23"/>
        <v>-25.699745547073793</v>
      </c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 spans="1:27" ht="48.5" hidden="1" x14ac:dyDescent="0.35">
      <c r="A346" s="104">
        <v>106249</v>
      </c>
      <c r="B346" s="5" t="s">
        <v>581</v>
      </c>
      <c r="C346" s="46" t="s">
        <v>730</v>
      </c>
      <c r="D346" s="13" t="s">
        <v>731</v>
      </c>
      <c r="E346" s="6" t="s">
        <v>103</v>
      </c>
      <c r="F346" s="6" t="s">
        <v>483</v>
      </c>
      <c r="G346" s="12" t="s">
        <v>483</v>
      </c>
      <c r="H346" s="51" t="s">
        <v>105</v>
      </c>
      <c r="I346" s="24" t="s">
        <v>78</v>
      </c>
      <c r="J346" s="38">
        <v>2947.5</v>
      </c>
      <c r="K346" s="39">
        <v>2748</v>
      </c>
      <c r="L346" s="37">
        <f t="shared" si="20"/>
        <v>199.5</v>
      </c>
      <c r="M346" s="37">
        <f t="shared" si="21"/>
        <v>7.2598253275109172</v>
      </c>
      <c r="N346" s="36">
        <v>972.5</v>
      </c>
      <c r="O346" s="36">
        <v>1106</v>
      </c>
      <c r="P346" s="37">
        <f t="shared" si="22"/>
        <v>-133.5</v>
      </c>
      <c r="Q346" s="37">
        <f t="shared" si="23"/>
        <v>-12.070524412296564</v>
      </c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 spans="1:27" ht="24.5" hidden="1" x14ac:dyDescent="0.35">
      <c r="A347" s="104">
        <v>106222</v>
      </c>
      <c r="B347" s="5" t="s">
        <v>581</v>
      </c>
      <c r="C347" s="46" t="s">
        <v>905</v>
      </c>
      <c r="D347" s="13" t="s">
        <v>391</v>
      </c>
      <c r="E347" s="6" t="s">
        <v>89</v>
      </c>
      <c r="F347" s="6" t="s">
        <v>906</v>
      </c>
      <c r="G347" s="12" t="s">
        <v>906</v>
      </c>
      <c r="H347" s="51" t="s">
        <v>1007</v>
      </c>
      <c r="I347" s="24" t="s">
        <v>86</v>
      </c>
      <c r="J347" s="38">
        <v>1235</v>
      </c>
      <c r="K347" s="39">
        <v>1289.5</v>
      </c>
      <c r="L347" s="37">
        <f t="shared" si="20"/>
        <v>-54.5</v>
      </c>
      <c r="M347" s="37">
        <f t="shared" si="21"/>
        <v>-4.2264443582784033</v>
      </c>
      <c r="N347" s="36">
        <v>99</v>
      </c>
      <c r="O347" s="36">
        <v>122.5</v>
      </c>
      <c r="P347" s="37">
        <f t="shared" si="22"/>
        <v>-23.5</v>
      </c>
      <c r="Q347" s="37">
        <f t="shared" si="23"/>
        <v>-19.183673469387756</v>
      </c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 spans="1:27" ht="24.5" hidden="1" x14ac:dyDescent="0.35">
      <c r="A348" s="104">
        <v>311776</v>
      </c>
      <c r="B348" s="5" t="s">
        <v>581</v>
      </c>
      <c r="C348" s="46" t="s">
        <v>700</v>
      </c>
      <c r="D348" s="13" t="s">
        <v>701</v>
      </c>
      <c r="E348" s="6" t="s">
        <v>187</v>
      </c>
      <c r="F348" s="6" t="s">
        <v>395</v>
      </c>
      <c r="G348" s="12" t="s">
        <v>395</v>
      </c>
      <c r="H348" s="51" t="s">
        <v>248</v>
      </c>
      <c r="I348" s="24" t="s">
        <v>86</v>
      </c>
      <c r="J348" s="38">
        <v>4214.5</v>
      </c>
      <c r="K348" s="39">
        <v>4111</v>
      </c>
      <c r="L348" s="37">
        <f t="shared" si="20"/>
        <v>103.5</v>
      </c>
      <c r="M348" s="37">
        <f t="shared" si="21"/>
        <v>2.517635611773291</v>
      </c>
      <c r="N348" s="36">
        <v>1027.5</v>
      </c>
      <c r="O348" s="36">
        <v>1207</v>
      </c>
      <c r="P348" s="37">
        <f t="shared" si="22"/>
        <v>-179.5</v>
      </c>
      <c r="Q348" s="37">
        <f t="shared" si="23"/>
        <v>-14.871582435791217</v>
      </c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 spans="1:27" hidden="1" x14ac:dyDescent="0.35">
      <c r="A349" s="104">
        <v>180790</v>
      </c>
      <c r="B349" s="5" t="s">
        <v>581</v>
      </c>
      <c r="C349" s="46" t="s">
        <v>612</v>
      </c>
      <c r="D349" s="13" t="s">
        <v>613</v>
      </c>
      <c r="E349" s="6" t="s">
        <v>187</v>
      </c>
      <c r="F349" s="6" t="s">
        <v>216</v>
      </c>
      <c r="G349" s="12" t="s">
        <v>216</v>
      </c>
      <c r="H349" s="51" t="s">
        <v>217</v>
      </c>
      <c r="I349" s="24" t="s">
        <v>86</v>
      </c>
      <c r="J349" s="38">
        <v>4540</v>
      </c>
      <c r="K349" s="39">
        <v>4022</v>
      </c>
      <c r="L349" s="37">
        <f t="shared" si="20"/>
        <v>518</v>
      </c>
      <c r="M349" s="37">
        <f t="shared" si="21"/>
        <v>12.879164594728989</v>
      </c>
      <c r="N349" s="36">
        <v>826</v>
      </c>
      <c r="O349" s="36">
        <v>940</v>
      </c>
      <c r="P349" s="37">
        <f t="shared" si="22"/>
        <v>-114</v>
      </c>
      <c r="Q349" s="37">
        <f t="shared" si="23"/>
        <v>-12.127659574468085</v>
      </c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 spans="1:27" ht="24.5" hidden="1" x14ac:dyDescent="0.35">
      <c r="A350" s="104">
        <v>356501</v>
      </c>
      <c r="B350" s="5" t="s">
        <v>581</v>
      </c>
      <c r="C350" s="46" t="s">
        <v>626</v>
      </c>
      <c r="D350" s="13" t="s">
        <v>627</v>
      </c>
      <c r="E350" s="6" t="s">
        <v>187</v>
      </c>
      <c r="F350" s="6" t="s">
        <v>244</v>
      </c>
      <c r="G350" s="12" t="s">
        <v>216</v>
      </c>
      <c r="H350" s="51" t="s">
        <v>217</v>
      </c>
      <c r="I350" s="24" t="s">
        <v>86</v>
      </c>
      <c r="J350" s="38">
        <v>1788</v>
      </c>
      <c r="K350" s="39">
        <v>1633</v>
      </c>
      <c r="L350" s="37">
        <f t="shared" si="20"/>
        <v>155</v>
      </c>
      <c r="M350" s="37">
        <f t="shared" si="21"/>
        <v>9.4917330067360677</v>
      </c>
      <c r="N350" s="36">
        <v>1164</v>
      </c>
      <c r="O350" s="36">
        <v>1099</v>
      </c>
      <c r="P350" s="37">
        <f t="shared" si="22"/>
        <v>65</v>
      </c>
      <c r="Q350" s="37">
        <f t="shared" si="23"/>
        <v>5.9144676979071882</v>
      </c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 spans="1:27" hidden="1" x14ac:dyDescent="0.35">
      <c r="A351" s="104">
        <v>107630</v>
      </c>
      <c r="B351" s="5" t="s">
        <v>581</v>
      </c>
      <c r="C351" s="46" t="s">
        <v>925</v>
      </c>
      <c r="D351" s="13" t="s">
        <v>550</v>
      </c>
      <c r="E351" s="6" t="s">
        <v>85</v>
      </c>
      <c r="F351" s="6" t="s">
        <v>303</v>
      </c>
      <c r="G351" s="12" t="s">
        <v>303</v>
      </c>
      <c r="H351" s="51" t="s">
        <v>304</v>
      </c>
      <c r="I351" s="24" t="s">
        <v>86</v>
      </c>
      <c r="J351" s="38">
        <v>2445</v>
      </c>
      <c r="K351" s="39">
        <v>2416</v>
      </c>
      <c r="L351" s="37">
        <f t="shared" si="20"/>
        <v>29</v>
      </c>
      <c r="M351" s="37">
        <f t="shared" si="21"/>
        <v>1.2003311258278146</v>
      </c>
      <c r="N351" s="36">
        <v>527</v>
      </c>
      <c r="O351" s="36">
        <v>782</v>
      </c>
      <c r="P351" s="37">
        <f t="shared" si="22"/>
        <v>-255</v>
      </c>
      <c r="Q351" s="37">
        <f t="shared" si="23"/>
        <v>-32.608695652173914</v>
      </c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 spans="1:27" ht="24.5" hidden="1" x14ac:dyDescent="0.35">
      <c r="A352" s="104">
        <v>524842</v>
      </c>
      <c r="B352" s="5" t="s">
        <v>581</v>
      </c>
      <c r="C352" s="46" t="s">
        <v>902</v>
      </c>
      <c r="D352" s="13" t="s">
        <v>903</v>
      </c>
      <c r="E352" s="6" t="s">
        <v>103</v>
      </c>
      <c r="F352" s="6" t="s">
        <v>211</v>
      </c>
      <c r="G352" s="12" t="s">
        <v>211</v>
      </c>
      <c r="H352" s="51" t="s">
        <v>135</v>
      </c>
      <c r="I352" s="24" t="s">
        <v>83</v>
      </c>
      <c r="J352" s="38">
        <v>3960</v>
      </c>
      <c r="K352" s="39">
        <v>3630</v>
      </c>
      <c r="L352" s="37">
        <f t="shared" si="20"/>
        <v>330</v>
      </c>
      <c r="M352" s="37">
        <f t="shared" si="21"/>
        <v>9.0909090909090917</v>
      </c>
      <c r="N352" s="36">
        <v>1952</v>
      </c>
      <c r="O352" s="36">
        <v>1964</v>
      </c>
      <c r="P352" s="37">
        <f t="shared" si="22"/>
        <v>-12</v>
      </c>
      <c r="Q352" s="37">
        <f t="shared" si="23"/>
        <v>-0.61099796334012213</v>
      </c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 spans="1:27" ht="48.5" hidden="1" x14ac:dyDescent="0.35">
      <c r="A353" s="104">
        <v>106224</v>
      </c>
      <c r="B353" s="5" t="s">
        <v>581</v>
      </c>
      <c r="C353" s="46" t="s">
        <v>677</v>
      </c>
      <c r="D353" s="13" t="s">
        <v>678</v>
      </c>
      <c r="E353" s="6" t="s">
        <v>94</v>
      </c>
      <c r="F353" s="6" t="s">
        <v>511</v>
      </c>
      <c r="G353" s="12" t="s">
        <v>511</v>
      </c>
      <c r="H353" s="51" t="s">
        <v>96</v>
      </c>
      <c r="I353" s="24" t="s">
        <v>83</v>
      </c>
      <c r="J353" s="38">
        <v>4326.5</v>
      </c>
      <c r="K353" s="39">
        <v>4093</v>
      </c>
      <c r="L353" s="37">
        <f t="shared" si="20"/>
        <v>233.5</v>
      </c>
      <c r="M353" s="37">
        <f t="shared" si="21"/>
        <v>5.704861959442951</v>
      </c>
      <c r="N353" s="36">
        <v>721.5</v>
      </c>
      <c r="O353" s="36">
        <v>783</v>
      </c>
      <c r="P353" s="37">
        <f t="shared" si="22"/>
        <v>-61.5</v>
      </c>
      <c r="Q353" s="37">
        <f t="shared" si="23"/>
        <v>-7.8544061302681989</v>
      </c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 spans="1:27" ht="48.5" hidden="1" x14ac:dyDescent="0.35">
      <c r="A354" s="104">
        <v>231563</v>
      </c>
      <c r="B354" s="5" t="s">
        <v>581</v>
      </c>
      <c r="C354" s="46" t="s">
        <v>751</v>
      </c>
      <c r="D354" s="13" t="s">
        <v>752</v>
      </c>
      <c r="E354" s="6" t="s">
        <v>103</v>
      </c>
      <c r="F354" s="6" t="s">
        <v>526</v>
      </c>
      <c r="G354" s="12" t="s">
        <v>526</v>
      </c>
      <c r="H354" s="51" t="s">
        <v>248</v>
      </c>
      <c r="I354" s="24" t="s">
        <v>78</v>
      </c>
      <c r="J354" s="38">
        <v>6013.5</v>
      </c>
      <c r="K354" s="39">
        <v>5934.5</v>
      </c>
      <c r="L354" s="37">
        <f t="shared" si="20"/>
        <v>79</v>
      </c>
      <c r="M354" s="37">
        <f t="shared" si="21"/>
        <v>1.3311989215603675</v>
      </c>
      <c r="N354" s="36">
        <v>2684.5</v>
      </c>
      <c r="O354" s="36">
        <v>3029.5</v>
      </c>
      <c r="P354" s="37">
        <f t="shared" si="22"/>
        <v>-345</v>
      </c>
      <c r="Q354" s="37">
        <f t="shared" si="23"/>
        <v>-11.388017824723553</v>
      </c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 spans="1:27" ht="24.5" hidden="1" x14ac:dyDescent="0.35">
      <c r="A355" s="104">
        <v>106275</v>
      </c>
      <c r="B355" s="5" t="s">
        <v>581</v>
      </c>
      <c r="C355" s="46" t="s">
        <v>785</v>
      </c>
      <c r="D355" s="13" t="s">
        <v>579</v>
      </c>
      <c r="E355" s="6" t="s">
        <v>85</v>
      </c>
      <c r="F355" s="6" t="s">
        <v>580</v>
      </c>
      <c r="G355" s="12" t="s">
        <v>580</v>
      </c>
      <c r="H355" s="51" t="s">
        <v>304</v>
      </c>
      <c r="I355" s="24" t="s">
        <v>86</v>
      </c>
      <c r="J355" s="38">
        <v>8337</v>
      </c>
      <c r="K355" s="39">
        <v>8093</v>
      </c>
      <c r="L355" s="37">
        <f t="shared" si="20"/>
        <v>244</v>
      </c>
      <c r="M355" s="37">
        <f t="shared" si="21"/>
        <v>3.0149511923884837</v>
      </c>
      <c r="N355" s="36">
        <v>1955</v>
      </c>
      <c r="O355" s="36">
        <v>1947</v>
      </c>
      <c r="P355" s="37">
        <f t="shared" si="22"/>
        <v>8</v>
      </c>
      <c r="Q355" s="37">
        <f t="shared" si="23"/>
        <v>0.41088854648176681</v>
      </c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 spans="1:27" ht="24.5" hidden="1" x14ac:dyDescent="0.35">
      <c r="A356" s="104">
        <v>179954</v>
      </c>
      <c r="B356" s="5" t="s">
        <v>581</v>
      </c>
      <c r="C356" s="46" t="s">
        <v>840</v>
      </c>
      <c r="D356" s="13" t="s">
        <v>841</v>
      </c>
      <c r="E356" s="6" t="s">
        <v>81</v>
      </c>
      <c r="F356" s="6" t="s">
        <v>140</v>
      </c>
      <c r="G356" s="12" t="s">
        <v>140</v>
      </c>
      <c r="H356" s="51" t="s">
        <v>141</v>
      </c>
      <c r="I356" s="24" t="s">
        <v>83</v>
      </c>
      <c r="J356" s="38">
        <v>3245</v>
      </c>
      <c r="K356" s="39">
        <v>3126.5</v>
      </c>
      <c r="L356" s="37">
        <f t="shared" si="20"/>
        <v>118.5</v>
      </c>
      <c r="M356" s="37">
        <f t="shared" si="21"/>
        <v>3.7901807132576364</v>
      </c>
      <c r="N356" s="36">
        <v>1915</v>
      </c>
      <c r="O356" s="36">
        <v>2175.5</v>
      </c>
      <c r="P356" s="37">
        <f t="shared" si="22"/>
        <v>-260.5</v>
      </c>
      <c r="Q356" s="37">
        <f t="shared" si="23"/>
        <v>-11.974258791082509</v>
      </c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 spans="1:27" ht="24.5" hidden="1" x14ac:dyDescent="0.35">
      <c r="A357" s="104">
        <v>107629</v>
      </c>
      <c r="B357" s="5" t="s">
        <v>581</v>
      </c>
      <c r="C357" s="46" t="s">
        <v>727</v>
      </c>
      <c r="D357" s="13" t="s">
        <v>728</v>
      </c>
      <c r="E357" s="6" t="s">
        <v>111</v>
      </c>
      <c r="F357" s="6" t="s">
        <v>112</v>
      </c>
      <c r="G357" s="12" t="s">
        <v>112</v>
      </c>
      <c r="H357" s="51" t="s">
        <v>275</v>
      </c>
      <c r="I357" s="24" t="s">
        <v>78</v>
      </c>
      <c r="J357" s="38">
        <v>6426</v>
      </c>
      <c r="K357" s="39">
        <v>6740.5</v>
      </c>
      <c r="L357" s="37">
        <f t="shared" si="20"/>
        <v>-314.5</v>
      </c>
      <c r="M357" s="37">
        <f t="shared" si="21"/>
        <v>-4.6658259773013873</v>
      </c>
      <c r="N357" s="36">
        <v>1800</v>
      </c>
      <c r="O357" s="36">
        <v>2227.5</v>
      </c>
      <c r="P357" s="37">
        <f t="shared" si="22"/>
        <v>-427.5</v>
      </c>
      <c r="Q357" s="37">
        <f t="shared" si="23"/>
        <v>-19.19191919191919</v>
      </c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 spans="1:27" ht="24.5" hidden="1" x14ac:dyDescent="0.35">
      <c r="A358" s="104">
        <v>186867</v>
      </c>
      <c r="B358" s="5" t="s">
        <v>581</v>
      </c>
      <c r="C358" s="46" t="s">
        <v>793</v>
      </c>
      <c r="D358" s="13" t="s">
        <v>794</v>
      </c>
      <c r="E358" s="6" t="s">
        <v>75</v>
      </c>
      <c r="F358" s="6" t="s">
        <v>220</v>
      </c>
      <c r="G358" s="12" t="s">
        <v>220</v>
      </c>
      <c r="H358" s="51" t="s">
        <v>77</v>
      </c>
      <c r="I358" s="24" t="s">
        <v>78</v>
      </c>
      <c r="J358" s="38">
        <v>7326</v>
      </c>
      <c r="K358" s="39">
        <v>7083.5</v>
      </c>
      <c r="L358" s="37">
        <f t="shared" si="20"/>
        <v>242.5</v>
      </c>
      <c r="M358" s="37">
        <f t="shared" si="21"/>
        <v>3.4234488600268231</v>
      </c>
      <c r="N358" s="36">
        <v>1434</v>
      </c>
      <c r="O358" s="36">
        <v>1468.5</v>
      </c>
      <c r="P358" s="37">
        <f t="shared" si="22"/>
        <v>-34.5</v>
      </c>
      <c r="Q358" s="37">
        <f t="shared" si="23"/>
        <v>-2.3493360572012256</v>
      </c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 spans="1:27" ht="24.5" hidden="1" x14ac:dyDescent="0.35">
      <c r="A359" s="104">
        <v>186855</v>
      </c>
      <c r="B359" s="5" t="s">
        <v>581</v>
      </c>
      <c r="C359" s="46" t="s">
        <v>878</v>
      </c>
      <c r="D359" s="13" t="s">
        <v>879</v>
      </c>
      <c r="E359" s="6" t="s">
        <v>75</v>
      </c>
      <c r="F359" s="6" t="s">
        <v>220</v>
      </c>
      <c r="G359" s="12" t="s">
        <v>220</v>
      </c>
      <c r="H359" s="51" t="s">
        <v>77</v>
      </c>
      <c r="I359" s="24" t="s">
        <v>78</v>
      </c>
      <c r="J359" s="38">
        <v>5645</v>
      </c>
      <c r="K359" s="39">
        <v>5470</v>
      </c>
      <c r="L359" s="37">
        <f t="shared" si="20"/>
        <v>175</v>
      </c>
      <c r="M359" s="37">
        <f t="shared" si="21"/>
        <v>3.1992687385740401</v>
      </c>
      <c r="N359" s="36">
        <v>1695</v>
      </c>
      <c r="O359" s="36">
        <v>2482</v>
      </c>
      <c r="P359" s="37">
        <f t="shared" si="22"/>
        <v>-787</v>
      </c>
      <c r="Q359" s="37">
        <f t="shared" si="23"/>
        <v>-31.708299758259468</v>
      </c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 spans="1:27" hidden="1" x14ac:dyDescent="0.35">
      <c r="A360" s="104">
        <v>106354</v>
      </c>
      <c r="B360" s="5" t="s">
        <v>581</v>
      </c>
      <c r="C360" s="46" t="s">
        <v>915</v>
      </c>
      <c r="D360" s="13" t="s">
        <v>916</v>
      </c>
      <c r="E360" s="6" t="s">
        <v>94</v>
      </c>
      <c r="F360" s="6" t="s">
        <v>166</v>
      </c>
      <c r="G360" s="12" t="s">
        <v>166</v>
      </c>
      <c r="H360" s="51" t="s">
        <v>120</v>
      </c>
      <c r="I360" s="24" t="s">
        <v>83</v>
      </c>
      <c r="J360" s="38">
        <v>8053.5</v>
      </c>
      <c r="K360" s="39">
        <v>7790.5</v>
      </c>
      <c r="L360" s="37">
        <f t="shared" si="20"/>
        <v>263</v>
      </c>
      <c r="M360" s="37">
        <f t="shared" si="21"/>
        <v>3.3759065528528338</v>
      </c>
      <c r="N360" s="36">
        <v>1380.5</v>
      </c>
      <c r="O360" s="36">
        <v>1627.5</v>
      </c>
      <c r="P360" s="37">
        <f t="shared" si="22"/>
        <v>-247</v>
      </c>
      <c r="Q360" s="37">
        <f t="shared" si="23"/>
        <v>-15.176651305683563</v>
      </c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 spans="1:27" ht="24.5" hidden="1" x14ac:dyDescent="0.35">
      <c r="A361" s="104">
        <v>106324</v>
      </c>
      <c r="B361" s="5" t="s">
        <v>581</v>
      </c>
      <c r="C361" s="46" t="s">
        <v>857</v>
      </c>
      <c r="D361" s="13" t="s">
        <v>858</v>
      </c>
      <c r="E361" s="6" t="s">
        <v>103</v>
      </c>
      <c r="F361" s="6" t="s">
        <v>428</v>
      </c>
      <c r="G361" s="12" t="s">
        <v>428</v>
      </c>
      <c r="H361" s="51" t="s">
        <v>248</v>
      </c>
      <c r="I361" s="24" t="s">
        <v>78</v>
      </c>
      <c r="J361" s="38">
        <v>5907.5</v>
      </c>
      <c r="K361" s="39">
        <v>5805</v>
      </c>
      <c r="L361" s="37">
        <f t="shared" si="20"/>
        <v>102.5</v>
      </c>
      <c r="M361" s="37">
        <f t="shared" si="21"/>
        <v>1.7657192075796728</v>
      </c>
      <c r="N361" s="36">
        <v>1106.5</v>
      </c>
      <c r="O361" s="36">
        <v>1359</v>
      </c>
      <c r="P361" s="37">
        <f t="shared" si="22"/>
        <v>-252.5</v>
      </c>
      <c r="Q361" s="37">
        <f t="shared" si="23"/>
        <v>-18.579838116261957</v>
      </c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 spans="1:27" hidden="1" x14ac:dyDescent="0.35">
      <c r="A362" s="104">
        <v>106336</v>
      </c>
      <c r="B362" s="5" t="s">
        <v>581</v>
      </c>
      <c r="C362" s="46" t="s">
        <v>880</v>
      </c>
      <c r="D362" s="13" t="s">
        <v>881</v>
      </c>
      <c r="E362" s="6" t="s">
        <v>81</v>
      </c>
      <c r="F362" s="6" t="s">
        <v>195</v>
      </c>
      <c r="G362" s="12" t="s">
        <v>195</v>
      </c>
      <c r="H362" s="51" t="s">
        <v>135</v>
      </c>
      <c r="I362" s="24" t="s">
        <v>83</v>
      </c>
      <c r="J362" s="38">
        <v>9572</v>
      </c>
      <c r="K362" s="39">
        <v>9550</v>
      </c>
      <c r="L362" s="37">
        <f t="shared" si="20"/>
        <v>22</v>
      </c>
      <c r="M362" s="37">
        <f t="shared" si="21"/>
        <v>0.23036649214659685</v>
      </c>
      <c r="N362" s="36">
        <v>1202</v>
      </c>
      <c r="O362" s="36">
        <v>1294</v>
      </c>
      <c r="P362" s="37">
        <f t="shared" si="22"/>
        <v>-92</v>
      </c>
      <c r="Q362" s="37">
        <f t="shared" si="23"/>
        <v>-7.1097372488408039</v>
      </c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 spans="1:27" ht="24.5" hidden="1" x14ac:dyDescent="0.35">
      <c r="A363" s="104">
        <v>106303</v>
      </c>
      <c r="B363" s="5" t="s">
        <v>581</v>
      </c>
      <c r="C363" s="46" t="s">
        <v>828</v>
      </c>
      <c r="D363" s="13" t="s">
        <v>829</v>
      </c>
      <c r="E363" s="6" t="s">
        <v>103</v>
      </c>
      <c r="F363" s="6" t="s">
        <v>119</v>
      </c>
      <c r="G363" s="12" t="s">
        <v>119</v>
      </c>
      <c r="H363" s="51" t="s">
        <v>96</v>
      </c>
      <c r="I363" s="24" t="s">
        <v>83</v>
      </c>
      <c r="J363" s="38">
        <v>3403</v>
      </c>
      <c r="K363" s="39">
        <v>3338.5</v>
      </c>
      <c r="L363" s="37">
        <f t="shared" si="20"/>
        <v>64.5</v>
      </c>
      <c r="M363" s="37">
        <f t="shared" si="21"/>
        <v>1.9320053916429534</v>
      </c>
      <c r="N363" s="36">
        <v>763</v>
      </c>
      <c r="O363" s="36">
        <v>885.5</v>
      </c>
      <c r="P363" s="37">
        <f t="shared" si="22"/>
        <v>-122.5</v>
      </c>
      <c r="Q363" s="37">
        <f t="shared" si="23"/>
        <v>-13.83399209486166</v>
      </c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 spans="1:27" ht="24.5" hidden="1" x14ac:dyDescent="0.35">
      <c r="A364" s="104">
        <v>102099</v>
      </c>
      <c r="B364" s="5" t="s">
        <v>581</v>
      </c>
      <c r="C364" s="46" t="s">
        <v>656</v>
      </c>
      <c r="D364" s="13" t="s">
        <v>657</v>
      </c>
      <c r="E364" s="6" t="s">
        <v>187</v>
      </c>
      <c r="F364" s="6" t="s">
        <v>356</v>
      </c>
      <c r="G364" s="12" t="s">
        <v>395</v>
      </c>
      <c r="H364" s="51" t="s">
        <v>248</v>
      </c>
      <c r="I364" s="24" t="s">
        <v>86</v>
      </c>
      <c r="J364" s="38">
        <v>6836</v>
      </c>
      <c r="K364" s="39">
        <v>6696</v>
      </c>
      <c r="L364" s="37">
        <f t="shared" si="20"/>
        <v>140</v>
      </c>
      <c r="M364" s="37">
        <f t="shared" si="21"/>
        <v>2.0908004778972518</v>
      </c>
      <c r="N364" s="36">
        <v>1068</v>
      </c>
      <c r="O364" s="36">
        <v>1218</v>
      </c>
      <c r="P364" s="37">
        <f t="shared" si="22"/>
        <v>-150</v>
      </c>
      <c r="Q364" s="37">
        <f t="shared" si="23"/>
        <v>-12.315270935960591</v>
      </c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spans="1:27" ht="24.5" hidden="1" x14ac:dyDescent="0.35">
      <c r="A365" s="104">
        <v>106308</v>
      </c>
      <c r="B365" s="5" t="s">
        <v>581</v>
      </c>
      <c r="C365" s="46" t="s">
        <v>954</v>
      </c>
      <c r="D365" s="13" t="s">
        <v>955</v>
      </c>
      <c r="E365" s="6" t="s">
        <v>85</v>
      </c>
      <c r="F365" s="6" t="s">
        <v>192</v>
      </c>
      <c r="G365" s="12" t="s">
        <v>192</v>
      </c>
      <c r="H365" s="51" t="s">
        <v>178</v>
      </c>
      <c r="I365" s="24" t="s">
        <v>86</v>
      </c>
      <c r="J365" s="38">
        <v>88</v>
      </c>
      <c r="K365" s="39">
        <v>247</v>
      </c>
      <c r="L365" s="37">
        <f t="shared" si="20"/>
        <v>-159</v>
      </c>
      <c r="M365" s="37">
        <f t="shared" si="21"/>
        <v>-64.372469635627525</v>
      </c>
      <c r="N365" s="36">
        <v>74</v>
      </c>
      <c r="O365" s="36">
        <v>239</v>
      </c>
      <c r="P365" s="37">
        <f t="shared" si="22"/>
        <v>-165</v>
      </c>
      <c r="Q365" s="37">
        <f t="shared" si="23"/>
        <v>-69.037656903765694</v>
      </c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 spans="1:27" ht="24.5" hidden="1" x14ac:dyDescent="0.35">
      <c r="A366" s="104">
        <v>102075</v>
      </c>
      <c r="B366" s="5" t="s">
        <v>581</v>
      </c>
      <c r="C366" s="46" t="s">
        <v>739</v>
      </c>
      <c r="D366" s="13" t="s">
        <v>740</v>
      </c>
      <c r="E366" s="6" t="s">
        <v>169</v>
      </c>
      <c r="F366" s="6" t="s">
        <v>170</v>
      </c>
      <c r="G366" s="12" t="s">
        <v>170</v>
      </c>
      <c r="H366" s="51" t="s">
        <v>172</v>
      </c>
      <c r="I366" s="24" t="s">
        <v>78</v>
      </c>
      <c r="J366" s="38">
        <v>3484</v>
      </c>
      <c r="K366" s="39">
        <v>3574</v>
      </c>
      <c r="L366" s="37">
        <f t="shared" si="20"/>
        <v>-90</v>
      </c>
      <c r="M366" s="37">
        <f t="shared" si="21"/>
        <v>-2.5181869054280921</v>
      </c>
      <c r="N366" s="36">
        <v>894</v>
      </c>
      <c r="O366" s="36">
        <v>1930</v>
      </c>
      <c r="P366" s="37">
        <f t="shared" si="22"/>
        <v>-1036</v>
      </c>
      <c r="Q366" s="37">
        <f t="shared" si="23"/>
        <v>-53.678756476683944</v>
      </c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 spans="1:27" ht="24.5" hidden="1" x14ac:dyDescent="0.35">
      <c r="A367" s="104">
        <v>102073</v>
      </c>
      <c r="B367" s="5" t="s">
        <v>581</v>
      </c>
      <c r="C367" s="46" t="s">
        <v>755</v>
      </c>
      <c r="D367" s="13" t="s">
        <v>756</v>
      </c>
      <c r="E367" s="6" t="s">
        <v>103</v>
      </c>
      <c r="F367" s="6" t="s">
        <v>130</v>
      </c>
      <c r="G367" s="12" t="s">
        <v>130</v>
      </c>
      <c r="H367" s="51" t="s">
        <v>105</v>
      </c>
      <c r="I367" s="24" t="s">
        <v>78</v>
      </c>
      <c r="J367" s="38">
        <v>6901</v>
      </c>
      <c r="K367" s="39">
        <v>6650</v>
      </c>
      <c r="L367" s="37">
        <f t="shared" si="20"/>
        <v>251</v>
      </c>
      <c r="M367" s="37">
        <f t="shared" si="21"/>
        <v>3.7744360902255636</v>
      </c>
      <c r="N367" s="36">
        <v>1877</v>
      </c>
      <c r="O367" s="36">
        <v>2270</v>
      </c>
      <c r="P367" s="37">
        <f t="shared" si="22"/>
        <v>-393</v>
      </c>
      <c r="Q367" s="37">
        <f t="shared" si="23"/>
        <v>-17.312775330396477</v>
      </c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 spans="1:27" ht="24.5" hidden="1" x14ac:dyDescent="0.35">
      <c r="A368" s="104">
        <v>106341</v>
      </c>
      <c r="B368" s="5" t="s">
        <v>581</v>
      </c>
      <c r="C368" s="46" t="s">
        <v>892</v>
      </c>
      <c r="D368" s="13" t="s">
        <v>728</v>
      </c>
      <c r="E368" s="6" t="s">
        <v>111</v>
      </c>
      <c r="F368" s="6" t="s">
        <v>112</v>
      </c>
      <c r="G368" s="12" t="s">
        <v>112</v>
      </c>
      <c r="H368" s="51" t="s">
        <v>275</v>
      </c>
      <c r="I368" s="24" t="s">
        <v>78</v>
      </c>
      <c r="J368" s="38">
        <v>4051</v>
      </c>
      <c r="K368" s="39">
        <v>4671</v>
      </c>
      <c r="L368" s="37">
        <f t="shared" si="20"/>
        <v>-620</v>
      </c>
      <c r="M368" s="37">
        <f t="shared" si="21"/>
        <v>-13.273388995932347</v>
      </c>
      <c r="N368" s="36">
        <v>1107</v>
      </c>
      <c r="O368" s="36">
        <v>1401</v>
      </c>
      <c r="P368" s="37">
        <f t="shared" si="22"/>
        <v>-294</v>
      </c>
      <c r="Q368" s="37">
        <f t="shared" si="23"/>
        <v>-20.985010706638114</v>
      </c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 spans="1:27" ht="24.5" hidden="1" x14ac:dyDescent="0.35">
      <c r="A369" s="104">
        <v>106245</v>
      </c>
      <c r="B369" s="5" t="s">
        <v>581</v>
      </c>
      <c r="C369" s="46" t="s">
        <v>904</v>
      </c>
      <c r="D369" s="13" t="s">
        <v>566</v>
      </c>
      <c r="E369" s="6" t="s">
        <v>85</v>
      </c>
      <c r="F369" s="6" t="s">
        <v>373</v>
      </c>
      <c r="G369" s="12" t="s">
        <v>373</v>
      </c>
      <c r="H369" s="51" t="s">
        <v>120</v>
      </c>
      <c r="I369" s="24" t="s">
        <v>86</v>
      </c>
      <c r="J369" s="38">
        <v>3892.5</v>
      </c>
      <c r="K369" s="39">
        <v>3993.5</v>
      </c>
      <c r="L369" s="37">
        <f t="shared" si="20"/>
        <v>-101</v>
      </c>
      <c r="M369" s="37">
        <f t="shared" si="21"/>
        <v>-2.5291098034305746</v>
      </c>
      <c r="N369" s="36">
        <v>1009.5</v>
      </c>
      <c r="O369" s="36">
        <v>976.5</v>
      </c>
      <c r="P369" s="37">
        <f t="shared" si="22"/>
        <v>33</v>
      </c>
      <c r="Q369" s="37">
        <f t="shared" si="23"/>
        <v>3.3794162826420893</v>
      </c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 spans="1:27" ht="36.5" hidden="1" x14ac:dyDescent="0.35">
      <c r="A370" s="104">
        <v>254695</v>
      </c>
      <c r="B370" s="5" t="s">
        <v>581</v>
      </c>
      <c r="C370" s="46" t="s">
        <v>949</v>
      </c>
      <c r="D370" s="13" t="s">
        <v>950</v>
      </c>
      <c r="E370" s="6" t="s">
        <v>89</v>
      </c>
      <c r="F370" s="6" t="s">
        <v>294</v>
      </c>
      <c r="G370" s="12" t="s">
        <v>294</v>
      </c>
      <c r="H370" s="51" t="s">
        <v>91</v>
      </c>
      <c r="I370" s="24" t="s">
        <v>86</v>
      </c>
      <c r="J370" s="38">
        <v>178.5</v>
      </c>
      <c r="K370" s="39">
        <v>258.5</v>
      </c>
      <c r="L370" s="37">
        <f t="shared" si="20"/>
        <v>-80</v>
      </c>
      <c r="M370" s="37">
        <f t="shared" si="21"/>
        <v>-30.947775628626694</v>
      </c>
      <c r="N370" s="36">
        <v>477.5</v>
      </c>
      <c r="O370" s="36">
        <v>657.5</v>
      </c>
      <c r="P370" s="37">
        <f t="shared" si="22"/>
        <v>-180</v>
      </c>
      <c r="Q370" s="37">
        <f t="shared" si="23"/>
        <v>-27.376425855513308</v>
      </c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 spans="1:27" ht="24.5" hidden="1" x14ac:dyDescent="0.35">
      <c r="A371" s="104">
        <v>102087</v>
      </c>
      <c r="B371" s="5" t="s">
        <v>581</v>
      </c>
      <c r="C371" s="46" t="s">
        <v>907</v>
      </c>
      <c r="D371" s="13" t="s">
        <v>908</v>
      </c>
      <c r="E371" s="6" t="s">
        <v>103</v>
      </c>
      <c r="F371" s="6" t="s">
        <v>181</v>
      </c>
      <c r="G371" s="12" t="s">
        <v>181</v>
      </c>
      <c r="H371" s="51" t="s">
        <v>105</v>
      </c>
      <c r="I371" s="24" t="s">
        <v>83</v>
      </c>
      <c r="J371" s="38">
        <v>3200</v>
      </c>
      <c r="K371" s="39">
        <v>3390.5</v>
      </c>
      <c r="L371" s="37">
        <f t="shared" si="20"/>
        <v>-190.5</v>
      </c>
      <c r="M371" s="37">
        <f t="shared" si="21"/>
        <v>-5.6186403185370892</v>
      </c>
      <c r="N371" s="36">
        <v>642</v>
      </c>
      <c r="O371" s="36">
        <v>989.5</v>
      </c>
      <c r="P371" s="37">
        <f t="shared" si="22"/>
        <v>-347.5</v>
      </c>
      <c r="Q371" s="37">
        <f t="shared" si="23"/>
        <v>-35.118746841839311</v>
      </c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 spans="1:27" ht="24.5" hidden="1" x14ac:dyDescent="0.35">
      <c r="A372" s="104">
        <v>102118</v>
      </c>
      <c r="B372" s="5" t="s">
        <v>581</v>
      </c>
      <c r="C372" s="46" t="s">
        <v>938</v>
      </c>
      <c r="D372" s="13" t="s">
        <v>939</v>
      </c>
      <c r="E372" s="6" t="s">
        <v>75</v>
      </c>
      <c r="F372" s="6" t="s">
        <v>76</v>
      </c>
      <c r="G372" s="12" t="s">
        <v>76</v>
      </c>
      <c r="H372" s="51" t="s">
        <v>77</v>
      </c>
      <c r="I372" s="24" t="s">
        <v>78</v>
      </c>
      <c r="J372" s="38">
        <v>6959</v>
      </c>
      <c r="K372" s="39">
        <v>6943.5</v>
      </c>
      <c r="L372" s="37">
        <f t="shared" si="20"/>
        <v>15.5</v>
      </c>
      <c r="M372" s="37">
        <f t="shared" si="21"/>
        <v>0.22323035932886875</v>
      </c>
      <c r="N372" s="36">
        <v>2461</v>
      </c>
      <c r="O372" s="36">
        <v>2758.5</v>
      </c>
      <c r="P372" s="37">
        <f t="shared" si="22"/>
        <v>-297.5</v>
      </c>
      <c r="Q372" s="37">
        <f t="shared" si="23"/>
        <v>-10.784846837049122</v>
      </c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  <row r="373" spans="1:27" ht="24.5" hidden="1" x14ac:dyDescent="0.35">
      <c r="A373" s="105">
        <v>122804</v>
      </c>
      <c r="B373" s="5" t="s">
        <v>581</v>
      </c>
      <c r="C373" s="46" t="s">
        <v>610</v>
      </c>
      <c r="D373" s="13" t="s">
        <v>611</v>
      </c>
      <c r="E373" s="6" t="s">
        <v>89</v>
      </c>
      <c r="F373" s="6" t="s">
        <v>237</v>
      </c>
      <c r="G373" s="12" t="s">
        <v>392</v>
      </c>
      <c r="H373" s="51" t="s">
        <v>1007</v>
      </c>
      <c r="I373" s="24" t="s">
        <v>86</v>
      </c>
      <c r="J373" s="38">
        <v>1106</v>
      </c>
      <c r="K373" s="39">
        <v>1326</v>
      </c>
      <c r="L373" s="37">
        <f t="shared" si="20"/>
        <v>-220</v>
      </c>
      <c r="M373" s="37">
        <f t="shared" si="21"/>
        <v>-16.59125188536953</v>
      </c>
      <c r="N373" s="36">
        <v>1874</v>
      </c>
      <c r="O373" s="36">
        <v>3166</v>
      </c>
      <c r="P373" s="37">
        <f t="shared" si="22"/>
        <v>-1292</v>
      </c>
      <c r="Q373" s="37">
        <f t="shared" si="23"/>
        <v>-40.808591282375239</v>
      </c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 spans="1:27" ht="24.5" hidden="1" x14ac:dyDescent="0.35">
      <c r="A374" s="104">
        <v>106321</v>
      </c>
      <c r="B374" s="5" t="s">
        <v>581</v>
      </c>
      <c r="C374" s="46" t="s">
        <v>849</v>
      </c>
      <c r="D374" s="13" t="s">
        <v>850</v>
      </c>
      <c r="E374" s="6" t="s">
        <v>94</v>
      </c>
      <c r="F374" s="6" t="s">
        <v>95</v>
      </c>
      <c r="G374" s="12" t="s">
        <v>95</v>
      </c>
      <c r="H374" s="51" t="s">
        <v>96</v>
      </c>
      <c r="I374" s="24" t="s">
        <v>83</v>
      </c>
      <c r="J374" s="38">
        <v>6731</v>
      </c>
      <c r="K374" s="39">
        <v>6637.5</v>
      </c>
      <c r="L374" s="37">
        <f t="shared" si="20"/>
        <v>93.5</v>
      </c>
      <c r="M374" s="37">
        <f t="shared" si="21"/>
        <v>1.408662900188324</v>
      </c>
      <c r="N374" s="36">
        <v>1661</v>
      </c>
      <c r="O374" s="36">
        <v>2137</v>
      </c>
      <c r="P374" s="37">
        <f t="shared" si="22"/>
        <v>-476</v>
      </c>
      <c r="Q374" s="37">
        <f t="shared" si="23"/>
        <v>-22.274216190921852</v>
      </c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 spans="1:27" hidden="1" x14ac:dyDescent="0.35">
      <c r="A375" s="104">
        <v>186832</v>
      </c>
      <c r="B375" s="5" t="s">
        <v>581</v>
      </c>
      <c r="C375" s="46" t="s">
        <v>729</v>
      </c>
      <c r="D375" s="13" t="s">
        <v>472</v>
      </c>
      <c r="E375" s="6" t="s">
        <v>228</v>
      </c>
      <c r="F375" s="6" t="s">
        <v>241</v>
      </c>
      <c r="G375" s="12" t="s">
        <v>241</v>
      </c>
      <c r="H375" s="51" t="s">
        <v>230</v>
      </c>
      <c r="I375" s="24" t="s">
        <v>78</v>
      </c>
      <c r="J375" s="38">
        <v>7210</v>
      </c>
      <c r="K375" s="39">
        <v>7063</v>
      </c>
      <c r="L375" s="37">
        <f t="shared" si="20"/>
        <v>147</v>
      </c>
      <c r="M375" s="37">
        <f t="shared" si="21"/>
        <v>2.0812685827552033</v>
      </c>
      <c r="N375" s="36">
        <v>898</v>
      </c>
      <c r="O375" s="36">
        <v>879</v>
      </c>
      <c r="P375" s="37">
        <f t="shared" si="22"/>
        <v>19</v>
      </c>
      <c r="Q375" s="37">
        <f t="shared" si="23"/>
        <v>2.1615472127417523</v>
      </c>
      <c r="R375" s="37"/>
      <c r="S375" s="37"/>
      <c r="T375" s="37"/>
      <c r="U375" s="37"/>
      <c r="V375" s="37"/>
      <c r="W375" s="37"/>
      <c r="X375" s="37"/>
      <c r="Y375" s="37"/>
      <c r="Z375" s="37"/>
      <c r="AA375" s="37"/>
    </row>
    <row r="376" spans="1:27" ht="24.5" hidden="1" x14ac:dyDescent="0.35">
      <c r="A376" s="104">
        <v>106347</v>
      </c>
      <c r="B376" s="5" t="s">
        <v>581</v>
      </c>
      <c r="C376" s="46" t="s">
        <v>704</v>
      </c>
      <c r="D376" s="13" t="s">
        <v>705</v>
      </c>
      <c r="E376" s="6" t="s">
        <v>89</v>
      </c>
      <c r="F376" s="6" t="s">
        <v>310</v>
      </c>
      <c r="G376" s="12" t="s">
        <v>310</v>
      </c>
      <c r="H376" s="51" t="s">
        <v>205</v>
      </c>
      <c r="I376" s="24" t="s">
        <v>86</v>
      </c>
      <c r="J376" s="38">
        <v>3731</v>
      </c>
      <c r="K376" s="39">
        <v>3671</v>
      </c>
      <c r="L376" s="37">
        <f t="shared" si="20"/>
        <v>60</v>
      </c>
      <c r="M376" s="37">
        <f t="shared" si="21"/>
        <v>1.6344320348678836</v>
      </c>
      <c r="N376" s="36">
        <v>549</v>
      </c>
      <c r="O376" s="36">
        <v>673</v>
      </c>
      <c r="P376" s="37">
        <f t="shared" si="22"/>
        <v>-124</v>
      </c>
      <c r="Q376" s="37">
        <f t="shared" si="23"/>
        <v>-18.424962852897476</v>
      </c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 spans="1:27" ht="24.5" hidden="1" x14ac:dyDescent="0.35">
      <c r="A377" s="104">
        <v>234809</v>
      </c>
      <c r="B377" s="5" t="s">
        <v>581</v>
      </c>
      <c r="C377" s="46" t="s">
        <v>910</v>
      </c>
      <c r="D377" s="13" t="s">
        <v>911</v>
      </c>
      <c r="E377" s="6" t="s">
        <v>89</v>
      </c>
      <c r="F377" s="6" t="s">
        <v>90</v>
      </c>
      <c r="G377" s="12" t="s">
        <v>90</v>
      </c>
      <c r="H377" s="51" t="s">
        <v>1004</v>
      </c>
      <c r="I377" s="24" t="s">
        <v>86</v>
      </c>
      <c r="J377" s="38">
        <v>952</v>
      </c>
      <c r="K377" s="39">
        <v>923.5</v>
      </c>
      <c r="L377" s="37">
        <f t="shared" si="20"/>
        <v>28.5</v>
      </c>
      <c r="M377" s="37">
        <f t="shared" si="21"/>
        <v>3.0860855441256092</v>
      </c>
      <c r="N377" s="36">
        <v>1028</v>
      </c>
      <c r="O377" s="36">
        <v>984.5</v>
      </c>
      <c r="P377" s="37">
        <f t="shared" si="22"/>
        <v>43.5</v>
      </c>
      <c r="Q377" s="37">
        <f t="shared" si="23"/>
        <v>4.4184865413915686</v>
      </c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 spans="1:27" ht="36.5" hidden="1" x14ac:dyDescent="0.35">
      <c r="A378" s="104">
        <v>254694</v>
      </c>
      <c r="B378" s="5" t="s">
        <v>581</v>
      </c>
      <c r="C378" s="46" t="s">
        <v>909</v>
      </c>
      <c r="D378" s="13" t="s">
        <v>591</v>
      </c>
      <c r="E378" s="6" t="s">
        <v>89</v>
      </c>
      <c r="F378" s="6" t="s">
        <v>294</v>
      </c>
      <c r="G378" s="12" t="s">
        <v>294</v>
      </c>
      <c r="H378" s="51" t="s">
        <v>91</v>
      </c>
      <c r="I378" s="24" t="s">
        <v>86</v>
      </c>
      <c r="J378" s="38">
        <v>1049</v>
      </c>
      <c r="K378" s="39">
        <v>1201</v>
      </c>
      <c r="L378" s="37">
        <f t="shared" si="20"/>
        <v>-152</v>
      </c>
      <c r="M378" s="37">
        <f t="shared" si="21"/>
        <v>-12.656119900083265</v>
      </c>
      <c r="N378" s="36">
        <v>799</v>
      </c>
      <c r="O378" s="36">
        <v>889</v>
      </c>
      <c r="P378" s="37">
        <f t="shared" si="22"/>
        <v>-90</v>
      </c>
      <c r="Q378" s="37">
        <f t="shared" si="23"/>
        <v>-10.123734533183352</v>
      </c>
      <c r="R378" s="37"/>
      <c r="S378" s="37"/>
      <c r="T378" s="37"/>
      <c r="U378" s="37"/>
      <c r="V378" s="37"/>
      <c r="W378" s="37"/>
      <c r="X378" s="37"/>
      <c r="Y378" s="37"/>
      <c r="Z378" s="37"/>
      <c r="AA378" s="37"/>
    </row>
    <row r="379" spans="1:27" ht="24.5" hidden="1" x14ac:dyDescent="0.35">
      <c r="A379" s="104">
        <v>274208</v>
      </c>
      <c r="B379" s="5" t="s">
        <v>581</v>
      </c>
      <c r="C379" s="46" t="s">
        <v>764</v>
      </c>
      <c r="D379" s="13" t="s">
        <v>765</v>
      </c>
      <c r="E379" s="6" t="s">
        <v>228</v>
      </c>
      <c r="F379" s="6" t="s">
        <v>462</v>
      </c>
      <c r="G379" s="12" t="s">
        <v>462</v>
      </c>
      <c r="H379" s="51" t="s">
        <v>230</v>
      </c>
      <c r="I379" s="24" t="s">
        <v>78</v>
      </c>
      <c r="J379" s="38">
        <v>4958.5</v>
      </c>
      <c r="K379" s="39">
        <v>5188.5</v>
      </c>
      <c r="L379" s="37">
        <f t="shared" si="20"/>
        <v>-230</v>
      </c>
      <c r="M379" s="37">
        <f t="shared" si="21"/>
        <v>-4.4328804085959339</v>
      </c>
      <c r="N379" s="36">
        <v>409.5</v>
      </c>
      <c r="O379" s="36">
        <v>463.5</v>
      </c>
      <c r="P379" s="37">
        <f t="shared" si="22"/>
        <v>-54</v>
      </c>
      <c r="Q379" s="37">
        <f t="shared" si="23"/>
        <v>-11.650485436893204</v>
      </c>
      <c r="R379" s="37"/>
      <c r="S379" s="37"/>
      <c r="T379" s="37"/>
      <c r="U379" s="37"/>
      <c r="V379" s="37"/>
      <c r="W379" s="37"/>
      <c r="X379" s="37"/>
      <c r="Y379" s="37"/>
      <c r="Z379" s="37"/>
      <c r="AA379" s="37"/>
    </row>
    <row r="380" spans="1:27" ht="24.5" hidden="1" x14ac:dyDescent="0.35">
      <c r="A380" s="104">
        <v>305307</v>
      </c>
      <c r="B380" s="5" t="s">
        <v>581</v>
      </c>
      <c r="C380" s="46" t="s">
        <v>833</v>
      </c>
      <c r="D380" s="13" t="s">
        <v>834</v>
      </c>
      <c r="E380" s="6" t="s">
        <v>103</v>
      </c>
      <c r="F380" s="6" t="s">
        <v>630</v>
      </c>
      <c r="G380" s="12" t="s">
        <v>630</v>
      </c>
      <c r="H380" s="51" t="s">
        <v>304</v>
      </c>
      <c r="I380" s="24" t="s">
        <v>86</v>
      </c>
      <c r="J380" s="38">
        <v>3552.5</v>
      </c>
      <c r="K380" s="39">
        <v>3328</v>
      </c>
      <c r="L380" s="37">
        <f t="shared" si="20"/>
        <v>224.5</v>
      </c>
      <c r="M380" s="37">
        <f t="shared" si="21"/>
        <v>6.7457932692307692</v>
      </c>
      <c r="N380" s="36">
        <v>1155.5</v>
      </c>
      <c r="O380" s="36">
        <v>1318</v>
      </c>
      <c r="P380" s="37">
        <f t="shared" si="22"/>
        <v>-162.5</v>
      </c>
      <c r="Q380" s="37">
        <f t="shared" si="23"/>
        <v>-12.329286798179059</v>
      </c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 spans="1:27" hidden="1" x14ac:dyDescent="0.35">
      <c r="A381" s="104">
        <v>186838</v>
      </c>
      <c r="B381" s="5" t="s">
        <v>581</v>
      </c>
      <c r="C381" s="46" t="s">
        <v>671</v>
      </c>
      <c r="D381" s="13" t="s">
        <v>672</v>
      </c>
      <c r="E381" s="6" t="s">
        <v>200</v>
      </c>
      <c r="F381" s="6" t="s">
        <v>265</v>
      </c>
      <c r="G381" s="12" t="s">
        <v>265</v>
      </c>
      <c r="H381" s="51" t="s">
        <v>172</v>
      </c>
      <c r="I381" s="24" t="s">
        <v>83</v>
      </c>
      <c r="J381" s="38">
        <v>2804.5</v>
      </c>
      <c r="K381" s="39">
        <v>2669</v>
      </c>
      <c r="L381" s="37">
        <f t="shared" si="20"/>
        <v>135.5</v>
      </c>
      <c r="M381" s="37">
        <f t="shared" si="21"/>
        <v>5.0768077931809668</v>
      </c>
      <c r="N381" s="36">
        <v>3111.5</v>
      </c>
      <c r="O381" s="36">
        <v>2871</v>
      </c>
      <c r="P381" s="37">
        <f t="shared" si="22"/>
        <v>240.5</v>
      </c>
      <c r="Q381" s="37">
        <f t="shared" si="23"/>
        <v>8.3768721699756181</v>
      </c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 spans="1:27" ht="36.5" hidden="1" x14ac:dyDescent="0.35">
      <c r="A382" s="104">
        <v>102116</v>
      </c>
      <c r="B382" s="5" t="s">
        <v>581</v>
      </c>
      <c r="C382" s="46" t="s">
        <v>695</v>
      </c>
      <c r="D382" s="13" t="s">
        <v>669</v>
      </c>
      <c r="E382" s="6" t="s">
        <v>200</v>
      </c>
      <c r="F382" s="6" t="s">
        <v>670</v>
      </c>
      <c r="G382" s="12" t="s">
        <v>670</v>
      </c>
      <c r="H382" s="51" t="s">
        <v>91</v>
      </c>
      <c r="I382" s="24" t="s">
        <v>83</v>
      </c>
      <c r="J382" s="38">
        <v>2868</v>
      </c>
      <c r="K382" s="39">
        <v>2814</v>
      </c>
      <c r="L382" s="37">
        <f t="shared" si="20"/>
        <v>54</v>
      </c>
      <c r="M382" s="37">
        <f t="shared" si="21"/>
        <v>1.9189765458422177</v>
      </c>
      <c r="N382" s="36">
        <v>1164</v>
      </c>
      <c r="O382" s="36">
        <v>1266</v>
      </c>
      <c r="P382" s="37">
        <f t="shared" si="22"/>
        <v>-102</v>
      </c>
      <c r="Q382" s="37">
        <f t="shared" si="23"/>
        <v>-8.0568720379146921</v>
      </c>
      <c r="R382" s="37"/>
      <c r="S382" s="37"/>
      <c r="T382" s="37"/>
      <c r="U382" s="37"/>
      <c r="V382" s="37"/>
      <c r="W382" s="37"/>
      <c r="X382" s="37"/>
      <c r="Y382" s="37"/>
      <c r="Z382" s="37"/>
      <c r="AA382" s="37"/>
    </row>
    <row r="383" spans="1:27" ht="24.5" hidden="1" x14ac:dyDescent="0.35">
      <c r="A383" s="104">
        <v>234811</v>
      </c>
      <c r="B383" s="5" t="s">
        <v>581</v>
      </c>
      <c r="C383" s="46" t="s">
        <v>852</v>
      </c>
      <c r="D383" s="13" t="s">
        <v>853</v>
      </c>
      <c r="E383" s="6" t="s">
        <v>200</v>
      </c>
      <c r="F383" s="6" t="s">
        <v>268</v>
      </c>
      <c r="G383" s="12" t="s">
        <v>268</v>
      </c>
      <c r="H383" s="51" t="s">
        <v>91</v>
      </c>
      <c r="I383" s="24" t="s">
        <v>83</v>
      </c>
      <c r="J383" s="38">
        <v>1518</v>
      </c>
      <c r="K383" s="39">
        <v>1493.5</v>
      </c>
      <c r="L383" s="37">
        <f t="shared" si="20"/>
        <v>24.5</v>
      </c>
      <c r="M383" s="37">
        <f t="shared" si="21"/>
        <v>1.6404419149648477</v>
      </c>
      <c r="N383" s="36">
        <v>586</v>
      </c>
      <c r="O383" s="36">
        <v>716.5</v>
      </c>
      <c r="P383" s="37">
        <f t="shared" si="22"/>
        <v>-130.5</v>
      </c>
      <c r="Q383" s="37">
        <f t="shared" si="23"/>
        <v>-18.213538032100487</v>
      </c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 spans="1:27" ht="36.5" hidden="1" x14ac:dyDescent="0.35">
      <c r="A384" s="104">
        <v>106274</v>
      </c>
      <c r="B384" s="5" t="s">
        <v>581</v>
      </c>
      <c r="C384" s="46" t="s">
        <v>781</v>
      </c>
      <c r="D384" s="13" t="s">
        <v>782</v>
      </c>
      <c r="E384" s="6" t="s">
        <v>111</v>
      </c>
      <c r="F384" s="6" t="s">
        <v>274</v>
      </c>
      <c r="G384" s="12" t="s">
        <v>274</v>
      </c>
      <c r="H384" s="51" t="s">
        <v>275</v>
      </c>
      <c r="I384" s="24" t="s">
        <v>78</v>
      </c>
      <c r="J384" s="38">
        <v>2909.5</v>
      </c>
      <c r="K384" s="39">
        <v>3034.5</v>
      </c>
      <c r="L384" s="37">
        <f t="shared" si="20"/>
        <v>-125</v>
      </c>
      <c r="M384" s="37">
        <f t="shared" si="21"/>
        <v>-4.1192947767342236</v>
      </c>
      <c r="N384" s="36">
        <v>2584.5</v>
      </c>
      <c r="O384" s="36">
        <v>1073.5</v>
      </c>
      <c r="P384" s="37">
        <f t="shared" si="22"/>
        <v>1511</v>
      </c>
      <c r="Q384" s="37">
        <f t="shared" si="23"/>
        <v>140.75454122030743</v>
      </c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 spans="1:27" ht="36.5" hidden="1" x14ac:dyDescent="0.35">
      <c r="A385" s="104">
        <v>106330</v>
      </c>
      <c r="B385" s="5" t="s">
        <v>581</v>
      </c>
      <c r="C385" s="46" t="s">
        <v>863</v>
      </c>
      <c r="D385" s="13" t="s">
        <v>864</v>
      </c>
      <c r="E385" s="6" t="s">
        <v>75</v>
      </c>
      <c r="F385" s="6" t="s">
        <v>865</v>
      </c>
      <c r="G385" s="12" t="s">
        <v>865</v>
      </c>
      <c r="H385" s="51" t="s">
        <v>77</v>
      </c>
      <c r="I385" s="24" t="s">
        <v>78</v>
      </c>
      <c r="J385" s="38">
        <v>8765.5</v>
      </c>
      <c r="K385" s="39">
        <v>8642.5</v>
      </c>
      <c r="L385" s="37">
        <f t="shared" si="20"/>
        <v>123</v>
      </c>
      <c r="M385" s="37">
        <f t="shared" si="21"/>
        <v>1.4231993057564361</v>
      </c>
      <c r="N385" s="36">
        <v>1334.5</v>
      </c>
      <c r="O385" s="36">
        <v>1475.5</v>
      </c>
      <c r="P385" s="37">
        <f t="shared" si="22"/>
        <v>-141</v>
      </c>
      <c r="Q385" s="37">
        <f t="shared" si="23"/>
        <v>-9.5560826838359887</v>
      </c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 spans="1:27" hidden="1" x14ac:dyDescent="0.35">
      <c r="A386" s="104">
        <v>211064</v>
      </c>
      <c r="B386" s="5" t="s">
        <v>581</v>
      </c>
      <c r="C386" s="46" t="s">
        <v>846</v>
      </c>
      <c r="D386" s="13" t="s">
        <v>847</v>
      </c>
      <c r="E386" s="6" t="s">
        <v>89</v>
      </c>
      <c r="F386" s="6" t="s">
        <v>342</v>
      </c>
      <c r="G386" s="12" t="s">
        <v>204</v>
      </c>
      <c r="H386" s="51" t="s">
        <v>205</v>
      </c>
      <c r="I386" s="24" t="s">
        <v>86</v>
      </c>
      <c r="J386" s="38">
        <v>4230.5</v>
      </c>
      <c r="K386" s="39">
        <v>4450.5</v>
      </c>
      <c r="L386" s="37">
        <f t="shared" ref="L386:L398" si="24">(J386-K386)</f>
        <v>-220</v>
      </c>
      <c r="M386" s="37">
        <f t="shared" ref="M386:M398" si="25">(L386)/K386*100</f>
        <v>-4.9432648017076728</v>
      </c>
      <c r="N386" s="36">
        <v>3045.5</v>
      </c>
      <c r="O386" s="36">
        <v>3289.5</v>
      </c>
      <c r="P386" s="37">
        <f t="shared" ref="P386:P398" si="26">(N386-O386)</f>
        <v>-244</v>
      </c>
      <c r="Q386" s="37">
        <f t="shared" ref="Q386:Q398" si="27">(P386)/O386*100</f>
        <v>-7.4175406596747218</v>
      </c>
      <c r="R386" s="37"/>
      <c r="S386" s="37"/>
      <c r="T386" s="37"/>
      <c r="U386" s="37"/>
      <c r="V386" s="37"/>
      <c r="W386" s="37"/>
      <c r="X386" s="37"/>
      <c r="Y386" s="37"/>
      <c r="Z386" s="37"/>
      <c r="AA386" s="37"/>
    </row>
    <row r="387" spans="1:27" hidden="1" x14ac:dyDescent="0.35">
      <c r="A387" s="104">
        <v>186845</v>
      </c>
      <c r="B387" s="5" t="s">
        <v>581</v>
      </c>
      <c r="C387" s="46" t="s">
        <v>608</v>
      </c>
      <c r="D387" s="13" t="s">
        <v>609</v>
      </c>
      <c r="E387" s="6" t="s">
        <v>187</v>
      </c>
      <c r="F387" s="6" t="s">
        <v>188</v>
      </c>
      <c r="G387" s="12" t="s">
        <v>188</v>
      </c>
      <c r="H387" s="51" t="s">
        <v>189</v>
      </c>
      <c r="I387" s="24" t="s">
        <v>86</v>
      </c>
      <c r="J387" s="38">
        <v>625</v>
      </c>
      <c r="K387" s="39">
        <v>610</v>
      </c>
      <c r="L387" s="37">
        <f t="shared" si="24"/>
        <v>15</v>
      </c>
      <c r="M387" s="37">
        <f t="shared" si="25"/>
        <v>2.459016393442623</v>
      </c>
      <c r="N387" s="36">
        <v>12</v>
      </c>
      <c r="O387" s="36">
        <v>8</v>
      </c>
      <c r="P387" s="37">
        <f t="shared" si="26"/>
        <v>4</v>
      </c>
      <c r="Q387" s="37">
        <f t="shared" si="27"/>
        <v>50</v>
      </c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 spans="1:27" ht="24.5" hidden="1" x14ac:dyDescent="0.35">
      <c r="A388" s="104">
        <v>175977</v>
      </c>
      <c r="B388" s="5" t="s">
        <v>581</v>
      </c>
      <c r="C388" s="46" t="s">
        <v>947</v>
      </c>
      <c r="D388" s="13" t="s">
        <v>948</v>
      </c>
      <c r="E388" s="6" t="s">
        <v>85</v>
      </c>
      <c r="F388" s="6" t="s">
        <v>192</v>
      </c>
      <c r="G388" s="12" t="s">
        <v>192</v>
      </c>
      <c r="H388" s="51" t="s">
        <v>178</v>
      </c>
      <c r="I388" s="24" t="s">
        <v>86</v>
      </c>
      <c r="J388" s="38">
        <v>1420</v>
      </c>
      <c r="K388" s="39">
        <v>1666</v>
      </c>
      <c r="L388" s="37">
        <f t="shared" si="24"/>
        <v>-246</v>
      </c>
      <c r="M388" s="37">
        <f t="shared" si="25"/>
        <v>-14.765906362545017</v>
      </c>
      <c r="N388" s="36">
        <v>2562</v>
      </c>
      <c r="O388" s="36">
        <v>2576</v>
      </c>
      <c r="P388" s="37">
        <f t="shared" si="26"/>
        <v>-14</v>
      </c>
      <c r="Q388" s="37">
        <f t="shared" si="27"/>
        <v>-0.54347826086956519</v>
      </c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 spans="1:27" ht="24.5" hidden="1" x14ac:dyDescent="0.35">
      <c r="A389" s="104">
        <v>102106</v>
      </c>
      <c r="B389" s="5" t="s">
        <v>581</v>
      </c>
      <c r="C389" s="46" t="s">
        <v>636</v>
      </c>
      <c r="D389" s="13" t="s">
        <v>637</v>
      </c>
      <c r="E389" s="6" t="s">
        <v>187</v>
      </c>
      <c r="F389" s="6" t="s">
        <v>356</v>
      </c>
      <c r="G389" s="12" t="s">
        <v>603</v>
      </c>
      <c r="H389" s="51" t="s">
        <v>120</v>
      </c>
      <c r="I389" s="24" t="s">
        <v>86</v>
      </c>
      <c r="J389" s="38">
        <v>5468</v>
      </c>
      <c r="K389" s="39">
        <v>5326.5</v>
      </c>
      <c r="L389" s="37">
        <f t="shared" si="24"/>
        <v>141.5</v>
      </c>
      <c r="M389" s="37">
        <f t="shared" si="25"/>
        <v>2.6565286773678776</v>
      </c>
      <c r="N389" s="36">
        <v>3116</v>
      </c>
      <c r="O389" s="36">
        <v>3067.5</v>
      </c>
      <c r="P389" s="37">
        <f t="shared" si="26"/>
        <v>48.5</v>
      </c>
      <c r="Q389" s="37">
        <f t="shared" si="27"/>
        <v>1.5810920945395273</v>
      </c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 spans="1:27" ht="36.5" hidden="1" x14ac:dyDescent="0.35">
      <c r="A390" s="104">
        <v>186863</v>
      </c>
      <c r="B390" s="5" t="s">
        <v>581</v>
      </c>
      <c r="C390" s="46" t="s">
        <v>665</v>
      </c>
      <c r="D390" s="13" t="s">
        <v>666</v>
      </c>
      <c r="E390" s="6" t="s">
        <v>75</v>
      </c>
      <c r="F390" s="6" t="s">
        <v>667</v>
      </c>
      <c r="G390" s="12" t="s">
        <v>667</v>
      </c>
      <c r="H390" s="51" t="s">
        <v>77</v>
      </c>
      <c r="I390" s="24" t="s">
        <v>78</v>
      </c>
      <c r="J390" s="38">
        <v>2034</v>
      </c>
      <c r="K390" s="39">
        <v>2511</v>
      </c>
      <c r="L390" s="37">
        <f t="shared" si="24"/>
        <v>-477</v>
      </c>
      <c r="M390" s="37">
        <f t="shared" si="25"/>
        <v>-18.996415770609318</v>
      </c>
      <c r="N390" s="36">
        <v>416</v>
      </c>
      <c r="O390" s="36">
        <v>537</v>
      </c>
      <c r="P390" s="37">
        <f t="shared" si="26"/>
        <v>-121</v>
      </c>
      <c r="Q390" s="37">
        <f t="shared" si="27"/>
        <v>-22.532588454376164</v>
      </c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 spans="1:27" ht="36.5" hidden="1" x14ac:dyDescent="0.35">
      <c r="A391" s="104">
        <v>312646</v>
      </c>
      <c r="B391" s="5" t="s">
        <v>581</v>
      </c>
      <c r="C391" s="46" t="s">
        <v>717</v>
      </c>
      <c r="D391" s="13" t="s">
        <v>718</v>
      </c>
      <c r="E391" s="6" t="s">
        <v>81</v>
      </c>
      <c r="F391" s="6" t="s">
        <v>719</v>
      </c>
      <c r="G391" s="12" t="s">
        <v>719</v>
      </c>
      <c r="H391" s="51" t="s">
        <v>135</v>
      </c>
      <c r="I391" s="24" t="s">
        <v>83</v>
      </c>
      <c r="J391" s="38">
        <v>4338.9049999999979</v>
      </c>
      <c r="K391" s="39">
        <v>4204.0519999999997</v>
      </c>
      <c r="L391" s="37">
        <f t="shared" si="24"/>
        <v>134.85299999999825</v>
      </c>
      <c r="M391" s="37">
        <f t="shared" si="25"/>
        <v>3.2076910561524516</v>
      </c>
      <c r="N391" s="36">
        <v>1035.4749999999997</v>
      </c>
      <c r="O391" s="36">
        <v>1106.1869999999997</v>
      </c>
      <c r="P391" s="37">
        <f t="shared" si="26"/>
        <v>-70.711999999999989</v>
      </c>
      <c r="Q391" s="37">
        <f t="shared" si="27"/>
        <v>-6.3924092400290373</v>
      </c>
      <c r="R391" s="37"/>
      <c r="S391" s="37"/>
      <c r="T391" s="37"/>
      <c r="U391" s="37"/>
      <c r="V391" s="37"/>
      <c r="W391" s="37"/>
      <c r="X391" s="37"/>
      <c r="Y391" s="37"/>
      <c r="Z391" s="37"/>
      <c r="AA391" s="37"/>
    </row>
    <row r="392" spans="1:27" ht="36.5" hidden="1" x14ac:dyDescent="0.35">
      <c r="A392" s="104">
        <v>190058</v>
      </c>
      <c r="B392" s="5" t="s">
        <v>581</v>
      </c>
      <c r="C392" s="46" t="s">
        <v>761</v>
      </c>
      <c r="D392" s="13" t="s">
        <v>762</v>
      </c>
      <c r="E392" s="6" t="s">
        <v>103</v>
      </c>
      <c r="F392" s="6" t="s">
        <v>763</v>
      </c>
      <c r="G392" s="12" t="s">
        <v>763</v>
      </c>
      <c r="H392" s="51" t="s">
        <v>96</v>
      </c>
      <c r="I392" s="24" t="s">
        <v>83</v>
      </c>
      <c r="J392" s="38">
        <v>6502</v>
      </c>
      <c r="K392" s="39">
        <v>6648</v>
      </c>
      <c r="L392" s="37">
        <f t="shared" si="24"/>
        <v>-146</v>
      </c>
      <c r="M392" s="37">
        <f t="shared" si="25"/>
        <v>-2.1961492178098676</v>
      </c>
      <c r="N392" s="36">
        <v>2326</v>
      </c>
      <c r="O392" s="36">
        <v>2534.5</v>
      </c>
      <c r="P392" s="37">
        <f t="shared" si="26"/>
        <v>-208.5</v>
      </c>
      <c r="Q392" s="37">
        <f t="shared" si="27"/>
        <v>-8.2264746498323138</v>
      </c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 spans="1:27" ht="36.5" hidden="1" x14ac:dyDescent="0.35">
      <c r="A393" s="105">
        <v>108140</v>
      </c>
      <c r="B393" s="5" t="s">
        <v>581</v>
      </c>
      <c r="C393" s="46" t="s">
        <v>825</v>
      </c>
      <c r="D393" s="13" t="s">
        <v>826</v>
      </c>
      <c r="E393" s="8" t="s">
        <v>81</v>
      </c>
      <c r="F393" s="8" t="s">
        <v>498</v>
      </c>
      <c r="G393" s="12" t="s">
        <v>498</v>
      </c>
      <c r="H393" s="51" t="s">
        <v>135</v>
      </c>
      <c r="I393" s="24" t="s">
        <v>83</v>
      </c>
      <c r="J393" s="38">
        <v>5718.5</v>
      </c>
      <c r="K393" s="39">
        <v>5617.5</v>
      </c>
      <c r="L393" s="37">
        <f t="shared" si="24"/>
        <v>101</v>
      </c>
      <c r="M393" s="37">
        <f t="shared" si="25"/>
        <v>1.7979528259902091</v>
      </c>
      <c r="N393" s="36">
        <v>777.5</v>
      </c>
      <c r="O393" s="36">
        <v>810.5</v>
      </c>
      <c r="P393" s="37">
        <f t="shared" si="26"/>
        <v>-33</v>
      </c>
      <c r="Q393" s="37">
        <f t="shared" si="27"/>
        <v>-4.0715607649599015</v>
      </c>
      <c r="R393" s="37"/>
      <c r="S393" s="37"/>
      <c r="T393" s="37"/>
      <c r="U393" s="37"/>
      <c r="V393" s="37"/>
      <c r="W393" s="37"/>
      <c r="X393" s="37"/>
      <c r="Y393" s="37"/>
      <c r="Z393" s="37"/>
      <c r="AA393" s="37"/>
    </row>
    <row r="394" spans="1:27" ht="24.5" hidden="1" x14ac:dyDescent="0.35">
      <c r="A394" s="104">
        <v>332207</v>
      </c>
      <c r="B394" s="5" t="s">
        <v>581</v>
      </c>
      <c r="C394" s="46" t="s">
        <v>592</v>
      </c>
      <c r="D394" s="13" t="s">
        <v>267</v>
      </c>
      <c r="E394" s="6" t="s">
        <v>89</v>
      </c>
      <c r="F394" s="6" t="s">
        <v>587</v>
      </c>
      <c r="G394" s="12" t="s">
        <v>587</v>
      </c>
      <c r="H394" s="51" t="s">
        <v>91</v>
      </c>
      <c r="I394" s="24" t="s">
        <v>86</v>
      </c>
      <c r="J394" s="38">
        <v>2273.7429999999986</v>
      </c>
      <c r="K394" s="39">
        <v>2059</v>
      </c>
      <c r="L394" s="37">
        <f t="shared" si="24"/>
        <v>214.74299999999857</v>
      </c>
      <c r="M394" s="37">
        <f t="shared" si="25"/>
        <v>10.429480330257338</v>
      </c>
      <c r="N394" s="36">
        <v>869.22899999999959</v>
      </c>
      <c r="O394" s="36">
        <v>827.04099999999971</v>
      </c>
      <c r="P394" s="37">
        <f t="shared" si="26"/>
        <v>42.187999999999874</v>
      </c>
      <c r="Q394" s="37">
        <f t="shared" si="27"/>
        <v>5.1010772138261453</v>
      </c>
      <c r="R394" s="37"/>
      <c r="S394" s="37"/>
      <c r="T394" s="37"/>
      <c r="U394" s="37"/>
      <c r="V394" s="37"/>
      <c r="W394" s="37"/>
      <c r="X394" s="37"/>
      <c r="Y394" s="37"/>
      <c r="Z394" s="37"/>
      <c r="AA394" s="37"/>
    </row>
    <row r="395" spans="1:27" ht="24.5" hidden="1" x14ac:dyDescent="0.35">
      <c r="A395" s="104">
        <v>202456</v>
      </c>
      <c r="B395" s="5" t="s">
        <v>581</v>
      </c>
      <c r="C395" s="46" t="s">
        <v>921</v>
      </c>
      <c r="D395" s="13" t="s">
        <v>922</v>
      </c>
      <c r="E395" s="6" t="s">
        <v>200</v>
      </c>
      <c r="F395" s="6" t="s">
        <v>814</v>
      </c>
      <c r="G395" s="12" t="s">
        <v>814</v>
      </c>
      <c r="H395" s="51" t="s">
        <v>91</v>
      </c>
      <c r="I395" s="24" t="s">
        <v>83</v>
      </c>
      <c r="J395" s="38">
        <v>911.5</v>
      </c>
      <c r="K395" s="39">
        <v>961</v>
      </c>
      <c r="L395" s="37">
        <f t="shared" si="24"/>
        <v>-49.5</v>
      </c>
      <c r="M395" s="37">
        <f t="shared" si="25"/>
        <v>-5.1508844953173778</v>
      </c>
      <c r="N395" s="36">
        <v>84.5</v>
      </c>
      <c r="O395" s="36">
        <v>263</v>
      </c>
      <c r="P395" s="37">
        <f t="shared" si="26"/>
        <v>-178.5</v>
      </c>
      <c r="Q395" s="37">
        <f t="shared" si="27"/>
        <v>-67.870722433460074</v>
      </c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 spans="1:27" hidden="1" x14ac:dyDescent="0.35">
      <c r="A396" s="104">
        <v>186837</v>
      </c>
      <c r="B396" s="5" t="s">
        <v>581</v>
      </c>
      <c r="C396" s="46" t="s">
        <v>924</v>
      </c>
      <c r="D396" s="13" t="s">
        <v>402</v>
      </c>
      <c r="E396" s="6" t="s">
        <v>187</v>
      </c>
      <c r="F396" s="6" t="s">
        <v>370</v>
      </c>
      <c r="G396" s="12" t="s">
        <v>370</v>
      </c>
      <c r="H396" s="51" t="s">
        <v>189</v>
      </c>
      <c r="I396" s="24" t="s">
        <v>86</v>
      </c>
      <c r="J396" s="38">
        <v>4658.5</v>
      </c>
      <c r="K396" s="39">
        <v>5608</v>
      </c>
      <c r="L396" s="37">
        <f t="shared" si="24"/>
        <v>-949.5</v>
      </c>
      <c r="M396" s="37">
        <f t="shared" si="25"/>
        <v>-16.9311697574893</v>
      </c>
      <c r="N396" s="36">
        <v>1133.5</v>
      </c>
      <c r="O396" s="36">
        <v>1480</v>
      </c>
      <c r="P396" s="37">
        <f t="shared" si="26"/>
        <v>-346.5</v>
      </c>
      <c r="Q396" s="37">
        <f t="shared" si="27"/>
        <v>-23.412162162162161</v>
      </c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 spans="1:27" ht="24.5" hidden="1" x14ac:dyDescent="0.35">
      <c r="A397" s="104">
        <v>106332</v>
      </c>
      <c r="B397" s="5" t="s">
        <v>581</v>
      </c>
      <c r="C397" s="46" t="s">
        <v>941</v>
      </c>
      <c r="D397" s="13" t="s">
        <v>942</v>
      </c>
      <c r="E397" s="6" t="s">
        <v>89</v>
      </c>
      <c r="F397" s="6" t="s">
        <v>237</v>
      </c>
      <c r="G397" s="12" t="s">
        <v>237</v>
      </c>
      <c r="H397" s="51" t="s">
        <v>205</v>
      </c>
      <c r="I397" s="24" t="s">
        <v>86</v>
      </c>
      <c r="J397" s="38">
        <v>3601.5</v>
      </c>
      <c r="K397" s="39">
        <v>4416</v>
      </c>
      <c r="L397" s="37">
        <f t="shared" si="24"/>
        <v>-814.5</v>
      </c>
      <c r="M397" s="37">
        <f t="shared" si="25"/>
        <v>-18.444293478260871</v>
      </c>
      <c r="N397" s="36">
        <v>624.5</v>
      </c>
      <c r="O397" s="36">
        <v>828</v>
      </c>
      <c r="P397" s="37">
        <f t="shared" si="26"/>
        <v>-203.5</v>
      </c>
      <c r="Q397" s="37">
        <f t="shared" si="27"/>
        <v>-24.577294685990339</v>
      </c>
      <c r="R397" s="37"/>
      <c r="S397" s="37"/>
      <c r="T397" s="37"/>
      <c r="U397" s="37"/>
      <c r="V397" s="37"/>
      <c r="W397" s="37"/>
      <c r="X397" s="37"/>
      <c r="Y397" s="37"/>
      <c r="Z397" s="37"/>
      <c r="AA397" s="37"/>
    </row>
    <row r="398" spans="1:27" ht="24.5" hidden="1" x14ac:dyDescent="0.35">
      <c r="A398" s="104">
        <v>186872</v>
      </c>
      <c r="B398" s="5" t="s">
        <v>581</v>
      </c>
      <c r="C398" s="46" t="s">
        <v>926</v>
      </c>
      <c r="D398" s="13" t="s">
        <v>927</v>
      </c>
      <c r="E398" s="6" t="s">
        <v>200</v>
      </c>
      <c r="F398" s="6" t="s">
        <v>856</v>
      </c>
      <c r="G398" s="12" t="s">
        <v>856</v>
      </c>
      <c r="H398" s="51" t="s">
        <v>205</v>
      </c>
      <c r="I398" s="24" t="s">
        <v>83</v>
      </c>
      <c r="J398" s="38">
        <v>693</v>
      </c>
      <c r="K398" s="39">
        <v>742.5</v>
      </c>
      <c r="L398" s="37">
        <f t="shared" si="24"/>
        <v>-49.5</v>
      </c>
      <c r="M398" s="37">
        <f t="shared" si="25"/>
        <v>-6.666666666666667</v>
      </c>
      <c r="N398" s="36">
        <v>8187</v>
      </c>
      <c r="O398" s="36">
        <v>6305.5</v>
      </c>
      <c r="P398" s="37">
        <f t="shared" si="26"/>
        <v>1881.5</v>
      </c>
      <c r="Q398" s="37">
        <f t="shared" si="27"/>
        <v>29.839029418761399</v>
      </c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</row>
  </sheetData>
  <pageMargins left="0.70866141732283472" right="0.70866141732283472" top="0.74803149606299213" bottom="0.74803149606299213" header="0.31496062992125984" footer="0.31496062992125984"/>
  <pageSetup paperSize="9" fitToHeight="8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F2C8BD-EF3F-4DD9-B8EB-23C4ED56710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22f3a7c-d45e-4818-9aa4-33d44420ec32}" enabled="0" method="" siteId="{222f3a7c-d45e-4818-9aa4-33d44420ec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Data</vt:lpstr>
      <vt:lpstr>Visit RO</vt:lpstr>
      <vt:lpstr>Market Share </vt:lpstr>
      <vt:lpstr>Future Predictor</vt:lpstr>
      <vt:lpstr>Negative RO</vt:lpstr>
      <vt:lpstr>Segment Dealer</vt:lpstr>
      <vt:lpstr>Sheet1</vt:lpstr>
      <vt:lpstr>Raw Data</vt:lpstr>
      <vt:lpstr>Initiative and Upgrades</vt:lpstr>
      <vt:lpstr>Data!Print_Area</vt:lpstr>
      <vt:lpstr>'Initiative and Upgrades'!Print_Area</vt:lpstr>
      <vt:lpstr>Data!Print_Titles</vt:lpstr>
      <vt:lpstr>'Initiative and Upgrades'!Print_Titles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Sahu (अभिनव साहू)</dc:creator>
  <cp:keywords/>
  <dc:description/>
  <cp:lastModifiedBy>Abhinav Sahu (अभिनव साहू)</cp:lastModifiedBy>
  <cp:revision/>
  <cp:lastPrinted>2026-04-04T10:20:08Z</cp:lastPrinted>
  <dcterms:created xsi:type="dcterms:W3CDTF">2025-05-09T05:30:17Z</dcterms:created>
  <dcterms:modified xsi:type="dcterms:W3CDTF">2026-04-24T12:41:38Z</dcterms:modified>
  <cp:category/>
  <cp:contentStatus/>
</cp:coreProperties>
</file>